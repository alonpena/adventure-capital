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Alejandro\OneDrive\A.Maureira &amp; Co 2022\Clientes\AiJourney\Evalauciones - versiones\"/>
    </mc:Choice>
  </mc:AlternateContent>
  <xr:revisionPtr revIDLastSave="0" documentId="13_ncr:1_{DD2502FE-D0F7-433F-8648-AA2F7C1D427F}" xr6:coauthVersionLast="47" xr6:coauthVersionMax="47" xr10:uidLastSave="{00000000-0000-0000-0000-000000000000}"/>
  <bookViews>
    <workbookView xWindow="-110" yWindow="-110" windowWidth="19420" windowHeight="10560" firstSheet="3" activeTab="4" xr2:uid="{187E76F7-9102-4866-B004-5423BB9D15D6}"/>
  </bookViews>
  <sheets>
    <sheet name="Vaciado" sheetId="25" r:id="rId1"/>
    <sheet name="Indicadores" sheetId="33" r:id="rId2"/>
    <sheet name="Dashboard" sheetId="32" r:id="rId3"/>
    <sheet name="Unit Economics" sheetId="29" r:id="rId4"/>
    <sheet name="MAP VALUE" sheetId="38" r:id="rId5"/>
    <sheet name="Cap.Table" sheetId="37" r:id="rId6"/>
    <sheet name="Para reporte" sheetId="26" r:id="rId7"/>
    <sheet name="Flujos" sheetId="28" r:id="rId8"/>
    <sheet name="P.Comercial" sheetId="27" r:id="rId9"/>
    <sheet name="Recurrencia" sheetId="11" r:id="rId10"/>
    <sheet name="Metas" sheetId="31" r:id="rId11"/>
    <sheet name="Gráfico1" sheetId="34" r:id="rId12"/>
    <sheet name="Gráfico2" sheetId="36" r:id="rId13"/>
    <sheet name="Sensibilidad" sheetId="41"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38" l="1"/>
  <c r="F11" i="38"/>
  <c r="D14" i="38"/>
  <c r="B11" i="38"/>
  <c r="D11" i="38"/>
  <c r="D71" i="26"/>
  <c r="D70" i="26"/>
  <c r="D69" i="26"/>
  <c r="D68" i="26"/>
  <c r="D67" i="26"/>
  <c r="D66" i="26"/>
  <c r="D65" i="26"/>
  <c r="D64" i="26"/>
  <c r="D63" i="26"/>
  <c r="D62" i="26"/>
  <c r="D61" i="26"/>
  <c r="D60" i="26"/>
  <c r="D59" i="26"/>
  <c r="D54" i="26"/>
  <c r="D55" i="26"/>
  <c r="D56" i="26"/>
  <c r="D21" i="25"/>
  <c r="H68" i="25"/>
  <c r="D13" i="41" l="1"/>
  <c r="D12" i="41"/>
  <c r="D11" i="41"/>
  <c r="D29" i="25"/>
  <c r="F11" i="29"/>
  <c r="M21" i="26"/>
  <c r="M20" i="26"/>
  <c r="N7" i="38"/>
  <c r="P7" i="38"/>
  <c r="R7" i="38"/>
  <c r="P10" i="38"/>
  <c r="P11" i="38"/>
  <c r="P17" i="38"/>
  <c r="R23" i="38"/>
  <c r="J153" i="26" s="1"/>
  <c r="M33" i="38"/>
  <c r="N33" i="38"/>
  <c r="O33" i="38"/>
  <c r="M34" i="38"/>
  <c r="N34" i="38"/>
  <c r="O34" i="38"/>
  <c r="I14" i="37"/>
  <c r="C4" i="37"/>
  <c r="I4" i="37" s="1"/>
  <c r="D7" i="37"/>
  <c r="E7" i="37"/>
  <c r="F7" i="37"/>
  <c r="G7" i="37"/>
  <c r="H7" i="37"/>
  <c r="B11" i="37"/>
  <c r="B12" i="37"/>
  <c r="B13" i="37"/>
  <c r="I15" i="37"/>
  <c r="D17" i="37"/>
  <c r="E17" i="37"/>
  <c r="F17" i="37"/>
  <c r="H17" i="37"/>
  <c r="P14" i="38" l="1"/>
  <c r="N20" i="38"/>
  <c r="C6" i="37"/>
  <c r="C11" i="37"/>
  <c r="I11" i="37" s="1"/>
  <c r="C5" i="37"/>
  <c r="E19" i="29"/>
  <c r="D19" i="29"/>
  <c r="C19" i="29"/>
  <c r="H26" i="38" s="1"/>
  <c r="F19" i="29" s="1"/>
  <c r="D18" i="31"/>
  <c r="C18" i="31"/>
  <c r="D57" i="25"/>
  <c r="C13" i="37" l="1"/>
  <c r="I13" i="37" s="1"/>
  <c r="I6" i="37"/>
  <c r="C7" i="37"/>
  <c r="I5" i="37"/>
  <c r="C12" i="37"/>
  <c r="B6" i="33"/>
  <c r="C13" i="25"/>
  <c r="C12" i="25"/>
  <c r="B3" i="33"/>
  <c r="B4" i="33"/>
  <c r="B5" i="33"/>
  <c r="B2" i="33"/>
  <c r="B8" i="33"/>
  <c r="B9" i="33"/>
  <c r="B10" i="33"/>
  <c r="B11" i="33"/>
  <c r="B7" i="33"/>
  <c r="G22" i="25"/>
  <c r="G21" i="25"/>
  <c r="G20" i="25"/>
  <c r="G19" i="25"/>
  <c r="G18" i="25"/>
  <c r="F60" i="28"/>
  <c r="G60" i="28"/>
  <c r="H60" i="28"/>
  <c r="I60" i="28"/>
  <c r="J60" i="28"/>
  <c r="K60" i="28"/>
  <c r="L60" i="28"/>
  <c r="M60" i="28"/>
  <c r="N60" i="28"/>
  <c r="O60" i="28"/>
  <c r="P60" i="28"/>
  <c r="Q60" i="28"/>
  <c r="R60" i="28"/>
  <c r="S60" i="28"/>
  <c r="T60" i="28"/>
  <c r="U60" i="28"/>
  <c r="V60" i="28"/>
  <c r="W60" i="28"/>
  <c r="X60" i="28"/>
  <c r="Y60" i="28"/>
  <c r="Z60" i="28"/>
  <c r="AA60" i="28"/>
  <c r="AB60" i="28"/>
  <c r="AC60" i="28"/>
  <c r="AD60" i="28"/>
  <c r="AE60" i="28"/>
  <c r="AF60" i="28"/>
  <c r="AG60" i="28"/>
  <c r="AH60" i="28"/>
  <c r="AI60" i="28"/>
  <c r="AJ60" i="28"/>
  <c r="AK60" i="28"/>
  <c r="AL60" i="28"/>
  <c r="AM60" i="28"/>
  <c r="AN60" i="28"/>
  <c r="F61" i="28"/>
  <c r="F62" i="28" s="1"/>
  <c r="G62" i="28" s="1"/>
  <c r="H62" i="28" s="1"/>
  <c r="I62" i="28" s="1"/>
  <c r="J62" i="28" s="1"/>
  <c r="K62" i="28" s="1"/>
  <c r="L62" i="28" s="1"/>
  <c r="M62" i="28" s="1"/>
  <c r="N62" i="28" s="1"/>
  <c r="O62" i="28" s="1"/>
  <c r="P62" i="28" s="1"/>
  <c r="Q62" i="28" s="1"/>
  <c r="R62" i="28" s="1"/>
  <c r="S62" i="28" s="1"/>
  <c r="T62" i="28" s="1"/>
  <c r="U62" i="28" s="1"/>
  <c r="V62" i="28" s="1"/>
  <c r="W62" i="28" s="1"/>
  <c r="X62" i="28" s="1"/>
  <c r="Y62" i="28" s="1"/>
  <c r="Z62" i="28" s="1"/>
  <c r="AA62" i="28" s="1"/>
  <c r="AB62" i="28" s="1"/>
  <c r="AC62" i="28" s="1"/>
  <c r="AD62" i="28" s="1"/>
  <c r="AE62" i="28" s="1"/>
  <c r="AF62" i="28" s="1"/>
  <c r="AG62" i="28" s="1"/>
  <c r="AH62" i="28" s="1"/>
  <c r="AI62" i="28" s="1"/>
  <c r="AJ62" i="28" s="1"/>
  <c r="AK62" i="28" s="1"/>
  <c r="AL62" i="28" s="1"/>
  <c r="AM62" i="28" s="1"/>
  <c r="AN62" i="28" s="1"/>
  <c r="G61" i="28"/>
  <c r="H61" i="28"/>
  <c r="I61" i="28"/>
  <c r="J61" i="28"/>
  <c r="K61" i="28"/>
  <c r="L61" i="28"/>
  <c r="M61" i="28"/>
  <c r="N61" i="28"/>
  <c r="O61" i="28"/>
  <c r="P61" i="28"/>
  <c r="Q61" i="28"/>
  <c r="R61" i="28"/>
  <c r="S61" i="28"/>
  <c r="T61" i="28"/>
  <c r="U61" i="28"/>
  <c r="V61" i="28"/>
  <c r="W61" i="28"/>
  <c r="X61" i="28"/>
  <c r="Y61" i="28"/>
  <c r="Z61" i="28"/>
  <c r="AA61" i="28"/>
  <c r="AB61" i="28"/>
  <c r="AC61" i="28"/>
  <c r="AD61" i="28"/>
  <c r="AE61" i="28"/>
  <c r="AF61" i="28"/>
  <c r="AG61" i="28"/>
  <c r="AH61" i="28"/>
  <c r="AI61" i="28"/>
  <c r="AJ61" i="28"/>
  <c r="AK61" i="28"/>
  <c r="AL61" i="28"/>
  <c r="AM61" i="28"/>
  <c r="AN61" i="28"/>
  <c r="E60" i="28"/>
  <c r="E61" i="28"/>
  <c r="E62" i="28" s="1"/>
  <c r="E63" i="28" s="1"/>
  <c r="E64" i="28" s="1"/>
  <c r="E65" i="28" s="1"/>
  <c r="J100" i="26"/>
  <c r="J98" i="26"/>
  <c r="A79" i="28"/>
  <c r="A74" i="28"/>
  <c r="D7" i="31"/>
  <c r="E7" i="31" s="1"/>
  <c r="D3" i="31"/>
  <c r="C3" i="31"/>
  <c r="D41" i="26"/>
  <c r="D44" i="26"/>
  <c r="D40" i="26"/>
  <c r="E40" i="25"/>
  <c r="E41" i="25"/>
  <c r="E42" i="25"/>
  <c r="E43" i="25"/>
  <c r="E44" i="25"/>
  <c r="E45" i="25"/>
  <c r="E39" i="25"/>
  <c r="K63" i="28" l="1"/>
  <c r="I12" i="37"/>
  <c r="C17" i="37"/>
  <c r="I7" i="37"/>
  <c r="J5" i="37" s="1"/>
  <c r="C10" i="32"/>
  <c r="J5" i="32" s="1"/>
  <c r="K5" i="32" s="1"/>
  <c r="L5" i="32" s="1"/>
  <c r="M5" i="32" s="1"/>
  <c r="N5" i="32" s="1"/>
  <c r="O5" i="32" s="1"/>
  <c r="P5" i="32" s="1"/>
  <c r="Q5" i="32" s="1"/>
  <c r="R5" i="32" s="1"/>
  <c r="S5" i="32" s="1"/>
  <c r="T5" i="32" s="1"/>
  <c r="U5" i="32" s="1"/>
  <c r="V5" i="32" s="1"/>
  <c r="C19" i="31"/>
  <c r="D8" i="31"/>
  <c r="W63" i="28"/>
  <c r="AJ63" i="28"/>
  <c r="AI63" i="28"/>
  <c r="AB63" i="28"/>
  <c r="AD63" i="28"/>
  <c r="AC63" i="28"/>
  <c r="V63" i="28"/>
  <c r="Q63" i="28"/>
  <c r="P63" i="28"/>
  <c r="H14" i="27"/>
  <c r="K87" i="26"/>
  <c r="L87" i="26"/>
  <c r="F5" i="28"/>
  <c r="G5" i="28"/>
  <c r="E5" i="28"/>
  <c r="K14" i="27"/>
  <c r="D5" i="27"/>
  <c r="D6" i="27"/>
  <c r="D7" i="27"/>
  <c r="D8" i="27"/>
  <c r="D9" i="27"/>
  <c r="C6" i="27"/>
  <c r="C7" i="27"/>
  <c r="C8" i="27"/>
  <c r="C9" i="27"/>
  <c r="C5" i="27"/>
  <c r="D61" i="25"/>
  <c r="E61" i="25" s="1"/>
  <c r="E57" i="25"/>
  <c r="D53" i="26" s="1"/>
  <c r="E50" i="25"/>
  <c r="A27" i="28"/>
  <c r="A26" i="28"/>
  <c r="A24" i="28"/>
  <c r="A23" i="28"/>
  <c r="A43" i="28"/>
  <c r="A42" i="28"/>
  <c r="Q75" i="26" s="1"/>
  <c r="A41" i="28"/>
  <c r="A40" i="28"/>
  <c r="Q73" i="26" s="1"/>
  <c r="A39" i="28"/>
  <c r="A38" i="28"/>
  <c r="F36" i="28"/>
  <c r="G36" i="28"/>
  <c r="H36" i="28"/>
  <c r="I36" i="28"/>
  <c r="J36" i="28"/>
  <c r="K36" i="28"/>
  <c r="L36" i="28"/>
  <c r="M36" i="28"/>
  <c r="N36" i="28"/>
  <c r="O36" i="28"/>
  <c r="P36" i="28"/>
  <c r="Q36" i="28"/>
  <c r="R36" i="28"/>
  <c r="S36" i="28"/>
  <c r="T36" i="28"/>
  <c r="U36" i="28"/>
  <c r="V36" i="28"/>
  <c r="W36" i="28"/>
  <c r="X36" i="28"/>
  <c r="Y36" i="28"/>
  <c r="Z36" i="28"/>
  <c r="AA36" i="28"/>
  <c r="AB36" i="28"/>
  <c r="AC36" i="28"/>
  <c r="AD36" i="28"/>
  <c r="AE36" i="28"/>
  <c r="AF36" i="28"/>
  <c r="AG36" i="28"/>
  <c r="AH36" i="28"/>
  <c r="AI36" i="28"/>
  <c r="AJ36" i="28"/>
  <c r="AK36" i="28"/>
  <c r="AL36" i="28"/>
  <c r="AM36" i="28"/>
  <c r="AN36" i="28"/>
  <c r="E36" i="28"/>
  <c r="E35" i="28"/>
  <c r="A36" i="28"/>
  <c r="A37" i="28"/>
  <c r="A35" i="28"/>
  <c r="A34" i="28"/>
  <c r="A33" i="28"/>
  <c r="A32" i="28"/>
  <c r="A31" i="28"/>
  <c r="A30" i="28"/>
  <c r="A22" i="28"/>
  <c r="F17" i="28"/>
  <c r="G17" i="28"/>
  <c r="H17" i="28"/>
  <c r="I17" i="28"/>
  <c r="J17" i="28"/>
  <c r="K17" i="28"/>
  <c r="L17" i="28"/>
  <c r="E17" i="28"/>
  <c r="A25" i="28"/>
  <c r="A19" i="28"/>
  <c r="A18" i="28"/>
  <c r="A17" i="28"/>
  <c r="A16" i="28"/>
  <c r="A15" i="28"/>
  <c r="A14" i="28"/>
  <c r="E58" i="25"/>
  <c r="S39" i="28" s="1"/>
  <c r="E59" i="25"/>
  <c r="AG40" i="28" s="1"/>
  <c r="E60" i="25"/>
  <c r="E62" i="25"/>
  <c r="AI17" i="28" s="1"/>
  <c r="E63" i="25"/>
  <c r="AE38" i="28" s="1"/>
  <c r="E64" i="25"/>
  <c r="AD41" i="28" s="1"/>
  <c r="E65" i="25"/>
  <c r="AI42" i="28" s="1"/>
  <c r="E56" i="25"/>
  <c r="E47" i="25"/>
  <c r="J37" i="28" s="1"/>
  <c r="E30" i="28"/>
  <c r="F30" i="28"/>
  <c r="G30" i="28"/>
  <c r="H30" i="28"/>
  <c r="I30" i="28"/>
  <c r="J30" i="28"/>
  <c r="K30" i="28"/>
  <c r="L30" i="28"/>
  <c r="M30" i="28"/>
  <c r="N30" i="28"/>
  <c r="O30" i="28"/>
  <c r="P30" i="28"/>
  <c r="Q30" i="28"/>
  <c r="R30" i="28"/>
  <c r="S30" i="28"/>
  <c r="T30" i="28"/>
  <c r="U30" i="28"/>
  <c r="V30" i="28"/>
  <c r="W30" i="28"/>
  <c r="X30" i="28"/>
  <c r="Y30" i="28"/>
  <c r="Z30" i="28"/>
  <c r="AA30" i="28"/>
  <c r="AB30" i="28"/>
  <c r="AC30" i="28"/>
  <c r="AD30" i="28"/>
  <c r="AE30" i="28"/>
  <c r="AF30" i="28"/>
  <c r="AG30" i="28"/>
  <c r="AH30" i="28"/>
  <c r="AI30" i="28"/>
  <c r="AJ30" i="28"/>
  <c r="AK30" i="28"/>
  <c r="AL30" i="28"/>
  <c r="AM30" i="28"/>
  <c r="AN30" i="28"/>
  <c r="F31" i="28"/>
  <c r="G31" i="28"/>
  <c r="H31" i="28"/>
  <c r="I31" i="28"/>
  <c r="J31" i="28"/>
  <c r="K31" i="28"/>
  <c r="L31" i="28"/>
  <c r="M31" i="28"/>
  <c r="N31" i="28"/>
  <c r="O31" i="28"/>
  <c r="P31" i="28"/>
  <c r="Q31" i="28"/>
  <c r="R31" i="28"/>
  <c r="S31" i="28"/>
  <c r="T31" i="28"/>
  <c r="U31" i="28"/>
  <c r="V31" i="28"/>
  <c r="W31" i="28"/>
  <c r="X31" i="28"/>
  <c r="Y31" i="28"/>
  <c r="Z31" i="28"/>
  <c r="AA31" i="28"/>
  <c r="AB31" i="28"/>
  <c r="AC31" i="28"/>
  <c r="AD31" i="28"/>
  <c r="AE31" i="28"/>
  <c r="AF31" i="28"/>
  <c r="AG31" i="28"/>
  <c r="AH31" i="28"/>
  <c r="AI31" i="28"/>
  <c r="AJ31" i="28"/>
  <c r="AK31" i="28"/>
  <c r="AL31" i="28"/>
  <c r="AM31" i="28"/>
  <c r="AN31" i="28"/>
  <c r="F32" i="28"/>
  <c r="G32" i="28"/>
  <c r="H32" i="28"/>
  <c r="I32" i="28"/>
  <c r="J32" i="28"/>
  <c r="K32" i="28"/>
  <c r="L32" i="28"/>
  <c r="M32" i="28"/>
  <c r="N32" i="28"/>
  <c r="O32" i="28"/>
  <c r="P32" i="28"/>
  <c r="Q32" i="28"/>
  <c r="R32" i="28"/>
  <c r="S32" i="28"/>
  <c r="T32" i="28"/>
  <c r="U32" i="28"/>
  <c r="V32" i="28"/>
  <c r="W32" i="28"/>
  <c r="X32" i="28"/>
  <c r="Y32" i="28"/>
  <c r="Z32" i="28"/>
  <c r="AA32" i="28"/>
  <c r="AB32" i="28"/>
  <c r="AC32" i="28"/>
  <c r="AD32" i="28"/>
  <c r="AE32" i="28"/>
  <c r="AF32" i="28"/>
  <c r="AG32" i="28"/>
  <c r="AH32" i="28"/>
  <c r="AI32" i="28"/>
  <c r="AJ32" i="28"/>
  <c r="AK32" i="28"/>
  <c r="AL32" i="28"/>
  <c r="AM32" i="28"/>
  <c r="AN32" i="28"/>
  <c r="F33" i="28"/>
  <c r="G33" i="28"/>
  <c r="H33" i="28"/>
  <c r="I33" i="28"/>
  <c r="J33" i="28"/>
  <c r="K33" i="28"/>
  <c r="L33" i="28"/>
  <c r="M33" i="28"/>
  <c r="N33" i="28"/>
  <c r="O33" i="28"/>
  <c r="P33" i="28"/>
  <c r="Q33" i="28"/>
  <c r="R33" i="28"/>
  <c r="S33" i="28"/>
  <c r="T33" i="28"/>
  <c r="U33" i="28"/>
  <c r="V33" i="28"/>
  <c r="W33" i="28"/>
  <c r="X33" i="28"/>
  <c r="Y33" i="28"/>
  <c r="Z33" i="28"/>
  <c r="AA33" i="28"/>
  <c r="AB33" i="28"/>
  <c r="AC33" i="28"/>
  <c r="AD33" i="28"/>
  <c r="AE33" i="28"/>
  <c r="AF33" i="28"/>
  <c r="AG33" i="28"/>
  <c r="AH33" i="28"/>
  <c r="AI33" i="28"/>
  <c r="AJ33" i="28"/>
  <c r="AK33" i="28"/>
  <c r="AL33" i="28"/>
  <c r="AM33" i="28"/>
  <c r="AN33" i="28"/>
  <c r="F34" i="28"/>
  <c r="G34" i="28"/>
  <c r="H34" i="28"/>
  <c r="I34" i="28"/>
  <c r="J34" i="28"/>
  <c r="K34" i="28"/>
  <c r="L34" i="28"/>
  <c r="M34" i="28"/>
  <c r="N34" i="28"/>
  <c r="O34" i="28"/>
  <c r="P34" i="28"/>
  <c r="Q34" i="28"/>
  <c r="R34" i="28"/>
  <c r="S34" i="28"/>
  <c r="T34" i="28"/>
  <c r="U34" i="28"/>
  <c r="V34" i="28"/>
  <c r="W34" i="28"/>
  <c r="X34" i="28"/>
  <c r="Y34" i="28"/>
  <c r="Z34" i="28"/>
  <c r="AA34" i="28"/>
  <c r="AB34" i="28"/>
  <c r="AC34" i="28"/>
  <c r="AD34" i="28"/>
  <c r="AE34" i="28"/>
  <c r="AF34" i="28"/>
  <c r="AG34" i="28"/>
  <c r="AH34" i="28"/>
  <c r="AI34" i="28"/>
  <c r="AJ34" i="28"/>
  <c r="AK34" i="28"/>
  <c r="AL34" i="28"/>
  <c r="AM34" i="28"/>
  <c r="AN34" i="28"/>
  <c r="F35" i="28"/>
  <c r="G35" i="28"/>
  <c r="H35" i="28"/>
  <c r="I35" i="28"/>
  <c r="J35" i="28"/>
  <c r="K35" i="28"/>
  <c r="L35" i="28"/>
  <c r="M35" i="28"/>
  <c r="N35" i="28"/>
  <c r="O35" i="28"/>
  <c r="P35" i="28"/>
  <c r="Q35" i="28"/>
  <c r="R35" i="28"/>
  <c r="S35" i="28"/>
  <c r="T35" i="28"/>
  <c r="U35" i="28"/>
  <c r="V35" i="28"/>
  <c r="W35" i="28"/>
  <c r="X35" i="28"/>
  <c r="Y35" i="28"/>
  <c r="Z35" i="28"/>
  <c r="AA35" i="28"/>
  <c r="AB35" i="28"/>
  <c r="AC35" i="28"/>
  <c r="AD35" i="28"/>
  <c r="AE35" i="28"/>
  <c r="AF35" i="28"/>
  <c r="AG35" i="28"/>
  <c r="AH35" i="28"/>
  <c r="AI35" i="28"/>
  <c r="AJ35" i="28"/>
  <c r="AK35" i="28"/>
  <c r="AL35" i="28"/>
  <c r="AM35" i="28"/>
  <c r="AN35" i="28"/>
  <c r="E34" i="28"/>
  <c r="E33" i="28"/>
  <c r="E32" i="28"/>
  <c r="E31" i="28"/>
  <c r="G72" i="27"/>
  <c r="G73" i="27"/>
  <c r="G74" i="27"/>
  <c r="G75" i="27"/>
  <c r="G71" i="27"/>
  <c r="G64" i="27"/>
  <c r="G65" i="27"/>
  <c r="G66" i="27"/>
  <c r="G67" i="27"/>
  <c r="G63" i="27"/>
  <c r="G56" i="27"/>
  <c r="G57" i="27"/>
  <c r="G58" i="27"/>
  <c r="G59" i="27"/>
  <c r="G55" i="27"/>
  <c r="B31" i="26"/>
  <c r="B30" i="26"/>
  <c r="B29" i="26"/>
  <c r="B28" i="26"/>
  <c r="B27" i="26"/>
  <c r="G48" i="27"/>
  <c r="G49" i="27"/>
  <c r="G50" i="27"/>
  <c r="G51" i="27"/>
  <c r="G47" i="27"/>
  <c r="G43" i="27"/>
  <c r="G40" i="27"/>
  <c r="G41" i="27"/>
  <c r="G42" i="27"/>
  <c r="G39" i="27"/>
  <c r="G33" i="27"/>
  <c r="G34" i="27"/>
  <c r="G35" i="27"/>
  <c r="G36" i="27"/>
  <c r="G32" i="27"/>
  <c r="A3" i="11"/>
  <c r="B8" i="11" s="1"/>
  <c r="G17" i="27"/>
  <c r="G18" i="27"/>
  <c r="G19" i="27"/>
  <c r="G20" i="27"/>
  <c r="G16" i="27"/>
  <c r="I14" i="27"/>
  <c r="J14" i="27"/>
  <c r="L14" i="27"/>
  <c r="M14" i="27"/>
  <c r="N14" i="27"/>
  <c r="O14" i="27"/>
  <c r="P14" i="27"/>
  <c r="Q14" i="27"/>
  <c r="R14" i="27"/>
  <c r="S14" i="27"/>
  <c r="T14" i="27" s="1"/>
  <c r="G30" i="25"/>
  <c r="G29" i="25"/>
  <c r="G28" i="25"/>
  <c r="G27" i="25"/>
  <c r="G26" i="25"/>
  <c r="B14" i="26"/>
  <c r="B15" i="26"/>
  <c r="B16" i="26"/>
  <c r="B17" i="26"/>
  <c r="B13" i="26"/>
  <c r="S9" i="27"/>
  <c r="T9" i="27" s="1"/>
  <c r="R9" i="27"/>
  <c r="Q9" i="27"/>
  <c r="P9" i="27"/>
  <c r="O9" i="27"/>
  <c r="N9" i="27"/>
  <c r="M9" i="27"/>
  <c r="L9" i="27"/>
  <c r="K9" i="27"/>
  <c r="J9" i="27"/>
  <c r="I9" i="27"/>
  <c r="H9" i="27"/>
  <c r="S8" i="27"/>
  <c r="T8" i="27" s="1"/>
  <c r="R8" i="27"/>
  <c r="Q8" i="27"/>
  <c r="P8" i="27"/>
  <c r="O8" i="27"/>
  <c r="N8" i="27"/>
  <c r="M8" i="27"/>
  <c r="L8" i="27"/>
  <c r="K8" i="27"/>
  <c r="J8" i="27"/>
  <c r="I8" i="27"/>
  <c r="H8" i="27"/>
  <c r="S7" i="27"/>
  <c r="T7" i="27" s="1"/>
  <c r="R7" i="27"/>
  <c r="Q7" i="27"/>
  <c r="P7" i="27"/>
  <c r="O7" i="27"/>
  <c r="N7" i="27"/>
  <c r="M7" i="27"/>
  <c r="L7" i="27"/>
  <c r="K7" i="27"/>
  <c r="J7" i="27"/>
  <c r="I7" i="27"/>
  <c r="H7" i="27"/>
  <c r="S6" i="27"/>
  <c r="T6" i="27" s="1"/>
  <c r="R6" i="27"/>
  <c r="Q6" i="27"/>
  <c r="P6" i="27"/>
  <c r="O6" i="27"/>
  <c r="N6" i="27"/>
  <c r="M6" i="27"/>
  <c r="L6" i="27"/>
  <c r="K6" i="27"/>
  <c r="J6" i="27"/>
  <c r="I6" i="27"/>
  <c r="H6" i="27"/>
  <c r="S5" i="27"/>
  <c r="R5" i="27"/>
  <c r="Q5" i="27"/>
  <c r="P5" i="27"/>
  <c r="O5" i="27"/>
  <c r="N5" i="27"/>
  <c r="M5" i="27"/>
  <c r="L5" i="27"/>
  <c r="K5" i="27"/>
  <c r="J5" i="27"/>
  <c r="I5" i="27"/>
  <c r="H5" i="27"/>
  <c r="G14" i="25"/>
  <c r="G13" i="25"/>
  <c r="G12" i="25"/>
  <c r="G11" i="25"/>
  <c r="G10" i="25"/>
  <c r="E8" i="26"/>
  <c r="F8" i="26" s="1"/>
  <c r="C31" i="26" s="1"/>
  <c r="D8" i="26"/>
  <c r="C8" i="26"/>
  <c r="E7" i="26"/>
  <c r="F7" i="26" s="1"/>
  <c r="C30" i="26" s="1"/>
  <c r="D7" i="26"/>
  <c r="E162" i="26" s="1"/>
  <c r="C7" i="26"/>
  <c r="D162" i="26" s="1"/>
  <c r="E6" i="26"/>
  <c r="F6" i="26" s="1"/>
  <c r="C29" i="26" s="1"/>
  <c r="D6" i="26"/>
  <c r="E161" i="26" s="1"/>
  <c r="C6" i="26"/>
  <c r="D161" i="26" s="1"/>
  <c r="E5" i="26"/>
  <c r="F5" i="26" s="1"/>
  <c r="C28" i="26" s="1"/>
  <c r="D5" i="26"/>
  <c r="E160" i="26" s="1"/>
  <c r="C5" i="26"/>
  <c r="D160" i="26" s="1"/>
  <c r="E4" i="26"/>
  <c r="F4" i="26" s="1"/>
  <c r="C27" i="26" s="1"/>
  <c r="D4" i="26"/>
  <c r="E159" i="26" s="1"/>
  <c r="C4" i="26"/>
  <c r="D159" i="26" s="1"/>
  <c r="B8" i="26"/>
  <c r="B7" i="26"/>
  <c r="B6" i="26"/>
  <c r="B5" i="26"/>
  <c r="B4" i="26"/>
  <c r="E6" i="27"/>
  <c r="E7" i="27"/>
  <c r="E8" i="27"/>
  <c r="E9" i="27"/>
  <c r="E5" i="27"/>
  <c r="B6" i="27"/>
  <c r="G6" i="27" s="1"/>
  <c r="B7" i="27"/>
  <c r="G7" i="27" s="1"/>
  <c r="B8" i="27"/>
  <c r="G8" i="27" s="1"/>
  <c r="B9" i="27"/>
  <c r="G9" i="27" s="1"/>
  <c r="B5" i="27"/>
  <c r="G5" i="27" s="1"/>
  <c r="L22" i="28" l="1"/>
  <c r="D51" i="26"/>
  <c r="O23" i="28"/>
  <c r="D52" i="26"/>
  <c r="J6" i="37"/>
  <c r="J4" i="37"/>
  <c r="D9" i="31"/>
  <c r="E9" i="31" s="1"/>
  <c r="E8" i="31"/>
  <c r="J63" i="28"/>
  <c r="J99" i="26"/>
  <c r="D36" i="26"/>
  <c r="H63" i="28"/>
  <c r="N63" i="28"/>
  <c r="I63" i="28"/>
  <c r="G63" i="28"/>
  <c r="F63" i="28"/>
  <c r="F64" i="28" s="1"/>
  <c r="F65" i="28" s="1"/>
  <c r="X63" i="28"/>
  <c r="AA63" i="28"/>
  <c r="L63" i="28"/>
  <c r="Y63" i="28"/>
  <c r="Z63" i="28"/>
  <c r="O63" i="28"/>
  <c r="AE63" i="28"/>
  <c r="S63" i="28"/>
  <c r="R63" i="28"/>
  <c r="T63" i="28"/>
  <c r="M63" i="28"/>
  <c r="U63" i="28"/>
  <c r="AC40" i="28"/>
  <c r="I37" i="28"/>
  <c r="AG23" i="28"/>
  <c r="AD38" i="28"/>
  <c r="J41" i="28"/>
  <c r="AH39" i="28"/>
  <c r="AH42" i="28"/>
  <c r="N42" i="28"/>
  <c r="Z39" i="28"/>
  <c r="AK41" i="28"/>
  <c r="O39" i="28"/>
  <c r="F42" i="28"/>
  <c r="R39" i="28"/>
  <c r="AN40" i="28"/>
  <c r="E37" i="28"/>
  <c r="G39" i="28"/>
  <c r="P38" i="28"/>
  <c r="Y42" i="28"/>
  <c r="AF40" i="28"/>
  <c r="AG37" i="28"/>
  <c r="H38" i="28"/>
  <c r="AB41" i="28"/>
  <c r="Y17" i="28"/>
  <c r="Y37" i="28"/>
  <c r="L40" i="28"/>
  <c r="Z23" i="28"/>
  <c r="W38" i="28"/>
  <c r="T41" i="28"/>
  <c r="AC23" i="28"/>
  <c r="Q37" i="28"/>
  <c r="R23" i="28"/>
  <c r="AL38" i="28"/>
  <c r="W40" i="28"/>
  <c r="AH17" i="28"/>
  <c r="AN37" i="28"/>
  <c r="AF37" i="28"/>
  <c r="X37" i="28"/>
  <c r="P37" i="28"/>
  <c r="H37" i="28"/>
  <c r="N39" i="28"/>
  <c r="F39" i="28"/>
  <c r="K40" i="28"/>
  <c r="E41" i="28"/>
  <c r="I41" i="28"/>
  <c r="M42" i="28"/>
  <c r="Y23" i="28"/>
  <c r="AN23" i="28"/>
  <c r="AF23" i="28"/>
  <c r="O38" i="28"/>
  <c r="G38" i="28"/>
  <c r="V38" i="28"/>
  <c r="AK38" i="28"/>
  <c r="AC38" i="28"/>
  <c r="AG39" i="28"/>
  <c r="Y39" i="28"/>
  <c r="Q39" i="28"/>
  <c r="X42" i="28"/>
  <c r="AA41" i="28"/>
  <c r="S41" i="28"/>
  <c r="V40" i="28"/>
  <c r="AC42" i="28"/>
  <c r="AG42" i="28"/>
  <c r="AJ41" i="28"/>
  <c r="AM40" i="28"/>
  <c r="AE40" i="28"/>
  <c r="X17" i="28"/>
  <c r="AC17" i="28"/>
  <c r="AG17" i="28"/>
  <c r="AM37" i="28"/>
  <c r="AE37" i="28"/>
  <c r="W37" i="28"/>
  <c r="O37" i="28"/>
  <c r="G37" i="28"/>
  <c r="M39" i="28"/>
  <c r="J40" i="28"/>
  <c r="P41" i="28"/>
  <c r="H41" i="28"/>
  <c r="L42" i="28"/>
  <c r="X23" i="28"/>
  <c r="AM23" i="28"/>
  <c r="AE23" i="28"/>
  <c r="N38" i="28"/>
  <c r="F38" i="28"/>
  <c r="U38" i="28"/>
  <c r="AJ38" i="28"/>
  <c r="AN39" i="28"/>
  <c r="AF39" i="28"/>
  <c r="X39" i="28"/>
  <c r="Q40" i="28"/>
  <c r="W42" i="28"/>
  <c r="Z41" i="28"/>
  <c r="R41" i="28"/>
  <c r="U40" i="28"/>
  <c r="AN42" i="28"/>
  <c r="AF42" i="28"/>
  <c r="AI41" i="28"/>
  <c r="AL40" i="28"/>
  <c r="AD40" i="28"/>
  <c r="W17" i="28"/>
  <c r="AN17" i="28"/>
  <c r="AF17" i="28"/>
  <c r="AL37" i="28"/>
  <c r="AD37" i="28"/>
  <c r="V37" i="28"/>
  <c r="N37" i="28"/>
  <c r="F37" i="28"/>
  <c r="L39" i="28"/>
  <c r="E40" i="28"/>
  <c r="I40" i="28"/>
  <c r="O41" i="28"/>
  <c r="G41" i="28"/>
  <c r="K42" i="28"/>
  <c r="W23" i="28"/>
  <c r="AL23" i="28"/>
  <c r="AD23" i="28"/>
  <c r="M38" i="28"/>
  <c r="Q38" i="28"/>
  <c r="T38" i="28"/>
  <c r="AI38" i="28"/>
  <c r="AM39" i="28"/>
  <c r="AE39" i="28"/>
  <c r="W39" i="28"/>
  <c r="Q41" i="28"/>
  <c r="V42" i="28"/>
  <c r="Y41" i="28"/>
  <c r="AB40" i="28"/>
  <c r="T40" i="28"/>
  <c r="AM42" i="28"/>
  <c r="AE42" i="28"/>
  <c r="AH41" i="28"/>
  <c r="AK40" i="28"/>
  <c r="Q23" i="28"/>
  <c r="V17" i="28"/>
  <c r="AM17" i="28"/>
  <c r="AE17" i="28"/>
  <c r="AK37" i="28"/>
  <c r="AC37" i="28"/>
  <c r="U37" i="28"/>
  <c r="M37" i="28"/>
  <c r="K39" i="28"/>
  <c r="P40" i="28"/>
  <c r="H40" i="28"/>
  <c r="N41" i="28"/>
  <c r="F41" i="28"/>
  <c r="J42" i="28"/>
  <c r="V23" i="28"/>
  <c r="AK23" i="28"/>
  <c r="L38" i="28"/>
  <c r="AA38" i="28"/>
  <c r="S38" i="28"/>
  <c r="AH38" i="28"/>
  <c r="AL39" i="28"/>
  <c r="AD39" i="28"/>
  <c r="V39" i="28"/>
  <c r="Q42" i="28"/>
  <c r="U42" i="28"/>
  <c r="X41" i="28"/>
  <c r="AA40" i="28"/>
  <c r="S40" i="28"/>
  <c r="AL42" i="28"/>
  <c r="AD42" i="28"/>
  <c r="AG41" i="28"/>
  <c r="AJ40" i="28"/>
  <c r="Q17" i="28"/>
  <c r="U17" i="28"/>
  <c r="AL17" i="28"/>
  <c r="AD17" i="28"/>
  <c r="AJ37" i="28"/>
  <c r="AB37" i="28"/>
  <c r="T37" i="28"/>
  <c r="L37" i="28"/>
  <c r="J39" i="28"/>
  <c r="O40" i="28"/>
  <c r="G40" i="28"/>
  <c r="M41" i="28"/>
  <c r="E42" i="28"/>
  <c r="I42" i="28"/>
  <c r="U23" i="28"/>
  <c r="AJ23" i="28"/>
  <c r="K38" i="28"/>
  <c r="Z38" i="28"/>
  <c r="R38" i="28"/>
  <c r="AG38" i="28"/>
  <c r="AK39" i="28"/>
  <c r="AB38" i="28"/>
  <c r="U39" i="28"/>
  <c r="AB42" i="28"/>
  <c r="T42" i="28"/>
  <c r="W41" i="28"/>
  <c r="Z40" i="28"/>
  <c r="R40" i="28"/>
  <c r="AK42" i="28"/>
  <c r="AN41" i="28"/>
  <c r="AF41" i="28"/>
  <c r="AI40" i="28"/>
  <c r="AB17" i="28"/>
  <c r="T17" i="28"/>
  <c r="AK17" i="28"/>
  <c r="AI37" i="28"/>
  <c r="AA37" i="28"/>
  <c r="S37" i="28"/>
  <c r="K37" i="28"/>
  <c r="E39" i="28"/>
  <c r="I39" i="28"/>
  <c r="N40" i="28"/>
  <c r="F40" i="28"/>
  <c r="L41" i="28"/>
  <c r="P42" i="28"/>
  <c r="H42" i="28"/>
  <c r="AB23" i="28"/>
  <c r="T23" i="28"/>
  <c r="AI23" i="28"/>
  <c r="J38" i="28"/>
  <c r="Y38" i="28"/>
  <c r="AN38" i="28"/>
  <c r="AF38" i="28"/>
  <c r="AJ39" i="28"/>
  <c r="AB39" i="28"/>
  <c r="T39" i="28"/>
  <c r="AA42" i="28"/>
  <c r="S42" i="28"/>
  <c r="V41" i="28"/>
  <c r="Y40" i="28"/>
  <c r="AC39" i="28"/>
  <c r="AJ42" i="28"/>
  <c r="AM41" i="28"/>
  <c r="AE41" i="28"/>
  <c r="AH40" i="28"/>
  <c r="AA17" i="28"/>
  <c r="S17" i="28"/>
  <c r="AJ17" i="28"/>
  <c r="AH37" i="28"/>
  <c r="Z37" i="28"/>
  <c r="R37" i="28"/>
  <c r="P39" i="28"/>
  <c r="H39" i="28"/>
  <c r="M40" i="28"/>
  <c r="K41" i="28"/>
  <c r="O42" i="28"/>
  <c r="G42" i="28"/>
  <c r="AA23" i="28"/>
  <c r="S23" i="28"/>
  <c r="AH23" i="28"/>
  <c r="E38" i="28"/>
  <c r="I38" i="28"/>
  <c r="X38" i="28"/>
  <c r="AM38" i="28"/>
  <c r="AI39" i="28"/>
  <c r="AA39" i="28"/>
  <c r="Z42" i="28"/>
  <c r="R42" i="28"/>
  <c r="U41" i="28"/>
  <c r="X40" i="28"/>
  <c r="AC41" i="28"/>
  <c r="AL41" i="28"/>
  <c r="Z17" i="28"/>
  <c r="R17" i="28"/>
  <c r="D36" i="28"/>
  <c r="B36" i="28"/>
  <c r="C36" i="28"/>
  <c r="AG22" i="28"/>
  <c r="AA22" i="28"/>
  <c r="Y22" i="28"/>
  <c r="S22" i="28"/>
  <c r="Q22" i="28"/>
  <c r="K22" i="28"/>
  <c r="E22" i="28"/>
  <c r="I22" i="28"/>
  <c r="N23" i="28"/>
  <c r="AI22" i="28"/>
  <c r="I23" i="28"/>
  <c r="L23" i="28"/>
  <c r="AH22" i="28"/>
  <c r="Z22" i="28"/>
  <c r="R22" i="28"/>
  <c r="J22" i="28"/>
  <c r="M23" i="28"/>
  <c r="P17" i="28"/>
  <c r="AN22" i="28"/>
  <c r="AF22" i="28"/>
  <c r="X22" i="28"/>
  <c r="P22" i="28"/>
  <c r="H22" i="28"/>
  <c r="H23" i="28"/>
  <c r="K23" i="28"/>
  <c r="O17" i="28"/>
  <c r="AM22" i="28"/>
  <c r="AE22" i="28"/>
  <c r="W22" i="28"/>
  <c r="O22" i="28"/>
  <c r="G22" i="28"/>
  <c r="G23" i="28"/>
  <c r="J23" i="28"/>
  <c r="N17" i="28"/>
  <c r="AL22" i="28"/>
  <c r="AD22" i="28"/>
  <c r="V22" i="28"/>
  <c r="N22" i="28"/>
  <c r="F22" i="28"/>
  <c r="F23" i="28"/>
  <c r="E23" i="28"/>
  <c r="M17" i="28"/>
  <c r="AK22" i="28"/>
  <c r="AC22" i="28"/>
  <c r="U22" i="28"/>
  <c r="M22" i="28"/>
  <c r="P23" i="28"/>
  <c r="AJ22" i="28"/>
  <c r="AB22" i="28"/>
  <c r="T22" i="28"/>
  <c r="B35" i="28"/>
  <c r="D34" i="28"/>
  <c r="C34" i="28"/>
  <c r="B34" i="28"/>
  <c r="D33" i="28"/>
  <c r="B32" i="28"/>
  <c r="C31" i="28"/>
  <c r="C35" i="28"/>
  <c r="D30" i="28"/>
  <c r="B30" i="28"/>
  <c r="B31" i="28"/>
  <c r="D35" i="28"/>
  <c r="D31" i="28"/>
  <c r="D32" i="28"/>
  <c r="B33" i="28"/>
  <c r="C33" i="28"/>
  <c r="C32" i="28"/>
  <c r="C30" i="28"/>
  <c r="J56" i="27"/>
  <c r="R56" i="27"/>
  <c r="J58" i="27"/>
  <c r="R58" i="27"/>
  <c r="L59" i="27"/>
  <c r="N57" i="27"/>
  <c r="N59" i="27"/>
  <c r="I59" i="27"/>
  <c r="Q59" i="27"/>
  <c r="O59" i="27"/>
  <c r="H59" i="27"/>
  <c r="M58" i="27"/>
  <c r="K55" i="27"/>
  <c r="S55" i="27"/>
  <c r="O56" i="27"/>
  <c r="K57" i="27"/>
  <c r="T57" i="27"/>
  <c r="O58" i="27"/>
  <c r="K59" i="27"/>
  <c r="T59" i="27"/>
  <c r="L57" i="27"/>
  <c r="H58" i="27"/>
  <c r="P58" i="27"/>
  <c r="L55" i="27"/>
  <c r="H56" i="27"/>
  <c r="P56" i="27"/>
  <c r="I58" i="27"/>
  <c r="M55" i="27"/>
  <c r="I56" i="27"/>
  <c r="Q56" i="27"/>
  <c r="M57" i="27"/>
  <c r="M59" i="27"/>
  <c r="O10" i="27"/>
  <c r="K56" i="27"/>
  <c r="T58" i="27"/>
  <c r="T56" i="27"/>
  <c r="O57" i="27"/>
  <c r="K58" i="27"/>
  <c r="H55" i="27"/>
  <c r="P55" i="27"/>
  <c r="L56" i="27"/>
  <c r="H57" i="27"/>
  <c r="P57" i="27"/>
  <c r="L58" i="27"/>
  <c r="P59" i="27"/>
  <c r="N55" i="27"/>
  <c r="M56" i="27"/>
  <c r="I55" i="27"/>
  <c r="Q55" i="27"/>
  <c r="I57" i="27"/>
  <c r="Q57" i="27"/>
  <c r="N56" i="27"/>
  <c r="J57" i="27"/>
  <c r="R57" i="27"/>
  <c r="N58" i="27"/>
  <c r="J59" i="27"/>
  <c r="R59" i="27"/>
  <c r="Q58" i="27"/>
  <c r="S59" i="27"/>
  <c r="O55" i="27"/>
  <c r="S56" i="27"/>
  <c r="S58" i="27"/>
  <c r="R55" i="27"/>
  <c r="J55" i="27"/>
  <c r="S57" i="27"/>
  <c r="J10" i="27"/>
  <c r="R10" i="27"/>
  <c r="S10" i="27"/>
  <c r="K10" i="27"/>
  <c r="M10" i="27"/>
  <c r="L10" i="27"/>
  <c r="N10" i="27"/>
  <c r="H10" i="27"/>
  <c r="P10" i="27"/>
  <c r="J4" i="26"/>
  <c r="I23" i="27"/>
  <c r="Q23" i="27"/>
  <c r="Q10" i="27"/>
  <c r="I10" i="27"/>
  <c r="H23" i="27"/>
  <c r="O23" i="27"/>
  <c r="C17" i="26"/>
  <c r="L23" i="27"/>
  <c r="M23" i="27"/>
  <c r="C13" i="26"/>
  <c r="P23" i="27"/>
  <c r="C15" i="26"/>
  <c r="J23" i="27"/>
  <c r="R23" i="27"/>
  <c r="N23" i="27"/>
  <c r="K23" i="27"/>
  <c r="S23" i="27"/>
  <c r="C14" i="26"/>
  <c r="C16" i="26"/>
  <c r="T5" i="27"/>
  <c r="U8" i="27"/>
  <c r="U58" i="27" s="1"/>
  <c r="U7" i="27"/>
  <c r="U57" i="27" s="1"/>
  <c r="U9" i="27"/>
  <c r="U59" i="27" s="1"/>
  <c r="U14" i="27"/>
  <c r="U6" i="27"/>
  <c r="U56" i="27" s="1"/>
  <c r="C22" i="26"/>
  <c r="B31" i="11"/>
  <c r="E31" i="11" s="1"/>
  <c r="B13" i="11"/>
  <c r="E13" i="11" s="1"/>
  <c r="B25" i="11"/>
  <c r="E25" i="11" s="1"/>
  <c r="B23" i="11"/>
  <c r="B35" i="11"/>
  <c r="B29" i="11"/>
  <c r="B7" i="11"/>
  <c r="E7" i="11" s="1"/>
  <c r="B4" i="11"/>
  <c r="B24" i="11"/>
  <c r="E24" i="11" s="1"/>
  <c r="B6" i="11"/>
  <c r="E6" i="11" s="1"/>
  <c r="B36" i="11"/>
  <c r="E36" i="11" s="1"/>
  <c r="B20" i="11"/>
  <c r="B19" i="11"/>
  <c r="E19" i="11" s="1"/>
  <c r="B33" i="11"/>
  <c r="E33" i="11" s="1"/>
  <c r="B15" i="11"/>
  <c r="E15" i="11" s="1"/>
  <c r="B32" i="11"/>
  <c r="B21" i="11"/>
  <c r="E21" i="11" s="1"/>
  <c r="B5" i="11"/>
  <c r="B3" i="11"/>
  <c r="B28" i="11"/>
  <c r="E28" i="11" s="1"/>
  <c r="B17" i="11"/>
  <c r="B37" i="11"/>
  <c r="E37" i="11" s="1"/>
  <c r="B27" i="11"/>
  <c r="E27" i="11" s="1"/>
  <c r="B16" i="11"/>
  <c r="E16" i="11" s="1"/>
  <c r="B12" i="11"/>
  <c r="E12" i="11" s="1"/>
  <c r="B11" i="11"/>
  <c r="B9" i="11"/>
  <c r="E9" i="11" s="1"/>
  <c r="B34" i="11"/>
  <c r="B26" i="11"/>
  <c r="B18" i="11"/>
  <c r="B10" i="11"/>
  <c r="B38" i="11"/>
  <c r="B30" i="11"/>
  <c r="B22" i="11"/>
  <c r="B14" i="11"/>
  <c r="J7" i="37" l="1"/>
  <c r="D10" i="32"/>
  <c r="W5" i="32" s="1"/>
  <c r="D19" i="31"/>
  <c r="E10" i="31"/>
  <c r="E10" i="32"/>
  <c r="X5" i="32" s="1"/>
  <c r="E19" i="31"/>
  <c r="AZ7" i="27"/>
  <c r="AZ5" i="27"/>
  <c r="AZ6" i="27"/>
  <c r="AZ8" i="27"/>
  <c r="AZ9" i="27"/>
  <c r="AZ10" i="27"/>
  <c r="G4" i="28"/>
  <c r="G14" i="28" s="1"/>
  <c r="AU9" i="27"/>
  <c r="AU6" i="27"/>
  <c r="AU10" i="27"/>
  <c r="AU7" i="27"/>
  <c r="AU5" i="27"/>
  <c r="AU8" i="27"/>
  <c r="AY7" i="27"/>
  <c r="AY5" i="27"/>
  <c r="AY8" i="27"/>
  <c r="AY9" i="27"/>
  <c r="AY6" i="27"/>
  <c r="AY10" i="27"/>
  <c r="AT6" i="27"/>
  <c r="AT10" i="27"/>
  <c r="AT9" i="27"/>
  <c r="AT7" i="27"/>
  <c r="AT5" i="27"/>
  <c r="AT8" i="27"/>
  <c r="AW8" i="27"/>
  <c r="AW9" i="27"/>
  <c r="AW6" i="27"/>
  <c r="AW10" i="27"/>
  <c r="AW7" i="27"/>
  <c r="AW5" i="27"/>
  <c r="BA6" i="27"/>
  <c r="BA10" i="27"/>
  <c r="BA7" i="27"/>
  <c r="BA5" i="27"/>
  <c r="BA8" i="27"/>
  <c r="BA9" i="27"/>
  <c r="BB6" i="27"/>
  <c r="BB10" i="27"/>
  <c r="BB7" i="27"/>
  <c r="BB5" i="27"/>
  <c r="BB9" i="27"/>
  <c r="BB8" i="27"/>
  <c r="AX5" i="27"/>
  <c r="AX8" i="27"/>
  <c r="AX9" i="27"/>
  <c r="AX6" i="27"/>
  <c r="AX10" i="27"/>
  <c r="AX7" i="27"/>
  <c r="AV9" i="27"/>
  <c r="AV6" i="27"/>
  <c r="AV10" i="27"/>
  <c r="AV8" i="27"/>
  <c r="AV7" i="27"/>
  <c r="AV5" i="27"/>
  <c r="O4" i="28"/>
  <c r="BC9" i="27"/>
  <c r="BC6" i="27"/>
  <c r="BC10" i="27"/>
  <c r="BC7" i="27"/>
  <c r="BC5" i="27"/>
  <c r="BC8" i="27"/>
  <c r="BD6" i="27"/>
  <c r="BD9" i="27"/>
  <c r="BD7" i="27"/>
  <c r="BD10" i="27"/>
  <c r="BD8" i="27"/>
  <c r="BD5" i="27"/>
  <c r="AS8" i="27"/>
  <c r="AS9" i="27"/>
  <c r="AS10" i="27"/>
  <c r="AS7" i="27"/>
  <c r="AS5" i="27"/>
  <c r="AS6" i="27"/>
  <c r="J6" i="32"/>
  <c r="K6" i="32" s="1"/>
  <c r="L6" i="32" s="1"/>
  <c r="M6" i="32" s="1"/>
  <c r="N6" i="32" s="1"/>
  <c r="O6" i="32" s="1"/>
  <c r="P6" i="32" s="1"/>
  <c r="Q6" i="32" s="1"/>
  <c r="R6" i="32" s="1"/>
  <c r="S6" i="32" s="1"/>
  <c r="T6" i="32" s="1"/>
  <c r="U6" i="32" s="1"/>
  <c r="E4" i="28"/>
  <c r="D37" i="26"/>
  <c r="AK63" i="28"/>
  <c r="G64" i="28"/>
  <c r="AL63" i="28"/>
  <c r="B39" i="28"/>
  <c r="AM37" i="11"/>
  <c r="E3" i="11"/>
  <c r="AO3" i="11" s="1"/>
  <c r="AQ3" i="11" s="1"/>
  <c r="AJ35" i="11"/>
  <c r="E4" i="11"/>
  <c r="C38" i="28"/>
  <c r="C40" i="28"/>
  <c r="C37" i="28"/>
  <c r="B37" i="28"/>
  <c r="D40" i="28"/>
  <c r="C41" i="28"/>
  <c r="B40" i="28"/>
  <c r="C42" i="28"/>
  <c r="B38" i="28"/>
  <c r="D39" i="28"/>
  <c r="D38" i="28"/>
  <c r="B42" i="28"/>
  <c r="B41" i="28"/>
  <c r="K70" i="26"/>
  <c r="O73" i="26"/>
  <c r="D37" i="28"/>
  <c r="D42" i="28"/>
  <c r="L78" i="26"/>
  <c r="K66" i="26"/>
  <c r="D41" i="28"/>
  <c r="P75" i="26"/>
  <c r="L66" i="26"/>
  <c r="N75" i="26"/>
  <c r="C39" i="28"/>
  <c r="J66" i="26"/>
  <c r="P73" i="26"/>
  <c r="K74" i="26"/>
  <c r="N73" i="26"/>
  <c r="L70" i="26"/>
  <c r="J70" i="26"/>
  <c r="O75" i="26"/>
  <c r="K78" i="26"/>
  <c r="L74" i="26"/>
  <c r="J78" i="26"/>
  <c r="J74" i="26"/>
  <c r="C17" i="28"/>
  <c r="B17" i="28"/>
  <c r="B22" i="28"/>
  <c r="D17" i="28"/>
  <c r="D22" i="28"/>
  <c r="D23" i="28"/>
  <c r="C23" i="28"/>
  <c r="C22" i="28"/>
  <c r="B23" i="28"/>
  <c r="N60" i="27"/>
  <c r="K60" i="27"/>
  <c r="H60" i="27"/>
  <c r="S60" i="27"/>
  <c r="I60" i="27"/>
  <c r="P60" i="27"/>
  <c r="M60" i="27"/>
  <c r="L60" i="27"/>
  <c r="L4" i="28"/>
  <c r="J60" i="27"/>
  <c r="O60" i="27"/>
  <c r="Q60" i="27"/>
  <c r="R60" i="27"/>
  <c r="K4" i="28"/>
  <c r="T23" i="27"/>
  <c r="T55" i="27"/>
  <c r="T60" i="27" s="1"/>
  <c r="F4" i="28"/>
  <c r="F14" i="28" s="1"/>
  <c r="I4" i="28"/>
  <c r="N4" i="28"/>
  <c r="J4" i="28"/>
  <c r="H4" i="28"/>
  <c r="M4" i="28"/>
  <c r="P4" i="28"/>
  <c r="J3" i="26"/>
  <c r="V6" i="27"/>
  <c r="V56" i="27" s="1"/>
  <c r="V9" i="27"/>
  <c r="V59" i="27" s="1"/>
  <c r="V7" i="27"/>
  <c r="V57" i="27" s="1"/>
  <c r="V8" i="27"/>
  <c r="V58" i="27" s="1"/>
  <c r="U5" i="27"/>
  <c r="U55" i="27" s="1"/>
  <c r="U60" i="27" s="1"/>
  <c r="T10" i="27"/>
  <c r="C18" i="26"/>
  <c r="V14" i="27"/>
  <c r="AJ38" i="11"/>
  <c r="K33" i="11"/>
  <c r="V36" i="11"/>
  <c r="P26" i="11"/>
  <c r="AH36" i="11"/>
  <c r="AG35" i="11"/>
  <c r="Z36" i="11"/>
  <c r="U23" i="11"/>
  <c r="AF34" i="11"/>
  <c r="H10" i="11"/>
  <c r="Y27" i="11"/>
  <c r="AB30" i="11"/>
  <c r="R20" i="11"/>
  <c r="AA29" i="11"/>
  <c r="M15" i="11"/>
  <c r="S21" i="11"/>
  <c r="AI37" i="11"/>
  <c r="J12" i="11"/>
  <c r="L14" i="11"/>
  <c r="J20" i="11"/>
  <c r="W25" i="11"/>
  <c r="AC31" i="11"/>
  <c r="P24" i="11"/>
  <c r="O25" i="11"/>
  <c r="M21" i="11"/>
  <c r="Y33" i="11"/>
  <c r="Y26" i="11"/>
  <c r="K12" i="11"/>
  <c r="V23" i="11"/>
  <c r="H34" i="11"/>
  <c r="Z37" i="11"/>
  <c r="O23" i="11"/>
  <c r="O16" i="11"/>
  <c r="P17" i="11"/>
  <c r="S30" i="11"/>
  <c r="X23" i="11"/>
  <c r="Q18" i="11"/>
  <c r="N15" i="11"/>
  <c r="Z25" i="11"/>
  <c r="I37" i="11"/>
  <c r="G9" i="11"/>
  <c r="U31" i="11"/>
  <c r="N16" i="11"/>
  <c r="I17" i="11"/>
  <c r="AC30" i="11"/>
  <c r="Q25" i="11"/>
  <c r="J18" i="11"/>
  <c r="H9" i="11"/>
  <c r="T28" i="11"/>
  <c r="AJ37" i="11"/>
  <c r="S20" i="11"/>
  <c r="G15" i="11"/>
  <c r="U29" i="11"/>
  <c r="AL37" i="11"/>
  <c r="AF31" i="11"/>
  <c r="V30" i="11"/>
  <c r="F14" i="11"/>
  <c r="AK38" i="11"/>
  <c r="AF33" i="11"/>
  <c r="S18" i="11"/>
  <c r="L13" i="11"/>
  <c r="Z27" i="11"/>
  <c r="AG34" i="11"/>
  <c r="N22" i="11"/>
  <c r="T21" i="11"/>
  <c r="H16" i="11"/>
  <c r="AC37" i="11"/>
  <c r="W24" i="11"/>
  <c r="K37" i="11"/>
  <c r="AD38" i="11"/>
  <c r="AB29" i="11"/>
  <c r="K19" i="11"/>
  <c r="X32" i="11"/>
  <c r="AD31" i="11"/>
  <c r="I10" i="11"/>
  <c r="R26" i="11"/>
  <c r="W31" i="11"/>
  <c r="G8" i="11"/>
  <c r="Z34" i="11"/>
  <c r="AB27" i="11"/>
  <c r="AA28" i="11"/>
  <c r="AI36" i="11"/>
  <c r="O26" i="11"/>
  <c r="R17" i="11"/>
  <c r="AA26" i="11"/>
  <c r="F32" i="11"/>
  <c r="F34" i="11"/>
  <c r="Y24" i="11"/>
  <c r="L38" i="11"/>
  <c r="K10" i="11"/>
  <c r="L11" i="11"/>
  <c r="AG32" i="11"/>
  <c r="V21" i="11"/>
  <c r="I8" i="11"/>
  <c r="AM38" i="11"/>
  <c r="M12" i="11"/>
  <c r="K9" i="11"/>
  <c r="L23" i="11"/>
  <c r="AC28" i="11"/>
  <c r="AD29" i="11"/>
  <c r="V33" i="11"/>
  <c r="H36" i="11"/>
  <c r="T19" i="11"/>
  <c r="I35" i="11"/>
  <c r="Q16" i="11"/>
  <c r="J9" i="11"/>
  <c r="G35" i="11"/>
  <c r="P15" i="11"/>
  <c r="G6" i="11"/>
  <c r="F5" i="11"/>
  <c r="J36" i="11"/>
  <c r="J38" i="11"/>
  <c r="AI34" i="11"/>
  <c r="AE30" i="11"/>
  <c r="P27" i="11"/>
  <c r="AK36" i="11"/>
  <c r="G33" i="11"/>
  <c r="O14" i="11"/>
  <c r="F38" i="11"/>
  <c r="N13" i="11"/>
  <c r="AH33" i="11"/>
  <c r="G18" i="11"/>
  <c r="J30" i="11"/>
  <c r="G27" i="11"/>
  <c r="AL36" i="11"/>
  <c r="O35" i="11"/>
  <c r="W22" i="11"/>
  <c r="S17" i="11"/>
  <c r="AH38" i="11"/>
  <c r="U25" i="11"/>
  <c r="U20" i="11"/>
  <c r="M11" i="11"/>
  <c r="U22" i="11"/>
  <c r="AJ34" i="11"/>
  <c r="N34" i="11"/>
  <c r="R19" i="11"/>
  <c r="R16" i="11"/>
  <c r="I32" i="11"/>
  <c r="J8" i="11"/>
  <c r="P36" i="11"/>
  <c r="M14" i="11"/>
  <c r="G5" i="11"/>
  <c r="L35" i="11"/>
  <c r="AF30" i="11"/>
  <c r="N12" i="11"/>
  <c r="L10" i="11"/>
  <c r="X22" i="11"/>
  <c r="I7" i="11"/>
  <c r="N18" i="11"/>
  <c r="I29" i="11"/>
  <c r="Q37" i="11"/>
  <c r="F37" i="11"/>
  <c r="O38" i="11"/>
  <c r="N37" i="11"/>
  <c r="J33" i="11"/>
  <c r="AE29" i="11"/>
  <c r="AK35" i="11"/>
  <c r="F4" i="11"/>
  <c r="P14" i="11"/>
  <c r="AI33" i="11"/>
  <c r="G30" i="11"/>
  <c r="V26" i="11"/>
  <c r="V20" i="11"/>
  <c r="Q15" i="11"/>
  <c r="Y29" i="11"/>
  <c r="W21" i="11"/>
  <c r="AC27" i="11"/>
  <c r="AH32" i="11"/>
  <c r="H6" i="11"/>
  <c r="AG31" i="11"/>
  <c r="K31" i="11"/>
  <c r="M33" i="11"/>
  <c r="T18" i="11"/>
  <c r="O13" i="11"/>
  <c r="U19" i="11"/>
  <c r="Z24" i="11"/>
  <c r="AA25" i="11"/>
  <c r="F10" i="11"/>
  <c r="R38" i="11"/>
  <c r="F26" i="11"/>
  <c r="S38" i="11"/>
  <c r="AD28" i="11"/>
  <c r="AB26" i="11"/>
  <c r="AN38" i="11"/>
  <c r="Y23" i="11"/>
  <c r="G38" i="11"/>
  <c r="K34" i="11"/>
  <c r="L32" i="11"/>
  <c r="G26" i="11"/>
  <c r="P35" i="11"/>
  <c r="H27" i="11"/>
  <c r="H7" i="11"/>
  <c r="H19" i="11"/>
  <c r="W34" i="11"/>
  <c r="S29" i="11"/>
  <c r="O34" i="11"/>
  <c r="AE32" i="11"/>
  <c r="I25" i="11"/>
  <c r="AB36" i="11"/>
  <c r="M36" i="11"/>
  <c r="F29" i="11"/>
  <c r="J11" i="11"/>
  <c r="K30" i="11"/>
  <c r="X31" i="11"/>
  <c r="AB35" i="11"/>
  <c r="AA35" i="11"/>
  <c r="L20" i="11"/>
  <c r="F7" i="11"/>
  <c r="Q33" i="11"/>
  <c r="N21" i="11"/>
  <c r="R25" i="11"/>
  <c r="J17" i="11"/>
  <c r="Z30" i="11"/>
  <c r="X25" i="11"/>
  <c r="H28" i="11"/>
  <c r="S27" i="11"/>
  <c r="K27" i="11"/>
  <c r="AH35" i="11"/>
  <c r="H31" i="11"/>
  <c r="Y32" i="11"/>
  <c r="N30" i="11"/>
  <c r="F25" i="11"/>
  <c r="L31" i="11"/>
  <c r="P32" i="11"/>
  <c r="T27" i="11"/>
  <c r="R34" i="11"/>
  <c r="W30" i="11"/>
  <c r="AE38" i="11"/>
  <c r="P23" i="11"/>
  <c r="J26" i="11"/>
  <c r="S33" i="11"/>
  <c r="N33" i="11"/>
  <c r="H24" i="11"/>
  <c r="Z28" i="11"/>
  <c r="R37" i="11"/>
  <c r="M20" i="11"/>
  <c r="G17" i="11"/>
  <c r="I11" i="11"/>
  <c r="R28" i="11"/>
  <c r="K13" i="11"/>
  <c r="G21" i="11"/>
  <c r="AB38" i="11"/>
  <c r="L22" i="11"/>
  <c r="F8" i="11"/>
  <c r="R32" i="11"/>
  <c r="W37" i="11"/>
  <c r="F22" i="11"/>
  <c r="Q24" i="11"/>
  <c r="M32" i="11"/>
  <c r="G29" i="11"/>
  <c r="AD32" i="11"/>
  <c r="I23" i="11"/>
  <c r="K25" i="11"/>
  <c r="Z33" i="11"/>
  <c r="AA37" i="11"/>
  <c r="Q19" i="11"/>
  <c r="K18" i="11"/>
  <c r="F20" i="11"/>
  <c r="V32" i="11"/>
  <c r="O22" i="11"/>
  <c r="I19" i="11"/>
  <c r="Q36" i="11"/>
  <c r="L26" i="11"/>
  <c r="X34" i="11"/>
  <c r="L28" i="11"/>
  <c r="F13" i="11"/>
  <c r="N24" i="11"/>
  <c r="V38" i="11"/>
  <c r="F16" i="11"/>
  <c r="X26" i="11"/>
  <c r="P18" i="11"/>
  <c r="Q31" i="11"/>
  <c r="I28" i="11"/>
  <c r="X38" i="11"/>
  <c r="P30" i="11"/>
  <c r="U35" i="11"/>
  <c r="U37" i="11"/>
  <c r="M29" i="11"/>
  <c r="H22" i="11"/>
  <c r="K21" i="11"/>
  <c r="U28" i="11"/>
  <c r="P38" i="11"/>
  <c r="Q27" i="11"/>
  <c r="T22" i="11"/>
  <c r="J32" i="11"/>
  <c r="W33" i="11"/>
  <c r="O17" i="11"/>
  <c r="O31" i="11"/>
  <c r="J24" i="11"/>
  <c r="T34" i="11"/>
  <c r="O29" i="11"/>
  <c r="M27" i="11"/>
  <c r="Y35" i="11"/>
  <c r="G14" i="11"/>
  <c r="T30" i="11"/>
  <c r="S35" i="11"/>
  <c r="J29" i="11"/>
  <c r="V24" i="11"/>
  <c r="S26" i="11"/>
  <c r="M23" i="11"/>
  <c r="AE33" i="11"/>
  <c r="T36" i="11"/>
  <c r="H18" i="11"/>
  <c r="N28" i="11"/>
  <c r="G23" i="11"/>
  <c r="I20" i="11"/>
  <c r="T31" i="11"/>
  <c r="K22" i="11"/>
  <c r="M35" i="11"/>
  <c r="O37" i="11"/>
  <c r="N36" i="11"/>
  <c r="Q28" i="11"/>
  <c r="U32" i="11"/>
  <c r="I31" i="11"/>
  <c r="X35" i="11"/>
  <c r="F17" i="11"/>
  <c r="L34" i="11"/>
  <c r="Y36" i="11"/>
  <c r="J21" i="11"/>
  <c r="AA38" i="11"/>
  <c r="N25" i="11"/>
  <c r="F28" i="11"/>
  <c r="R29" i="11"/>
  <c r="M24" i="11"/>
  <c r="H30" i="11"/>
  <c r="R22" i="11"/>
  <c r="AG37" i="11"/>
  <c r="X28" i="11"/>
  <c r="G11" i="11"/>
  <c r="H12" i="11"/>
  <c r="L16" i="11"/>
  <c r="P20" i="11"/>
  <c r="Q21" i="11"/>
  <c r="AF36" i="11"/>
  <c r="AB32" i="11"/>
  <c r="AD34" i="11"/>
  <c r="T24" i="11"/>
  <c r="K15" i="11"/>
  <c r="AE35" i="11"/>
  <c r="J14" i="11"/>
  <c r="W27" i="11"/>
  <c r="AA31" i="11"/>
  <c r="S23" i="11"/>
  <c r="AC33" i="11"/>
  <c r="V29" i="11"/>
  <c r="O19" i="11"/>
  <c r="I16" i="11"/>
  <c r="M17" i="11"/>
  <c r="I13" i="11"/>
  <c r="AA34" i="11"/>
  <c r="AC36" i="11"/>
  <c r="H15" i="11"/>
  <c r="AD37" i="11"/>
  <c r="L19" i="11"/>
  <c r="E18" i="11"/>
  <c r="W36" i="11"/>
  <c r="H21" i="11"/>
  <c r="S32" i="11"/>
  <c r="L25" i="11"/>
  <c r="Y38" i="11"/>
  <c r="V35" i="11"/>
  <c r="I22" i="11"/>
  <c r="T33" i="11"/>
  <c r="K24" i="11"/>
  <c r="X37" i="11"/>
  <c r="P29" i="11"/>
  <c r="O28" i="11"/>
  <c r="G20" i="11"/>
  <c r="Q30" i="11"/>
  <c r="N27" i="11"/>
  <c r="U34" i="11"/>
  <c r="R31" i="11"/>
  <c r="M26" i="11"/>
  <c r="J23" i="11"/>
  <c r="F19" i="11"/>
  <c r="E10" i="11"/>
  <c r="AE36" i="11"/>
  <c r="X29" i="11"/>
  <c r="P21" i="11"/>
  <c r="O20" i="11"/>
  <c r="G12" i="11"/>
  <c r="Q22" i="11"/>
  <c r="N19" i="11"/>
  <c r="U26" i="11"/>
  <c r="R23" i="11"/>
  <c r="M18" i="11"/>
  <c r="J15" i="11"/>
  <c r="F11" i="11"/>
  <c r="AF37" i="11"/>
  <c r="W28" i="11"/>
  <c r="H13" i="11"/>
  <c r="AB33" i="11"/>
  <c r="AA32" i="11"/>
  <c r="S24" i="11"/>
  <c r="L17" i="11"/>
  <c r="AC34" i="11"/>
  <c r="Z31" i="11"/>
  <c r="AG38" i="11"/>
  <c r="AD35" i="11"/>
  <c r="Y30" i="11"/>
  <c r="V27" i="11"/>
  <c r="I14" i="11"/>
  <c r="T25" i="11"/>
  <c r="K16" i="11"/>
  <c r="E22" i="11"/>
  <c r="P33" i="11"/>
  <c r="O32" i="11"/>
  <c r="G24" i="11"/>
  <c r="Q34" i="11"/>
  <c r="N31" i="11"/>
  <c r="U38" i="11"/>
  <c r="R35" i="11"/>
  <c r="M30" i="11"/>
  <c r="J27" i="11"/>
  <c r="F23" i="11"/>
  <c r="H25" i="11"/>
  <c r="S36" i="11"/>
  <c r="L29" i="11"/>
  <c r="I26" i="11"/>
  <c r="T37" i="11"/>
  <c r="K28" i="11"/>
  <c r="E34" i="11"/>
  <c r="G36" i="11"/>
  <c r="F35" i="11"/>
  <c r="H37" i="11"/>
  <c r="I38" i="11"/>
  <c r="E30" i="11"/>
  <c r="H33" i="11"/>
  <c r="L37" i="11"/>
  <c r="I34" i="11"/>
  <c r="K36" i="11"/>
  <c r="G32" i="11"/>
  <c r="M38" i="11"/>
  <c r="J35" i="11"/>
  <c r="F31" i="11"/>
  <c r="V6" i="32" l="1"/>
  <c r="J116" i="26"/>
  <c r="Q4" i="28"/>
  <c r="BE5" i="27"/>
  <c r="BE6" i="27"/>
  <c r="BE9" i="27"/>
  <c r="BE7" i="27"/>
  <c r="BE10" i="27"/>
  <c r="BE8" i="27"/>
  <c r="J5" i="26"/>
  <c r="C11" i="29"/>
  <c r="AF63" i="28"/>
  <c r="H64" i="28"/>
  <c r="AH63" i="28"/>
  <c r="AG63" i="28"/>
  <c r="AN63" i="28"/>
  <c r="AM63" i="28"/>
  <c r="H30" i="27"/>
  <c r="J80" i="26"/>
  <c r="K80" i="26"/>
  <c r="L80" i="26"/>
  <c r="E14" i="28"/>
  <c r="B4" i="28"/>
  <c r="C57" i="27"/>
  <c r="U23" i="27"/>
  <c r="V5" i="27"/>
  <c r="V55" i="27" s="1"/>
  <c r="V60" i="27" s="1"/>
  <c r="W6" i="27"/>
  <c r="W56" i="27" s="1"/>
  <c r="W7" i="27"/>
  <c r="W57" i="27" s="1"/>
  <c r="U10" i="27"/>
  <c r="W8" i="27"/>
  <c r="W58" i="27" s="1"/>
  <c r="W9" i="27"/>
  <c r="W59" i="27" s="1"/>
  <c r="W14" i="27"/>
  <c r="AO4" i="11"/>
  <c r="AR3" i="11" s="1"/>
  <c r="I30" i="27" s="1"/>
  <c r="F9" i="28" s="1"/>
  <c r="R4" i="28" l="1"/>
  <c r="BF8" i="27"/>
  <c r="BF5" i="27"/>
  <c r="BF6" i="27"/>
  <c r="BF9" i="27"/>
  <c r="BF7" i="27"/>
  <c r="BF10" i="27"/>
  <c r="J20" i="26"/>
  <c r="J26" i="26" s="1"/>
  <c r="I64" i="28"/>
  <c r="E9" i="28"/>
  <c r="W5" i="27"/>
  <c r="W55" i="27" s="1"/>
  <c r="W60" i="27" s="1"/>
  <c r="V23" i="27"/>
  <c r="V10" i="27"/>
  <c r="X8" i="27"/>
  <c r="X58" i="27" s="1"/>
  <c r="X9" i="27"/>
  <c r="X59" i="27" s="1"/>
  <c r="X6" i="27"/>
  <c r="X56" i="27" s="1"/>
  <c r="X7" i="27"/>
  <c r="X57" i="27" s="1"/>
  <c r="X14" i="27"/>
  <c r="F12" i="11"/>
  <c r="F9" i="11"/>
  <c r="F33" i="11"/>
  <c r="F30" i="11"/>
  <c r="F21" i="11"/>
  <c r="F18" i="11"/>
  <c r="F6" i="11"/>
  <c r="AO6" i="11" s="1"/>
  <c r="AT3" i="11" s="1"/>
  <c r="K30" i="27" s="1"/>
  <c r="H9" i="28" s="1"/>
  <c r="F24" i="11"/>
  <c r="G19" i="11"/>
  <c r="G13" i="11"/>
  <c r="P3" i="26" l="1"/>
  <c r="BG8" i="27"/>
  <c r="BG5" i="27"/>
  <c r="BG6" i="27"/>
  <c r="BG9" i="27"/>
  <c r="BG7" i="27"/>
  <c r="BG10" i="27"/>
  <c r="J64" i="28"/>
  <c r="W23" i="27"/>
  <c r="X5" i="27"/>
  <c r="X55" i="27" s="1"/>
  <c r="X60" i="27" s="1"/>
  <c r="W10" i="27"/>
  <c r="S4" i="28"/>
  <c r="Y9" i="27"/>
  <c r="Y59" i="27" s="1"/>
  <c r="Y8" i="27"/>
  <c r="Y58" i="27" s="1"/>
  <c r="Y7" i="27"/>
  <c r="Y57" i="27" s="1"/>
  <c r="Y6" i="27"/>
  <c r="Y56" i="27" s="1"/>
  <c r="Y14" i="27"/>
  <c r="G7" i="11"/>
  <c r="AO7" i="11" s="1"/>
  <c r="AU3" i="11" s="1"/>
  <c r="L30" i="27" s="1"/>
  <c r="I9" i="28" s="1"/>
  <c r="G34" i="11"/>
  <c r="G10" i="11"/>
  <c r="G25" i="11"/>
  <c r="G37" i="11"/>
  <c r="G22" i="11"/>
  <c r="H32" i="11"/>
  <c r="E35" i="11"/>
  <c r="E5" i="11"/>
  <c r="AO5" i="11" s="1"/>
  <c r="AS3" i="11" s="1"/>
  <c r="J30" i="27" s="1"/>
  <c r="G9" i="28" s="1"/>
  <c r="E11" i="11"/>
  <c r="E17" i="11"/>
  <c r="E23" i="11"/>
  <c r="E29" i="11"/>
  <c r="T4" i="28" l="1"/>
  <c r="BH10" i="27"/>
  <c r="BH8" i="27"/>
  <c r="BH5" i="27"/>
  <c r="BH6" i="27"/>
  <c r="BH9" i="27"/>
  <c r="BH7" i="27"/>
  <c r="K64" i="28"/>
  <c r="X10" i="27"/>
  <c r="X23" i="27"/>
  <c r="Y5" i="27"/>
  <c r="Y55" i="27" s="1"/>
  <c r="Y60" i="27" s="1"/>
  <c r="Z6" i="27"/>
  <c r="Z56" i="27" s="1"/>
  <c r="Z9" i="27"/>
  <c r="Z59" i="27" s="1"/>
  <c r="Z7" i="27"/>
  <c r="Z57" i="27" s="1"/>
  <c r="Z8" i="27"/>
  <c r="Z58" i="27" s="1"/>
  <c r="Z14" i="27"/>
  <c r="H23" i="11"/>
  <c r="H14" i="11"/>
  <c r="H35" i="11"/>
  <c r="H8" i="11"/>
  <c r="H11" i="11"/>
  <c r="H20" i="11"/>
  <c r="H26" i="11"/>
  <c r="BI7" i="27" l="1"/>
  <c r="BI5" i="27"/>
  <c r="BI10" i="27"/>
  <c r="BI8" i="27"/>
  <c r="BI6" i="27"/>
  <c r="BI9" i="27"/>
  <c r="L64" i="28"/>
  <c r="Y10" i="27"/>
  <c r="Y23" i="27"/>
  <c r="Z5" i="27"/>
  <c r="Z55" i="27" s="1"/>
  <c r="Z60" i="27" s="1"/>
  <c r="U4" i="28"/>
  <c r="AA8" i="27"/>
  <c r="AA58" i="27" s="1"/>
  <c r="AA7" i="27"/>
  <c r="AA57" i="27" s="1"/>
  <c r="AA9" i="27"/>
  <c r="AA59" i="27" s="1"/>
  <c r="AA6" i="27"/>
  <c r="AA56" i="27" s="1"/>
  <c r="AA14" i="27"/>
  <c r="BJ7" i="27" l="1"/>
  <c r="BJ10" i="27"/>
  <c r="BJ8" i="27"/>
  <c r="BJ5" i="27"/>
  <c r="BJ6" i="27"/>
  <c r="BJ9" i="27"/>
  <c r="M64" i="28"/>
  <c r="V4" i="28"/>
  <c r="Z10" i="27"/>
  <c r="Z23" i="27"/>
  <c r="AA5" i="27"/>
  <c r="AA55" i="27" s="1"/>
  <c r="AA60" i="27" s="1"/>
  <c r="AB8" i="27"/>
  <c r="AB58" i="27" s="1"/>
  <c r="AB6" i="27"/>
  <c r="AB56" i="27" s="1"/>
  <c r="AB9" i="27"/>
  <c r="AB59" i="27" s="1"/>
  <c r="AB7" i="27"/>
  <c r="AB57" i="27" s="1"/>
  <c r="AB14" i="27"/>
  <c r="F36" i="11"/>
  <c r="I9" i="11"/>
  <c r="AO9" i="11" s="1"/>
  <c r="AW3" i="11" s="1"/>
  <c r="N30" i="27" s="1"/>
  <c r="K9" i="28" s="1"/>
  <c r="I27" i="11"/>
  <c r="I15" i="11"/>
  <c r="I21" i="11"/>
  <c r="I33" i="11"/>
  <c r="J13" i="11"/>
  <c r="J22" i="11"/>
  <c r="J25" i="11"/>
  <c r="J28" i="11"/>
  <c r="J37" i="11"/>
  <c r="J34" i="11"/>
  <c r="J10" i="11"/>
  <c r="AO10" i="11" s="1"/>
  <c r="AX3" i="11" s="1"/>
  <c r="O30" i="27" s="1"/>
  <c r="L9" i="28" s="1"/>
  <c r="J16" i="11"/>
  <c r="BK9" i="27" l="1"/>
  <c r="BK7" i="27"/>
  <c r="BK10" i="27"/>
  <c r="BK8" i="27"/>
  <c r="BK5" i="27"/>
  <c r="BK6" i="27"/>
  <c r="N64" i="28"/>
  <c r="AA23" i="27"/>
  <c r="W4" i="28"/>
  <c r="AA10" i="27"/>
  <c r="AB5" i="27"/>
  <c r="AB55" i="27" s="1"/>
  <c r="AB60" i="27" s="1"/>
  <c r="AC9" i="27"/>
  <c r="AC59" i="27" s="1"/>
  <c r="AC6" i="27"/>
  <c r="AC56" i="27" s="1"/>
  <c r="AC8" i="27"/>
  <c r="AC58" i="27" s="1"/>
  <c r="AC7" i="27"/>
  <c r="AC57" i="27" s="1"/>
  <c r="AC14" i="27"/>
  <c r="H38" i="11"/>
  <c r="G31" i="11"/>
  <c r="I36" i="11"/>
  <c r="I24" i="11"/>
  <c r="K23" i="11"/>
  <c r="K35" i="11"/>
  <c r="K17" i="11"/>
  <c r="K11" i="11"/>
  <c r="AO11" i="11" s="1"/>
  <c r="AY3" i="11" s="1"/>
  <c r="P30" i="27" s="1"/>
  <c r="M9" i="28" s="1"/>
  <c r="K29" i="11"/>
  <c r="BL6" i="27" l="1"/>
  <c r="BL9" i="27"/>
  <c r="BL7" i="27"/>
  <c r="BL10" i="27"/>
  <c r="BL8" i="27"/>
  <c r="BL5" i="27"/>
  <c r="O64" i="28"/>
  <c r="AB10" i="27"/>
  <c r="AB23" i="27"/>
  <c r="X4" i="28"/>
  <c r="AC5" i="27"/>
  <c r="AC55" i="27" s="1"/>
  <c r="AC60" i="27" s="1"/>
  <c r="AD7" i="27"/>
  <c r="AD57" i="27" s="1"/>
  <c r="AD8" i="27"/>
  <c r="AD58" i="27" s="1"/>
  <c r="AD6" i="27"/>
  <c r="AD56" i="27" s="1"/>
  <c r="AD9" i="27"/>
  <c r="AD59" i="27" s="1"/>
  <c r="AD14" i="27"/>
  <c r="K38" i="11"/>
  <c r="K26" i="11"/>
  <c r="L24" i="11"/>
  <c r="L18" i="11"/>
  <c r="L30" i="11"/>
  <c r="L12" i="11"/>
  <c r="L36" i="11"/>
  <c r="BM6" i="27" l="1"/>
  <c r="BM9" i="27"/>
  <c r="BM7" i="27"/>
  <c r="BM10" i="27"/>
  <c r="BM8" i="27"/>
  <c r="BM5" i="27"/>
  <c r="P64" i="28"/>
  <c r="Y4" i="28"/>
  <c r="AC23" i="27"/>
  <c r="AD5" i="27"/>
  <c r="AD55" i="27" s="1"/>
  <c r="AD60" i="27" s="1"/>
  <c r="AC10" i="27"/>
  <c r="AE8" i="27"/>
  <c r="AE58" i="27" s="1"/>
  <c r="AE7" i="27"/>
  <c r="AE57" i="27" s="1"/>
  <c r="AE9" i="27"/>
  <c r="AE59" i="27" s="1"/>
  <c r="AE6" i="27"/>
  <c r="AE14" i="27"/>
  <c r="L15" i="11"/>
  <c r="M25" i="11"/>
  <c r="M13" i="11"/>
  <c r="AO13" i="11" s="1"/>
  <c r="BA3" i="11" s="1"/>
  <c r="R30" i="27" s="1"/>
  <c r="O9" i="28" s="1"/>
  <c r="M19" i="11"/>
  <c r="M37" i="11"/>
  <c r="M31" i="11"/>
  <c r="BN8" i="27" l="1"/>
  <c r="BN5" i="27"/>
  <c r="BN6" i="27"/>
  <c r="BN9" i="27"/>
  <c r="BN7" i="27"/>
  <c r="BN10" i="27"/>
  <c r="Q64" i="28"/>
  <c r="AD23" i="27"/>
  <c r="AE5" i="27"/>
  <c r="AE55" i="27" s="1"/>
  <c r="Z4" i="28"/>
  <c r="AD10" i="27"/>
  <c r="D16" i="26"/>
  <c r="D17" i="26"/>
  <c r="D14" i="26"/>
  <c r="AE56" i="27"/>
  <c r="K4" i="26"/>
  <c r="K21" i="26" s="1"/>
  <c r="AF9" i="27"/>
  <c r="AF59" i="27" s="1"/>
  <c r="AF6" i="27"/>
  <c r="AF56" i="27" s="1"/>
  <c r="AF7" i="27"/>
  <c r="AF57" i="27" s="1"/>
  <c r="D15" i="26"/>
  <c r="AF8" i="27"/>
  <c r="AF58" i="27" s="1"/>
  <c r="AF14" i="27"/>
  <c r="D22" i="26"/>
  <c r="L27" i="11"/>
  <c r="I12" i="11"/>
  <c r="AO12" i="11" s="1"/>
  <c r="AZ3" i="11" s="1"/>
  <c r="Q30" i="27" s="1"/>
  <c r="N9" i="28" s="1"/>
  <c r="K14" i="11"/>
  <c r="M16" i="11"/>
  <c r="M28" i="11"/>
  <c r="N32" i="11"/>
  <c r="N26" i="11"/>
  <c r="N20" i="11"/>
  <c r="N14" i="11"/>
  <c r="N38" i="11"/>
  <c r="BO10" i="27" l="1"/>
  <c r="BO8" i="27"/>
  <c r="BO5" i="27"/>
  <c r="BO6" i="27"/>
  <c r="BO9" i="27"/>
  <c r="BO7" i="27"/>
  <c r="R64" i="28"/>
  <c r="AA4" i="28"/>
  <c r="D13" i="26"/>
  <c r="D18" i="26" s="1"/>
  <c r="AE60" i="27"/>
  <c r="D57" i="27" s="1"/>
  <c r="AE23" i="27"/>
  <c r="AE10" i="27"/>
  <c r="AF5" i="27"/>
  <c r="AF55" i="27" s="1"/>
  <c r="AF60" i="27" s="1"/>
  <c r="AG6" i="27"/>
  <c r="AG56" i="27" s="1"/>
  <c r="AG8" i="27"/>
  <c r="AG58" i="27" s="1"/>
  <c r="AG7" i="27"/>
  <c r="AG57" i="27" s="1"/>
  <c r="AG9" i="27"/>
  <c r="AG59" i="27" s="1"/>
  <c r="AG14" i="27"/>
  <c r="N29" i="11"/>
  <c r="O33" i="11"/>
  <c r="O27" i="11"/>
  <c r="O21" i="11"/>
  <c r="O15" i="11"/>
  <c r="BP8" i="27" l="1"/>
  <c r="BP5" i="27"/>
  <c r="BP6" i="27"/>
  <c r="BP9" i="27"/>
  <c r="BP7" i="27"/>
  <c r="BP10" i="27"/>
  <c r="S64" i="28"/>
  <c r="K3" i="26"/>
  <c r="AF23" i="27"/>
  <c r="AG5" i="27"/>
  <c r="AG55" i="27" s="1"/>
  <c r="AG60" i="27" s="1"/>
  <c r="AF10" i="27"/>
  <c r="AB4" i="28"/>
  <c r="C4" i="28" s="1"/>
  <c r="AH6" i="27"/>
  <c r="AH56" i="27" s="1"/>
  <c r="AH9" i="27"/>
  <c r="AH59" i="27" s="1"/>
  <c r="AH8" i="27"/>
  <c r="AH58" i="27" s="1"/>
  <c r="AH7" i="27"/>
  <c r="AH57" i="27" s="1"/>
  <c r="AH14" i="27"/>
  <c r="O18" i="11"/>
  <c r="O30" i="11"/>
  <c r="K116" i="26" l="1"/>
  <c r="K20" i="26"/>
  <c r="K26" i="26" s="1"/>
  <c r="W6" i="32"/>
  <c r="BQ7" i="27"/>
  <c r="BQ10" i="27"/>
  <c r="BQ8" i="27"/>
  <c r="BQ5" i="27"/>
  <c r="BQ6" i="27"/>
  <c r="BQ9" i="27"/>
  <c r="K5" i="26"/>
  <c r="D11" i="29"/>
  <c r="T64" i="28"/>
  <c r="AG23" i="27"/>
  <c r="AH5" i="27"/>
  <c r="AH55" i="27" s="1"/>
  <c r="AH60" i="27" s="1"/>
  <c r="AG10" i="27"/>
  <c r="AC4" i="28"/>
  <c r="AI7" i="27"/>
  <c r="AI57" i="27" s="1"/>
  <c r="AI8" i="27"/>
  <c r="AI58" i="27" s="1"/>
  <c r="AI9" i="27"/>
  <c r="AI59" i="27" s="1"/>
  <c r="AI6" i="27"/>
  <c r="AI56" i="27" s="1"/>
  <c r="AI14" i="27"/>
  <c r="P34" i="11"/>
  <c r="P28" i="11"/>
  <c r="P22" i="11"/>
  <c r="P16" i="11"/>
  <c r="R24" i="11"/>
  <c r="R30" i="11"/>
  <c r="R36" i="11"/>
  <c r="R18" i="11"/>
  <c r="Q3" i="26" l="1"/>
  <c r="BR7" i="27"/>
  <c r="BR10" i="27"/>
  <c r="BR8" i="27"/>
  <c r="BR5" i="27"/>
  <c r="BR6" i="27"/>
  <c r="BR9" i="27"/>
  <c r="U64" i="28"/>
  <c r="AI5" i="27"/>
  <c r="AI55" i="27" s="1"/>
  <c r="AI60" i="27" s="1"/>
  <c r="AH23" i="27"/>
  <c r="AH10" i="27"/>
  <c r="AD4" i="28"/>
  <c r="AJ9" i="27"/>
  <c r="AJ59" i="27" s="1"/>
  <c r="AJ8" i="27"/>
  <c r="AJ58" i="27" s="1"/>
  <c r="AJ6" i="27"/>
  <c r="AJ56" i="27" s="1"/>
  <c r="AJ7" i="27"/>
  <c r="AJ57" i="27" s="1"/>
  <c r="AJ14" i="27"/>
  <c r="P31" i="11"/>
  <c r="P19" i="11"/>
  <c r="R33" i="11"/>
  <c r="Q35" i="11"/>
  <c r="Q20" i="11"/>
  <c r="Q29" i="11"/>
  <c r="Q23" i="11"/>
  <c r="Q32" i="11"/>
  <c r="Q17" i="11"/>
  <c r="BS6" i="27" l="1"/>
  <c r="BS7" i="27"/>
  <c r="BS10" i="27"/>
  <c r="BS8" i="27"/>
  <c r="BS5" i="27"/>
  <c r="BS9" i="27"/>
  <c r="V64" i="28"/>
  <c r="AI23" i="27"/>
  <c r="AJ5" i="27"/>
  <c r="AJ55" i="27" s="1"/>
  <c r="AJ60" i="27" s="1"/>
  <c r="AI10" i="27"/>
  <c r="AE4" i="28"/>
  <c r="AK6" i="27"/>
  <c r="AK56" i="27" s="1"/>
  <c r="AK9" i="27"/>
  <c r="AK59" i="27" s="1"/>
  <c r="AK8" i="27"/>
  <c r="AK58" i="27" s="1"/>
  <c r="AK7" i="27"/>
  <c r="AK57" i="27" s="1"/>
  <c r="AK14" i="27"/>
  <c r="BT6" i="27" l="1"/>
  <c r="BT9" i="27"/>
  <c r="BT7" i="27"/>
  <c r="BT8" i="27"/>
  <c r="BT5" i="27"/>
  <c r="BT10" i="27"/>
  <c r="W64" i="28"/>
  <c r="AJ23" i="27"/>
  <c r="AK5" i="27"/>
  <c r="AK55" i="27" s="1"/>
  <c r="AK60" i="27" s="1"/>
  <c r="AJ10" i="27"/>
  <c r="AF4" i="28"/>
  <c r="AL8" i="27"/>
  <c r="AL58" i="27" s="1"/>
  <c r="AL9" i="27"/>
  <c r="AL59" i="27" s="1"/>
  <c r="AL7" i="27"/>
  <c r="AL57" i="27" s="1"/>
  <c r="AL6" i="27"/>
  <c r="AL56" i="27" s="1"/>
  <c r="AL14" i="27"/>
  <c r="T20" i="11"/>
  <c r="T38" i="11"/>
  <c r="T26" i="11"/>
  <c r="T32" i="11"/>
  <c r="S25" i="11"/>
  <c r="S37" i="11"/>
  <c r="S31" i="11"/>
  <c r="S19" i="11"/>
  <c r="BU5" i="27" l="1"/>
  <c r="BU6" i="27"/>
  <c r="BU9" i="27"/>
  <c r="BU7" i="27"/>
  <c r="BU10" i="27"/>
  <c r="BU8" i="27"/>
  <c r="X64" i="28"/>
  <c r="AL5" i="27"/>
  <c r="AL55" i="27" s="1"/>
  <c r="AL60" i="27" s="1"/>
  <c r="AG4" i="28"/>
  <c r="AK23" i="27"/>
  <c r="AK10" i="27"/>
  <c r="AM7" i="27"/>
  <c r="AM57" i="27" s="1"/>
  <c r="AM9" i="27"/>
  <c r="AM59" i="27" s="1"/>
  <c r="AM6" i="27"/>
  <c r="AM56" i="27" s="1"/>
  <c r="AM8" i="27"/>
  <c r="AM58" i="27" s="1"/>
  <c r="AM14" i="27"/>
  <c r="S34" i="11"/>
  <c r="T35" i="11"/>
  <c r="U33" i="11"/>
  <c r="U27" i="11"/>
  <c r="U21" i="11"/>
  <c r="BV5" i="27" l="1"/>
  <c r="BV6" i="27"/>
  <c r="BV9" i="27"/>
  <c r="BV7" i="27"/>
  <c r="BV10" i="27"/>
  <c r="BV8" i="27"/>
  <c r="Y64" i="28"/>
  <c r="AL23" i="27"/>
  <c r="AL10" i="27"/>
  <c r="AM5" i="27"/>
  <c r="AM55" i="27" s="1"/>
  <c r="AM60" i="27" s="1"/>
  <c r="AH4" i="28"/>
  <c r="AN6" i="27"/>
  <c r="AN56" i="27" s="1"/>
  <c r="AN8" i="27"/>
  <c r="AN58" i="27" s="1"/>
  <c r="AN9" i="27"/>
  <c r="AN59" i="27" s="1"/>
  <c r="AN7" i="27"/>
  <c r="AN57" i="27" s="1"/>
  <c r="AN14" i="27"/>
  <c r="U24" i="11"/>
  <c r="V34" i="11"/>
  <c r="V28" i="11"/>
  <c r="V22" i="11"/>
  <c r="BW8" i="27" l="1"/>
  <c r="BW5" i="27"/>
  <c r="BW6" i="27"/>
  <c r="BW9" i="27"/>
  <c r="BW7" i="27"/>
  <c r="BW10" i="27"/>
  <c r="Z64" i="28"/>
  <c r="AI4" i="28"/>
  <c r="AM23" i="27"/>
  <c r="AN5" i="27"/>
  <c r="AN55" i="27" s="1"/>
  <c r="AN60" i="27" s="1"/>
  <c r="AM10" i="27"/>
  <c r="AO6" i="27"/>
  <c r="AO56" i="27" s="1"/>
  <c r="AO7" i="27"/>
  <c r="AO57" i="27" s="1"/>
  <c r="AO8" i="27"/>
  <c r="AO58" i="27" s="1"/>
  <c r="AO9" i="27"/>
  <c r="AO59" i="27" s="1"/>
  <c r="AO14" i="27"/>
  <c r="V25" i="11"/>
  <c r="W35" i="11"/>
  <c r="W29" i="11"/>
  <c r="W23" i="11"/>
  <c r="BX10" i="27" l="1"/>
  <c r="BX8" i="27"/>
  <c r="BX5" i="27"/>
  <c r="BX6" i="27"/>
  <c r="BX9" i="27"/>
  <c r="BX7" i="27"/>
  <c r="AA64" i="28"/>
  <c r="AN10" i="27"/>
  <c r="AJ4" i="28"/>
  <c r="AO5" i="27"/>
  <c r="AO55" i="27" s="1"/>
  <c r="AO60" i="27" s="1"/>
  <c r="AN23" i="27"/>
  <c r="AP9" i="27"/>
  <c r="AP59" i="27" s="1"/>
  <c r="AP7" i="27"/>
  <c r="AP57" i="27" s="1"/>
  <c r="AP8" i="27"/>
  <c r="AP58" i="27" s="1"/>
  <c r="AP6" i="27"/>
  <c r="AP56" i="27" s="1"/>
  <c r="AP14" i="27"/>
  <c r="W38" i="11"/>
  <c r="X24" i="11"/>
  <c r="X30" i="11"/>
  <c r="X36" i="11"/>
  <c r="BY5" i="27" l="1"/>
  <c r="BY7" i="27"/>
  <c r="BY10" i="27"/>
  <c r="BY8" i="27"/>
  <c r="BY6" i="27"/>
  <c r="BY9" i="27"/>
  <c r="AB64" i="28"/>
  <c r="AO23" i="27"/>
  <c r="AO10" i="27"/>
  <c r="AP5" i="27"/>
  <c r="AP55" i="27" s="1"/>
  <c r="AP60" i="27" s="1"/>
  <c r="AK4" i="28"/>
  <c r="AQ9" i="27"/>
  <c r="AQ59" i="27" s="1"/>
  <c r="AQ8" i="27"/>
  <c r="AQ58" i="27" s="1"/>
  <c r="AQ6" i="27"/>
  <c r="AQ56" i="27" s="1"/>
  <c r="AQ7" i="27"/>
  <c r="AQ57" i="27" s="1"/>
  <c r="AQ14" i="27"/>
  <c r="Y25" i="11"/>
  <c r="Y37" i="11"/>
  <c r="Y31" i="11"/>
  <c r="BZ7" i="27" l="1"/>
  <c r="BZ10" i="27"/>
  <c r="BZ8" i="27"/>
  <c r="BZ5" i="27"/>
  <c r="BZ6" i="27"/>
  <c r="BZ9" i="27"/>
  <c r="AC64" i="28"/>
  <c r="AP10" i="27"/>
  <c r="AL4" i="28"/>
  <c r="AP23" i="27"/>
  <c r="AQ5" i="27"/>
  <c r="AQ55" i="27" s="1"/>
  <c r="AQ60" i="27" s="1"/>
  <c r="E57" i="27" s="1"/>
  <c r="E14" i="26"/>
  <c r="F14" i="26" s="1"/>
  <c r="E16" i="26"/>
  <c r="F16" i="26" s="1"/>
  <c r="L4" i="26"/>
  <c r="L21" i="26" s="1"/>
  <c r="E15" i="26"/>
  <c r="F15" i="26" s="1"/>
  <c r="E17" i="26"/>
  <c r="F17" i="26" s="1"/>
  <c r="E22" i="26"/>
  <c r="F22" i="26" s="1"/>
  <c r="Z32" i="11"/>
  <c r="Z26" i="11"/>
  <c r="Z29" i="11"/>
  <c r="Z38" i="11"/>
  <c r="CA9" i="27" l="1"/>
  <c r="CA7" i="27"/>
  <c r="CA10" i="27"/>
  <c r="CA8" i="27"/>
  <c r="CA5" i="27"/>
  <c r="CA6" i="27"/>
  <c r="AD64" i="28"/>
  <c r="AM4" i="28"/>
  <c r="E13" i="26"/>
  <c r="E18" i="26" s="1"/>
  <c r="AQ10" i="27"/>
  <c r="AQ23" i="27"/>
  <c r="A57" i="27"/>
  <c r="AA27" i="11"/>
  <c r="AA33" i="11"/>
  <c r="AA30" i="11"/>
  <c r="AN4" i="28" l="1"/>
  <c r="D4" i="28" s="1"/>
  <c r="CB9" i="27"/>
  <c r="CB7" i="27"/>
  <c r="CB10" i="27"/>
  <c r="CB8" i="27"/>
  <c r="CB5" i="27"/>
  <c r="CB6" i="27"/>
  <c r="AE64" i="28"/>
  <c r="F13" i="26"/>
  <c r="L3" i="26"/>
  <c r="L116" i="26" l="1"/>
  <c r="M3" i="26"/>
  <c r="L20" i="26"/>
  <c r="L26" i="26" s="1"/>
  <c r="X6" i="32"/>
  <c r="F18" i="26"/>
  <c r="L5" i="26"/>
  <c r="E11" i="29"/>
  <c r="AF64" i="28"/>
  <c r="AB34" i="11"/>
  <c r="AB31" i="11"/>
  <c r="AB28" i="11"/>
  <c r="R3" i="26" l="1"/>
  <c r="G16" i="26"/>
  <c r="AO19" i="27" s="1"/>
  <c r="AO66" i="27" s="1"/>
  <c r="G17" i="26"/>
  <c r="P36" i="27" s="1"/>
  <c r="P75" i="27" s="1"/>
  <c r="G14" i="26"/>
  <c r="D28" i="26" s="1"/>
  <c r="E28" i="26" s="1"/>
  <c r="G15" i="26"/>
  <c r="D29" i="26" s="1"/>
  <c r="E29" i="26" s="1"/>
  <c r="G13" i="26"/>
  <c r="H32" i="27" s="1"/>
  <c r="H71" i="27" s="1"/>
  <c r="G18" i="26"/>
  <c r="AG64" i="28"/>
  <c r="AC35" i="11"/>
  <c r="AC29" i="11"/>
  <c r="AC32" i="11"/>
  <c r="AD36" i="11"/>
  <c r="AD30" i="11"/>
  <c r="AD33" i="11"/>
  <c r="W18" i="27" l="1"/>
  <c r="W65" i="27" s="1"/>
  <c r="AL19" i="27"/>
  <c r="AL66" i="27" s="1"/>
  <c r="AI19" i="27"/>
  <c r="AI66" i="27" s="1"/>
  <c r="AG19" i="27"/>
  <c r="AG66" i="27" s="1"/>
  <c r="I35" i="27"/>
  <c r="I74" i="27" s="1"/>
  <c r="Z19" i="27"/>
  <c r="Z66" i="27" s="1"/>
  <c r="AJ19" i="27"/>
  <c r="AJ66" i="27" s="1"/>
  <c r="O19" i="27"/>
  <c r="O66" i="27" s="1"/>
  <c r="O35" i="27"/>
  <c r="O74" i="27" s="1"/>
  <c r="L19" i="27"/>
  <c r="L66" i="27" s="1"/>
  <c r="X19" i="27"/>
  <c r="X66" i="27" s="1"/>
  <c r="L35" i="27"/>
  <c r="L74" i="27" s="1"/>
  <c r="H19" i="27"/>
  <c r="H66" i="27" s="1"/>
  <c r="AD19" i="27"/>
  <c r="AD66" i="27" s="1"/>
  <c r="D30" i="26"/>
  <c r="E30" i="26" s="1"/>
  <c r="AA19" i="27"/>
  <c r="AA66" i="27" s="1"/>
  <c r="J19" i="27"/>
  <c r="J66" i="27" s="1"/>
  <c r="Q19" i="27"/>
  <c r="Q66" i="27" s="1"/>
  <c r="K19" i="27"/>
  <c r="K66" i="27" s="1"/>
  <c r="S19" i="27"/>
  <c r="S66" i="27" s="1"/>
  <c r="U19" i="27"/>
  <c r="U66" i="27" s="1"/>
  <c r="M19" i="27"/>
  <c r="M66" i="27" s="1"/>
  <c r="K32" i="27"/>
  <c r="K71" i="27" s="1"/>
  <c r="AA16" i="27"/>
  <c r="AA63" i="27" s="1"/>
  <c r="AI16" i="27"/>
  <c r="AI63" i="27" s="1"/>
  <c r="AO16" i="27"/>
  <c r="AO63" i="27" s="1"/>
  <c r="X16" i="27"/>
  <c r="X63" i="27" s="1"/>
  <c r="AP16" i="27"/>
  <c r="AP63" i="27" s="1"/>
  <c r="AB18" i="27"/>
  <c r="AB65" i="27" s="1"/>
  <c r="V16" i="27"/>
  <c r="V63" i="27" s="1"/>
  <c r="AD16" i="27"/>
  <c r="AD63" i="27" s="1"/>
  <c r="AL16" i="27"/>
  <c r="AL63" i="27" s="1"/>
  <c r="M16" i="27"/>
  <c r="M63" i="27" s="1"/>
  <c r="O16" i="27"/>
  <c r="O63" i="27" s="1"/>
  <c r="I16" i="27"/>
  <c r="I63" i="27" s="1"/>
  <c r="AC16" i="27"/>
  <c r="AC63" i="27" s="1"/>
  <c r="Q32" i="27"/>
  <c r="Q71" i="27" s="1"/>
  <c r="P16" i="27"/>
  <c r="P63" i="27" s="1"/>
  <c r="Q16" i="27"/>
  <c r="Q63" i="27" s="1"/>
  <c r="P32" i="27"/>
  <c r="P71" i="27" s="1"/>
  <c r="K16" i="27"/>
  <c r="K63" i="27" s="1"/>
  <c r="AM16" i="27"/>
  <c r="AM63" i="27" s="1"/>
  <c r="O32" i="27"/>
  <c r="O71" i="27" s="1"/>
  <c r="V20" i="27"/>
  <c r="V67" i="27" s="1"/>
  <c r="R36" i="27"/>
  <c r="R75" i="27" s="1"/>
  <c r="AC20" i="27"/>
  <c r="AC67" i="27" s="1"/>
  <c r="I36" i="27"/>
  <c r="I75" i="27" s="1"/>
  <c r="I20" i="27"/>
  <c r="I67" i="27" s="1"/>
  <c r="T19" i="27"/>
  <c r="T66" i="27" s="1"/>
  <c r="AB19" i="27"/>
  <c r="AB66" i="27" s="1"/>
  <c r="AQ19" i="27"/>
  <c r="AQ66" i="27" s="1"/>
  <c r="AC19" i="27"/>
  <c r="AC66" i="27" s="1"/>
  <c r="K35" i="27"/>
  <c r="K74" i="27" s="1"/>
  <c r="Y19" i="27"/>
  <c r="Y66" i="27" s="1"/>
  <c r="AB16" i="27"/>
  <c r="AB63" i="27" s="1"/>
  <c r="AN16" i="27"/>
  <c r="AN63" i="27" s="1"/>
  <c r="AG20" i="27"/>
  <c r="AG67" i="27" s="1"/>
  <c r="AQ20" i="27"/>
  <c r="AQ67" i="27" s="1"/>
  <c r="K20" i="27"/>
  <c r="K67" i="27" s="1"/>
  <c r="AH16" i="27"/>
  <c r="AH63" i="27" s="1"/>
  <c r="AM19" i="27"/>
  <c r="AM66" i="27" s="1"/>
  <c r="H35" i="27"/>
  <c r="H74" i="27" s="1"/>
  <c r="P35" i="27"/>
  <c r="P74" i="27" s="1"/>
  <c r="AK19" i="27"/>
  <c r="AK66" i="27" s="1"/>
  <c r="AE19" i="27"/>
  <c r="AE66" i="27" s="1"/>
  <c r="AF19" i="27"/>
  <c r="AF66" i="27" s="1"/>
  <c r="I32" i="27"/>
  <c r="I71" i="27" s="1"/>
  <c r="L16" i="27"/>
  <c r="L63" i="27" s="1"/>
  <c r="AJ16" i="27"/>
  <c r="AJ63" i="27" s="1"/>
  <c r="S16" i="27"/>
  <c r="S63" i="27" s="1"/>
  <c r="Y16" i="27"/>
  <c r="Y63" i="27" s="1"/>
  <c r="N16" i="27"/>
  <c r="N63" i="27" s="1"/>
  <c r="N35" i="27"/>
  <c r="N74" i="27" s="1"/>
  <c r="Q35" i="27"/>
  <c r="Q74" i="27" s="1"/>
  <c r="W20" i="27"/>
  <c r="W67" i="27" s="1"/>
  <c r="L20" i="27"/>
  <c r="L67" i="27" s="1"/>
  <c r="S20" i="27"/>
  <c r="S67" i="27" s="1"/>
  <c r="AH19" i="27"/>
  <c r="AH66" i="27" s="1"/>
  <c r="R19" i="27"/>
  <c r="R66" i="27" s="1"/>
  <c r="R35" i="27"/>
  <c r="R74" i="27" s="1"/>
  <c r="N19" i="27"/>
  <c r="N66" i="27" s="1"/>
  <c r="P19" i="27"/>
  <c r="P66" i="27" s="1"/>
  <c r="AN19" i="27"/>
  <c r="AN66" i="27" s="1"/>
  <c r="W16" i="27"/>
  <c r="W63" i="27" s="1"/>
  <c r="AQ16" i="27"/>
  <c r="AQ63" i="27" s="1"/>
  <c r="U16" i="27"/>
  <c r="U63" i="27" s="1"/>
  <c r="AF20" i="27"/>
  <c r="AF67" i="27" s="1"/>
  <c r="T16" i="27"/>
  <c r="T63" i="27" s="1"/>
  <c r="AF16" i="27"/>
  <c r="AF63" i="27" s="1"/>
  <c r="J32" i="27"/>
  <c r="J71" i="27" s="1"/>
  <c r="K36" i="27"/>
  <c r="K75" i="27" s="1"/>
  <c r="J35" i="27"/>
  <c r="J74" i="27" s="1"/>
  <c r="AP19" i="27"/>
  <c r="AP66" i="27" s="1"/>
  <c r="I19" i="27"/>
  <c r="I66" i="27" s="1"/>
  <c r="W19" i="27"/>
  <c r="W66" i="27" s="1"/>
  <c r="V19" i="27"/>
  <c r="V66" i="27" s="1"/>
  <c r="J16" i="27"/>
  <c r="J63" i="27" s="1"/>
  <c r="AE16" i="27"/>
  <c r="AE63" i="27" s="1"/>
  <c r="N32" i="27"/>
  <c r="N71" i="27" s="1"/>
  <c r="AK16" i="27"/>
  <c r="AK63" i="27" s="1"/>
  <c r="R16" i="27"/>
  <c r="R63" i="27" s="1"/>
  <c r="Z16" i="27"/>
  <c r="Z63" i="27" s="1"/>
  <c r="N36" i="27"/>
  <c r="N75" i="27" s="1"/>
  <c r="H16" i="27"/>
  <c r="H39" i="27" s="1"/>
  <c r="H47" i="27" s="1"/>
  <c r="R32" i="27"/>
  <c r="R71" i="27" s="1"/>
  <c r="AE20" i="27"/>
  <c r="AE67" i="27" s="1"/>
  <c r="Q36" i="27"/>
  <c r="Q75" i="27" s="1"/>
  <c r="N20" i="27"/>
  <c r="N67" i="27" s="1"/>
  <c r="Z20" i="27"/>
  <c r="Z67" i="27" s="1"/>
  <c r="O20" i="27"/>
  <c r="O67" i="27" s="1"/>
  <c r="AB20" i="27"/>
  <c r="AB67" i="27" s="1"/>
  <c r="AK20" i="27"/>
  <c r="AK67" i="27" s="1"/>
  <c r="O36" i="27"/>
  <c r="O75" i="27" s="1"/>
  <c r="AL18" i="27"/>
  <c r="AL65" i="27" s="1"/>
  <c r="R18" i="27"/>
  <c r="R65" i="27" s="1"/>
  <c r="AM20" i="27"/>
  <c r="AM67" i="27" s="1"/>
  <c r="P20" i="27"/>
  <c r="P67" i="27" s="1"/>
  <c r="Q20" i="27"/>
  <c r="Q67" i="27" s="1"/>
  <c r="M20" i="27"/>
  <c r="M67" i="27" s="1"/>
  <c r="AH20" i="27"/>
  <c r="AH67" i="27" s="1"/>
  <c r="AA20" i="27"/>
  <c r="AA67" i="27" s="1"/>
  <c r="AD20" i="27"/>
  <c r="AD67" i="27" s="1"/>
  <c r="L32" i="27"/>
  <c r="L71" i="27" s="1"/>
  <c r="O34" i="27"/>
  <c r="O73" i="27" s="1"/>
  <c r="AK18" i="27"/>
  <c r="AK65" i="27" s="1"/>
  <c r="J34" i="27"/>
  <c r="J73" i="27" s="1"/>
  <c r="AG18" i="27"/>
  <c r="AG65" i="27" s="1"/>
  <c r="Q18" i="27"/>
  <c r="Q65" i="27" s="1"/>
  <c r="L34" i="27"/>
  <c r="L73" i="27" s="1"/>
  <c r="AO20" i="27"/>
  <c r="AO67" i="27" s="1"/>
  <c r="X20" i="27"/>
  <c r="X67" i="27" s="1"/>
  <c r="Y20" i="27"/>
  <c r="Y67" i="27" s="1"/>
  <c r="AP20" i="27"/>
  <c r="AP67" i="27" s="1"/>
  <c r="AI20" i="27"/>
  <c r="AI67" i="27" s="1"/>
  <c r="U20" i="27"/>
  <c r="U67" i="27" s="1"/>
  <c r="AL20" i="27"/>
  <c r="AL67" i="27" s="1"/>
  <c r="AM18" i="27"/>
  <c r="AM65" i="27" s="1"/>
  <c r="O18" i="27"/>
  <c r="O65" i="27" s="1"/>
  <c r="H36" i="27"/>
  <c r="H75" i="27" s="1"/>
  <c r="AN20" i="27"/>
  <c r="AN67" i="27" s="1"/>
  <c r="T20" i="27"/>
  <c r="T67" i="27" s="1"/>
  <c r="D27" i="26"/>
  <c r="E27" i="26" s="1"/>
  <c r="X18" i="27"/>
  <c r="X65" i="27" s="1"/>
  <c r="N34" i="27"/>
  <c r="N73" i="27" s="1"/>
  <c r="U18" i="27"/>
  <c r="U65" i="27" s="1"/>
  <c r="AN18" i="27"/>
  <c r="AN65" i="27" s="1"/>
  <c r="Q34" i="27"/>
  <c r="Q73" i="27" s="1"/>
  <c r="R20" i="27"/>
  <c r="R67" i="27" s="1"/>
  <c r="AJ20" i="27"/>
  <c r="AJ67" i="27" s="1"/>
  <c r="J20" i="27"/>
  <c r="J67" i="27" s="1"/>
  <c r="J36" i="27"/>
  <c r="J75" i="27" s="1"/>
  <c r="L36" i="27"/>
  <c r="L75" i="27" s="1"/>
  <c r="AG16" i="27"/>
  <c r="AG63" i="27" s="1"/>
  <c r="H20" i="27"/>
  <c r="H67" i="27" s="1"/>
  <c r="D31" i="26"/>
  <c r="E31" i="26" s="1"/>
  <c r="P34" i="27"/>
  <c r="P73" i="27" s="1"/>
  <c r="R34" i="27"/>
  <c r="R73" i="27" s="1"/>
  <c r="AO18" i="27"/>
  <c r="AO65" i="27" s="1"/>
  <c r="M18" i="27"/>
  <c r="M65" i="27" s="1"/>
  <c r="S18" i="27"/>
  <c r="S65" i="27" s="1"/>
  <c r="AI18" i="27"/>
  <c r="AI65" i="27" s="1"/>
  <c r="AQ18" i="27"/>
  <c r="AQ65" i="27" s="1"/>
  <c r="J18" i="27"/>
  <c r="J65" i="27" s="1"/>
  <c r="K34" i="27"/>
  <c r="K73" i="27" s="1"/>
  <c r="Z18" i="27"/>
  <c r="Z65" i="27" s="1"/>
  <c r="AC18" i="27"/>
  <c r="AC65" i="27" s="1"/>
  <c r="N18" i="27"/>
  <c r="N65" i="27" s="1"/>
  <c r="H34" i="27"/>
  <c r="H73" i="27" s="1"/>
  <c r="V18" i="27"/>
  <c r="V65" i="27" s="1"/>
  <c r="AH18" i="27"/>
  <c r="AH65" i="27" s="1"/>
  <c r="AA18" i="27"/>
  <c r="AA65" i="27" s="1"/>
  <c r="T18" i="27"/>
  <c r="T65" i="27" s="1"/>
  <c r="AD18" i="27"/>
  <c r="AD65" i="27" s="1"/>
  <c r="L18" i="27"/>
  <c r="L65" i="27" s="1"/>
  <c r="I18" i="27"/>
  <c r="I65" i="27" s="1"/>
  <c r="H18" i="27"/>
  <c r="H65" i="27" s="1"/>
  <c r="AP18" i="27"/>
  <c r="AP65" i="27" s="1"/>
  <c r="AJ18" i="27"/>
  <c r="AJ65" i="27" s="1"/>
  <c r="AF18" i="27"/>
  <c r="AF65" i="27" s="1"/>
  <c r="AE18" i="27"/>
  <c r="AE65" i="27" s="1"/>
  <c r="Y18" i="27"/>
  <c r="Y65" i="27" s="1"/>
  <c r="P18" i="27"/>
  <c r="P65" i="27" s="1"/>
  <c r="K18" i="27"/>
  <c r="K65" i="27" s="1"/>
  <c r="I34" i="27"/>
  <c r="I73" i="27" s="1"/>
  <c r="P17" i="27"/>
  <c r="L17" i="27"/>
  <c r="Y17" i="27"/>
  <c r="Y64" i="27" s="1"/>
  <c r="AG17" i="27"/>
  <c r="AG64" i="27" s="1"/>
  <c r="AO17" i="27"/>
  <c r="AO64" i="27" s="1"/>
  <c r="O33" i="27"/>
  <c r="O72" i="27" s="1"/>
  <c r="N33" i="27"/>
  <c r="N72" i="27" s="1"/>
  <c r="AA17" i="27"/>
  <c r="AA64" i="27" s="1"/>
  <c r="AQ17" i="27"/>
  <c r="AQ64" i="27" s="1"/>
  <c r="R33" i="27"/>
  <c r="R72" i="27" s="1"/>
  <c r="R17" i="27"/>
  <c r="AK17" i="27"/>
  <c r="AK64" i="27" s="1"/>
  <c r="Q33" i="27"/>
  <c r="Q72" i="27" s="1"/>
  <c r="W17" i="27"/>
  <c r="W64" i="27" s="1"/>
  <c r="L33" i="27"/>
  <c r="L72" i="27" s="1"/>
  <c r="O17" i="27"/>
  <c r="AN17" i="27"/>
  <c r="AN64" i="27" s="1"/>
  <c r="N17" i="27"/>
  <c r="M17" i="27"/>
  <c r="M64" i="27" s="1"/>
  <c r="Z17" i="27"/>
  <c r="Z64" i="27" s="1"/>
  <c r="AH17" i="27"/>
  <c r="AH64" i="27" s="1"/>
  <c r="AP17" i="27"/>
  <c r="AP64" i="27" s="1"/>
  <c r="H17" i="27"/>
  <c r="AI17" i="27"/>
  <c r="AI64" i="27" s="1"/>
  <c r="P33" i="27"/>
  <c r="P72" i="27" s="1"/>
  <c r="AE17" i="27"/>
  <c r="AE64" i="27" s="1"/>
  <c r="T17" i="27"/>
  <c r="T64" i="27" s="1"/>
  <c r="AF17" i="27"/>
  <c r="AF64" i="27" s="1"/>
  <c r="J17" i="27"/>
  <c r="U17" i="27"/>
  <c r="U64" i="27" s="1"/>
  <c r="I33" i="27"/>
  <c r="I72" i="27" s="1"/>
  <c r="J33" i="27"/>
  <c r="J72" i="27" s="1"/>
  <c r="S17" i="27"/>
  <c r="S64" i="27" s="1"/>
  <c r="I17" i="27"/>
  <c r="AB17" i="27"/>
  <c r="AB64" i="27" s="1"/>
  <c r="AJ17" i="27"/>
  <c r="AJ64" i="27" s="1"/>
  <c r="H33" i="27"/>
  <c r="H72" i="27" s="1"/>
  <c r="AC17" i="27"/>
  <c r="AC64" i="27" s="1"/>
  <c r="K17" i="27"/>
  <c r="AM17" i="27"/>
  <c r="AM64" i="27" s="1"/>
  <c r="Q17" i="27"/>
  <c r="V17" i="27"/>
  <c r="V64" i="27" s="1"/>
  <c r="AD17" i="27"/>
  <c r="AD64" i="27" s="1"/>
  <c r="AL17" i="27"/>
  <c r="AL64" i="27" s="1"/>
  <c r="K33" i="27"/>
  <c r="K72" i="27" s="1"/>
  <c r="X17" i="27"/>
  <c r="X64" i="27" s="1"/>
  <c r="AH64" i="28"/>
  <c r="H63" i="27"/>
  <c r="F10" i="28"/>
  <c r="G10" i="28"/>
  <c r="E10" i="28"/>
  <c r="L42" i="27" l="1"/>
  <c r="L50" i="27" s="1"/>
  <c r="N42" i="27"/>
  <c r="N50" i="27" s="1"/>
  <c r="O42" i="27"/>
  <c r="O50" i="27" s="1"/>
  <c r="AC68" i="27"/>
  <c r="I39" i="27"/>
  <c r="I47" i="27" s="1"/>
  <c r="K39" i="27"/>
  <c r="K47" i="27" s="1"/>
  <c r="Q39" i="27"/>
  <c r="Q47" i="27" s="1"/>
  <c r="P39" i="27"/>
  <c r="P47" i="27" s="1"/>
  <c r="Q42" i="27"/>
  <c r="Q50" i="27" s="1"/>
  <c r="J39" i="27"/>
  <c r="J47" i="27" s="1"/>
  <c r="Q76" i="27"/>
  <c r="O39" i="27"/>
  <c r="O47" i="27" s="1"/>
  <c r="J42" i="27"/>
  <c r="J50" i="27" s="1"/>
  <c r="Q43" i="27"/>
  <c r="Q51" i="27" s="1"/>
  <c r="I42" i="27"/>
  <c r="I50" i="27" s="1"/>
  <c r="R43" i="27"/>
  <c r="R51" i="27" s="1"/>
  <c r="AE68" i="27"/>
  <c r="N39" i="27"/>
  <c r="N47" i="27" s="1"/>
  <c r="K42" i="27"/>
  <c r="K50" i="27" s="1"/>
  <c r="P43" i="27"/>
  <c r="P51" i="27" s="1"/>
  <c r="K43" i="27"/>
  <c r="K51" i="27" s="1"/>
  <c r="K21" i="27"/>
  <c r="N24" i="27" s="1"/>
  <c r="K5" i="28" s="1"/>
  <c r="K14" i="28" s="1"/>
  <c r="N76" i="27"/>
  <c r="X21" i="27"/>
  <c r="AA24" i="27" s="1"/>
  <c r="X5" i="28" s="1"/>
  <c r="X14" i="28" s="1"/>
  <c r="H42" i="27"/>
  <c r="H50" i="27" s="1"/>
  <c r="P42" i="27"/>
  <c r="P50" i="27" s="1"/>
  <c r="L39" i="27"/>
  <c r="L47" i="27" s="1"/>
  <c r="K76" i="27"/>
  <c r="T68" i="27"/>
  <c r="R21" i="27"/>
  <c r="U24" i="27" s="1"/>
  <c r="R5" i="28" s="1"/>
  <c r="R14" i="28" s="1"/>
  <c r="Y68" i="27"/>
  <c r="W21" i="27"/>
  <c r="Z24" i="27" s="1"/>
  <c r="W5" i="28" s="1"/>
  <c r="W14" i="28" s="1"/>
  <c r="AB68" i="27"/>
  <c r="AF21" i="27"/>
  <c r="AI24" i="27" s="1"/>
  <c r="AF5" i="28" s="1"/>
  <c r="AF14" i="28" s="1"/>
  <c r="W68" i="27"/>
  <c r="P76" i="27"/>
  <c r="P41" i="27"/>
  <c r="P49" i="27" s="1"/>
  <c r="N43" i="27"/>
  <c r="N51" i="27" s="1"/>
  <c r="R42" i="27"/>
  <c r="R50" i="27" s="1"/>
  <c r="J76" i="27"/>
  <c r="X68" i="27"/>
  <c r="J21" i="27"/>
  <c r="M24" i="27" s="1"/>
  <c r="M25" i="27" s="1"/>
  <c r="M26" i="27" s="1"/>
  <c r="J6" i="28" s="1"/>
  <c r="H41" i="27"/>
  <c r="H49" i="27" s="1"/>
  <c r="AC21" i="27"/>
  <c r="AF24" i="27" s="1"/>
  <c r="AC5" i="28" s="1"/>
  <c r="AC14" i="28" s="1"/>
  <c r="Q21" i="27"/>
  <c r="T24" i="27" s="1"/>
  <c r="T25" i="27" s="1"/>
  <c r="T26" i="27" s="1"/>
  <c r="S68" i="27"/>
  <c r="P21" i="27"/>
  <c r="S24" i="27" s="1"/>
  <c r="S25" i="27" s="1"/>
  <c r="S26" i="27" s="1"/>
  <c r="P6" i="28" s="1"/>
  <c r="AP68" i="27"/>
  <c r="U68" i="27"/>
  <c r="O76" i="27"/>
  <c r="I76" i="27"/>
  <c r="I41" i="27"/>
  <c r="I49" i="27" s="1"/>
  <c r="J43" i="27"/>
  <c r="J51" i="27" s="1"/>
  <c r="AH21" i="27"/>
  <c r="AK24" i="27" s="1"/>
  <c r="AH5" i="28" s="1"/>
  <c r="AH14" i="28" s="1"/>
  <c r="H43" i="27"/>
  <c r="H51" i="27" s="1"/>
  <c r="H76" i="27"/>
  <c r="AO68" i="27"/>
  <c r="O41" i="27"/>
  <c r="O49" i="27" s="1"/>
  <c r="AN68" i="27"/>
  <c r="AL21" i="27"/>
  <c r="AO24" i="27" s="1"/>
  <c r="AL5" i="28" s="1"/>
  <c r="AL14" i="28" s="1"/>
  <c r="AL68" i="27"/>
  <c r="AK68" i="27"/>
  <c r="Q41" i="27"/>
  <c r="Q49" i="27" s="1"/>
  <c r="AO21" i="27"/>
  <c r="R39" i="27"/>
  <c r="R47" i="27" s="1"/>
  <c r="M68" i="27"/>
  <c r="S21" i="27"/>
  <c r="V24" i="27" s="1"/>
  <c r="S5" i="28" s="1"/>
  <c r="S14" i="28" s="1"/>
  <c r="AM68" i="27"/>
  <c r="U21" i="27"/>
  <c r="X24" i="27" s="1"/>
  <c r="X25" i="27" s="1"/>
  <c r="X26" i="27" s="1"/>
  <c r="U6" i="28" s="1"/>
  <c r="AG68" i="27"/>
  <c r="L41" i="27"/>
  <c r="L49" i="27" s="1"/>
  <c r="AF68" i="27"/>
  <c r="AA68" i="27"/>
  <c r="E32" i="26"/>
  <c r="N21" i="27"/>
  <c r="Q24" i="27" s="1"/>
  <c r="N5" i="28" s="1"/>
  <c r="N14" i="28" s="1"/>
  <c r="L21" i="27"/>
  <c r="O24" i="27" s="1"/>
  <c r="L5" i="28" s="1"/>
  <c r="L14" i="28" s="1"/>
  <c r="AJ21" i="27"/>
  <c r="AM24" i="27" s="1"/>
  <c r="AM25" i="27" s="1"/>
  <c r="AM26" i="27" s="1"/>
  <c r="AB21" i="27"/>
  <c r="AE24" i="27" s="1"/>
  <c r="AB5" i="28" s="1"/>
  <c r="AB14" i="28" s="1"/>
  <c r="T21" i="27"/>
  <c r="W24" i="27" s="1"/>
  <c r="W25" i="27" s="1"/>
  <c r="W26" i="27" s="1"/>
  <c r="AQ68" i="27"/>
  <c r="V68" i="27"/>
  <c r="N41" i="27"/>
  <c r="N49" i="27" s="1"/>
  <c r="J41" i="27"/>
  <c r="J49" i="27" s="1"/>
  <c r="V21" i="27"/>
  <c r="Y24" i="27" s="1"/>
  <c r="Y25" i="27" s="1"/>
  <c r="Y26" i="27" s="1"/>
  <c r="V6" i="28" s="1"/>
  <c r="H21" i="27"/>
  <c r="K24" i="27" s="1"/>
  <c r="H5" i="28" s="1"/>
  <c r="AQ21" i="27"/>
  <c r="M21" i="27"/>
  <c r="P24" i="27" s="1"/>
  <c r="M5" i="28" s="1"/>
  <c r="M14" i="28" s="1"/>
  <c r="AH68" i="27"/>
  <c r="AD68" i="27"/>
  <c r="AP21" i="27"/>
  <c r="AN21" i="27"/>
  <c r="AQ24" i="27" s="1"/>
  <c r="AQ25" i="27" s="1"/>
  <c r="AQ26" i="27" s="1"/>
  <c r="AN6" i="28" s="1"/>
  <c r="AJ68" i="27"/>
  <c r="Z68" i="27"/>
  <c r="Z21" i="27"/>
  <c r="AC24" i="27" s="1"/>
  <c r="AC25" i="27" s="1"/>
  <c r="AC26" i="27" s="1"/>
  <c r="R76" i="27"/>
  <c r="AK21" i="27"/>
  <c r="AN24" i="27" s="1"/>
  <c r="AK5" i="28" s="1"/>
  <c r="AK14" i="28" s="1"/>
  <c r="I21" i="27"/>
  <c r="L24" i="27" s="1"/>
  <c r="I5" i="28" s="1"/>
  <c r="I14" i="28" s="1"/>
  <c r="AG21" i="27"/>
  <c r="AJ24" i="27" s="1"/>
  <c r="AG5" i="28" s="1"/>
  <c r="AG14" i="28" s="1"/>
  <c r="Y21" i="27"/>
  <c r="AB24" i="27" s="1"/>
  <c r="AB25" i="27" s="1"/>
  <c r="AB26" i="27" s="1"/>
  <c r="Y6" i="28" s="1"/>
  <c r="AI68" i="27"/>
  <c r="K41" i="27"/>
  <c r="K49" i="27" s="1"/>
  <c r="R41" i="27"/>
  <c r="R49" i="27" s="1"/>
  <c r="AE21" i="27"/>
  <c r="AH24" i="27" s="1"/>
  <c r="AE5" i="28" s="1"/>
  <c r="AE14" i="28" s="1"/>
  <c r="L76" i="27"/>
  <c r="AD21" i="27"/>
  <c r="AG24" i="27" s="1"/>
  <c r="AD5" i="28" s="1"/>
  <c r="AD14" i="28" s="1"/>
  <c r="AI21" i="27"/>
  <c r="AL24" i="27" s="1"/>
  <c r="AI5" i="28" s="1"/>
  <c r="AI14" i="28" s="1"/>
  <c r="K64" i="27"/>
  <c r="K68" i="27" s="1"/>
  <c r="K40" i="27"/>
  <c r="K48" i="27" s="1"/>
  <c r="H64" i="27"/>
  <c r="H68" i="27" s="1"/>
  <c r="H40" i="27"/>
  <c r="H48" i="27" s="1"/>
  <c r="O64" i="27"/>
  <c r="O68" i="27" s="1"/>
  <c r="O40" i="27"/>
  <c r="O48" i="27" s="1"/>
  <c r="O21" i="27"/>
  <c r="R24" i="27" s="1"/>
  <c r="O5" i="28" s="1"/>
  <c r="O14" i="28" s="1"/>
  <c r="J64" i="27"/>
  <c r="J68" i="27" s="1"/>
  <c r="J40" i="27"/>
  <c r="J48" i="27" s="1"/>
  <c r="AM21" i="27"/>
  <c r="AP24" i="27" s="1"/>
  <c r="AP25" i="27" s="1"/>
  <c r="AP26" i="27" s="1"/>
  <c r="AM6" i="28" s="1"/>
  <c r="R64" i="27"/>
  <c r="R68" i="27" s="1"/>
  <c r="R40" i="27"/>
  <c r="R48" i="27" s="1"/>
  <c r="I64" i="27"/>
  <c r="I68" i="27" s="1"/>
  <c r="I40" i="27"/>
  <c r="I48" i="27" s="1"/>
  <c r="N64" i="27"/>
  <c r="N68" i="27" s="1"/>
  <c r="N40" i="27"/>
  <c r="N48" i="27" s="1"/>
  <c r="L64" i="27"/>
  <c r="L68" i="27" s="1"/>
  <c r="L40" i="27"/>
  <c r="L48" i="27" s="1"/>
  <c r="AA21" i="27"/>
  <c r="AD24" i="27" s="1"/>
  <c r="AA5" i="28" s="1"/>
  <c r="AA14" i="28" s="1"/>
  <c r="Q64" i="27"/>
  <c r="Q68" i="27" s="1"/>
  <c r="Q40" i="27"/>
  <c r="Q48" i="27" s="1"/>
  <c r="P64" i="27"/>
  <c r="P68" i="27" s="1"/>
  <c r="P40" i="27"/>
  <c r="P48" i="27" s="1"/>
  <c r="AI64" i="28"/>
  <c r="V37" i="11"/>
  <c r="U36" i="11"/>
  <c r="O43" i="27"/>
  <c r="I43" i="27"/>
  <c r="I25" i="27"/>
  <c r="L43" i="27"/>
  <c r="H25" i="27"/>
  <c r="H26" i="27" s="1"/>
  <c r="E6" i="28" s="1"/>
  <c r="W26" i="11"/>
  <c r="J25" i="27"/>
  <c r="J26" i="27" s="1"/>
  <c r="AE37" i="11"/>
  <c r="AE31" i="11"/>
  <c r="AE34" i="11"/>
  <c r="AF38" i="11"/>
  <c r="AF32" i="11"/>
  <c r="AF35" i="11"/>
  <c r="Q5" i="28" l="1"/>
  <c r="Q14" i="28" s="1"/>
  <c r="U5" i="28"/>
  <c r="U14" i="28" s="1"/>
  <c r="AJ5" i="28"/>
  <c r="AJ14" i="28" s="1"/>
  <c r="U25" i="27"/>
  <c r="U26" i="27" s="1"/>
  <c r="R6" i="28" s="1"/>
  <c r="R7" i="28" s="1"/>
  <c r="K10" i="28"/>
  <c r="N25" i="27"/>
  <c r="N26" i="27" s="1"/>
  <c r="K6" i="28" s="1"/>
  <c r="K7" i="28" s="1"/>
  <c r="AE25" i="27"/>
  <c r="AE26" i="27" s="1"/>
  <c r="AB6" i="28" s="1"/>
  <c r="AB7" i="28" s="1"/>
  <c r="P5" i="28"/>
  <c r="P14" i="28" s="1"/>
  <c r="T5" i="28"/>
  <c r="T14" i="28" s="1"/>
  <c r="Z25" i="27"/>
  <c r="Z26" i="27" s="1"/>
  <c r="W6" i="28" s="1"/>
  <c r="W7" i="28" s="1"/>
  <c r="AK25" i="27"/>
  <c r="AK26" i="27" s="1"/>
  <c r="AH6" i="28" s="1"/>
  <c r="AH7" i="28" s="1"/>
  <c r="Z5" i="28"/>
  <c r="Z14" i="28" s="1"/>
  <c r="AA25" i="27"/>
  <c r="AA26" i="27" s="1"/>
  <c r="X6" i="28" s="1"/>
  <c r="X7" i="28" s="1"/>
  <c r="AD25" i="27"/>
  <c r="AD26" i="27" s="1"/>
  <c r="AA6" i="28" s="1"/>
  <c r="AA7" i="28" s="1"/>
  <c r="AF25" i="27"/>
  <c r="AF26" i="27" s="1"/>
  <c r="P52" i="27"/>
  <c r="M19" i="28" s="1"/>
  <c r="K52" i="27"/>
  <c r="AN25" i="27"/>
  <c r="AN26" i="27" s="1"/>
  <c r="AK6" i="28" s="1"/>
  <c r="AK7" i="28" s="1"/>
  <c r="AI25" i="27"/>
  <c r="AI26" i="27" s="1"/>
  <c r="AF6" i="28" s="1"/>
  <c r="AF7" i="28" s="1"/>
  <c r="AJ25" i="27"/>
  <c r="AJ26" i="27" s="1"/>
  <c r="AG6" i="28" s="1"/>
  <c r="AG7" i="28" s="1"/>
  <c r="J5" i="28"/>
  <c r="J14" i="28" s="1"/>
  <c r="P25" i="27"/>
  <c r="P26" i="27" s="1"/>
  <c r="M6" i="28" s="1"/>
  <c r="M7" i="28" s="1"/>
  <c r="R52" i="27"/>
  <c r="Q52" i="27"/>
  <c r="AG25" i="27"/>
  <c r="AG26" i="27" s="1"/>
  <c r="AD6" i="28" s="1"/>
  <c r="AD7" i="28" s="1"/>
  <c r="Q44" i="27"/>
  <c r="L25" i="27"/>
  <c r="L26" i="27" s="1"/>
  <c r="AO25" i="27"/>
  <c r="AO26" i="27" s="1"/>
  <c r="AL6" i="28" s="1"/>
  <c r="AL7" i="28" s="1"/>
  <c r="H52" i="27"/>
  <c r="E19" i="28" s="1"/>
  <c r="R44" i="27"/>
  <c r="M10" i="28"/>
  <c r="E65" i="27"/>
  <c r="D65" i="27"/>
  <c r="J52" i="27"/>
  <c r="G18" i="28" s="1"/>
  <c r="Q25" i="27"/>
  <c r="Q26" i="27" s="1"/>
  <c r="N6" i="28" s="1"/>
  <c r="N7" i="28" s="1"/>
  <c r="AL25" i="27"/>
  <c r="AL26" i="27" s="1"/>
  <c r="AI6" i="28" s="1"/>
  <c r="AI7" i="28" s="1"/>
  <c r="O25" i="27"/>
  <c r="O26" i="27" s="1"/>
  <c r="L6" i="28" s="1"/>
  <c r="L7" i="28" s="1"/>
  <c r="O10" i="28"/>
  <c r="V25" i="27"/>
  <c r="V26" i="27" s="1"/>
  <c r="I10" i="28"/>
  <c r="N10" i="28"/>
  <c r="L10" i="28"/>
  <c r="AN5" i="28"/>
  <c r="AN14" i="28" s="1"/>
  <c r="N44" i="27"/>
  <c r="AM5" i="28"/>
  <c r="AM14" i="28" s="1"/>
  <c r="Y5" i="28"/>
  <c r="Y14" i="28" s="1"/>
  <c r="N52" i="27"/>
  <c r="K19" i="28" s="1"/>
  <c r="AH25" i="27"/>
  <c r="AH26" i="27" s="1"/>
  <c r="AE6" i="28" s="1"/>
  <c r="AE7" i="28" s="1"/>
  <c r="V5" i="28"/>
  <c r="V14" i="28" s="1"/>
  <c r="K44" i="27"/>
  <c r="J44" i="27"/>
  <c r="C65" i="27"/>
  <c r="P44" i="27"/>
  <c r="H44" i="27"/>
  <c r="R25" i="27"/>
  <c r="R26" i="27" s="1"/>
  <c r="L51" i="27"/>
  <c r="L52" i="27" s="1"/>
  <c r="I51" i="27"/>
  <c r="I52" i="27" s="1"/>
  <c r="O51" i="27"/>
  <c r="O52" i="27" s="1"/>
  <c r="AJ64" i="28"/>
  <c r="S28" i="27"/>
  <c r="P1" i="11" s="1"/>
  <c r="D14" i="11" s="1"/>
  <c r="P25" i="11" s="1"/>
  <c r="AO25" i="11" s="1"/>
  <c r="BM3" i="11" s="1"/>
  <c r="AD30" i="27" s="1"/>
  <c r="AA9" i="28" s="1"/>
  <c r="K25" i="27"/>
  <c r="K26" i="27" s="1"/>
  <c r="H14" i="28"/>
  <c r="H10" i="28"/>
  <c r="AP28" i="27"/>
  <c r="AM1" i="11" s="1"/>
  <c r="M28" i="27"/>
  <c r="J1" i="11" s="1"/>
  <c r="D8" i="11" s="1"/>
  <c r="J31" i="11" s="1"/>
  <c r="X28" i="27"/>
  <c r="U1" i="11" s="1"/>
  <c r="D19" i="11" s="1"/>
  <c r="U30" i="11" s="1"/>
  <c r="Y28" i="27"/>
  <c r="V1" i="11" s="1"/>
  <c r="D20" i="11" s="1"/>
  <c r="V31" i="11" s="1"/>
  <c r="E7" i="28"/>
  <c r="E8" i="28" s="1"/>
  <c r="AC28" i="27"/>
  <c r="Z1" i="11" s="1"/>
  <c r="D24" i="11" s="1"/>
  <c r="Z35" i="11" s="1"/>
  <c r="Z6" i="28"/>
  <c r="W28" i="27"/>
  <c r="T1" i="11" s="1"/>
  <c r="D18" i="11" s="1"/>
  <c r="T29" i="11" s="1"/>
  <c r="T6" i="28"/>
  <c r="J28" i="27"/>
  <c r="G1" i="11" s="1"/>
  <c r="D5" i="11" s="1"/>
  <c r="G28" i="11" s="1"/>
  <c r="G6" i="28"/>
  <c r="G7" i="28" s="1"/>
  <c r="AM28" i="27"/>
  <c r="AJ1" i="11" s="1"/>
  <c r="AJ6" i="28"/>
  <c r="T28" i="27"/>
  <c r="Q1" i="11" s="1"/>
  <c r="D15" i="11" s="1"/>
  <c r="Q26" i="11" s="1"/>
  <c r="Q6" i="28"/>
  <c r="I26" i="27"/>
  <c r="O44" i="27"/>
  <c r="X27" i="11"/>
  <c r="L44" i="27"/>
  <c r="T23" i="11"/>
  <c r="H28" i="27"/>
  <c r="E1" i="11" s="1"/>
  <c r="N17" i="11"/>
  <c r="I44" i="27"/>
  <c r="AB28" i="27"/>
  <c r="Y1" i="11" s="1"/>
  <c r="D23" i="11" s="1"/>
  <c r="AQ28" i="27"/>
  <c r="AN1" i="11" s="1"/>
  <c r="R21" i="11"/>
  <c r="AG33" i="11"/>
  <c r="AG36" i="11"/>
  <c r="H18" i="28" l="1"/>
  <c r="H12" i="28"/>
  <c r="H26" i="28" s="1"/>
  <c r="H25" i="28" s="1"/>
  <c r="U28" i="27"/>
  <c r="R1" i="11" s="1"/>
  <c r="D16" i="11" s="1"/>
  <c r="R27" i="11" s="1"/>
  <c r="AE28" i="27"/>
  <c r="AB1" i="11" s="1"/>
  <c r="D26" i="11" s="1"/>
  <c r="AB37" i="11" s="1"/>
  <c r="AJ7" i="28"/>
  <c r="U7" i="28"/>
  <c r="Z7" i="28"/>
  <c r="J21" i="26"/>
  <c r="N28" i="27"/>
  <c r="K1" i="11" s="1"/>
  <c r="D9" i="11" s="1"/>
  <c r="K32" i="11" s="1"/>
  <c r="AG28" i="27"/>
  <c r="AD1" i="11" s="1"/>
  <c r="D28" i="11" s="1"/>
  <c r="T7" i="28"/>
  <c r="Z28" i="27"/>
  <c r="W1" i="11" s="1"/>
  <c r="D21" i="11" s="1"/>
  <c r="W32" i="11" s="1"/>
  <c r="AN28" i="27"/>
  <c r="AK1" i="11" s="1"/>
  <c r="P7" i="28"/>
  <c r="AK28" i="27"/>
  <c r="AH1" i="11" s="1"/>
  <c r="D32" i="11" s="1"/>
  <c r="AI28" i="27"/>
  <c r="AF1" i="11" s="1"/>
  <c r="D30" i="11" s="1"/>
  <c r="AA28" i="27"/>
  <c r="X1" i="11" s="1"/>
  <c r="D22" i="11" s="1"/>
  <c r="X33" i="11" s="1"/>
  <c r="K6" i="26"/>
  <c r="D12" i="29" s="1"/>
  <c r="AD28" i="27"/>
  <c r="AA1" i="11" s="1"/>
  <c r="D25" i="11" s="1"/>
  <c r="AA36" i="11" s="1"/>
  <c r="D14" i="28"/>
  <c r="B5" i="28"/>
  <c r="C10" i="29" s="1"/>
  <c r="AN7" i="28"/>
  <c r="J7" i="28"/>
  <c r="Y7" i="28"/>
  <c r="P28" i="27"/>
  <c r="M1" i="11" s="1"/>
  <c r="D11" i="11" s="1"/>
  <c r="M34" i="11" s="1"/>
  <c r="Q28" i="27"/>
  <c r="N1" i="11" s="1"/>
  <c r="D12" i="11" s="1"/>
  <c r="N23" i="11" s="1"/>
  <c r="AO23" i="11" s="1"/>
  <c r="BK3" i="11" s="1"/>
  <c r="B14" i="28"/>
  <c r="H19" i="28"/>
  <c r="M18" i="28"/>
  <c r="M12" i="28"/>
  <c r="M26" i="28" s="1"/>
  <c r="M25" i="28" s="1"/>
  <c r="K18" i="28"/>
  <c r="O18" i="28"/>
  <c r="O12" i="28"/>
  <c r="O26" i="28" s="1"/>
  <c r="O25" i="28" s="1"/>
  <c r="O19" i="28"/>
  <c r="N12" i="28"/>
  <c r="N26" i="28" s="1"/>
  <c r="N25" i="28" s="1"/>
  <c r="N19" i="28"/>
  <c r="N18" i="28"/>
  <c r="K12" i="28"/>
  <c r="K26" i="28" s="1"/>
  <c r="K25" i="28" s="1"/>
  <c r="V7" i="28"/>
  <c r="AJ28" i="27"/>
  <c r="AG1" i="11" s="1"/>
  <c r="D31" i="11" s="1"/>
  <c r="D5" i="28"/>
  <c r="E10" i="29" s="1"/>
  <c r="N6" i="29" s="1"/>
  <c r="E18" i="28"/>
  <c r="E12" i="28"/>
  <c r="E26" i="28" s="1"/>
  <c r="E25" i="28" s="1"/>
  <c r="O28" i="27"/>
  <c r="L1" i="11" s="1"/>
  <c r="D10" i="11" s="1"/>
  <c r="L33" i="11" s="1"/>
  <c r="C5" i="28"/>
  <c r="D10" i="29" s="1"/>
  <c r="M6" i="29" s="1"/>
  <c r="AM7" i="28"/>
  <c r="A65" i="27"/>
  <c r="G12" i="28"/>
  <c r="G26" i="28" s="1"/>
  <c r="G25" i="28" s="1"/>
  <c r="AL28" i="27"/>
  <c r="AI1" i="11" s="1"/>
  <c r="D33" i="11" s="1"/>
  <c r="G19" i="28"/>
  <c r="AO28" i="27"/>
  <c r="AL1" i="11" s="1"/>
  <c r="C14" i="28"/>
  <c r="AH28" i="27"/>
  <c r="AE1" i="11" s="1"/>
  <c r="D29" i="11" s="1"/>
  <c r="L19" i="28"/>
  <c r="L18" i="28"/>
  <c r="L12" i="28"/>
  <c r="L26" i="28" s="1"/>
  <c r="L25" i="28" s="1"/>
  <c r="F12" i="28"/>
  <c r="F26" i="28" s="1"/>
  <c r="F25" i="28" s="1"/>
  <c r="F18" i="28"/>
  <c r="F19" i="28"/>
  <c r="I19" i="28"/>
  <c r="I12" i="28"/>
  <c r="I26" i="28" s="1"/>
  <c r="I25" i="28" s="1"/>
  <c r="I18" i="28"/>
  <c r="AK64" i="28"/>
  <c r="P37" i="11"/>
  <c r="J19" i="11"/>
  <c r="AO19" i="11" s="1"/>
  <c r="BG3" i="11" s="1"/>
  <c r="X30" i="27" s="1"/>
  <c r="AO31" i="11"/>
  <c r="BS3" i="11" s="1"/>
  <c r="AJ30" i="27" s="1"/>
  <c r="AJ35" i="27" s="1"/>
  <c r="AJ42" i="27" s="1"/>
  <c r="AJ50" i="27" s="1"/>
  <c r="E16" i="28"/>
  <c r="E15" i="28"/>
  <c r="E24" i="28"/>
  <c r="G16" i="11"/>
  <c r="AO16" i="11" s="1"/>
  <c r="BD3" i="11" s="1"/>
  <c r="Q7" i="28"/>
  <c r="R28" i="27"/>
  <c r="O1" i="11" s="1"/>
  <c r="D13" i="11" s="1"/>
  <c r="O24" i="11" s="1"/>
  <c r="AO24" i="11" s="1"/>
  <c r="BL3" i="11" s="1"/>
  <c r="O6" i="28"/>
  <c r="O7" i="28" s="1"/>
  <c r="I28" i="27"/>
  <c r="F1" i="11" s="1"/>
  <c r="D4" i="11" s="1"/>
  <c r="F15" i="11" s="1"/>
  <c r="AO15" i="11" s="1"/>
  <c r="BC3" i="11" s="1"/>
  <c r="F6" i="28"/>
  <c r="L6" i="26"/>
  <c r="E12" i="29" s="1"/>
  <c r="AC6" i="28"/>
  <c r="S6" i="28"/>
  <c r="S7" i="28" s="1"/>
  <c r="Q38" i="11"/>
  <c r="K28" i="27"/>
  <c r="H1" i="11" s="1"/>
  <c r="D6" i="11" s="1"/>
  <c r="H17" i="11" s="1"/>
  <c r="AO17" i="11" s="1"/>
  <c r="BE3" i="11" s="1"/>
  <c r="H6" i="28"/>
  <c r="H7" i="28" s="1"/>
  <c r="L28" i="27"/>
  <c r="I1" i="11" s="1"/>
  <c r="D7" i="11" s="1"/>
  <c r="I18" i="11" s="1"/>
  <c r="AO18" i="11" s="1"/>
  <c r="BF3" i="11" s="1"/>
  <c r="I6" i="28"/>
  <c r="I7" i="28" s="1"/>
  <c r="V28" i="27"/>
  <c r="S1" i="11" s="1"/>
  <c r="D17" i="11" s="1"/>
  <c r="S28" i="11" s="1"/>
  <c r="AF28" i="27"/>
  <c r="AC1" i="11" s="1"/>
  <c r="D27" i="11" s="1"/>
  <c r="AC38" i="11" s="1"/>
  <c r="AD33" i="27"/>
  <c r="AD34" i="27"/>
  <c r="AD36" i="27"/>
  <c r="AA10" i="28" s="1"/>
  <c r="AD35" i="27"/>
  <c r="AD32" i="27"/>
  <c r="S22" i="11"/>
  <c r="H27" i="27"/>
  <c r="I27" i="27" s="1"/>
  <c r="J27" i="27" s="1"/>
  <c r="K27" i="27" s="1"/>
  <c r="L27" i="27" s="1"/>
  <c r="M27" i="27" s="1"/>
  <c r="N27" i="27" s="1"/>
  <c r="O27" i="27" s="1"/>
  <c r="P27" i="27" s="1"/>
  <c r="Q27" i="27" s="1"/>
  <c r="R27" i="27" s="1"/>
  <c r="S27" i="27" s="1"/>
  <c r="T27" i="27" s="1"/>
  <c r="U27" i="27" s="1"/>
  <c r="V27" i="27" s="1"/>
  <c r="W27" i="27" s="1"/>
  <c r="X27" i="27" s="1"/>
  <c r="Y27" i="27" s="1"/>
  <c r="Z27" i="27" s="1"/>
  <c r="AA27" i="27" s="1"/>
  <c r="AB27" i="27" s="1"/>
  <c r="AC27" i="27" s="1"/>
  <c r="AD27" i="27" s="1"/>
  <c r="AE27" i="27" s="1"/>
  <c r="AF27" i="27" s="1"/>
  <c r="AG27" i="27" s="1"/>
  <c r="AH27" i="27" s="1"/>
  <c r="AI27" i="27" s="1"/>
  <c r="AJ27" i="27" s="1"/>
  <c r="AK27" i="27" s="1"/>
  <c r="AL27" i="27" s="1"/>
  <c r="AM27" i="27" s="1"/>
  <c r="AN27" i="27" s="1"/>
  <c r="AO27" i="27" s="1"/>
  <c r="AP27" i="27" s="1"/>
  <c r="AQ27" i="27" s="1"/>
  <c r="J6" i="26"/>
  <c r="Y28" i="11"/>
  <c r="Y34" i="11"/>
  <c r="AH37" i="11"/>
  <c r="AH34" i="11"/>
  <c r="K20" i="11" l="1"/>
  <c r="C7" i="38"/>
  <c r="B10" i="41" s="1"/>
  <c r="D10" i="41" s="1"/>
  <c r="L6" i="29"/>
  <c r="N65" i="28"/>
  <c r="Q3" i="32"/>
  <c r="M65" i="28"/>
  <c r="P3" i="32"/>
  <c r="G65" i="28"/>
  <c r="J3" i="32"/>
  <c r="J4" i="32" s="1"/>
  <c r="K65" i="28"/>
  <c r="N3" i="32"/>
  <c r="I65" i="28"/>
  <c r="L3" i="32"/>
  <c r="O65" i="28"/>
  <c r="R3" i="32"/>
  <c r="J65" i="28"/>
  <c r="M3" i="32"/>
  <c r="P65" i="28"/>
  <c r="S3" i="32"/>
  <c r="H27" i="28"/>
  <c r="H65" i="28"/>
  <c r="K3" i="32"/>
  <c r="Q65" i="28"/>
  <c r="T3" i="32"/>
  <c r="AO33" i="11"/>
  <c r="BU3" i="11" s="1"/>
  <c r="AL30" i="27" s="1"/>
  <c r="AL35" i="27" s="1"/>
  <c r="H43" i="28"/>
  <c r="H44" i="28" s="1"/>
  <c r="H53" i="28" s="1"/>
  <c r="H51" i="28"/>
  <c r="M22" i="11"/>
  <c r="AO22" i="11" s="1"/>
  <c r="BJ3" i="11" s="1"/>
  <c r="N51" i="28"/>
  <c r="N43" i="28"/>
  <c r="N44" i="28" s="1"/>
  <c r="N53" i="28" s="1"/>
  <c r="N27" i="28"/>
  <c r="E27" i="28"/>
  <c r="E28" i="28" s="1"/>
  <c r="E67" i="28" s="1"/>
  <c r="L21" i="11"/>
  <c r="AO21" i="11" s="1"/>
  <c r="BI3" i="11" s="1"/>
  <c r="Z30" i="27" s="1"/>
  <c r="W9" i="28" s="1"/>
  <c r="K27" i="28"/>
  <c r="N35" i="11"/>
  <c r="K51" i="28"/>
  <c r="M27" i="28"/>
  <c r="M51" i="28"/>
  <c r="K43" i="28"/>
  <c r="K44" i="28" s="1"/>
  <c r="K68" i="28" s="1"/>
  <c r="O43" i="28"/>
  <c r="O44" i="28" s="1"/>
  <c r="O53" i="28" s="1"/>
  <c r="O27" i="28"/>
  <c r="O51" i="28"/>
  <c r="M43" i="28"/>
  <c r="M44" i="28" s="1"/>
  <c r="M53" i="28" s="1"/>
  <c r="E43" i="28"/>
  <c r="E44" i="28" s="1"/>
  <c r="E51" i="28"/>
  <c r="G43" i="28"/>
  <c r="G44" i="28" s="1"/>
  <c r="G53" i="28" s="1"/>
  <c r="G27" i="28"/>
  <c r="G51" i="28"/>
  <c r="I43" i="28"/>
  <c r="I44" i="28" s="1"/>
  <c r="I68" i="28" s="1"/>
  <c r="J7" i="26"/>
  <c r="K7" i="26" s="1"/>
  <c r="L7" i="26" s="1"/>
  <c r="C12" i="29"/>
  <c r="I27" i="28"/>
  <c r="F43" i="28"/>
  <c r="F44" i="28" s="1"/>
  <c r="F68" i="28" s="1"/>
  <c r="F27" i="28"/>
  <c r="I51" i="28"/>
  <c r="F51" i="28"/>
  <c r="L27" i="28"/>
  <c r="L51" i="28"/>
  <c r="L43" i="28"/>
  <c r="L44" i="28" s="1"/>
  <c r="L53" i="28" s="1"/>
  <c r="AL64" i="28"/>
  <c r="AJ34" i="27"/>
  <c r="AJ41" i="27" s="1"/>
  <c r="AJ49" i="27" s="1"/>
  <c r="AJ36" i="27"/>
  <c r="AJ43" i="27" s="1"/>
  <c r="AJ51" i="27" s="1"/>
  <c r="AJ32" i="27"/>
  <c r="AJ39" i="27" s="1"/>
  <c r="AJ47" i="27" s="1"/>
  <c r="AJ33" i="27"/>
  <c r="AJ72" i="27" s="1"/>
  <c r="AG9" i="28"/>
  <c r="AG10" i="28" s="1"/>
  <c r="AJ74" i="27"/>
  <c r="X32" i="27"/>
  <c r="X39" i="27" s="1"/>
  <c r="X47" i="27" s="1"/>
  <c r="U9" i="28"/>
  <c r="E20" i="28"/>
  <c r="E66" i="28" s="1"/>
  <c r="X34" i="27"/>
  <c r="X41" i="27" s="1"/>
  <c r="X49" i="27" s="1"/>
  <c r="H29" i="11"/>
  <c r="AO29" i="11" s="1"/>
  <c r="BQ3" i="11" s="1"/>
  <c r="X33" i="27"/>
  <c r="X40" i="27" s="1"/>
  <c r="X48" i="27" s="1"/>
  <c r="X36" i="27"/>
  <c r="U30" i="27"/>
  <c r="O36" i="11"/>
  <c r="X35" i="27"/>
  <c r="X74" i="27" s="1"/>
  <c r="I30" i="11"/>
  <c r="AO30" i="11" s="1"/>
  <c r="BR3" i="11" s="1"/>
  <c r="F27" i="11"/>
  <c r="AO27" i="11" s="1"/>
  <c r="BO3" i="11" s="1"/>
  <c r="AC7" i="28"/>
  <c r="D7" i="28" s="1"/>
  <c r="D6" i="28"/>
  <c r="C6" i="28"/>
  <c r="F7" i="28"/>
  <c r="F8" i="28" s="1"/>
  <c r="F16" i="28" s="1"/>
  <c r="B6" i="28"/>
  <c r="C7" i="28"/>
  <c r="AD43" i="27"/>
  <c r="AD51" i="27" s="1"/>
  <c r="AD75" i="27"/>
  <c r="AD42" i="27"/>
  <c r="AD50" i="27" s="1"/>
  <c r="AD74" i="27"/>
  <c r="AD41" i="27"/>
  <c r="AD49" i="27" s="1"/>
  <c r="AD73" i="27"/>
  <c r="AD39" i="27"/>
  <c r="AD47" i="27" s="1"/>
  <c r="AD71" i="27"/>
  <c r="AD40" i="27"/>
  <c r="AD48" i="27" s="1"/>
  <c r="AD72" i="27"/>
  <c r="T30" i="27"/>
  <c r="AB30" i="27"/>
  <c r="AO28" i="11"/>
  <c r="BP3" i="11" s="1"/>
  <c r="AG30" i="27" s="1"/>
  <c r="AD9" i="28" s="1"/>
  <c r="V30" i="27"/>
  <c r="S9" i="28" s="1"/>
  <c r="W30" i="27"/>
  <c r="T9" i="28" s="1"/>
  <c r="AC30" i="27"/>
  <c r="Z9" i="28" s="1"/>
  <c r="AO34" i="11"/>
  <c r="BV3" i="11" s="1"/>
  <c r="AM30" i="27" s="1"/>
  <c r="AI35" i="11"/>
  <c r="AI38" i="11"/>
  <c r="D34" i="11"/>
  <c r="AJ36" i="11" s="1"/>
  <c r="G7" i="38" l="1"/>
  <c r="F12" i="29" s="1"/>
  <c r="F10" i="29"/>
  <c r="E46" i="28"/>
  <c r="E47" i="28" s="1"/>
  <c r="AI9" i="28"/>
  <c r="AI10" i="28" s="1"/>
  <c r="AL33" i="27"/>
  <c r="AL40" i="27" s="1"/>
  <c r="AL48" i="27" s="1"/>
  <c r="AL32" i="27"/>
  <c r="AL39" i="27" s="1"/>
  <c r="AL47" i="27" s="1"/>
  <c r="AL34" i="27"/>
  <c r="AL41" i="27" s="1"/>
  <c r="AL49" i="27" s="1"/>
  <c r="Z32" i="27"/>
  <c r="Z39" i="27" s="1"/>
  <c r="Z47" i="27" s="1"/>
  <c r="Z34" i="27"/>
  <c r="Z73" i="27" s="1"/>
  <c r="AL36" i="27"/>
  <c r="AL43" i="27" s="1"/>
  <c r="AL51" i="27" s="1"/>
  <c r="Z33" i="27"/>
  <c r="Z40" i="27" s="1"/>
  <c r="Z48" i="27" s="1"/>
  <c r="Z36" i="27"/>
  <c r="W10" i="28" s="1"/>
  <c r="H68" i="28"/>
  <c r="Z35" i="27"/>
  <c r="Z42" i="27" s="1"/>
  <c r="Z50" i="27" s="1"/>
  <c r="O68" i="28"/>
  <c r="N68" i="28"/>
  <c r="AO35" i="11"/>
  <c r="BW3" i="11" s="1"/>
  <c r="AN30" i="27" s="1"/>
  <c r="AK9" i="28" s="1"/>
  <c r="K53" i="28"/>
  <c r="M68" i="28"/>
  <c r="G68" i="28"/>
  <c r="I53" i="28"/>
  <c r="F53" i="28"/>
  <c r="L68" i="28"/>
  <c r="K4" i="32"/>
  <c r="L4" i="32" s="1"/>
  <c r="M4" i="32" s="1"/>
  <c r="N4" i="32" s="1"/>
  <c r="E53" i="28"/>
  <c r="E68" i="28"/>
  <c r="AM64" i="28"/>
  <c r="AJ40" i="27"/>
  <c r="AJ48" i="27" s="1"/>
  <c r="AJ52" i="27" s="1"/>
  <c r="AJ75" i="27"/>
  <c r="AJ71" i="27"/>
  <c r="AJ73" i="27"/>
  <c r="E52" i="28"/>
  <c r="U10" i="28"/>
  <c r="X71" i="27"/>
  <c r="AM33" i="27"/>
  <c r="AM72" i="27" s="1"/>
  <c r="AJ9" i="28"/>
  <c r="U33" i="27"/>
  <c r="U40" i="27" s="1"/>
  <c r="U48" i="27" s="1"/>
  <c r="R9" i="28"/>
  <c r="T35" i="27"/>
  <c r="T42" i="27" s="1"/>
  <c r="T50" i="27" s="1"/>
  <c r="Q9" i="28"/>
  <c r="AB34" i="27"/>
  <c r="AB41" i="27" s="1"/>
  <c r="AB49" i="27" s="1"/>
  <c r="Y9" i="28"/>
  <c r="X73" i="27"/>
  <c r="F15" i="28"/>
  <c r="G8" i="28"/>
  <c r="G16" i="28" s="1"/>
  <c r="F24" i="28"/>
  <c r="B7" i="28"/>
  <c r="AA30" i="27"/>
  <c r="X72" i="27"/>
  <c r="AO36" i="11"/>
  <c r="BX3" i="11" s="1"/>
  <c r="AO30" i="27" s="1"/>
  <c r="X75" i="27"/>
  <c r="AH30" i="27"/>
  <c r="X43" i="27"/>
  <c r="X51" i="27" s="1"/>
  <c r="AF30" i="27"/>
  <c r="U32" i="27"/>
  <c r="U39" i="27" s="1"/>
  <c r="U47" i="27" s="1"/>
  <c r="AI30" i="27"/>
  <c r="U36" i="27"/>
  <c r="U34" i="27"/>
  <c r="U41" i="27" s="1"/>
  <c r="U49" i="27" s="1"/>
  <c r="U35" i="27"/>
  <c r="U74" i="27" s="1"/>
  <c r="X42" i="27"/>
  <c r="X50" i="27" s="1"/>
  <c r="T36" i="27"/>
  <c r="AD44" i="27"/>
  <c r="AD52" i="27"/>
  <c r="T34" i="27"/>
  <c r="T33" i="27"/>
  <c r="AD76" i="27"/>
  <c r="T32" i="27"/>
  <c r="AL42" i="27"/>
  <c r="AL50" i="27" s="1"/>
  <c r="AL74" i="27"/>
  <c r="AB35" i="27"/>
  <c r="AB33" i="27"/>
  <c r="AB36" i="27"/>
  <c r="AB32" i="27"/>
  <c r="AC36" i="27"/>
  <c r="Z10" i="28" s="1"/>
  <c r="AC34" i="27"/>
  <c r="AC35" i="27"/>
  <c r="AC32" i="27"/>
  <c r="AC33" i="27"/>
  <c r="AM34" i="27"/>
  <c r="AM35" i="27"/>
  <c r="AM32" i="27"/>
  <c r="V32" i="27"/>
  <c r="V36" i="27"/>
  <c r="S10" i="28" s="1"/>
  <c r="V35" i="27"/>
  <c r="V33" i="27"/>
  <c r="V34" i="27"/>
  <c r="AM36" i="27"/>
  <c r="W33" i="27"/>
  <c r="W34" i="27"/>
  <c r="W36" i="27"/>
  <c r="T10" i="28" s="1"/>
  <c r="W35" i="27"/>
  <c r="W32" i="27"/>
  <c r="AG32" i="27"/>
  <c r="AG33" i="27"/>
  <c r="AG34" i="27"/>
  <c r="AG35" i="27"/>
  <c r="AG36" i="27"/>
  <c r="AD10" i="28" s="1"/>
  <c r="D35" i="11"/>
  <c r="AK37" i="11" s="1"/>
  <c r="AO37" i="11" s="1"/>
  <c r="BY3" i="11" s="1"/>
  <c r="AP30" i="27" s="1"/>
  <c r="AM9" i="28" s="1"/>
  <c r="O16" i="29" l="1"/>
  <c r="E69" i="28"/>
  <c r="E70" i="28" s="1"/>
  <c r="E71" i="28" s="1"/>
  <c r="AL72" i="27"/>
  <c r="Z43" i="27"/>
  <c r="Z51" i="27" s="1"/>
  <c r="AL73" i="27"/>
  <c r="Z72" i="27"/>
  <c r="AL71" i="27"/>
  <c r="Z75" i="27"/>
  <c r="Z41" i="27"/>
  <c r="Z49" i="27" s="1"/>
  <c r="Z71" i="27"/>
  <c r="Z74" i="27"/>
  <c r="AL75" i="27"/>
  <c r="AN32" i="27"/>
  <c r="AN39" i="27" s="1"/>
  <c r="AN47" i="27" s="1"/>
  <c r="AN34" i="27"/>
  <c r="AN73" i="27" s="1"/>
  <c r="AN33" i="27"/>
  <c r="AN40" i="27" s="1"/>
  <c r="AN48" i="27" s="1"/>
  <c r="AN36" i="27"/>
  <c r="AK10" i="28" s="1"/>
  <c r="AN35" i="27"/>
  <c r="AN42" i="27" s="1"/>
  <c r="AN50" i="27" s="1"/>
  <c r="AN64" i="28"/>
  <c r="AJ44" i="27"/>
  <c r="AB73" i="27"/>
  <c r="AJ76" i="27"/>
  <c r="E50" i="28"/>
  <c r="E56" i="28"/>
  <c r="AJ10" i="28"/>
  <c r="Y10" i="28"/>
  <c r="U72" i="27"/>
  <c r="AM40" i="27"/>
  <c r="AM48" i="27" s="1"/>
  <c r="R10" i="28"/>
  <c r="T74" i="27"/>
  <c r="AI33" i="27"/>
  <c r="AI72" i="27" s="1"/>
  <c r="AF9" i="28"/>
  <c r="AA35" i="27"/>
  <c r="AA74" i="27" s="1"/>
  <c r="X9" i="28"/>
  <c r="AF32" i="27"/>
  <c r="AF39" i="27" s="1"/>
  <c r="AF47" i="27" s="1"/>
  <c r="AC9" i="28"/>
  <c r="AH34" i="27"/>
  <c r="AH41" i="27" s="1"/>
  <c r="AH49" i="27" s="1"/>
  <c r="AE9" i="28"/>
  <c r="AO36" i="27"/>
  <c r="AL9" i="28"/>
  <c r="AH36" i="27"/>
  <c r="AO35" i="27"/>
  <c r="AO74" i="27" s="1"/>
  <c r="AF35" i="27"/>
  <c r="AF42" i="27" s="1"/>
  <c r="AF50" i="27" s="1"/>
  <c r="AF34" i="27"/>
  <c r="AF73" i="27" s="1"/>
  <c r="H8" i="28"/>
  <c r="H16" i="28" s="1"/>
  <c r="G15" i="28"/>
  <c r="G20" i="28" s="1"/>
  <c r="G66" i="28" s="1"/>
  <c r="G24" i="28"/>
  <c r="X76" i="27"/>
  <c r="F20" i="28"/>
  <c r="F66" i="28" s="1"/>
  <c r="AO34" i="27"/>
  <c r="AO41" i="27" s="1"/>
  <c r="AO49" i="27" s="1"/>
  <c r="AO33" i="27"/>
  <c r="AO72" i="27" s="1"/>
  <c r="AO32" i="27"/>
  <c r="AO71" i="27" s="1"/>
  <c r="AH32" i="27"/>
  <c r="AH39" i="27" s="1"/>
  <c r="AH47" i="27" s="1"/>
  <c r="AH33" i="27"/>
  <c r="AH40" i="27" s="1"/>
  <c r="AH48" i="27" s="1"/>
  <c r="AA36" i="27"/>
  <c r="AA32" i="27"/>
  <c r="AA71" i="27" s="1"/>
  <c r="AI36" i="27"/>
  <c r="AA34" i="27"/>
  <c r="AA41" i="27" s="1"/>
  <c r="AA49" i="27" s="1"/>
  <c r="AI34" i="27"/>
  <c r="AI41" i="27" s="1"/>
  <c r="AI49" i="27" s="1"/>
  <c r="AA33" i="27"/>
  <c r="AA40" i="27" s="1"/>
  <c r="AA48" i="27" s="1"/>
  <c r="AI35" i="27"/>
  <c r="AI42" i="27" s="1"/>
  <c r="AI50" i="27" s="1"/>
  <c r="AI32" i="27"/>
  <c r="AI39" i="27" s="1"/>
  <c r="AI47" i="27" s="1"/>
  <c r="AH35" i="27"/>
  <c r="AH42" i="27" s="1"/>
  <c r="AH50" i="27" s="1"/>
  <c r="AF36" i="27"/>
  <c r="AF33" i="27"/>
  <c r="AF72" i="27" s="1"/>
  <c r="U71" i="27"/>
  <c r="U73" i="27"/>
  <c r="X52" i="27"/>
  <c r="U18" i="28" s="1"/>
  <c r="AG12" i="28"/>
  <c r="AG26" i="28" s="1"/>
  <c r="AG25" i="28" s="1"/>
  <c r="AG18" i="28"/>
  <c r="AG19" i="28"/>
  <c r="AA12" i="28"/>
  <c r="AA26" i="28" s="1"/>
  <c r="AA25" i="28" s="1"/>
  <c r="AA18" i="28"/>
  <c r="AA19" i="28"/>
  <c r="U42" i="27"/>
  <c r="U50" i="27" s="1"/>
  <c r="U75" i="27"/>
  <c r="U43" i="27"/>
  <c r="U51" i="27" s="1"/>
  <c r="X44" i="27"/>
  <c r="Q10" i="28"/>
  <c r="T75" i="27"/>
  <c r="T43" i="27"/>
  <c r="T51" i="27" s="1"/>
  <c r="AL52" i="27"/>
  <c r="AG40" i="27"/>
  <c r="AG48" i="27" s="1"/>
  <c r="AG72" i="27"/>
  <c r="AB40" i="27"/>
  <c r="AB48" i="27" s="1"/>
  <c r="AB72" i="27"/>
  <c r="AG41" i="27"/>
  <c r="AG49" i="27" s="1"/>
  <c r="AG73" i="27"/>
  <c r="AC41" i="27"/>
  <c r="AC49" i="27" s="1"/>
  <c r="AC73" i="27"/>
  <c r="AC43" i="27"/>
  <c r="AC51" i="27" s="1"/>
  <c r="AC75" i="27"/>
  <c r="AG39" i="27"/>
  <c r="AG47" i="27" s="1"/>
  <c r="AG71" i="27"/>
  <c r="V43" i="27"/>
  <c r="V51" i="27" s="1"/>
  <c r="V75" i="27"/>
  <c r="AM39" i="27"/>
  <c r="AM47" i="27" s="1"/>
  <c r="AM71" i="27"/>
  <c r="AB42" i="27"/>
  <c r="AB50" i="27" s="1"/>
  <c r="AB74" i="27"/>
  <c r="W40" i="27"/>
  <c r="W48" i="27" s="1"/>
  <c r="W72" i="27"/>
  <c r="V39" i="27"/>
  <c r="V47" i="27" s="1"/>
  <c r="V71" i="27"/>
  <c r="W39" i="27"/>
  <c r="W47" i="27" s="1"/>
  <c r="W71" i="27"/>
  <c r="AM42" i="27"/>
  <c r="AM50" i="27" s="1"/>
  <c r="AM74" i="27"/>
  <c r="T40" i="27"/>
  <c r="T48" i="27" s="1"/>
  <c r="T72" i="27"/>
  <c r="AM43" i="27"/>
  <c r="AM51" i="27" s="1"/>
  <c r="AM75" i="27"/>
  <c r="AC40" i="27"/>
  <c r="AC48" i="27" s="1"/>
  <c r="AC72" i="27"/>
  <c r="AB39" i="27"/>
  <c r="AB47" i="27" s="1"/>
  <c r="AB71" i="27"/>
  <c r="T39" i="27"/>
  <c r="T71" i="27"/>
  <c r="V40" i="27"/>
  <c r="V48" i="27" s="1"/>
  <c r="V72" i="27"/>
  <c r="T41" i="27"/>
  <c r="T49" i="27" s="1"/>
  <c r="T73" i="27"/>
  <c r="W42" i="27"/>
  <c r="W50" i="27" s="1"/>
  <c r="W74" i="27"/>
  <c r="AG43" i="27"/>
  <c r="AG51" i="27" s="1"/>
  <c r="AG75" i="27"/>
  <c r="W43" i="27"/>
  <c r="W51" i="27" s="1"/>
  <c r="W75" i="27"/>
  <c r="AM41" i="27"/>
  <c r="AM49" i="27" s="1"/>
  <c r="AM73" i="27"/>
  <c r="AC39" i="27"/>
  <c r="AC47" i="27" s="1"/>
  <c r="AC71" i="27"/>
  <c r="AL44" i="27"/>
  <c r="V42" i="27"/>
  <c r="V50" i="27" s="1"/>
  <c r="V74" i="27"/>
  <c r="AG42" i="27"/>
  <c r="AG50" i="27" s="1"/>
  <c r="AG74" i="27"/>
  <c r="W41" i="27"/>
  <c r="W49" i="27" s="1"/>
  <c r="W73" i="27"/>
  <c r="V41" i="27"/>
  <c r="V49" i="27" s="1"/>
  <c r="V73" i="27"/>
  <c r="AC42" i="27"/>
  <c r="AC50" i="27" s="1"/>
  <c r="AC74" i="27"/>
  <c r="AB43" i="27"/>
  <c r="AB51" i="27" s="1"/>
  <c r="AB75" i="27"/>
  <c r="AP33" i="27"/>
  <c r="AP36" i="27"/>
  <c r="AM10" i="28" s="1"/>
  <c r="AP32" i="27"/>
  <c r="AP34" i="27"/>
  <c r="AP35" i="27"/>
  <c r="D36" i="11"/>
  <c r="AL38" i="11" s="1"/>
  <c r="O15" i="29" l="1"/>
  <c r="Z52" i="27"/>
  <c r="W18" i="28" s="1"/>
  <c r="AN72" i="27"/>
  <c r="Z44" i="27"/>
  <c r="AL76" i="27"/>
  <c r="AN41" i="27"/>
  <c r="AN49" i="27" s="1"/>
  <c r="AN71" i="27"/>
  <c r="Z76" i="27"/>
  <c r="AN74" i="27"/>
  <c r="AN43" i="27"/>
  <c r="AN51" i="27" s="1"/>
  <c r="AN75" i="27"/>
  <c r="AA51" i="28"/>
  <c r="AC65" i="28"/>
  <c r="AG51" i="28"/>
  <c r="AI65" i="28"/>
  <c r="AI40" i="27"/>
  <c r="AI48" i="27" s="1"/>
  <c r="AA42" i="27"/>
  <c r="AA50" i="27" s="1"/>
  <c r="AO39" i="27"/>
  <c r="AO47" i="27" s="1"/>
  <c r="AF71" i="27"/>
  <c r="AF10" i="28"/>
  <c r="AH73" i="27"/>
  <c r="AL10" i="28"/>
  <c r="AO43" i="27"/>
  <c r="AO51" i="27" s="1"/>
  <c r="AO75" i="27"/>
  <c r="AC10" i="28"/>
  <c r="X10" i="28"/>
  <c r="AE10" i="28"/>
  <c r="AO42" i="27"/>
  <c r="AO50" i="27" s="1"/>
  <c r="AH71" i="27"/>
  <c r="AH75" i="27"/>
  <c r="AH43" i="27"/>
  <c r="AH51" i="27" s="1"/>
  <c r="AH52" i="27" s="1"/>
  <c r="AA72" i="27"/>
  <c r="AI71" i="27"/>
  <c r="AF74" i="27"/>
  <c r="AF41" i="27"/>
  <c r="AF49" i="27" s="1"/>
  <c r="AF43" i="27"/>
  <c r="AF51" i="27" s="1"/>
  <c r="AA43" i="27"/>
  <c r="AA51" i="27" s="1"/>
  <c r="AA75" i="27"/>
  <c r="AH72" i="27"/>
  <c r="AA39" i="27"/>
  <c r="AA47" i="27" s="1"/>
  <c r="AO73" i="27"/>
  <c r="AA73" i="27"/>
  <c r="AI75" i="27"/>
  <c r="AO40" i="27"/>
  <c r="AO48" i="27" s="1"/>
  <c r="AI73" i="27"/>
  <c r="AI43" i="27"/>
  <c r="AI51" i="27" s="1"/>
  <c r="I8" i="28"/>
  <c r="I16" i="28" s="1"/>
  <c r="H15" i="28"/>
  <c r="H24" i="28"/>
  <c r="AI74" i="27"/>
  <c r="AF40" i="27"/>
  <c r="AF48" i="27" s="1"/>
  <c r="AG27" i="28"/>
  <c r="AG43" i="28"/>
  <c r="AG44" i="28" s="1"/>
  <c r="AF75" i="27"/>
  <c r="AA27" i="28"/>
  <c r="AA43" i="28"/>
  <c r="AA44" i="28" s="1"/>
  <c r="U12" i="28"/>
  <c r="U26" i="28" s="1"/>
  <c r="U25" i="28" s="1"/>
  <c r="AH74" i="27"/>
  <c r="U19" i="28"/>
  <c r="U76" i="27"/>
  <c r="U52" i="27"/>
  <c r="R19" i="28" s="1"/>
  <c r="U44" i="27"/>
  <c r="AI12" i="28"/>
  <c r="AI26" i="28" s="1"/>
  <c r="AI25" i="28" s="1"/>
  <c r="AI18" i="28"/>
  <c r="AI19" i="28"/>
  <c r="AC44" i="27"/>
  <c r="AC52" i="27"/>
  <c r="W52" i="27"/>
  <c r="AG52" i="27"/>
  <c r="AB76" i="27"/>
  <c r="V52" i="27"/>
  <c r="W44" i="27"/>
  <c r="AM76" i="27"/>
  <c r="AB52" i="27"/>
  <c r="T76" i="27"/>
  <c r="V44" i="27"/>
  <c r="AG44" i="27"/>
  <c r="AG76" i="27"/>
  <c r="AP41" i="27"/>
  <c r="AP49" i="27" s="1"/>
  <c r="AP73" i="27"/>
  <c r="AC76" i="27"/>
  <c r="W76" i="27"/>
  <c r="AP42" i="27"/>
  <c r="AP50" i="27" s="1"/>
  <c r="AP74" i="27"/>
  <c r="AP43" i="27"/>
  <c r="AP51" i="27" s="1"/>
  <c r="AP75" i="27"/>
  <c r="AM44" i="27"/>
  <c r="AB44" i="27"/>
  <c r="V76" i="27"/>
  <c r="AP40" i="27"/>
  <c r="AP48" i="27" s="1"/>
  <c r="AP72" i="27"/>
  <c r="AP39" i="27"/>
  <c r="AP47" i="27" s="1"/>
  <c r="AP71" i="27"/>
  <c r="T47" i="27"/>
  <c r="T52" i="27" s="1"/>
  <c r="T44" i="27"/>
  <c r="AM52" i="27"/>
  <c r="D37" i="11"/>
  <c r="W12" i="28" l="1"/>
  <c r="W19" i="28"/>
  <c r="AN52" i="27"/>
  <c r="AN44" i="27"/>
  <c r="AN76" i="27"/>
  <c r="AI52" i="27"/>
  <c r="AI51" i="28"/>
  <c r="AK65" i="28"/>
  <c r="AA53" i="28"/>
  <c r="AA68" i="28"/>
  <c r="AG53" i="28"/>
  <c r="AG68" i="28"/>
  <c r="U51" i="28"/>
  <c r="W65" i="28"/>
  <c r="AO76" i="27"/>
  <c r="AO52" i="27"/>
  <c r="AL19" i="28" s="1"/>
  <c r="AA52" i="27"/>
  <c r="X12" i="28" s="1"/>
  <c r="X26" i="28" s="1"/>
  <c r="X25" i="28" s="1"/>
  <c r="AH44" i="27"/>
  <c r="AH76" i="27"/>
  <c r="AA76" i="27"/>
  <c r="AF76" i="27"/>
  <c r="AF52" i="27"/>
  <c r="AA44" i="27"/>
  <c r="AI44" i="27"/>
  <c r="AF44" i="27"/>
  <c r="AI76" i="27"/>
  <c r="AO44" i="27"/>
  <c r="H20" i="28"/>
  <c r="H66" i="28" s="1"/>
  <c r="J8" i="28"/>
  <c r="J16" i="28" s="1"/>
  <c r="I24" i="28"/>
  <c r="I15" i="28"/>
  <c r="I20" i="28" s="1"/>
  <c r="I66" i="28" s="1"/>
  <c r="U27" i="28"/>
  <c r="U43" i="28"/>
  <c r="U44" i="28" s="1"/>
  <c r="AI27" i="28"/>
  <c r="AI43" i="28"/>
  <c r="AI44" i="28" s="1"/>
  <c r="R18" i="28"/>
  <c r="R12" i="28"/>
  <c r="R26" i="28" s="1"/>
  <c r="R25" i="28" s="1"/>
  <c r="AJ19" i="28"/>
  <c r="AJ18" i="28"/>
  <c r="AJ12" i="28"/>
  <c r="AJ26" i="28" s="1"/>
  <c r="AJ25" i="28" s="1"/>
  <c r="T19" i="28"/>
  <c r="T12" i="28"/>
  <c r="T26" i="28" s="1"/>
  <c r="T25" i="28" s="1"/>
  <c r="T18" i="28"/>
  <c r="Y12" i="28"/>
  <c r="Y26" i="28" s="1"/>
  <c r="Y25" i="28" s="1"/>
  <c r="Y18" i="28"/>
  <c r="Y19" i="28"/>
  <c r="AD19" i="28"/>
  <c r="AD12" i="28"/>
  <c r="AD26" i="28" s="1"/>
  <c r="AD25" i="28" s="1"/>
  <c r="AD18" i="28"/>
  <c r="Z12" i="28"/>
  <c r="Z26" i="28" s="1"/>
  <c r="Z25" i="28" s="1"/>
  <c r="Z18" i="28"/>
  <c r="Z19" i="28"/>
  <c r="AE18" i="28"/>
  <c r="AE19" i="28"/>
  <c r="AE12" i="28"/>
  <c r="AE26" i="28" s="1"/>
  <c r="AE25" i="28" s="1"/>
  <c r="Q12" i="28"/>
  <c r="Q26" i="28" s="1"/>
  <c r="Q25" i="28" s="1"/>
  <c r="Q18" i="28"/>
  <c r="Q19" i="28"/>
  <c r="S12" i="28"/>
  <c r="S26" i="28" s="1"/>
  <c r="S25" i="28" s="1"/>
  <c r="S18" i="28"/>
  <c r="S19" i="28"/>
  <c r="AP76" i="27"/>
  <c r="AP44" i="27"/>
  <c r="AP52" i="27"/>
  <c r="W43" i="28" l="1"/>
  <c r="W44" i="28" s="1"/>
  <c r="W68" i="28" s="1"/>
  <c r="W26" i="28"/>
  <c r="W25" i="28" s="1"/>
  <c r="Y65" i="28"/>
  <c r="W27" i="28"/>
  <c r="W51" i="28"/>
  <c r="AK18" i="28"/>
  <c r="AK12" i="28"/>
  <c r="AK19" i="28"/>
  <c r="AF18" i="28"/>
  <c r="AF12" i="28"/>
  <c r="AF19" i="28"/>
  <c r="T51" i="28"/>
  <c r="V65" i="28"/>
  <c r="R51" i="28"/>
  <c r="T65" i="28"/>
  <c r="S51" i="28"/>
  <c r="U65" i="28"/>
  <c r="X51" i="28"/>
  <c r="Z65" i="28"/>
  <c r="Z51" i="28"/>
  <c r="AB65" i="28"/>
  <c r="AI53" i="28"/>
  <c r="AI68" i="28"/>
  <c r="Y51" i="28"/>
  <c r="AA65" i="28"/>
  <c r="AJ51" i="28"/>
  <c r="AL65" i="28"/>
  <c r="AE51" i="28"/>
  <c r="AG65" i="28"/>
  <c r="AD51" i="28"/>
  <c r="AF65" i="28"/>
  <c r="U53" i="28"/>
  <c r="U68" i="28"/>
  <c r="Q51" i="28"/>
  <c r="S65" i="28"/>
  <c r="AL12" i="28"/>
  <c r="AL26" i="28" s="1"/>
  <c r="AL25" i="28" s="1"/>
  <c r="AL18" i="28"/>
  <c r="X18" i="28"/>
  <c r="X19" i="28"/>
  <c r="AC12" i="28"/>
  <c r="AC26" i="28" s="1"/>
  <c r="AC25" i="28" s="1"/>
  <c r="AC19" i="28"/>
  <c r="AC18" i="28"/>
  <c r="K8" i="28"/>
  <c r="K16" i="28" s="1"/>
  <c r="J24" i="28"/>
  <c r="J15" i="28"/>
  <c r="Q43" i="28"/>
  <c r="S27" i="28"/>
  <c r="S43" i="28"/>
  <c r="S44" i="28" s="1"/>
  <c r="Y27" i="28"/>
  <c r="Y43" i="28"/>
  <c r="Y44" i="28" s="1"/>
  <c r="AD27" i="28"/>
  <c r="AD43" i="28"/>
  <c r="AD44" i="28" s="1"/>
  <c r="AE27" i="28"/>
  <c r="AE43" i="28"/>
  <c r="AE44" i="28" s="1"/>
  <c r="T27" i="28"/>
  <c r="T43" i="28"/>
  <c r="T44" i="28" s="1"/>
  <c r="AJ27" i="28"/>
  <c r="AJ43" i="28"/>
  <c r="AJ44" i="28" s="1"/>
  <c r="X27" i="28"/>
  <c r="X43" i="28"/>
  <c r="X44" i="28" s="1"/>
  <c r="Z27" i="28"/>
  <c r="Z43" i="28"/>
  <c r="Z44" i="28" s="1"/>
  <c r="R27" i="28"/>
  <c r="R43" i="28"/>
  <c r="R44" i="28" s="1"/>
  <c r="AM18" i="28"/>
  <c r="AM19" i="28"/>
  <c r="AM12" i="28"/>
  <c r="Q27" i="28"/>
  <c r="D38" i="11"/>
  <c r="W53" i="28" l="1"/>
  <c r="AK27" i="28"/>
  <c r="AK26" i="28"/>
  <c r="AK25" i="28" s="1"/>
  <c r="AM51" i="28"/>
  <c r="AM26" i="28"/>
  <c r="AM25" i="28" s="1"/>
  <c r="AF51" i="28"/>
  <c r="AF26" i="28"/>
  <c r="AF25" i="28" s="1"/>
  <c r="AK43" i="28"/>
  <c r="AK44" i="28" s="1"/>
  <c r="AK53" i="28" s="1"/>
  <c r="AM65" i="28"/>
  <c r="AK51" i="28"/>
  <c r="AF43" i="28"/>
  <c r="AF44" i="28" s="1"/>
  <c r="AF53" i="28" s="1"/>
  <c r="AH65" i="28"/>
  <c r="AF27" i="28"/>
  <c r="AJ53" i="28"/>
  <c r="AJ68" i="28"/>
  <c r="AC51" i="28"/>
  <c r="AE65" i="28"/>
  <c r="AL51" i="28"/>
  <c r="AN65" i="28"/>
  <c r="R53" i="28"/>
  <c r="R68" i="28"/>
  <c r="T53" i="28"/>
  <c r="T68" i="28"/>
  <c r="AD53" i="28"/>
  <c r="AD68" i="28"/>
  <c r="Z53" i="28"/>
  <c r="Z68" i="28"/>
  <c r="Y53" i="28"/>
  <c r="Y68" i="28"/>
  <c r="AE53" i="28"/>
  <c r="AE68" i="28"/>
  <c r="X53" i="28"/>
  <c r="X68" i="28"/>
  <c r="S53" i="28"/>
  <c r="S68" i="28"/>
  <c r="AC43" i="28"/>
  <c r="AC44" i="28" s="1"/>
  <c r="AL43" i="28"/>
  <c r="AL44" i="28" s="1"/>
  <c r="AL27" i="28"/>
  <c r="AC27" i="28"/>
  <c r="Q44" i="28"/>
  <c r="L8" i="28"/>
  <c r="L16" i="28" s="1"/>
  <c r="K24" i="28"/>
  <c r="K15" i="28"/>
  <c r="K20" i="28" s="1"/>
  <c r="K66" i="28" s="1"/>
  <c r="AM27" i="28"/>
  <c r="AM43" i="28"/>
  <c r="AM44" i="28" s="1"/>
  <c r="AK68" i="28" l="1"/>
  <c r="AF68" i="28"/>
  <c r="AM53" i="28"/>
  <c r="AM68" i="28"/>
  <c r="AC53" i="28"/>
  <c r="AC68" i="28"/>
  <c r="Q53" i="28"/>
  <c r="Q68" i="28"/>
  <c r="AL53" i="28"/>
  <c r="AL68" i="28"/>
  <c r="M8" i="28"/>
  <c r="M16" i="28" s="1"/>
  <c r="L15" i="28"/>
  <c r="L20" i="28" s="1"/>
  <c r="L66" i="28" s="1"/>
  <c r="L24" i="28"/>
  <c r="D3" i="11"/>
  <c r="N8" i="28" l="1"/>
  <c r="N16" i="28" s="1"/>
  <c r="M15" i="28"/>
  <c r="M20" i="28" s="1"/>
  <c r="M66" i="28" s="1"/>
  <c r="M24" i="28"/>
  <c r="E14" i="11"/>
  <c r="AO14" i="11" s="1"/>
  <c r="BB3" i="11" s="1"/>
  <c r="S30" i="27" s="1"/>
  <c r="P9" i="28" s="1"/>
  <c r="E8" i="11"/>
  <c r="AO8" i="11" s="1"/>
  <c r="AV3" i="11" s="1"/>
  <c r="M30" i="27" s="1"/>
  <c r="J9" i="28" s="1"/>
  <c r="E38" i="11"/>
  <c r="AO38" i="11" s="1"/>
  <c r="BZ3" i="11" s="1"/>
  <c r="AQ30" i="27" s="1"/>
  <c r="AN9" i="28" s="1"/>
  <c r="E32" i="11"/>
  <c r="AO32" i="11" s="1"/>
  <c r="BT3" i="11" s="1"/>
  <c r="AK30" i="27" s="1"/>
  <c r="AH9" i="28" s="1"/>
  <c r="E26" i="11"/>
  <c r="AO26" i="11" s="1"/>
  <c r="BN3" i="11" s="1"/>
  <c r="AE30" i="27" s="1"/>
  <c r="AB9" i="28" s="1"/>
  <c r="E20" i="11"/>
  <c r="AO20" i="11" s="1"/>
  <c r="BH3" i="11" s="1"/>
  <c r="Y30" i="27" s="1"/>
  <c r="V9" i="28" s="1"/>
  <c r="O8" i="28" l="1"/>
  <c r="O16" i="28" s="1"/>
  <c r="N15" i="28"/>
  <c r="N20" i="28" s="1"/>
  <c r="N66" i="28" s="1"/>
  <c r="N24" i="28"/>
  <c r="AK32" i="27"/>
  <c r="AK35" i="27"/>
  <c r="AK33" i="27"/>
  <c r="AK36" i="27"/>
  <c r="AK34" i="27"/>
  <c r="AQ33" i="27"/>
  <c r="AQ36" i="27"/>
  <c r="AN10" i="28" s="1"/>
  <c r="AQ34" i="27"/>
  <c r="AQ32" i="27"/>
  <c r="AQ35" i="27"/>
  <c r="M32" i="27"/>
  <c r="M35" i="27"/>
  <c r="M33" i="27"/>
  <c r="M36" i="27"/>
  <c r="M34" i="27"/>
  <c r="S33" i="27"/>
  <c r="S36" i="27"/>
  <c r="P10" i="28" s="1"/>
  <c r="S34" i="27"/>
  <c r="S32" i="27"/>
  <c r="S35" i="27"/>
  <c r="Y36" i="27"/>
  <c r="Y34" i="27"/>
  <c r="Y35" i="27"/>
  <c r="Y32" i="27"/>
  <c r="Y33" i="27"/>
  <c r="Y72" i="27" s="1"/>
  <c r="AE34" i="27"/>
  <c r="AE32" i="27"/>
  <c r="AE33" i="27"/>
  <c r="AE35" i="27"/>
  <c r="AE36" i="27"/>
  <c r="AB10" i="28" s="1"/>
  <c r="P8" i="28" l="1"/>
  <c r="O15" i="28"/>
  <c r="O20" i="28" s="1"/>
  <c r="O66" i="28" s="1"/>
  <c r="O24" i="28"/>
  <c r="O28" i="28" s="1"/>
  <c r="O67" i="28" s="1"/>
  <c r="J10" i="28"/>
  <c r="B10" i="28" s="1"/>
  <c r="B9" i="28"/>
  <c r="J117" i="26" s="1"/>
  <c r="J118" i="26" s="1"/>
  <c r="V10" i="28"/>
  <c r="C10" i="28" s="1"/>
  <c r="D4" i="29" s="1"/>
  <c r="C9" i="28"/>
  <c r="K117" i="26" s="1"/>
  <c r="K118" i="26" s="1"/>
  <c r="AH10" i="28"/>
  <c r="D10" i="28" s="1"/>
  <c r="E4" i="29" s="1"/>
  <c r="D9" i="28"/>
  <c r="L117" i="26" s="1"/>
  <c r="L118" i="26" s="1"/>
  <c r="AQ41" i="27"/>
  <c r="AQ49" i="27" s="1"/>
  <c r="AQ73" i="27"/>
  <c r="Y42" i="27"/>
  <c r="Y50" i="27" s="1"/>
  <c r="Y74" i="27"/>
  <c r="M41" i="27"/>
  <c r="M49" i="27" s="1"/>
  <c r="M73" i="27"/>
  <c r="AQ43" i="27"/>
  <c r="AQ51" i="27" s="1"/>
  <c r="AQ75" i="27"/>
  <c r="Y39" i="27"/>
  <c r="Y47" i="27" s="1"/>
  <c r="Y71" i="27"/>
  <c r="AE43" i="27"/>
  <c r="AE51" i="27" s="1"/>
  <c r="AE75" i="27"/>
  <c r="Y41" i="27"/>
  <c r="Y49" i="27" s="1"/>
  <c r="Y73" i="27"/>
  <c r="M43" i="27"/>
  <c r="M51" i="27" s="1"/>
  <c r="M75" i="27"/>
  <c r="AQ40" i="27"/>
  <c r="AQ48" i="27" s="1"/>
  <c r="AQ72" i="27"/>
  <c r="S40" i="27"/>
  <c r="S48" i="27" s="1"/>
  <c r="S72" i="27"/>
  <c r="AE42" i="27"/>
  <c r="AE50" i="27" s="1"/>
  <c r="AE74" i="27"/>
  <c r="Y43" i="27"/>
  <c r="Y51" i="27" s="1"/>
  <c r="Y75" i="27"/>
  <c r="M40" i="27"/>
  <c r="M48" i="27" s="1"/>
  <c r="M72" i="27"/>
  <c r="AK41" i="27"/>
  <c r="AK49" i="27" s="1"/>
  <c r="AK73" i="27"/>
  <c r="AE40" i="27"/>
  <c r="AE48" i="27" s="1"/>
  <c r="AE72" i="27"/>
  <c r="S42" i="27"/>
  <c r="S50" i="27" s="1"/>
  <c r="S74" i="27"/>
  <c r="M42" i="27"/>
  <c r="M50" i="27" s="1"/>
  <c r="M74" i="27"/>
  <c r="AK43" i="27"/>
  <c r="AK51" i="27" s="1"/>
  <c r="AK75" i="27"/>
  <c r="AE39" i="27"/>
  <c r="AE47" i="27" s="1"/>
  <c r="AE71" i="27"/>
  <c r="S39" i="27"/>
  <c r="S47" i="27" s="1"/>
  <c r="S71" i="27"/>
  <c r="M39" i="27"/>
  <c r="M47" i="27" s="1"/>
  <c r="M71" i="27"/>
  <c r="AK40" i="27"/>
  <c r="AK48" i="27" s="1"/>
  <c r="AK72" i="27"/>
  <c r="AE41" i="27"/>
  <c r="AE49" i="27" s="1"/>
  <c r="AE73" i="27"/>
  <c r="S41" i="27"/>
  <c r="S49" i="27" s="1"/>
  <c r="S73" i="27"/>
  <c r="AQ42" i="27"/>
  <c r="AQ50" i="27" s="1"/>
  <c r="AQ74" i="27"/>
  <c r="AK42" i="27"/>
  <c r="AK50" i="27" s="1"/>
  <c r="AK74" i="27"/>
  <c r="S43" i="27"/>
  <c r="S51" i="27" s="1"/>
  <c r="S75" i="27"/>
  <c r="AQ39" i="27"/>
  <c r="AQ71" i="27"/>
  <c r="AK39" i="27"/>
  <c r="AK47" i="27" s="1"/>
  <c r="AK71" i="27"/>
  <c r="Y40" i="27"/>
  <c r="Y48" i="27" s="1"/>
  <c r="F4" i="29" l="1"/>
  <c r="C4" i="29"/>
  <c r="O69" i="28"/>
  <c r="O52" i="28"/>
  <c r="P16" i="28"/>
  <c r="B16" i="28" s="1"/>
  <c r="B8" i="28"/>
  <c r="D2" i="25" s="1"/>
  <c r="O46" i="28"/>
  <c r="Q8" i="28"/>
  <c r="P24" i="28"/>
  <c r="B24" i="28" s="1"/>
  <c r="P15" i="28"/>
  <c r="B15" i="28" s="1"/>
  <c r="AE52" i="27"/>
  <c r="AK52" i="27"/>
  <c r="M44" i="27"/>
  <c r="M52" i="27"/>
  <c r="AQ76" i="27"/>
  <c r="AQ44" i="27"/>
  <c r="S44" i="27"/>
  <c r="S76" i="27"/>
  <c r="AE44" i="27"/>
  <c r="S52" i="27"/>
  <c r="AK44" i="27"/>
  <c r="AE76" i="27"/>
  <c r="AQ47" i="27"/>
  <c r="AQ52" i="27" s="1"/>
  <c r="AK76" i="27"/>
  <c r="Y76" i="27"/>
  <c r="M76" i="27"/>
  <c r="Y44" i="27"/>
  <c r="Y52" i="27"/>
  <c r="O50" i="28" l="1"/>
  <c r="O56" i="28"/>
  <c r="J10" i="26"/>
  <c r="L10" i="26"/>
  <c r="R8" i="28"/>
  <c r="Q24" i="28"/>
  <c r="Q15" i="28"/>
  <c r="Q16" i="28"/>
  <c r="E49" i="27"/>
  <c r="AN12" i="28"/>
  <c r="AN18" i="28"/>
  <c r="AN19" i="28"/>
  <c r="C49" i="27"/>
  <c r="J12" i="28"/>
  <c r="J26" i="28" s="1"/>
  <c r="J25" i="28" s="1"/>
  <c r="J18" i="28"/>
  <c r="J19" i="28"/>
  <c r="C73" i="27"/>
  <c r="D49" i="27"/>
  <c r="V19" i="28"/>
  <c r="V12" i="28"/>
  <c r="V26" i="28" s="1"/>
  <c r="V25" i="28" s="1"/>
  <c r="V18" i="28"/>
  <c r="P12" i="28"/>
  <c r="P26" i="28" s="1"/>
  <c r="P25" i="28" s="1"/>
  <c r="P18" i="28"/>
  <c r="P19" i="28"/>
  <c r="AH12" i="28"/>
  <c r="AH18" i="28"/>
  <c r="AH19" i="28"/>
  <c r="AB19" i="28"/>
  <c r="AB18" i="28"/>
  <c r="AB12" i="28"/>
  <c r="AB26" i="28" s="1"/>
  <c r="AB25" i="28" s="1"/>
  <c r="E73" i="27"/>
  <c r="J13" i="26"/>
  <c r="K10" i="26"/>
  <c r="D73" i="27"/>
  <c r="K13" i="26"/>
  <c r="K17" i="26" s="1"/>
  <c r="L13" i="26"/>
  <c r="AN51" i="28" l="1"/>
  <c r="AN26" i="28"/>
  <c r="AN25" i="28" s="1"/>
  <c r="AJ65" i="28"/>
  <c r="AH26" i="28"/>
  <c r="AH25" i="28" s="1"/>
  <c r="M10" i="26"/>
  <c r="J16" i="26"/>
  <c r="J27" i="26" s="1"/>
  <c r="C48" i="27"/>
  <c r="C16" i="29" s="1"/>
  <c r="L4" i="29" s="1"/>
  <c r="M13" i="26"/>
  <c r="M17" i="26" s="1"/>
  <c r="J17" i="26"/>
  <c r="X3" i="32"/>
  <c r="X4" i="32" s="1"/>
  <c r="L17" i="26"/>
  <c r="R65" i="28"/>
  <c r="U3" i="32"/>
  <c r="D48" i="27"/>
  <c r="D16" i="29" s="1"/>
  <c r="M4" i="29" s="1"/>
  <c r="W3" i="32"/>
  <c r="W4" i="32" s="1"/>
  <c r="L65" i="28"/>
  <c r="O3" i="32"/>
  <c r="K22" i="26"/>
  <c r="K16" i="26"/>
  <c r="K27" i="26" s="1"/>
  <c r="L22" i="26"/>
  <c r="L16" i="26"/>
  <c r="L23" i="26" s="1"/>
  <c r="E3" i="29" s="1"/>
  <c r="X7" i="32" s="1"/>
  <c r="J22" i="26"/>
  <c r="V51" i="28"/>
  <c r="X65" i="28"/>
  <c r="AB51" i="28"/>
  <c r="AD65" i="28"/>
  <c r="J51" i="28"/>
  <c r="P51" i="28"/>
  <c r="AH51" i="28"/>
  <c r="C50" i="27"/>
  <c r="E50" i="27"/>
  <c r="K71" i="26"/>
  <c r="K72" i="26" s="1"/>
  <c r="K75" i="26"/>
  <c r="K76" i="26" s="1"/>
  <c r="J75" i="26"/>
  <c r="J76" i="26" s="1"/>
  <c r="D19" i="28"/>
  <c r="L71" i="26"/>
  <c r="L72" i="26" s="1"/>
  <c r="J71" i="26"/>
  <c r="J72" i="26" s="1"/>
  <c r="Q20" i="28"/>
  <c r="Q66" i="28" s="1"/>
  <c r="Q28" i="28"/>
  <c r="Q67" i="28" s="1"/>
  <c r="S8" i="28"/>
  <c r="R16" i="28"/>
  <c r="R15" i="28"/>
  <c r="R24" i="28"/>
  <c r="R28" i="28" s="1"/>
  <c r="R67" i="28" s="1"/>
  <c r="P20" i="28"/>
  <c r="P66" i="28" s="1"/>
  <c r="D18" i="28"/>
  <c r="AH43" i="28"/>
  <c r="J20" i="28"/>
  <c r="J66" i="28" s="1"/>
  <c r="V43" i="28"/>
  <c r="J43" i="28"/>
  <c r="P27" i="28"/>
  <c r="P28" i="28" s="1"/>
  <c r="P67" i="28" s="1"/>
  <c r="P43" i="28"/>
  <c r="AN27" i="28"/>
  <c r="AN43" i="28"/>
  <c r="AB27" i="28"/>
  <c r="AB43" i="28"/>
  <c r="C26" i="28"/>
  <c r="C19" i="28"/>
  <c r="A49" i="27"/>
  <c r="B25" i="28"/>
  <c r="B19" i="28"/>
  <c r="C18" i="28"/>
  <c r="AH27" i="28"/>
  <c r="D12" i="28"/>
  <c r="V27" i="28"/>
  <c r="C12" i="28"/>
  <c r="B18" i="28"/>
  <c r="C25" i="28"/>
  <c r="J27" i="28"/>
  <c r="B12" i="28"/>
  <c r="D50" i="27"/>
  <c r="A73" i="27"/>
  <c r="D64" i="27"/>
  <c r="E48" i="27"/>
  <c r="C64" i="27"/>
  <c r="C56" i="27"/>
  <c r="L75" i="26" l="1"/>
  <c r="L76" i="26" s="1"/>
  <c r="D51" i="28"/>
  <c r="D26" i="28"/>
  <c r="D25" i="28"/>
  <c r="M22" i="26"/>
  <c r="M16" i="26"/>
  <c r="L27" i="26"/>
  <c r="P4" i="26"/>
  <c r="J28" i="26"/>
  <c r="C3" i="32" s="1"/>
  <c r="A48" i="27"/>
  <c r="J23" i="26"/>
  <c r="C3" i="29" s="1"/>
  <c r="C51" i="28"/>
  <c r="Q69" i="28"/>
  <c r="C75" i="28"/>
  <c r="C80" i="28"/>
  <c r="G80" i="28" s="1"/>
  <c r="D75" i="28"/>
  <c r="D80" i="28"/>
  <c r="H80" i="28" s="1"/>
  <c r="B75" i="28"/>
  <c r="B80" i="28"/>
  <c r="F80" i="28" s="1"/>
  <c r="A50" i="27"/>
  <c r="B51" i="28"/>
  <c r="V3" i="32"/>
  <c r="O4" i="32"/>
  <c r="P4" i="32" s="1"/>
  <c r="Q4" i="32" s="1"/>
  <c r="R4" i="32" s="1"/>
  <c r="S4" i="32" s="1"/>
  <c r="T4" i="32" s="1"/>
  <c r="U4" i="32" s="1"/>
  <c r="V4" i="32" s="1"/>
  <c r="P52" i="28"/>
  <c r="Q52" i="28"/>
  <c r="E16" i="29"/>
  <c r="N4" i="29" s="1"/>
  <c r="D3" i="25"/>
  <c r="C15" i="29"/>
  <c r="E3" i="25"/>
  <c r="D15" i="29"/>
  <c r="F3" i="25"/>
  <c r="E15" i="29"/>
  <c r="C72" i="27"/>
  <c r="T8" i="28"/>
  <c r="S24" i="28"/>
  <c r="S28" i="28" s="1"/>
  <c r="S67" i="28" s="1"/>
  <c r="S16" i="28"/>
  <c r="S15" i="28"/>
  <c r="J44" i="28"/>
  <c r="J67" i="26"/>
  <c r="Q46" i="28"/>
  <c r="V44" i="28"/>
  <c r="K67" i="26"/>
  <c r="AH44" i="28"/>
  <c r="L67" i="26"/>
  <c r="R20" i="28"/>
  <c r="B43" i="28"/>
  <c r="B44" i="28" s="1"/>
  <c r="P44" i="28"/>
  <c r="C43" i="28"/>
  <c r="C44" i="28" s="1"/>
  <c r="AB44" i="28"/>
  <c r="D27" i="28"/>
  <c r="B27" i="28"/>
  <c r="D43" i="28"/>
  <c r="D44" i="28" s="1"/>
  <c r="AN44" i="28"/>
  <c r="C27" i="28"/>
  <c r="K35" i="26"/>
  <c r="K47" i="26"/>
  <c r="K41" i="26"/>
  <c r="L41" i="26"/>
  <c r="L35" i="26"/>
  <c r="L47" i="26"/>
  <c r="J41" i="26"/>
  <c r="J35" i="26"/>
  <c r="J47" i="26"/>
  <c r="B20" i="28"/>
  <c r="D56" i="27"/>
  <c r="K23" i="26"/>
  <c r="D3" i="29" s="1"/>
  <c r="W7" i="32" s="1"/>
  <c r="K28" i="26"/>
  <c r="E64" i="27"/>
  <c r="A64" i="27" s="1"/>
  <c r="F15" i="29" l="1"/>
  <c r="M23" i="26"/>
  <c r="H11" i="38"/>
  <c r="F3" i="29"/>
  <c r="M41" i="26"/>
  <c r="F75" i="28"/>
  <c r="B95" i="28" s="1"/>
  <c r="C27" i="29"/>
  <c r="L14" i="29"/>
  <c r="L15" i="29"/>
  <c r="L3" i="29"/>
  <c r="P16" i="29"/>
  <c r="E27" i="29"/>
  <c r="N3" i="29"/>
  <c r="N5" i="29" s="1"/>
  <c r="D27" i="29"/>
  <c r="M3" i="29"/>
  <c r="M5" i="29" s="1"/>
  <c r="D72" i="27"/>
  <c r="Q4" i="26"/>
  <c r="E89" i="28"/>
  <c r="D96" i="28"/>
  <c r="D109" i="28" s="1"/>
  <c r="C96" i="28"/>
  <c r="C109" i="28" s="1"/>
  <c r="V7" i="32"/>
  <c r="J7" i="32"/>
  <c r="T7" i="32"/>
  <c r="E22" i="32"/>
  <c r="L73" i="26"/>
  <c r="L79" i="26"/>
  <c r="L77" i="26"/>
  <c r="K79" i="26"/>
  <c r="K77" i="26"/>
  <c r="K73" i="26"/>
  <c r="C22" i="32"/>
  <c r="J77" i="26"/>
  <c r="J79" i="26"/>
  <c r="J73" i="26"/>
  <c r="J53" i="28"/>
  <c r="J68" i="28"/>
  <c r="C81" i="28"/>
  <c r="C76" i="28"/>
  <c r="G75" i="28"/>
  <c r="AH53" i="28"/>
  <c r="AH68" i="28"/>
  <c r="D76" i="28"/>
  <c r="H75" i="28"/>
  <c r="R52" i="28"/>
  <c r="R66" i="28"/>
  <c r="R69" i="28" s="1"/>
  <c r="AN53" i="28"/>
  <c r="AN68" i="28"/>
  <c r="AB53" i="28"/>
  <c r="AB68" i="28"/>
  <c r="V53" i="28"/>
  <c r="V68" i="28"/>
  <c r="B81" i="28"/>
  <c r="B76" i="28"/>
  <c r="P53" i="28"/>
  <c r="P68" i="28"/>
  <c r="P69" i="28" s="1"/>
  <c r="D81" i="28"/>
  <c r="D22" i="32"/>
  <c r="D39" i="26"/>
  <c r="S7" i="32"/>
  <c r="L7" i="32"/>
  <c r="M7" i="32"/>
  <c r="U7" i="32"/>
  <c r="R7" i="32"/>
  <c r="N7" i="32"/>
  <c r="K7" i="32"/>
  <c r="O7" i="32"/>
  <c r="P7" i="32"/>
  <c r="Q7" i="32"/>
  <c r="Q50" i="28"/>
  <c r="Q56" i="28"/>
  <c r="H3" i="25"/>
  <c r="L50" i="26"/>
  <c r="D53" i="28"/>
  <c r="K50" i="26"/>
  <c r="C53" i="28"/>
  <c r="P46" i="28"/>
  <c r="I3" i="25"/>
  <c r="R46" i="28"/>
  <c r="J50" i="26"/>
  <c r="B53" i="28"/>
  <c r="J68" i="26"/>
  <c r="J69" i="26" s="1"/>
  <c r="J81" i="26"/>
  <c r="J82" i="26" s="1"/>
  <c r="J83" i="26" s="1"/>
  <c r="K55" i="26"/>
  <c r="K143" i="26" s="1"/>
  <c r="L68" i="26"/>
  <c r="L69" i="26" s="1"/>
  <c r="L81" i="26"/>
  <c r="L82" i="26" s="1"/>
  <c r="L83" i="26" s="1"/>
  <c r="K68" i="26"/>
  <c r="K69" i="26" s="1"/>
  <c r="K81" i="26"/>
  <c r="K82" i="26" s="1"/>
  <c r="K83" i="26" s="1"/>
  <c r="M55" i="26"/>
  <c r="M143" i="26" s="1"/>
  <c r="S20" i="28"/>
  <c r="L55" i="26"/>
  <c r="L143" i="26" s="1"/>
  <c r="U8" i="28"/>
  <c r="T16" i="28"/>
  <c r="T15" i="28"/>
  <c r="T24" i="28"/>
  <c r="T28" i="28" s="1"/>
  <c r="T67" i="28" s="1"/>
  <c r="J36" i="26"/>
  <c r="N36" i="26" s="1"/>
  <c r="J48" i="26"/>
  <c r="J108" i="26" s="1"/>
  <c r="K32" i="26"/>
  <c r="J32" i="26"/>
  <c r="L28" i="26"/>
  <c r="E56" i="27"/>
  <c r="A56" i="27" s="1"/>
  <c r="J122" i="26" l="1"/>
  <c r="B103" i="28"/>
  <c r="L131" i="26"/>
  <c r="D111" i="28"/>
  <c r="J124" i="26"/>
  <c r="B86" i="28"/>
  <c r="B99" i="28" s="1"/>
  <c r="B105" i="28"/>
  <c r="J131" i="26"/>
  <c r="B111" i="28"/>
  <c r="K124" i="26"/>
  <c r="C105" i="28"/>
  <c r="B77" i="28"/>
  <c r="L124" i="26"/>
  <c r="D105" i="28"/>
  <c r="J109" i="26"/>
  <c r="J110" i="26" s="1"/>
  <c r="M50" i="26"/>
  <c r="K131" i="26"/>
  <c r="C111" i="28"/>
  <c r="N15" i="29"/>
  <c r="L5" i="29"/>
  <c r="O5" i="29" s="1"/>
  <c r="O3" i="29"/>
  <c r="P15" i="29"/>
  <c r="Q15" i="29" s="1"/>
  <c r="Q16" i="29"/>
  <c r="N14" i="29"/>
  <c r="L16" i="29"/>
  <c r="N16" i="29" s="1"/>
  <c r="D29" i="29"/>
  <c r="K129" i="26"/>
  <c r="E29" i="29"/>
  <c r="L129" i="26"/>
  <c r="D82" i="28"/>
  <c r="B82" i="28"/>
  <c r="C82" i="28"/>
  <c r="E72" i="27"/>
  <c r="A72" i="27" s="1"/>
  <c r="R4" i="26"/>
  <c r="D85" i="28"/>
  <c r="E4" i="32" s="1"/>
  <c r="B96" i="28"/>
  <c r="B109" i="28" s="1"/>
  <c r="D95" i="28"/>
  <c r="D103" i="28" s="1"/>
  <c r="B85" i="28"/>
  <c r="E91" i="28" s="1"/>
  <c r="C85" i="28"/>
  <c r="D4" i="32" s="1"/>
  <c r="D77" i="28"/>
  <c r="D86" i="28"/>
  <c r="D99" i="28" s="1"/>
  <c r="C95" i="28"/>
  <c r="E90" i="28"/>
  <c r="F90" i="28" s="1"/>
  <c r="G90" i="28" s="1"/>
  <c r="H90" i="28" s="1"/>
  <c r="I90" i="28" s="1"/>
  <c r="J90" i="28" s="1"/>
  <c r="K90" i="28" s="1"/>
  <c r="L90" i="28" s="1"/>
  <c r="M90" i="28" s="1"/>
  <c r="N90" i="28" s="1"/>
  <c r="O90" i="28" s="1"/>
  <c r="P90" i="28" s="1"/>
  <c r="F89" i="28"/>
  <c r="G89" i="28" s="1"/>
  <c r="H89" i="28" s="1"/>
  <c r="C77" i="28"/>
  <c r="C86" i="28"/>
  <c r="C99" i="28" s="1"/>
  <c r="C4" i="32"/>
  <c r="C5" i="32" s="1"/>
  <c r="C28" i="29"/>
  <c r="C13" i="31"/>
  <c r="D13" i="31"/>
  <c r="E13" i="31"/>
  <c r="S52" i="28"/>
  <c r="S66" i="28"/>
  <c r="S69" i="28" s="1"/>
  <c r="F47" i="26"/>
  <c r="D42" i="26"/>
  <c r="D3" i="32"/>
  <c r="D11" i="32" s="1"/>
  <c r="K56" i="26"/>
  <c r="C23" i="32"/>
  <c r="C24" i="32" s="1"/>
  <c r="L58" i="26"/>
  <c r="L96" i="26" s="1"/>
  <c r="D27" i="32"/>
  <c r="M58" i="26"/>
  <c r="M96" i="26" s="1"/>
  <c r="E27" i="32"/>
  <c r="K58" i="26"/>
  <c r="K96" i="26" s="1"/>
  <c r="C27" i="32"/>
  <c r="C11" i="32"/>
  <c r="P50" i="28"/>
  <c r="P56" i="28"/>
  <c r="R50" i="28"/>
  <c r="R56" i="28"/>
  <c r="R47" i="28"/>
  <c r="Q47" i="28"/>
  <c r="P47" i="28"/>
  <c r="S46" i="28"/>
  <c r="J37" i="26"/>
  <c r="T20" i="28"/>
  <c r="V8" i="28"/>
  <c r="U24" i="28"/>
  <c r="U28" i="28" s="1"/>
  <c r="U67" i="28" s="1"/>
  <c r="U16" i="28"/>
  <c r="U15" i="28"/>
  <c r="L32" i="26"/>
  <c r="K94" i="26" l="1"/>
  <c r="K137" i="26"/>
  <c r="L137" i="26"/>
  <c r="J137" i="26"/>
  <c r="J17" i="38"/>
  <c r="K122" i="26"/>
  <c r="C103" i="28"/>
  <c r="O4" i="29"/>
  <c r="C29" i="29"/>
  <c r="C30" i="29" s="1"/>
  <c r="C32" i="29" s="1"/>
  <c r="C36" i="29" s="1"/>
  <c r="J129" i="26"/>
  <c r="D97" i="28"/>
  <c r="L122" i="26"/>
  <c r="E28" i="29"/>
  <c r="E30" i="29" s="1"/>
  <c r="E32" i="29" s="1"/>
  <c r="E36" i="29" s="1"/>
  <c r="B87" i="28"/>
  <c r="B97" i="28"/>
  <c r="C97" i="28"/>
  <c r="D28" i="29"/>
  <c r="E20" i="31"/>
  <c r="E21" i="31" s="1"/>
  <c r="E18" i="31"/>
  <c r="D20" i="31"/>
  <c r="D21" i="31" s="1"/>
  <c r="C20" i="31"/>
  <c r="C21" i="31" s="1"/>
  <c r="F91" i="28"/>
  <c r="G91" i="28" s="1"/>
  <c r="E92" i="28"/>
  <c r="F92" i="28" s="1"/>
  <c r="G92" i="28" s="1"/>
  <c r="H92" i="28" s="1"/>
  <c r="I92" i="28" s="1"/>
  <c r="J92" i="28" s="1"/>
  <c r="K92" i="28" s="1"/>
  <c r="L92" i="28" s="1"/>
  <c r="M92" i="28" s="1"/>
  <c r="N92" i="28" s="1"/>
  <c r="O92" i="28" s="1"/>
  <c r="P92" i="28" s="1"/>
  <c r="J38" i="26"/>
  <c r="I89" i="28"/>
  <c r="J89" i="28" s="1"/>
  <c r="K89" i="28" s="1"/>
  <c r="L89" i="28" s="1"/>
  <c r="M89" i="28" s="1"/>
  <c r="N89" i="28" s="1"/>
  <c r="O89" i="28" s="1"/>
  <c r="P89" i="28" s="1"/>
  <c r="C87" i="28"/>
  <c r="C12" i="32"/>
  <c r="D87" i="28"/>
  <c r="D5" i="32"/>
  <c r="D12" i="32" s="1"/>
  <c r="T52" i="28"/>
  <c r="T66" i="28"/>
  <c r="T69" i="28" s="1"/>
  <c r="E47" i="26"/>
  <c r="D47" i="26" s="1"/>
  <c r="E3" i="32"/>
  <c r="E11" i="32" s="1"/>
  <c r="S50" i="28"/>
  <c r="S56" i="28"/>
  <c r="S47" i="28"/>
  <c r="T46" i="28"/>
  <c r="U20" i="28"/>
  <c r="W8" i="28"/>
  <c r="V15" i="28"/>
  <c r="V24" i="28"/>
  <c r="V28" i="28" s="1"/>
  <c r="V67" i="28" s="1"/>
  <c r="V16" i="28"/>
  <c r="K136" i="26" l="1"/>
  <c r="L93" i="26" s="1"/>
  <c r="J136" i="26"/>
  <c r="L136" i="26"/>
  <c r="E33" i="29"/>
  <c r="E34" i="29"/>
  <c r="C33" i="29"/>
  <c r="C34" i="29"/>
  <c r="D30" i="29"/>
  <c r="C17" i="29"/>
  <c r="C23" i="29"/>
  <c r="H91" i="28"/>
  <c r="I91" i="28" s="1"/>
  <c r="J91" i="28" s="1"/>
  <c r="K91" i="28" s="1"/>
  <c r="L91" i="28" s="1"/>
  <c r="M91" i="28" s="1"/>
  <c r="N91" i="28" s="1"/>
  <c r="O91" i="28" s="1"/>
  <c r="P91" i="28" s="1"/>
  <c r="E5" i="32"/>
  <c r="E12" i="32" s="1"/>
  <c r="U52" i="28"/>
  <c r="U66" i="28"/>
  <c r="U69" i="28" s="1"/>
  <c r="T50" i="28"/>
  <c r="T56" i="28"/>
  <c r="T47" i="28"/>
  <c r="U46" i="28"/>
  <c r="V20" i="28"/>
  <c r="X8" i="28"/>
  <c r="W15" i="28"/>
  <c r="W24" i="28"/>
  <c r="W28" i="28" s="1"/>
  <c r="W67" i="28" s="1"/>
  <c r="W16" i="28"/>
  <c r="K138" i="26" l="1"/>
  <c r="K139" i="26" s="1"/>
  <c r="B110" i="28"/>
  <c r="B104" i="28"/>
  <c r="J123" i="26" s="1"/>
  <c r="J125" i="26" s="1"/>
  <c r="J126" i="26" s="1"/>
  <c r="K93" i="26"/>
  <c r="J138" i="26"/>
  <c r="J139" i="26" s="1"/>
  <c r="M93" i="26"/>
  <c r="L138" i="26"/>
  <c r="L139" i="26" s="1"/>
  <c r="E37" i="29"/>
  <c r="C37" i="29"/>
  <c r="D32" i="29"/>
  <c r="D36" i="29" s="1"/>
  <c r="D34" i="29"/>
  <c r="D33" i="29"/>
  <c r="V52" i="28"/>
  <c r="V66" i="28"/>
  <c r="V69" i="28" s="1"/>
  <c r="U50" i="28"/>
  <c r="U56" i="28"/>
  <c r="U47" i="28"/>
  <c r="V46" i="28"/>
  <c r="V56" i="28" s="1"/>
  <c r="W20" i="28"/>
  <c r="Y8" i="28"/>
  <c r="X15" i="28"/>
  <c r="X24" i="28"/>
  <c r="X28" i="28" s="1"/>
  <c r="X67" i="28" s="1"/>
  <c r="X16" i="28"/>
  <c r="B112" i="28" l="1"/>
  <c r="J130" i="26"/>
  <c r="J132" i="26" s="1"/>
  <c r="J133" i="26" s="1"/>
  <c r="B106" i="28"/>
  <c r="B98" i="28"/>
  <c r="B100" i="28" s="1"/>
  <c r="D37" i="29"/>
  <c r="W52" i="28"/>
  <c r="W66" i="28"/>
  <c r="W69" i="28" s="1"/>
  <c r="V47" i="28"/>
  <c r="V50" i="28"/>
  <c r="W46" i="28"/>
  <c r="X20" i="28"/>
  <c r="Z8" i="28"/>
  <c r="Y15" i="28"/>
  <c r="Y24" i="28"/>
  <c r="Y28" i="28" s="1"/>
  <c r="Y67" i="28" s="1"/>
  <c r="Y16" i="28"/>
  <c r="X52" i="28" l="1"/>
  <c r="X66" i="28"/>
  <c r="X69" i="28" s="1"/>
  <c r="W50" i="28"/>
  <c r="W56" i="28"/>
  <c r="W47" i="28"/>
  <c r="X46" i="28"/>
  <c r="Y20" i="28"/>
  <c r="AA8" i="28"/>
  <c r="Z16" i="28"/>
  <c r="Z15" i="28"/>
  <c r="Z24" i="28"/>
  <c r="Z28" i="28" s="1"/>
  <c r="Z67" i="28" s="1"/>
  <c r="Y52" i="28" l="1"/>
  <c r="Y66" i="28"/>
  <c r="Y69" i="28" s="1"/>
  <c r="X50" i="28"/>
  <c r="X56" i="28"/>
  <c r="X47" i="28"/>
  <c r="Y46" i="28"/>
  <c r="Z20" i="28"/>
  <c r="AB8" i="28"/>
  <c r="C8" i="28" s="1"/>
  <c r="E2" i="25" s="1"/>
  <c r="H2" i="25" s="1"/>
  <c r="AA16" i="28"/>
  <c r="AA15" i="28"/>
  <c r="AA24" i="28"/>
  <c r="AA28" i="28" s="1"/>
  <c r="AA67" i="28" s="1"/>
  <c r="Z52" i="28" l="1"/>
  <c r="Z66" i="28"/>
  <c r="Z69" i="28" s="1"/>
  <c r="Y50" i="28"/>
  <c r="Y56" i="28"/>
  <c r="Y47" i="28"/>
  <c r="Z46" i="28"/>
  <c r="Z56" i="28" s="1"/>
  <c r="AA20" i="28"/>
  <c r="AC8" i="28"/>
  <c r="AB15" i="28"/>
  <c r="AB16" i="28"/>
  <c r="C16" i="28" s="1"/>
  <c r="AB24" i="28"/>
  <c r="AA52" i="28" l="1"/>
  <c r="AA66" i="28"/>
  <c r="AA69" i="28" s="1"/>
  <c r="Z47" i="28"/>
  <c r="Z50" i="28"/>
  <c r="AA46" i="28"/>
  <c r="AA47" i="28" s="1"/>
  <c r="AB28" i="28"/>
  <c r="AB67" i="28" s="1"/>
  <c r="C24" i="28"/>
  <c r="C28" i="28" s="1"/>
  <c r="AB20" i="28"/>
  <c r="AB66" i="28" s="1"/>
  <c r="C15" i="28"/>
  <c r="C20" i="28" s="1"/>
  <c r="AD8" i="28"/>
  <c r="AC15" i="28"/>
  <c r="AC24" i="28"/>
  <c r="AC16" i="28"/>
  <c r="K49" i="26" l="1"/>
  <c r="L57" i="26" s="1"/>
  <c r="L95" i="26" s="1"/>
  <c r="K42" i="26"/>
  <c r="AB69" i="28"/>
  <c r="AA50" i="28"/>
  <c r="AA56" i="28"/>
  <c r="AB52" i="28"/>
  <c r="C52" i="28" s="1"/>
  <c r="C54" i="28" s="1"/>
  <c r="AB46" i="28"/>
  <c r="AC28" i="28"/>
  <c r="AC67" i="28" s="1"/>
  <c r="K36" i="26"/>
  <c r="K48" i="26"/>
  <c r="D23" i="32" s="1"/>
  <c r="D24" i="32" s="1"/>
  <c r="AC20" i="28"/>
  <c r="AC66" i="28" s="1"/>
  <c r="AE8" i="28"/>
  <c r="AD15" i="28"/>
  <c r="AD24" i="28"/>
  <c r="AD28" i="28" s="1"/>
  <c r="AD67" i="28" s="1"/>
  <c r="AD16" i="28"/>
  <c r="D25" i="32" l="1"/>
  <c r="D22" i="31" s="1"/>
  <c r="D26" i="32" s="1"/>
  <c r="D5" i="29"/>
  <c r="Q5" i="26"/>
  <c r="K44" i="26"/>
  <c r="K43" i="26"/>
  <c r="AC69" i="28"/>
  <c r="AB50" i="28"/>
  <c r="C50" i="28" s="1"/>
  <c r="L86" i="26" s="1"/>
  <c r="AB56" i="28"/>
  <c r="AC52" i="28"/>
  <c r="AB47" i="28"/>
  <c r="K37" i="26"/>
  <c r="D18" i="29"/>
  <c r="AC46" i="28"/>
  <c r="L56" i="26"/>
  <c r="K51" i="26"/>
  <c r="AD20" i="28"/>
  <c r="AF8" i="28"/>
  <c r="AE15" i="28"/>
  <c r="AE24" i="28"/>
  <c r="AE28" i="28" s="1"/>
  <c r="AE67" i="28" s="1"/>
  <c r="AE16" i="28"/>
  <c r="L94" i="26" l="1"/>
  <c r="L97" i="26" s="1"/>
  <c r="L144" i="26"/>
  <c r="L145" i="26" s="1"/>
  <c r="K52" i="26"/>
  <c r="D24" i="29" s="1"/>
  <c r="D20" i="29"/>
  <c r="K38" i="26"/>
  <c r="AD52" i="28"/>
  <c r="AD66" i="28"/>
  <c r="AD69" i="28" s="1"/>
  <c r="D28" i="32"/>
  <c r="AC50" i="28"/>
  <c r="AC56" i="28"/>
  <c r="L59" i="26"/>
  <c r="AD46" i="28"/>
  <c r="AC47" i="28"/>
  <c r="AG8" i="28"/>
  <c r="AF15" i="28"/>
  <c r="AF24" i="28"/>
  <c r="AF16" i="28"/>
  <c r="AE20" i="28"/>
  <c r="D14" i="31" l="1"/>
  <c r="D16" i="31" s="1"/>
  <c r="D8" i="32" s="1"/>
  <c r="L62" i="26"/>
  <c r="L103" i="26"/>
  <c r="L104" i="26" s="1"/>
  <c r="D17" i="29"/>
  <c r="D23" i="29"/>
  <c r="AE52" i="28"/>
  <c r="AE66" i="28"/>
  <c r="AE69" i="28" s="1"/>
  <c r="D6" i="29"/>
  <c r="D29" i="32"/>
  <c r="AD50" i="28"/>
  <c r="AD56" i="28"/>
  <c r="AD47" i="28"/>
  <c r="AE46" i="28"/>
  <c r="AF20" i="28"/>
  <c r="AF66" i="28" s="1"/>
  <c r="AH8" i="28"/>
  <c r="AG16" i="28"/>
  <c r="AG15" i="28"/>
  <c r="AG24" i="28"/>
  <c r="AG28" i="28" s="1"/>
  <c r="AG67" i="28" s="1"/>
  <c r="AF28" i="28"/>
  <c r="AF67" i="28" s="1"/>
  <c r="D15" i="31" l="1"/>
  <c r="D7" i="32" s="1"/>
  <c r="L88" i="26"/>
  <c r="L89" i="26" s="1"/>
  <c r="L148" i="26"/>
  <c r="L63" i="26"/>
  <c r="C110" i="28"/>
  <c r="C104" i="28"/>
  <c r="K123" i="26" s="1"/>
  <c r="K125" i="26" s="1"/>
  <c r="K126" i="26" s="1"/>
  <c r="AF69" i="28"/>
  <c r="AE50" i="28"/>
  <c r="AE56" i="28"/>
  <c r="AE47" i="28"/>
  <c r="AF52" i="28"/>
  <c r="AG20" i="28"/>
  <c r="AI8" i="28"/>
  <c r="AH16" i="28"/>
  <c r="AH15" i="28"/>
  <c r="AH24" i="28"/>
  <c r="AF46" i="28"/>
  <c r="C112" i="28" l="1"/>
  <c r="K130" i="26"/>
  <c r="K132" i="26" s="1"/>
  <c r="K133" i="26" s="1"/>
  <c r="L149" i="26"/>
  <c r="C106" i="28"/>
  <c r="C98" i="28"/>
  <c r="C100" i="28" s="1"/>
  <c r="AG52" i="28"/>
  <c r="AG66" i="28"/>
  <c r="AG69" i="28" s="1"/>
  <c r="AF50" i="28"/>
  <c r="AF56" i="28"/>
  <c r="AG46" i="28"/>
  <c r="AH20" i="28"/>
  <c r="AH66" i="28" s="1"/>
  <c r="AF47" i="28"/>
  <c r="AH28" i="28"/>
  <c r="AH67" i="28" s="1"/>
  <c r="AJ8" i="28"/>
  <c r="AI16" i="28"/>
  <c r="AI15" i="28"/>
  <c r="AI24" i="28"/>
  <c r="AI28" i="28" s="1"/>
  <c r="AI67" i="28" s="1"/>
  <c r="AH69" i="28" l="1"/>
  <c r="AG50" i="28"/>
  <c r="AG56" i="28"/>
  <c r="AG47" i="28"/>
  <c r="AH52" i="28"/>
  <c r="AH46" i="28"/>
  <c r="AI20" i="28"/>
  <c r="AK8" i="28"/>
  <c r="AJ16" i="28"/>
  <c r="AJ15" i="28"/>
  <c r="AJ24" i="28"/>
  <c r="AI52" i="28" l="1"/>
  <c r="AI66" i="28"/>
  <c r="AI69" i="28" s="1"/>
  <c r="AH50" i="28"/>
  <c r="AH56" i="28"/>
  <c r="AI46" i="28"/>
  <c r="AH47" i="28"/>
  <c r="AJ20" i="28"/>
  <c r="AJ66" i="28" s="1"/>
  <c r="AJ28" i="28"/>
  <c r="AJ67" i="28" s="1"/>
  <c r="AL8" i="28"/>
  <c r="AK24" i="28"/>
  <c r="AK28" i="28" s="1"/>
  <c r="AK67" i="28" s="1"/>
  <c r="AK16" i="28"/>
  <c r="AK15" i="28"/>
  <c r="AJ69" i="28" l="1"/>
  <c r="AI50" i="28"/>
  <c r="AI56" i="28"/>
  <c r="AI47" i="28"/>
  <c r="AJ52" i="28"/>
  <c r="AK20" i="28"/>
  <c r="AJ46" i="28"/>
  <c r="AM8" i="28"/>
  <c r="AL15" i="28"/>
  <c r="AL24" i="28"/>
  <c r="AL28" i="28" s="1"/>
  <c r="AL67" i="28" s="1"/>
  <c r="AL16" i="28"/>
  <c r="AK52" i="28" l="1"/>
  <c r="AK66" i="28"/>
  <c r="AK69" i="28" s="1"/>
  <c r="AJ50" i="28"/>
  <c r="AJ56" i="28"/>
  <c r="AK46" i="28"/>
  <c r="AJ47" i="28"/>
  <c r="AL20" i="28"/>
  <c r="AN8" i="28"/>
  <c r="D8" i="28" s="1"/>
  <c r="F2" i="25" s="1"/>
  <c r="I2" i="25" s="1"/>
  <c r="AM15" i="28"/>
  <c r="AM24" i="28"/>
  <c r="AM28" i="28" s="1"/>
  <c r="AM67" i="28" s="1"/>
  <c r="AM16" i="28"/>
  <c r="AL52" i="28" l="1"/>
  <c r="AL66" i="28"/>
  <c r="AL69" i="28" s="1"/>
  <c r="AK50" i="28"/>
  <c r="AK56" i="28"/>
  <c r="AK47" i="28"/>
  <c r="AL46" i="28"/>
  <c r="AN15" i="28"/>
  <c r="AN24" i="28"/>
  <c r="AN16" i="28"/>
  <c r="D16" i="28" s="1"/>
  <c r="AM20" i="28"/>
  <c r="AM52" i="28" l="1"/>
  <c r="AM66" i="28"/>
  <c r="AM69" i="28" s="1"/>
  <c r="AL50" i="28"/>
  <c r="AL56" i="28"/>
  <c r="AL47" i="28"/>
  <c r="AM46" i="28"/>
  <c r="AN28" i="28"/>
  <c r="AN67" i="28" s="1"/>
  <c r="D24" i="28"/>
  <c r="D28" i="28" s="1"/>
  <c r="AN20" i="28"/>
  <c r="AN66" i="28" s="1"/>
  <c r="D15" i="28"/>
  <c r="D20" i="28" s="1"/>
  <c r="L49" i="26" l="1"/>
  <c r="E25" i="32" s="1"/>
  <c r="E22" i="31" s="1"/>
  <c r="E26" i="32" s="1"/>
  <c r="L42" i="26"/>
  <c r="AN69" i="28"/>
  <c r="AM50" i="28"/>
  <c r="AM56" i="28"/>
  <c r="AN52" i="28"/>
  <c r="D52" i="28" s="1"/>
  <c r="D54" i="28" s="1"/>
  <c r="AM47" i="28"/>
  <c r="AN46" i="28"/>
  <c r="L36" i="26"/>
  <c r="L48" i="26"/>
  <c r="E23" i="32" s="1"/>
  <c r="E24" i="32" s="1"/>
  <c r="M57" i="26" l="1"/>
  <c r="M95" i="26" s="1"/>
  <c r="E5" i="29"/>
  <c r="R5" i="26"/>
  <c r="L43" i="26"/>
  <c r="L44" i="26"/>
  <c r="AN50" i="28"/>
  <c r="D50" i="28" s="1"/>
  <c r="M86" i="26" s="1"/>
  <c r="AN56" i="28"/>
  <c r="AN47" i="28"/>
  <c r="L37" i="26"/>
  <c r="E18" i="29"/>
  <c r="M56" i="26"/>
  <c r="L51" i="26"/>
  <c r="M94" i="26" l="1"/>
  <c r="E14" i="31" s="1"/>
  <c r="M144" i="26"/>
  <c r="M145" i="26" s="1"/>
  <c r="L52" i="26"/>
  <c r="E24" i="29" s="1"/>
  <c r="E20" i="29"/>
  <c r="L38" i="26"/>
  <c r="E28" i="32"/>
  <c r="M59" i="26"/>
  <c r="M97" i="26" l="1"/>
  <c r="M103" i="26" s="1"/>
  <c r="M62" i="26"/>
  <c r="E17" i="29"/>
  <c r="E23" i="29"/>
  <c r="E15" i="31"/>
  <c r="E7" i="32" s="1"/>
  <c r="E16" i="31"/>
  <c r="E8" i="32" s="1"/>
  <c r="E6" i="29"/>
  <c r="E29" i="32"/>
  <c r="M88" i="26" l="1"/>
  <c r="M148" i="26"/>
  <c r="D110" i="28"/>
  <c r="D104" i="28"/>
  <c r="L123" i="26" s="1"/>
  <c r="L125" i="26" s="1"/>
  <c r="L126" i="26" s="1"/>
  <c r="J11" i="38"/>
  <c r="D112" i="28" l="1"/>
  <c r="E112" i="28" s="1"/>
  <c r="P34" i="38" s="1"/>
  <c r="L130" i="26"/>
  <c r="L132" i="26" s="1"/>
  <c r="L133" i="26" s="1"/>
  <c r="L11" i="38"/>
  <c r="F17" i="29"/>
  <c r="F23" i="29" s="1"/>
  <c r="D106" i="28"/>
  <c r="E106" i="28" s="1"/>
  <c r="D98" i="28"/>
  <c r="D100" i="28" s="1"/>
  <c r="H5" i="25" s="1"/>
  <c r="P33" i="38" l="1"/>
  <c r="R33" i="38" s="1"/>
  <c r="N28" i="28" l="1"/>
  <c r="N52" i="28" s="1"/>
  <c r="M28" i="28"/>
  <c r="M46" i="28" s="1"/>
  <c r="L28" i="28"/>
  <c r="L46" i="28" s="1"/>
  <c r="K28" i="28"/>
  <c r="K46" i="28" s="1"/>
  <c r="N46" i="28" l="1"/>
  <c r="N56" i="28" s="1"/>
  <c r="L67" i="28"/>
  <c r="L69" i="28" s="1"/>
  <c r="K67" i="28"/>
  <c r="K69" i="28" s="1"/>
  <c r="M52" i="28"/>
  <c r="L56" i="28"/>
  <c r="L50" i="28"/>
  <c r="M67" i="28"/>
  <c r="M69" i="28" s="1"/>
  <c r="N67" i="28"/>
  <c r="N69" i="28" s="1"/>
  <c r="L52" i="28"/>
  <c r="M56" i="28"/>
  <c r="M50" i="28"/>
  <c r="M47" i="28"/>
  <c r="K56" i="28"/>
  <c r="L47" i="28"/>
  <c r="K50" i="28"/>
  <c r="K52" i="28"/>
  <c r="J28" i="28"/>
  <c r="J52" i="28" s="1"/>
  <c r="H28" i="28"/>
  <c r="H52" i="28" s="1"/>
  <c r="I28" i="28"/>
  <c r="I52" i="28" s="1"/>
  <c r="G28" i="28"/>
  <c r="G67" i="28" s="1"/>
  <c r="G69" i="28" s="1"/>
  <c r="B26" i="28"/>
  <c r="B28" i="28" s="1"/>
  <c r="F28" i="28"/>
  <c r="F46" i="28" s="1"/>
  <c r="O47" i="28" l="1"/>
  <c r="N47" i="28"/>
  <c r="N50" i="28"/>
  <c r="H46" i="28"/>
  <c r="H56" i="28" s="1"/>
  <c r="F67" i="28"/>
  <c r="F69" i="28" s="1"/>
  <c r="F70" i="28" s="1"/>
  <c r="F71" i="28" s="1"/>
  <c r="G46" i="28"/>
  <c r="G50" i="28" s="1"/>
  <c r="H67" i="28"/>
  <c r="H69" i="28" s="1"/>
  <c r="G52" i="28"/>
  <c r="F47" i="28"/>
  <c r="F50" i="28"/>
  <c r="F56" i="28"/>
  <c r="J42" i="26"/>
  <c r="J49" i="26"/>
  <c r="J67" i="28"/>
  <c r="J69" i="28" s="1"/>
  <c r="F52" i="28"/>
  <c r="I46" i="28"/>
  <c r="I67" i="28"/>
  <c r="I69" i="28" s="1"/>
  <c r="J46" i="28"/>
  <c r="G70" i="28" l="1"/>
  <c r="H70" i="28" s="1"/>
  <c r="G47" i="28"/>
  <c r="G56" i="28"/>
  <c r="B52" i="28"/>
  <c r="B54" i="28" s="1"/>
  <c r="H47" i="28"/>
  <c r="I47" i="28"/>
  <c r="H50" i="28"/>
  <c r="C25" i="32"/>
  <c r="C22" i="31" s="1"/>
  <c r="C26" i="32" s="1"/>
  <c r="J111" i="26"/>
  <c r="J51" i="26"/>
  <c r="K57" i="26"/>
  <c r="I56" i="28"/>
  <c r="I50" i="28"/>
  <c r="J47" i="28"/>
  <c r="J43" i="26"/>
  <c r="P5" i="26"/>
  <c r="J44" i="26"/>
  <c r="C5" i="29"/>
  <c r="M42" i="26"/>
  <c r="C18" i="29"/>
  <c r="J56" i="28"/>
  <c r="K47" i="28"/>
  <c r="J50" i="28"/>
  <c r="G71" i="28"/>
  <c r="C33" i="32" l="1"/>
  <c r="S3" i="38" s="1"/>
  <c r="B50" i="28"/>
  <c r="K86" i="26" s="1"/>
  <c r="F26" i="38"/>
  <c r="C20" i="29"/>
  <c r="F20" i="29" s="1"/>
  <c r="H71" i="28"/>
  <c r="I70" i="28"/>
  <c r="M43" i="26"/>
  <c r="F5" i="29"/>
  <c r="K59" i="26"/>
  <c r="K95" i="26"/>
  <c r="K144" i="26"/>
  <c r="K145" i="26" s="1"/>
  <c r="C28" i="32"/>
  <c r="J52" i="26"/>
  <c r="M51" i="26"/>
  <c r="J112" i="26"/>
  <c r="K111" i="26" s="1"/>
  <c r="C17" i="38" l="1"/>
  <c r="J14" i="38"/>
  <c r="L14" i="38" s="1"/>
  <c r="L17" i="38" s="1"/>
  <c r="C14" i="31"/>
  <c r="K97" i="26"/>
  <c r="C6" i="29"/>
  <c r="C29" i="32"/>
  <c r="C24" i="29"/>
  <c r="I71" i="28"/>
  <c r="J70" i="28"/>
  <c r="K109" i="26"/>
  <c r="K112" i="26"/>
  <c r="K110" i="26"/>
  <c r="K108" i="26"/>
  <c r="K62" i="26"/>
  <c r="K63" i="26" s="1"/>
  <c r="N59" i="26"/>
  <c r="J26" i="38"/>
  <c r="F18" i="29"/>
  <c r="G17" i="38" l="1"/>
  <c r="F24" i="29" s="1"/>
  <c r="F6" i="29"/>
  <c r="K149" i="26"/>
  <c r="K103" i="26"/>
  <c r="K104" i="26" s="1"/>
  <c r="T26" i="38"/>
  <c r="G16" i="37" s="1"/>
  <c r="C16" i="31"/>
  <c r="C8" i="32" s="1"/>
  <c r="C15" i="31"/>
  <c r="C7" i="32" s="1"/>
  <c r="K148" i="26"/>
  <c r="K88" i="26"/>
  <c r="K89" i="26" s="1"/>
  <c r="J71" i="28"/>
  <c r="K70" i="28"/>
  <c r="G17" i="37" l="1"/>
  <c r="I16" i="37"/>
  <c r="I17" i="37" s="1"/>
  <c r="L70" i="28"/>
  <c r="K71" i="28"/>
  <c r="M70" i="28" l="1"/>
  <c r="L71" i="28"/>
  <c r="N70" i="28" l="1"/>
  <c r="M71" i="28"/>
  <c r="N71" i="28" l="1"/>
  <c r="O70" i="28"/>
  <c r="O71" i="28" l="1"/>
  <c r="P70" i="28"/>
  <c r="P71" i="28" l="1"/>
  <c r="Q70" i="28"/>
  <c r="R70" i="28" l="1"/>
  <c r="Q71" i="28"/>
  <c r="R71" i="28" l="1"/>
  <c r="S70" i="28"/>
  <c r="T70" i="28" l="1"/>
  <c r="S71" i="28"/>
  <c r="U70" i="28" l="1"/>
  <c r="T71" i="28"/>
  <c r="V70" i="28" l="1"/>
  <c r="U71" i="28"/>
  <c r="V71" i="28" l="1"/>
  <c r="W70" i="28"/>
  <c r="W71" i="28" l="1"/>
  <c r="X70" i="28"/>
  <c r="X71" i="28" l="1"/>
  <c r="Y70" i="28"/>
  <c r="Y71" i="28" l="1"/>
  <c r="Z70" i="28"/>
  <c r="Z71" i="28" l="1"/>
  <c r="AA70" i="28"/>
  <c r="AB70" i="28" l="1"/>
  <c r="AA71" i="28"/>
  <c r="AC70" i="28" l="1"/>
  <c r="AB71" i="28"/>
  <c r="AD70" i="28" l="1"/>
  <c r="AC71" i="28"/>
  <c r="AD71" i="28" l="1"/>
  <c r="AE70" i="28"/>
  <c r="AE71" i="28" l="1"/>
  <c r="AF70" i="28"/>
  <c r="AG70" i="28" l="1"/>
  <c r="AF71" i="28"/>
  <c r="AG71" i="28" l="1"/>
  <c r="AH70" i="28"/>
  <c r="AI70" i="28" l="1"/>
  <c r="AH71" i="28"/>
  <c r="AI71" i="28" l="1"/>
  <c r="AJ70" i="28"/>
  <c r="AJ71" i="28" l="1"/>
  <c r="AK70" i="28"/>
  <c r="AK71" i="28" l="1"/>
  <c r="AL70" i="28"/>
  <c r="AM70" i="28" l="1"/>
  <c r="AL71" i="28"/>
  <c r="AM71" i="28" l="1"/>
  <c r="AN70" i="28"/>
  <c r="AN71" i="28" s="1"/>
  <c r="E72" i="28" l="1"/>
  <c r="C21" i="29" s="1"/>
  <c r="C22" i="29" s="1"/>
  <c r="F21" i="29" l="1"/>
  <c r="F22" i="29" s="1"/>
  <c r="J60" i="26"/>
  <c r="J146" i="26" s="1"/>
  <c r="D22" i="29"/>
  <c r="C16" i="32"/>
  <c r="C18" i="32" s="1"/>
  <c r="M60" i="26" l="1"/>
  <c r="M87" i="26" s="1"/>
  <c r="M89" i="26" s="1"/>
  <c r="J63" i="26"/>
  <c r="J149" i="26" s="1"/>
  <c r="J87" i="26"/>
  <c r="J89" i="26" s="1"/>
  <c r="C19" i="32"/>
  <c r="J23" i="38"/>
  <c r="R26" i="38" s="1"/>
  <c r="J152" i="26" s="1"/>
  <c r="E22" i="29"/>
  <c r="E16" i="32" s="1"/>
  <c r="D16" i="32"/>
  <c r="M146" i="26" l="1"/>
  <c r="N65" i="26"/>
  <c r="O65" i="26" s="1"/>
  <c r="J20" i="38" s="1"/>
  <c r="M63" i="26"/>
  <c r="O66" i="26" s="1"/>
  <c r="G92" i="26"/>
  <c r="O2" i="25" s="1"/>
  <c r="D17" i="32"/>
  <c r="D18" i="32"/>
  <c r="B6" i="41"/>
  <c r="L20" i="38"/>
  <c r="L23" i="38" s="1"/>
  <c r="E18" i="32"/>
  <c r="E19" i="32" s="1"/>
  <c r="E17" i="32"/>
  <c r="P66" i="26"/>
  <c r="Q66" i="26" l="1"/>
  <c r="N23" i="38" s="1"/>
  <c r="M149" i="26"/>
  <c r="P23" i="38"/>
  <c r="D19" i="32"/>
  <c r="C32" i="32"/>
  <c r="J101" i="26" l="1"/>
  <c r="E57" i="28"/>
  <c r="J151" i="26"/>
  <c r="J154" i="26" s="1"/>
  <c r="R29" i="38"/>
  <c r="E58" i="28" l="1"/>
  <c r="F57" i="28"/>
  <c r="T33" i="38"/>
  <c r="W32" i="38" s="1"/>
  <c r="S29" i="38"/>
  <c r="S28" i="38"/>
  <c r="E5" i="25"/>
  <c r="E3" i="41" s="1"/>
  <c r="W25" i="38"/>
  <c r="M101" i="26"/>
  <c r="M104" i="26" s="1"/>
  <c r="J104" i="26"/>
  <c r="B2" i="41" l="1"/>
  <c r="E5" i="41"/>
  <c r="E4" i="41"/>
  <c r="E6" i="41"/>
  <c r="J5" i="25"/>
  <c r="I19" i="37"/>
  <c r="J16" i="37" s="1"/>
  <c r="L11" i="37" s="1"/>
  <c r="F58" i="28"/>
  <c r="G57" i="28"/>
  <c r="J13" i="37" l="1"/>
  <c r="J12" i="37"/>
  <c r="J11" i="37"/>
  <c r="G58" i="28"/>
  <c r="H57" i="28"/>
  <c r="C2" i="41"/>
  <c r="D2" i="41"/>
  <c r="E2" i="41" s="1"/>
  <c r="J17" i="37" l="1"/>
  <c r="H58" i="28"/>
  <c r="I57" i="28"/>
  <c r="J57" i="28" l="1"/>
  <c r="I58" i="28"/>
  <c r="K57" i="28" l="1"/>
  <c r="J58" i="28"/>
  <c r="K58" i="28" l="1"/>
  <c r="L57" i="28"/>
  <c r="L58" i="28" l="1"/>
  <c r="M57" i="28"/>
  <c r="M58" i="28" l="1"/>
  <c r="N57" i="28"/>
  <c r="N58" i="28" l="1"/>
  <c r="O57" i="28"/>
  <c r="P57" i="28" l="1"/>
  <c r="O58" i="28"/>
  <c r="P58" i="28" l="1"/>
  <c r="Q57" i="28"/>
  <c r="Q58" i="28" l="1"/>
  <c r="R57" i="28"/>
  <c r="R58" i="28" l="1"/>
  <c r="S57" i="28"/>
  <c r="T57" i="28" l="1"/>
  <c r="S58" i="28"/>
  <c r="T58" i="28" l="1"/>
  <c r="U57" i="28"/>
  <c r="U58" i="28" l="1"/>
  <c r="V57" i="28"/>
  <c r="V58" i="28" l="1"/>
  <c r="W57" i="28"/>
  <c r="X57" i="28" l="1"/>
  <c r="W58" i="28"/>
  <c r="Y57" i="28" l="1"/>
  <c r="X58" i="28"/>
  <c r="Y58" i="28" l="1"/>
  <c r="Z57" i="28"/>
  <c r="AA57" i="28" l="1"/>
  <c r="Z58" i="28"/>
  <c r="AB57" i="28" l="1"/>
  <c r="AA58" i="28"/>
  <c r="AB58" i="28" l="1"/>
  <c r="AC57" i="28"/>
  <c r="AC58" i="28" l="1"/>
  <c r="AD57" i="28"/>
  <c r="AD58" i="28" l="1"/>
  <c r="AE57" i="28"/>
  <c r="AE58" i="28" l="1"/>
  <c r="AF57" i="28"/>
  <c r="AG57" i="28" l="1"/>
  <c r="AF58" i="28"/>
  <c r="AH57" i="28" l="1"/>
  <c r="AG58" i="28"/>
  <c r="AI57" i="28" l="1"/>
  <c r="AH58" i="28"/>
  <c r="AJ57" i="28" l="1"/>
  <c r="AI58" i="28"/>
  <c r="AK57" i="28" l="1"/>
  <c r="AJ58" i="28"/>
  <c r="AK58" i="28" l="1"/>
  <c r="AL57" i="28"/>
  <c r="AM57" i="28" l="1"/>
  <c r="AL58" i="28"/>
  <c r="AN57" i="28" l="1"/>
  <c r="AN58" i="28" s="1"/>
  <c r="AM58" i="28"/>
  <c r="C34" i="32" l="1"/>
  <c r="S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tc={CE10A980-EBD6-45D9-B6DA-85EDDD5ED1EB}</author>
  </authors>
  <commentList>
    <comment ref="C32" authorId="0" shapeId="0" xr:uid="{CE10A980-EBD6-45D9-B6DA-85EDDD5ED1EB}">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 3 años de capital de trabajo. Para la evaluación se uso solo el del primer año (ambos deberían estar cubiertos por recursos propios, siendo este valor el máximo en el peor escenario)</t>
      </text>
    </comment>
  </commentList>
</comments>
</file>

<file path=xl/sharedStrings.xml><?xml version="1.0" encoding="utf-8"?>
<sst xmlns="http://schemas.openxmlformats.org/spreadsheetml/2006/main" count="927" uniqueCount="476">
  <si>
    <t>Ingresos clientes nuevos</t>
  </si>
  <si>
    <t>Ingresos recurrentes</t>
  </si>
  <si>
    <t>Total de Ingresos</t>
  </si>
  <si>
    <t>Valor UF</t>
  </si>
  <si>
    <t>UF</t>
  </si>
  <si>
    <t>+</t>
  </si>
  <si>
    <t>MoM</t>
  </si>
  <si>
    <t>A</t>
  </si>
  <si>
    <t>B</t>
  </si>
  <si>
    <t>C</t>
  </si>
  <si>
    <t>E</t>
  </si>
  <si>
    <t>Clientes nuevos</t>
  </si>
  <si>
    <t>Total de clientes nuevos</t>
  </si>
  <si>
    <t>Cifras en MUS$</t>
  </si>
  <si>
    <t>Base de clientes</t>
  </si>
  <si>
    <t>Costos mensuales</t>
  </si>
  <si>
    <t>Costos de Cloud mensual:</t>
  </si>
  <si>
    <t>Costos de Hosting mensual:</t>
  </si>
  <si>
    <t>Costos de correos mensual:</t>
  </si>
  <si>
    <t>Costos de Herramientas mensual:</t>
  </si>
  <si>
    <t>Costos de Licencias mensual:</t>
  </si>
  <si>
    <t>US$</t>
  </si>
  <si>
    <t>Comisión Operador</t>
  </si>
  <si>
    <t>Comisión CTO</t>
  </si>
  <si>
    <t>Planilla de RRHH (Bruto mensual)</t>
  </si>
  <si>
    <t>MCLP$</t>
  </si>
  <si>
    <t>MUS$</t>
  </si>
  <si>
    <t>CLP/USD</t>
  </si>
  <si>
    <t>Mes de entrada</t>
  </si>
  <si>
    <t>Reajuste anual</t>
  </si>
  <si>
    <t>Costos por cliente</t>
  </si>
  <si>
    <t>CEO</t>
  </si>
  <si>
    <t>CFO</t>
  </si>
  <si>
    <t>Contadora</t>
  </si>
  <si>
    <t>Gasto de Marketing y Difusión</t>
  </si>
  <si>
    <t>Comisión CCO</t>
  </si>
  <si>
    <t>Comisión KAM</t>
  </si>
  <si>
    <t>Gastos del CAC</t>
  </si>
  <si>
    <t>Comisión del CEO</t>
  </si>
  <si>
    <t>Compra de equipos</t>
  </si>
  <si>
    <t>Total gastos del CAC</t>
  </si>
  <si>
    <t>Total GAV</t>
  </si>
  <si>
    <t>EBITDA</t>
  </si>
  <si>
    <t>% de los ingresos</t>
  </si>
  <si>
    <t>Mes</t>
  </si>
  <si>
    <t>Recurrencia</t>
  </si>
  <si>
    <t># Nuevos</t>
  </si>
  <si>
    <t>Clientes Recurrentes</t>
  </si>
  <si>
    <t>Clientes nuevos del período (#)</t>
  </si>
  <si>
    <t>CAC (MUS$)</t>
  </si>
  <si>
    <t>Rango de usuarios</t>
  </si>
  <si>
    <t>D</t>
  </si>
  <si>
    <t>Piloto</t>
  </si>
  <si>
    <t>Enero</t>
  </si>
  <si>
    <t>Febrero</t>
  </si>
  <si>
    <t>Marzo</t>
  </si>
  <si>
    <t>Abril</t>
  </si>
  <si>
    <t>Mayo</t>
  </si>
  <si>
    <t>Junio</t>
  </si>
  <si>
    <t>Julio</t>
  </si>
  <si>
    <t>Agosto</t>
  </si>
  <si>
    <t>Septiembre</t>
  </si>
  <si>
    <t>Octubre</t>
  </si>
  <si>
    <t>Noviembre</t>
  </si>
  <si>
    <t>Diciembre</t>
  </si>
  <si>
    <t>Total de Clientes</t>
  </si>
  <si>
    <t>Churn</t>
  </si>
  <si>
    <t>Ingresos Recurrentes</t>
  </si>
  <si>
    <t>CHURN</t>
  </si>
  <si>
    <t>Valor Paquete</t>
  </si>
  <si>
    <t>ID</t>
  </si>
  <si>
    <t>Tipo de cliente</t>
  </si>
  <si>
    <t>Totales</t>
  </si>
  <si>
    <t>Total Adquiridos</t>
  </si>
  <si>
    <t>% de la Cartera</t>
  </si>
  <si>
    <t>Ciclo de conversión en meses</t>
  </si>
  <si>
    <t>% de conversión a clientes del Piloto</t>
  </si>
  <si>
    <t>Exp. Piloto</t>
  </si>
  <si>
    <t>MoM de la experiencia piloto</t>
  </si>
  <si>
    <t>Total de Clientes Adquiridos de Piloto</t>
  </si>
  <si>
    <t>Experiencia piloto traducidos a tipos de clientes:</t>
  </si>
  <si>
    <t>Total de clientes x exp. Piloto</t>
  </si>
  <si>
    <t>Adqusición de Clientes (#)</t>
  </si>
  <si>
    <t>meses</t>
  </si>
  <si>
    <t>mensual</t>
  </si>
  <si>
    <t>Clientes x Exp. Piloto</t>
  </si>
  <si>
    <t>Total de Clientes Adquiridos</t>
  </si>
  <si>
    <t>CHURN de Clientes</t>
  </si>
  <si>
    <t>Clientes acumulados</t>
  </si>
  <si>
    <t>CHURN de clientes (#)</t>
  </si>
  <si>
    <t>Clientes del período</t>
  </si>
  <si>
    <t>Ventas recurrentes</t>
  </si>
  <si>
    <t>Ventas recurrentes traducidos a tipos de clientes:</t>
  </si>
  <si>
    <t>Clientes nuevos + experiencia piloto + recurrencia (total de servicios)</t>
  </si>
  <si>
    <t>Total de servicios</t>
  </si>
  <si>
    <t>Ingresos por tipo de cliente del período en MUS$</t>
  </si>
  <si>
    <t>Total de ingresos (MUS$)</t>
  </si>
  <si>
    <t xml:space="preserve">Ingresos totales </t>
  </si>
  <si>
    <t>Ticket promedio</t>
  </si>
  <si>
    <t>Total Clientes nuevos</t>
  </si>
  <si>
    <t>Total traducidos</t>
  </si>
  <si>
    <t>Precio en MUS$</t>
  </si>
  <si>
    <t>Precio Prom MUS$</t>
  </si>
  <si>
    <t>Precio promedio ponderado</t>
  </si>
  <si>
    <t>% del total de ingresos</t>
  </si>
  <si>
    <t>Ingresos de clientes nuevos en MUS$</t>
  </si>
  <si>
    <t>Para comprobar:</t>
  </si>
  <si>
    <t>Ingresos de clientes Exp. Piloto en MUS$</t>
  </si>
  <si>
    <t>Ingresos recurrentes en MUS$</t>
  </si>
  <si>
    <t>Ticket promedio C. nuevos</t>
  </si>
  <si>
    <t>Ticket promedio C. Exp. P.</t>
  </si>
  <si>
    <t>Ticket promedio ponderado</t>
  </si>
  <si>
    <t>Clientes Ex. Piloto</t>
  </si>
  <si>
    <t>Servicios recurrentes</t>
  </si>
  <si>
    <t>Ticket promedio recurrentes</t>
  </si>
  <si>
    <t>Servidor por cliente:</t>
  </si>
  <si>
    <t>Inversión por recuperar</t>
  </si>
  <si>
    <t>Pasivos de L. Plazo</t>
  </si>
  <si>
    <t>Otros gastos I+D:</t>
  </si>
  <si>
    <t>Viaticos y viajes:</t>
  </si>
  <si>
    <t>Comisión Partner:</t>
  </si>
  <si>
    <t>Gastos del CAC s/ RR.HH.</t>
  </si>
  <si>
    <t>% de Ing.</t>
  </si>
  <si>
    <t>Comisiones:</t>
  </si>
  <si>
    <t>Cuentas Socios</t>
  </si>
  <si>
    <t>CLP$</t>
  </si>
  <si>
    <t>Total Costos Operacionales</t>
  </si>
  <si>
    <t>CTO</t>
  </si>
  <si>
    <t>KAM</t>
  </si>
  <si>
    <t>CCO</t>
  </si>
  <si>
    <t>Desarrollador</t>
  </si>
  <si>
    <t>Soporte</t>
  </si>
  <si>
    <t>Costos Operacionales</t>
  </si>
  <si>
    <t>Resultado Operacional</t>
  </si>
  <si>
    <t>Gross Profit (%)</t>
  </si>
  <si>
    <t>Resultado d/ de CAC</t>
  </si>
  <si>
    <t>CAC en % de los ingresos</t>
  </si>
  <si>
    <t>Gastos de Adm. y ventas</t>
  </si>
  <si>
    <t>EBITDA en % de los ingresos</t>
  </si>
  <si>
    <t>Lunch</t>
  </si>
  <si>
    <t>Capital de Trabajo</t>
  </si>
  <si>
    <t>V. de desecho</t>
  </si>
  <si>
    <t>Impuesto a la renta</t>
  </si>
  <si>
    <t>Max. Clientes</t>
  </si>
  <si>
    <t>Operador</t>
  </si>
  <si>
    <t>Expertos Revisión</t>
  </si>
  <si>
    <t>Flujo del período</t>
  </si>
  <si>
    <t>Flujos acumulados</t>
  </si>
  <si>
    <t>Planilla de RR.HH.</t>
  </si>
  <si>
    <t>CEO (Bruto)</t>
  </si>
  <si>
    <t>CEO Comisión</t>
  </si>
  <si>
    <t>Total CEO</t>
  </si>
  <si>
    <t>CTO (Bruto)</t>
  </si>
  <si>
    <t>CTO Comisión</t>
  </si>
  <si>
    <t>Total CTO</t>
  </si>
  <si>
    <t>CCO (Bruto)</t>
  </si>
  <si>
    <t>CCO Comisión</t>
  </si>
  <si>
    <t>Total CCO</t>
  </si>
  <si>
    <t>CFO (Bruto)</t>
  </si>
  <si>
    <t>C-Level (Bruto)</t>
  </si>
  <si>
    <t>C-Level Comisión</t>
  </si>
  <si>
    <t>Total C-Level</t>
  </si>
  <si>
    <t>Ingresos (MUS$)</t>
  </si>
  <si>
    <t>24/25</t>
  </si>
  <si>
    <t>25/26</t>
  </si>
  <si>
    <t xml:space="preserve">Tasa de descuento: </t>
  </si>
  <si>
    <t>Ticket promedio (MUS$)</t>
  </si>
  <si>
    <t>Recurrencia (veces)</t>
  </si>
  <si>
    <t>Adqusición de clientes</t>
  </si>
  <si>
    <t>veces / cliente</t>
  </si>
  <si>
    <t>tasa de crecimiento mensual de clientes</t>
  </si>
  <si>
    <t>tasa mensual de pérdida de clientes</t>
  </si>
  <si>
    <t>MRR</t>
  </si>
  <si>
    <t>Ingresos recurrentes mensuales como % de los ingresos totales</t>
  </si>
  <si>
    <t xml:space="preserve">Gross Profitt </t>
  </si>
  <si>
    <t>% de los ingresos que son los costos operacionales</t>
  </si>
  <si>
    <t>ARPU (%)</t>
  </si>
  <si>
    <t>% de los ingresos que deja cada cliente</t>
  </si>
  <si>
    <t>CASH BURN RATE</t>
  </si>
  <si>
    <t>Flujo Estocástico</t>
  </si>
  <si>
    <t>Estocastical flow</t>
  </si>
  <si>
    <t>Inversión inicial y Desech.</t>
  </si>
  <si>
    <t>Impuestos</t>
  </si>
  <si>
    <t>Flow</t>
  </si>
  <si>
    <t>VNA</t>
  </si>
  <si>
    <t>Ingresos Estocásticos</t>
  </si>
  <si>
    <t>Egresos Estocásticos</t>
  </si>
  <si>
    <t>Flujo Estocástico 2</t>
  </si>
  <si>
    <t>Egresos no Estocásticos</t>
  </si>
  <si>
    <t>Valor Estocástico</t>
  </si>
  <si>
    <t>Corresponde al menor valor posible (MUS$)</t>
  </si>
  <si>
    <t>Ciclo Productivo (días)</t>
  </si>
  <si>
    <t xml:space="preserve">MUS$ gastos por día </t>
  </si>
  <si>
    <t>Tiempo entre la adqusición y monetización de un cliente</t>
  </si>
  <si>
    <t>Monto para cubrir un ciclo productivo</t>
  </si>
  <si>
    <t>Capital de trabajo A</t>
  </si>
  <si>
    <t>Capital de trabajo B</t>
  </si>
  <si>
    <t>Flujos negativos del período</t>
  </si>
  <si>
    <t>BCP</t>
  </si>
  <si>
    <t>3 años</t>
  </si>
  <si>
    <t>US T.</t>
  </si>
  <si>
    <t>IPSA</t>
  </si>
  <si>
    <t>Beta</t>
  </si>
  <si>
    <t>Information System</t>
  </si>
  <si>
    <t>Prima por riesgo</t>
  </si>
  <si>
    <t>CT</t>
  </si>
  <si>
    <t>Costos fijos anuales</t>
  </si>
  <si>
    <t>Costos fijos mensuales</t>
  </si>
  <si>
    <t xml:space="preserve">Ticket promedio: </t>
  </si>
  <si>
    <t>% Comprometido:</t>
  </si>
  <si>
    <t>Costos Unitarios:</t>
  </si>
  <si>
    <t>Costos variable por unidad:</t>
  </si>
  <si>
    <t>IT</t>
  </si>
  <si>
    <t>Ciclo Productivo:</t>
  </si>
  <si>
    <t>Cliente</t>
  </si>
  <si>
    <t>Ventas en MUS$</t>
  </si>
  <si>
    <t>UF 2 de enero 2024</t>
  </si>
  <si>
    <t>Expectativa IPC</t>
  </si>
  <si>
    <t>ScaleX target</t>
  </si>
  <si>
    <t>Down/Upside</t>
  </si>
  <si>
    <t>Breakeven</t>
  </si>
  <si>
    <t>Payback</t>
  </si>
  <si>
    <t>Bootstraping</t>
  </si>
  <si>
    <t>Var % anual</t>
  </si>
  <si>
    <t>Breakeven (meses)</t>
  </si>
  <si>
    <t>Payback (meses)</t>
  </si>
  <si>
    <t>Abr</t>
  </si>
  <si>
    <t>May</t>
  </si>
  <si>
    <t>Jun</t>
  </si>
  <si>
    <t>Jul</t>
  </si>
  <si>
    <t>Ago</t>
  </si>
  <si>
    <t>Sept</t>
  </si>
  <si>
    <t>Oct</t>
  </si>
  <si>
    <t>Nov</t>
  </si>
  <si>
    <t>Dic</t>
  </si>
  <si>
    <t>Mar</t>
  </si>
  <si>
    <t>Feb</t>
  </si>
  <si>
    <t>Ene</t>
  </si>
  <si>
    <t>Flujos c/I</t>
  </si>
  <si>
    <t>Target</t>
  </si>
  <si>
    <t>&gt; 90%</t>
  </si>
  <si>
    <t>&gt; MUS$1.000 (3 año)</t>
  </si>
  <si>
    <t>Proyectado</t>
  </si>
  <si>
    <t>País</t>
  </si>
  <si>
    <t>Brasil</t>
  </si>
  <si>
    <t>Colombia</t>
  </si>
  <si>
    <t>Veces Ingresos Chile</t>
  </si>
  <si>
    <t>Comisión</t>
  </si>
  <si>
    <t>Flujo de Caja (Chile)</t>
  </si>
  <si>
    <t>Ingresos Chile con desface</t>
  </si>
  <si>
    <t>Costos operacionales</t>
  </si>
  <si>
    <t>GAV</t>
  </si>
  <si>
    <t xml:space="preserve">Flujo acumulado </t>
  </si>
  <si>
    <t>Negativos</t>
  </si>
  <si>
    <t>Capital de trabajo</t>
  </si>
  <si>
    <t>días pago comisión</t>
  </si>
  <si>
    <t>Gastos del CAC (MUS$)</t>
  </si>
  <si>
    <t xml:space="preserve">Resultado </t>
  </si>
  <si>
    <t>Resultado</t>
  </si>
  <si>
    <t>VAN (MUS$) Int.</t>
  </si>
  <si>
    <t>VAN Chile (MUS$)</t>
  </si>
  <si>
    <t>Ventas Internacionales</t>
  </si>
  <si>
    <t>Total de Ventas</t>
  </si>
  <si>
    <t>Variable</t>
  </si>
  <si>
    <t>Valor Paq. UF</t>
  </si>
  <si>
    <t>Precio Promedio Chile</t>
  </si>
  <si>
    <t>Total de clientes</t>
  </si>
  <si>
    <t>MKT</t>
  </si>
  <si>
    <t>RRHH</t>
  </si>
  <si>
    <t>Comisiones</t>
  </si>
  <si>
    <t>Servidor por cliente</t>
  </si>
  <si>
    <t>Costos de Cloud mensual</t>
  </si>
  <si>
    <t>Costos de Hosting mensual</t>
  </si>
  <si>
    <t>Costos de correos mensual</t>
  </si>
  <si>
    <t>Costos de Herramientas mensual</t>
  </si>
  <si>
    <t>Costos de Licencias mensual</t>
  </si>
  <si>
    <t>Otros gastos I+D</t>
  </si>
  <si>
    <t>Viaticos y viajes</t>
  </si>
  <si>
    <t>Comisión Partner</t>
  </si>
  <si>
    <t>Variables</t>
  </si>
  <si>
    <t>Ingresos reales</t>
  </si>
  <si>
    <t>Costos directos acumulados</t>
  </si>
  <si>
    <t>Plan de ventas (unidades de clientes)</t>
  </si>
  <si>
    <t>2025 y 2026</t>
  </si>
  <si>
    <t>Rango de usuarios (unidades de usuarios)</t>
  </si>
  <si>
    <t>Unidad.</t>
  </si>
  <si>
    <t>#</t>
  </si>
  <si>
    <t>%</t>
  </si>
  <si>
    <t>Pagos directos acumulados</t>
  </si>
  <si>
    <t>Ingresos reales acumulados</t>
  </si>
  <si>
    <t>Costo de adqusición por cada cliente nuevo</t>
  </si>
  <si>
    <t>Ingresos / Cliente nuevos</t>
  </si>
  <si>
    <t>Clientes nuevos por mes</t>
  </si>
  <si>
    <t>Ingresos totales Chile (MUS$)</t>
  </si>
  <si>
    <t>Ingresos para ser Startup</t>
  </si>
  <si>
    <t>Sobre o bajo el equilibrio</t>
  </si>
  <si>
    <t>Ingresos Brasil acumulados</t>
  </si>
  <si>
    <t>Ajuste por desface Brasil</t>
  </si>
  <si>
    <t>Ajuste por desface Colombia</t>
  </si>
  <si>
    <t>Ingresos Internacionales(MUS$)</t>
  </si>
  <si>
    <t>Gastos del CAC Internacional (MUS$)</t>
  </si>
  <si>
    <t>Min. Ventas Scale X(MUS$)</t>
  </si>
  <si>
    <t>Punto de Equilibrio</t>
  </si>
  <si>
    <t>Ventas Chile</t>
  </si>
  <si>
    <t>Ingresos ScaleX target solo Chile</t>
  </si>
  <si>
    <t>MUS$ sobre o bajo el eq. s/Chile</t>
  </si>
  <si>
    <t>Down/Upside ventas s/Chile</t>
  </si>
  <si>
    <t>Down/Upside ventas total</t>
  </si>
  <si>
    <t>Max Capital de Trabajo</t>
  </si>
  <si>
    <t>Bootstraping menos remanente d/equilibrio</t>
  </si>
  <si>
    <t>&gt; MUS$0</t>
  </si>
  <si>
    <t>Ventas Chile 2024</t>
  </si>
  <si>
    <t>CAC por c/ cliente nuevo (MUS$)</t>
  </si>
  <si>
    <t>&lt; CAC MUS$</t>
  </si>
  <si>
    <t>&gt;</t>
  </si>
  <si>
    <t>&lt; MUS$</t>
  </si>
  <si>
    <t>&lt; x meses</t>
  </si>
  <si>
    <t>Ingresos Brasil</t>
  </si>
  <si>
    <t>YTD /Target ScaleX</t>
  </si>
  <si>
    <t>Clientes para target ScaleX</t>
  </si>
  <si>
    <t>Vtas Acum. Chile</t>
  </si>
  <si>
    <t>Clientes nuevos acum. Chile</t>
  </si>
  <si>
    <t>Gross Profit</t>
  </si>
  <si>
    <t>Margen de EBITDA</t>
  </si>
  <si>
    <t>Ingresos Chile</t>
  </si>
  <si>
    <t>Ingresos Colombia</t>
  </si>
  <si>
    <t>Ingresos Totales</t>
  </si>
  <si>
    <t>% de Ingresos Chile</t>
  </si>
  <si>
    <t>% de Ingresos Brasil</t>
  </si>
  <si>
    <t>% de Ingresos Colombia</t>
  </si>
  <si>
    <t>Ingresos ajustados Brasil</t>
  </si>
  <si>
    <t>Ingresos ajustados Colombia</t>
  </si>
  <si>
    <t>% Ingreso nacional</t>
  </si>
  <si>
    <t>% Ingreso Internacional</t>
  </si>
  <si>
    <t>Max. Capital de trabajo encontrado aplicando dos metodologías</t>
  </si>
  <si>
    <t>Resultado operacional / ingresos (Chile)</t>
  </si>
  <si>
    <t>EBITDA / ingresos (Chile)</t>
  </si>
  <si>
    <t>Ingresos totales ajustados</t>
  </si>
  <si>
    <t>CAC Total</t>
  </si>
  <si>
    <t>Resultado Internacional aj.</t>
  </si>
  <si>
    <t>Total Egresos s/CAC</t>
  </si>
  <si>
    <t>Total Egresos</t>
  </si>
  <si>
    <t>% del total</t>
  </si>
  <si>
    <t>Ingresos por clientes nuevos</t>
  </si>
  <si>
    <t>CAC total</t>
  </si>
  <si>
    <t>Clientes recurrentes</t>
  </si>
  <si>
    <t>Resultado Brasil</t>
  </si>
  <si>
    <t>Gastos del CAC Brasil</t>
  </si>
  <si>
    <t>Gastos del CAC Colombia</t>
  </si>
  <si>
    <t>% del resultado sobre ingresos</t>
  </si>
  <si>
    <t>Ingresos internacionales</t>
  </si>
  <si>
    <t>Gastos del CAC Int.</t>
  </si>
  <si>
    <t>Días de cuentas por cobrar Chile:</t>
  </si>
  <si>
    <t>días de pago clientes</t>
  </si>
  <si>
    <t>Valor Postmoney</t>
  </si>
  <si>
    <t>Total</t>
  </si>
  <si>
    <t>Venture Capital</t>
  </si>
  <si>
    <t>Seed 1</t>
  </si>
  <si>
    <t>Fully Diluted</t>
  </si>
  <si>
    <t>Options</t>
  </si>
  <si>
    <t>VC</t>
  </si>
  <si>
    <t>Seed 2</t>
  </si>
  <si>
    <t>Loan</t>
  </si>
  <si>
    <t>Common</t>
  </si>
  <si>
    <t>(MUS$)</t>
  </si>
  <si>
    <t>Bárbara Pantoja P.</t>
  </si>
  <si>
    <t>Rodrigo Hermosilla P.</t>
  </si>
  <si>
    <t>Lionel Valenzuela O.</t>
  </si>
  <si>
    <t>FONDO 1</t>
  </si>
  <si>
    <t>FONDO 2</t>
  </si>
  <si>
    <t>Ticket Promedio</t>
  </si>
  <si>
    <t>Clientes Monetizados</t>
  </si>
  <si>
    <t>Ingresos</t>
  </si>
  <si>
    <t>CAC</t>
  </si>
  <si>
    <t>G.P.</t>
  </si>
  <si>
    <t xml:space="preserve">Resultado Op. </t>
  </si>
  <si>
    <t>Ciclo Productivo</t>
  </si>
  <si>
    <t>Cash Burn Rate</t>
  </si>
  <si>
    <t>Tasa de descuento</t>
  </si>
  <si>
    <t>VAN</t>
  </si>
  <si>
    <t>Pasivos &amp; Obligaciones</t>
  </si>
  <si>
    <t>Valor</t>
  </si>
  <si>
    <t>X</t>
  </si>
  <si>
    <t>=</t>
  </si>
  <si>
    <t>Resultado d/CAC</t>
  </si>
  <si>
    <t>Gastos de Administración</t>
  </si>
  <si>
    <t>Flujos s/ Inv. Inicial</t>
  </si>
  <si>
    <t>-</t>
  </si>
  <si>
    <t>(-)</t>
  </si>
  <si>
    <t>/ (1- … )</t>
  </si>
  <si>
    <t>CHURN (mensual real)</t>
  </si>
  <si>
    <t>Frecuencia de compra (meses)</t>
  </si>
  <si>
    <t>Adquisición Mensual</t>
  </si>
  <si>
    <t>x</t>
  </si>
  <si>
    <t>Nuevos</t>
  </si>
  <si>
    <t>Recurrentes</t>
  </si>
  <si>
    <t>Flujo de Caja</t>
  </si>
  <si>
    <t>Capital de Trabajo x Flujos</t>
  </si>
  <si>
    <t>Flujos d/Impuestos</t>
  </si>
  <si>
    <t>Tasa de descuento real</t>
  </si>
  <si>
    <t>Tasa de descuento nominal</t>
  </si>
  <si>
    <t>VAN de los flujos</t>
  </si>
  <si>
    <t>Capital de Trabajo x Ciclo Op.</t>
  </si>
  <si>
    <t>IPSA Anual</t>
  </si>
  <si>
    <t>BCP 3 años</t>
  </si>
  <si>
    <t>US.T</t>
  </si>
  <si>
    <t>Ingresos - CAC</t>
  </si>
  <si>
    <t>LTV</t>
  </si>
  <si>
    <t>ARPU</t>
  </si>
  <si>
    <t>BREAKEVEN:</t>
  </si>
  <si>
    <t>PAYBACK:</t>
  </si>
  <si>
    <t>Meses</t>
  </si>
  <si>
    <t>CASTIGO x RIESGO</t>
  </si>
  <si>
    <t>CAC Brasil</t>
  </si>
  <si>
    <t>Flujos Brasil</t>
  </si>
  <si>
    <t>CAC Colombia</t>
  </si>
  <si>
    <t>Flujos Colombia</t>
  </si>
  <si>
    <t>VALOR  (VAN) adicional</t>
  </si>
  <si>
    <t>Valor Total (MUS$)</t>
  </si>
  <si>
    <t>Horizonte de eval. (años)</t>
  </si>
  <si>
    <t>Bootstraping  3y (MUS$)</t>
  </si>
  <si>
    <t>Inversión Total (MUS$)</t>
  </si>
  <si>
    <t>VAN Internacional</t>
  </si>
  <si>
    <t>días pago ingresos</t>
  </si>
  <si>
    <t xml:space="preserve">Empresa valorizada por A.Maureira &amp; Co. </t>
  </si>
  <si>
    <t>Costos Operacionales Brasil</t>
  </si>
  <si>
    <t>Costos operacionales Colombia</t>
  </si>
  <si>
    <t>Cifras en MUS$ (miles de dólares de Estados Unidos)</t>
  </si>
  <si>
    <t>Proyecto</t>
  </si>
  <si>
    <t>Gastos Op.</t>
  </si>
  <si>
    <t>Total egresos</t>
  </si>
  <si>
    <t xml:space="preserve">Boostraping </t>
  </si>
  <si>
    <t>Valor AiJourney (MUS$)</t>
  </si>
  <si>
    <t>EBITDA primer año</t>
  </si>
  <si>
    <t>Ingresos primer año</t>
  </si>
  <si>
    <t>Castigo por riesgo</t>
  </si>
  <si>
    <t>Actual</t>
  </si>
  <si>
    <t>Análisis</t>
  </si>
  <si>
    <t>Efecto sobre el valor</t>
  </si>
  <si>
    <t>Impuesto efectivo</t>
  </si>
  <si>
    <t>Impuestos efectivos</t>
  </si>
  <si>
    <t>Valor actual</t>
  </si>
  <si>
    <t>Min. Para que EBITDA = 0</t>
  </si>
  <si>
    <t>Variación Tolerable</t>
  </si>
  <si>
    <t>Condiciones</t>
  </si>
  <si>
    <t>Min. Ventas</t>
  </si>
  <si>
    <t>MCL$</t>
  </si>
  <si>
    <t>Max. Comisión</t>
  </si>
  <si>
    <t>de las ventas</t>
  </si>
  <si>
    <t>Se aplican a KAM y CCO</t>
  </si>
  <si>
    <t>C/ KAM</t>
  </si>
  <si>
    <t>S/KAM</t>
  </si>
  <si>
    <t>Tipo de Empresa</t>
  </si>
  <si>
    <t>Rango de Usuarios</t>
  </si>
  <si>
    <t>MiPyME</t>
  </si>
  <si>
    <t>Empresas medianas y grandes</t>
  </si>
  <si>
    <t>Viaticos y viajes (MUS$)</t>
  </si>
  <si>
    <t>Sueldo bruto CCO (MUS$)</t>
  </si>
  <si>
    <t>Sueldo bruto KAM (MUS$)</t>
  </si>
  <si>
    <t>Comisión Partner (%)</t>
  </si>
  <si>
    <t>Comisión KAM (%)*</t>
  </si>
  <si>
    <t>Comisión CCO (%)*</t>
  </si>
  <si>
    <t>Sueldo Bruto CEO</t>
  </si>
  <si>
    <t>Sueldo Bruto CFO</t>
  </si>
  <si>
    <t>Sueldo Bruto CCO</t>
  </si>
  <si>
    <t>Sueldo Bruto CTO</t>
  </si>
  <si>
    <t>Sueldo Bruto Desarrollador</t>
  </si>
  <si>
    <t>Sueldo Bruto Soporte</t>
  </si>
  <si>
    <t>Sueldo Bruto Operador</t>
  </si>
  <si>
    <t>Revisión de expertos</t>
  </si>
  <si>
    <t>Comisión del CEO (%)</t>
  </si>
  <si>
    <t>Comisión del Operador (%)</t>
  </si>
  <si>
    <t>Comisión CTO (%)</t>
  </si>
  <si>
    <t>Sueldo Bruto KAM</t>
  </si>
  <si>
    <t>Planilla de Recursos Humanos (MUS$)</t>
  </si>
  <si>
    <t>Resultado Colombia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</si>
</sst>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8" formatCode="&quot;$&quot;#,##0.00;[Red]&quot;$&quot;\-#,##0.00"/>
    <numFmt numFmtId="41" formatCode="_ * #,##0_ ;_ * \-#,##0_ ;_ * &quot;-&quot;_ ;_ @_ "/>
    <numFmt numFmtId="164" formatCode="&quot;$&quot;#,##0.0;[Red]&quot;$&quot;\-#,##0.0"/>
    <numFmt numFmtId="165" formatCode="0.0"/>
    <numFmt numFmtId="166" formatCode="0.0%"/>
    <numFmt numFmtId="167" formatCode="&quot;$&quot;#,##0.000;[Red]&quot;$&quot;\-#,##0.000"/>
    <numFmt numFmtId="168" formatCode="#,##0_ ;[Red]\-#,##0\ "/>
    <numFmt numFmtId="169" formatCode="#,##0.0"/>
    <numFmt numFmtId="170" formatCode="_ * #,##0.00_ ;_ * \-#,##0.00_ ;_ * &quot;-&quot;_ ;_ @_ "/>
    <numFmt numFmtId="171" formatCode="0.000"/>
    <numFmt numFmtId="172" formatCode="#,##0.0000"/>
  </numFmts>
  <fonts count="16"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b/>
      <sz val="11"/>
      <color theme="1"/>
      <name val="Calibri"/>
      <family val="2"/>
      <scheme val="minor"/>
    </font>
    <font>
      <b/>
      <u/>
      <sz val="11"/>
      <color theme="1"/>
      <name val="Calibri"/>
      <family val="2"/>
      <scheme val="minor"/>
    </font>
    <font>
      <i/>
      <sz val="9"/>
      <color theme="1"/>
      <name val="Calibri"/>
      <family val="2"/>
      <scheme val="minor"/>
    </font>
    <font>
      <i/>
      <sz val="10"/>
      <color theme="1"/>
      <name val="Calibri"/>
      <family val="2"/>
      <scheme val="minor"/>
    </font>
    <font>
      <i/>
      <sz val="11"/>
      <color theme="1"/>
      <name val="Calibri"/>
      <family val="2"/>
      <scheme val="minor"/>
    </font>
    <font>
      <sz val="9"/>
      <color theme="1"/>
      <name val="Calibri"/>
      <family val="2"/>
      <scheme val="minor"/>
    </font>
    <font>
      <sz val="8"/>
      <color theme="1"/>
      <name val="Calibri"/>
      <family val="2"/>
      <scheme val="minor"/>
    </font>
    <font>
      <b/>
      <i/>
      <u/>
      <sz val="10"/>
      <color theme="1"/>
      <name val="Calibri"/>
      <family val="2"/>
      <scheme val="minor"/>
    </font>
    <font>
      <sz val="10"/>
      <color rgb="FF000000"/>
      <name val="Arial"/>
      <family val="2"/>
    </font>
    <font>
      <sz val="11"/>
      <color theme="0" tint="-0.34998626667073579"/>
      <name val="Calibri"/>
      <family val="2"/>
      <scheme val="minor"/>
    </font>
    <font>
      <sz val="10"/>
      <color theme="1"/>
      <name val="Calibri"/>
      <family val="2"/>
      <scheme val="minor"/>
    </font>
    <font>
      <i/>
      <sz val="11"/>
      <color theme="1" tint="0.1499984740745262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2" tint="-9.9978637043366805E-2"/>
        <bgColor indexed="64"/>
      </patternFill>
    </fill>
  </fills>
  <borders count="21">
    <border>
      <left/>
      <right/>
      <top/>
      <bottom/>
      <diagonal/>
    </border>
    <border>
      <left/>
      <right/>
      <top style="thin">
        <color indexed="64"/>
      </top>
      <bottom/>
      <diagonal/>
    </border>
    <border>
      <left/>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thin">
        <color indexed="64"/>
      </top>
      <bottom style="thin">
        <color indexed="64"/>
      </bottom>
      <diagonal/>
    </border>
  </borders>
  <cellStyleXfs count="7">
    <xf numFmtId="0" fontId="0" fillId="0" borderId="0"/>
    <xf numFmtId="0" fontId="2" fillId="0" borderId="0"/>
    <xf numFmtId="41"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2" fillId="0" borderId="0"/>
    <xf numFmtId="41" fontId="12" fillId="0" borderId="0" applyFont="0" applyFill="0" applyBorder="0" applyAlignment="0" applyProtection="0"/>
  </cellStyleXfs>
  <cellXfs count="343">
    <xf numFmtId="0" fontId="0" fillId="0" borderId="0" xfId="0"/>
    <xf numFmtId="6" fontId="0" fillId="0" borderId="0" xfId="0" applyNumberFormat="1"/>
    <xf numFmtId="164" fontId="0" fillId="0" borderId="0" xfId="0" applyNumberFormat="1" applyAlignment="1">
      <alignment horizontal="center"/>
    </xf>
    <xf numFmtId="0" fontId="0" fillId="0" borderId="0" xfId="0" applyAlignment="1">
      <alignment horizontal="center"/>
    </xf>
    <xf numFmtId="3" fontId="0" fillId="0" borderId="0" xfId="0" applyNumberFormat="1" applyAlignment="1">
      <alignment horizontal="center"/>
    </xf>
    <xf numFmtId="9" fontId="0" fillId="0" borderId="0" xfId="0" applyNumberFormat="1" applyAlignment="1">
      <alignment horizontal="center"/>
    </xf>
    <xf numFmtId="6" fontId="0" fillId="0" borderId="0" xfId="0" applyNumberFormat="1" applyAlignment="1">
      <alignment horizontal="center"/>
    </xf>
    <xf numFmtId="8" fontId="0" fillId="0" borderId="0" xfId="0" applyNumberFormat="1" applyAlignment="1">
      <alignment horizontal="center"/>
    </xf>
    <xf numFmtId="9" fontId="0" fillId="0" borderId="0" xfId="4" applyFont="1" applyAlignment="1">
      <alignment horizontal="center"/>
    </xf>
    <xf numFmtId="1" fontId="0" fillId="0" borderId="0" xfId="0" applyNumberFormat="1" applyAlignment="1">
      <alignment horizontal="center"/>
    </xf>
    <xf numFmtId="0" fontId="0" fillId="0" borderId="0" xfId="0" applyAlignment="1">
      <alignment horizontal="right"/>
    </xf>
    <xf numFmtId="3" fontId="0" fillId="0" borderId="0" xfId="0" applyNumberFormat="1"/>
    <xf numFmtId="0" fontId="0" fillId="0" borderId="2" xfId="0" applyBorder="1" applyAlignment="1">
      <alignment horizontal="center"/>
    </xf>
    <xf numFmtId="0" fontId="4" fillId="0" borderId="0" xfId="0" applyFont="1" applyAlignment="1">
      <alignment horizontal="right"/>
    </xf>
    <xf numFmtId="0" fontId="0" fillId="0" borderId="1" xfId="0" applyBorder="1"/>
    <xf numFmtId="9" fontId="0" fillId="3" borderId="0" xfId="0" applyNumberFormat="1" applyFill="1" applyAlignment="1">
      <alignment horizontal="center"/>
    </xf>
    <xf numFmtId="0" fontId="0" fillId="3" borderId="0" xfId="0" applyFill="1" applyAlignment="1">
      <alignment horizontal="center"/>
    </xf>
    <xf numFmtId="0" fontId="4" fillId="0" borderId="0" xfId="0" applyFont="1"/>
    <xf numFmtId="3" fontId="0" fillId="2" borderId="1" xfId="0" applyNumberFormat="1" applyFill="1" applyBorder="1" applyAlignment="1">
      <alignment horizontal="center"/>
    </xf>
    <xf numFmtId="0" fontId="0" fillId="2" borderId="0" xfId="0" applyFill="1"/>
    <xf numFmtId="0" fontId="4" fillId="2" borderId="0" xfId="0" applyFont="1" applyFill="1" applyAlignment="1">
      <alignment horizontal="center"/>
    </xf>
    <xf numFmtId="0" fontId="4" fillId="2" borderId="0" xfId="0" applyFont="1" applyFill="1" applyAlignment="1">
      <alignment horizontal="right"/>
    </xf>
    <xf numFmtId="9" fontId="0" fillId="2" borderId="1" xfId="4" applyFont="1" applyFill="1" applyBorder="1" applyAlignment="1">
      <alignment horizontal="center"/>
    </xf>
    <xf numFmtId="0" fontId="0" fillId="2" borderId="0" xfId="0" applyFill="1" applyAlignment="1">
      <alignment horizontal="right"/>
    </xf>
    <xf numFmtId="3" fontId="0" fillId="2" borderId="3" xfId="0" applyNumberFormat="1" applyFill="1" applyBorder="1" applyAlignment="1">
      <alignment horizontal="center"/>
    </xf>
    <xf numFmtId="3" fontId="4" fillId="2" borderId="0" xfId="0" applyNumberFormat="1" applyFont="1" applyFill="1" applyAlignment="1">
      <alignment horizontal="center"/>
    </xf>
    <xf numFmtId="0" fontId="6" fillId="2" borderId="0" xfId="0" applyFont="1" applyFill="1" applyAlignment="1">
      <alignment horizontal="right"/>
    </xf>
    <xf numFmtId="165" fontId="0" fillId="0" borderId="0" xfId="0" applyNumberFormat="1" applyAlignment="1">
      <alignment horizontal="center"/>
    </xf>
    <xf numFmtId="0" fontId="4" fillId="2" borderId="0" xfId="0" applyFont="1" applyFill="1"/>
    <xf numFmtId="0" fontId="0" fillId="2" borderId="1" xfId="0" applyFill="1" applyBorder="1"/>
    <xf numFmtId="0" fontId="0" fillId="2" borderId="3" xfId="0" applyFill="1" applyBorder="1"/>
    <xf numFmtId="0" fontId="6" fillId="2" borderId="0" xfId="0" applyFont="1" applyFill="1"/>
    <xf numFmtId="6" fontId="0" fillId="2" borderId="1" xfId="0" applyNumberFormat="1" applyFill="1" applyBorder="1" applyAlignment="1">
      <alignment horizontal="center"/>
    </xf>
    <xf numFmtId="6" fontId="0" fillId="2" borderId="2" xfId="0" applyNumberFormat="1" applyFill="1" applyBorder="1" applyAlignment="1">
      <alignment horizontal="center"/>
    </xf>
    <xf numFmtId="6" fontId="4" fillId="2" borderId="0" xfId="0" applyNumberFormat="1" applyFont="1" applyFill="1" applyAlignment="1">
      <alignment horizontal="center"/>
    </xf>
    <xf numFmtId="0" fontId="4" fillId="2" borderId="1" xfId="0" applyFont="1" applyFill="1" applyBorder="1" applyAlignment="1">
      <alignment horizontal="right"/>
    </xf>
    <xf numFmtId="6" fontId="4" fillId="2" borderId="1" xfId="0" applyNumberFormat="1" applyFont="1" applyFill="1" applyBorder="1" applyAlignment="1">
      <alignment horizontal="center"/>
    </xf>
    <xf numFmtId="6" fontId="0" fillId="2" borderId="3" xfId="0" applyNumberFormat="1" applyFill="1" applyBorder="1" applyAlignment="1">
      <alignment horizontal="center"/>
    </xf>
    <xf numFmtId="9" fontId="6" fillId="2" borderId="0" xfId="4" applyFont="1" applyFill="1" applyAlignment="1">
      <alignment horizontal="center"/>
    </xf>
    <xf numFmtId="0" fontId="6" fillId="2" borderId="2" xfId="0" applyFont="1" applyFill="1" applyBorder="1" applyAlignment="1">
      <alignment horizontal="right"/>
    </xf>
    <xf numFmtId="0" fontId="0" fillId="2" borderId="0" xfId="0" applyFill="1" applyAlignment="1">
      <alignment horizontal="center"/>
    </xf>
    <xf numFmtId="0" fontId="5" fillId="2" borderId="0" xfId="0" applyFont="1" applyFill="1" applyAlignment="1">
      <alignment horizontal="right"/>
    </xf>
    <xf numFmtId="3" fontId="0" fillId="2" borderId="0" xfId="0" applyNumberFormat="1" applyFill="1" applyAlignment="1">
      <alignment horizontal="center"/>
    </xf>
    <xf numFmtId="3" fontId="0" fillId="2" borderId="10" xfId="0" applyNumberFormat="1" applyFill="1" applyBorder="1" applyAlignment="1">
      <alignment horizontal="center"/>
    </xf>
    <xf numFmtId="3" fontId="0" fillId="2" borderId="11" xfId="0" applyNumberFormat="1" applyFill="1" applyBorder="1" applyAlignment="1">
      <alignment horizontal="center"/>
    </xf>
    <xf numFmtId="0" fontId="0" fillId="2" borderId="3" xfId="0" applyFill="1" applyBorder="1" applyAlignment="1">
      <alignment horizontal="center" vertical="center"/>
    </xf>
    <xf numFmtId="0" fontId="0" fillId="2" borderId="13" xfId="0" applyFill="1" applyBorder="1" applyAlignment="1">
      <alignment horizontal="center"/>
    </xf>
    <xf numFmtId="3" fontId="0" fillId="3" borderId="12" xfId="0" applyNumberFormat="1" applyFill="1" applyBorder="1" applyAlignment="1">
      <alignment horizontal="center"/>
    </xf>
    <xf numFmtId="3" fontId="0" fillId="3" borderId="14" xfId="0" applyNumberFormat="1" applyFill="1" applyBorder="1" applyAlignment="1">
      <alignment horizontal="center"/>
    </xf>
    <xf numFmtId="3" fontId="0" fillId="3" borderId="13" xfId="0" applyNumberFormat="1" applyFill="1" applyBorder="1" applyAlignment="1">
      <alignment horizontal="center"/>
    </xf>
    <xf numFmtId="3" fontId="0" fillId="3" borderId="10" xfId="0" applyNumberFormat="1" applyFill="1" applyBorder="1" applyAlignment="1">
      <alignment horizontal="center"/>
    </xf>
    <xf numFmtId="3" fontId="0" fillId="3" borderId="7" xfId="0" applyNumberFormat="1" applyFill="1" applyBorder="1" applyAlignment="1">
      <alignment horizontal="center"/>
    </xf>
    <xf numFmtId="3" fontId="0" fillId="3" borderId="8" xfId="0" applyNumberFormat="1" applyFill="1" applyBorder="1" applyAlignment="1">
      <alignment horizontal="center"/>
    </xf>
    <xf numFmtId="164" fontId="0" fillId="2" borderId="12" xfId="0" applyNumberFormat="1" applyFill="1" applyBorder="1" applyAlignment="1">
      <alignment horizontal="center"/>
    </xf>
    <xf numFmtId="164" fontId="0" fillId="2" borderId="14" xfId="0" applyNumberFormat="1" applyFill="1" applyBorder="1" applyAlignment="1">
      <alignment horizontal="center"/>
    </xf>
    <xf numFmtId="0" fontId="0" fillId="2" borderId="3" xfId="0" applyFill="1" applyBorder="1" applyAlignment="1">
      <alignment horizontal="center"/>
    </xf>
    <xf numFmtId="164" fontId="0" fillId="2" borderId="13" xfId="0" applyNumberFormat="1" applyFill="1" applyBorder="1" applyAlignment="1">
      <alignment horizontal="center"/>
    </xf>
    <xf numFmtId="0" fontId="0" fillId="2" borderId="13" xfId="0" applyFill="1" applyBorder="1" applyAlignment="1">
      <alignment horizontal="center" vertical="center"/>
    </xf>
    <xf numFmtId="0" fontId="0" fillId="2" borderId="7" xfId="0"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0" fillId="3" borderId="7" xfId="0" applyFill="1" applyBorder="1" applyAlignment="1">
      <alignment horizontal="center"/>
    </xf>
    <xf numFmtId="0" fontId="0" fillId="3" borderId="14" xfId="0" applyFill="1" applyBorder="1" applyAlignment="1">
      <alignment horizontal="center"/>
    </xf>
    <xf numFmtId="0" fontId="0" fillId="3" borderId="8" xfId="0" applyFill="1" applyBorder="1" applyAlignment="1">
      <alignment horizontal="center"/>
    </xf>
    <xf numFmtId="0" fontId="0" fillId="3" borderId="3" xfId="0" applyFill="1" applyBorder="1" applyAlignment="1">
      <alignment horizontal="center"/>
    </xf>
    <xf numFmtId="0" fontId="0" fillId="3" borderId="13" xfId="0" applyFill="1" applyBorder="1" applyAlignment="1">
      <alignment horizontal="center"/>
    </xf>
    <xf numFmtId="9" fontId="0" fillId="3" borderId="10" xfId="0" applyNumberFormat="1" applyFill="1" applyBorder="1" applyAlignment="1">
      <alignment horizontal="center"/>
    </xf>
    <xf numFmtId="9" fontId="0" fillId="3" borderId="12" xfId="0" applyNumberFormat="1" applyFill="1" applyBorder="1" applyAlignment="1">
      <alignment horizontal="center"/>
    </xf>
    <xf numFmtId="9" fontId="0" fillId="3" borderId="7" xfId="0" applyNumberFormat="1" applyFill="1" applyBorder="1" applyAlignment="1">
      <alignment horizontal="center"/>
    </xf>
    <xf numFmtId="9" fontId="0" fillId="3" borderId="14" xfId="0" applyNumberFormat="1" applyFill="1" applyBorder="1" applyAlignment="1">
      <alignment horizontal="center"/>
    </xf>
    <xf numFmtId="9" fontId="0" fillId="3" borderId="8" xfId="0" applyNumberFormat="1" applyFill="1" applyBorder="1" applyAlignment="1">
      <alignment horizontal="center"/>
    </xf>
    <xf numFmtId="9" fontId="0" fillId="3" borderId="13" xfId="0" applyNumberFormat="1" applyFill="1" applyBorder="1" applyAlignment="1">
      <alignment horizontal="center"/>
    </xf>
    <xf numFmtId="3" fontId="0" fillId="2" borderId="6" xfId="0" applyNumberFormat="1" applyFill="1" applyBorder="1" applyAlignment="1">
      <alignment horizontal="center"/>
    </xf>
    <xf numFmtId="0" fontId="0" fillId="2" borderId="9" xfId="0" applyFill="1" applyBorder="1" applyAlignment="1">
      <alignment horizontal="center"/>
    </xf>
    <xf numFmtId="0" fontId="0" fillId="2" borderId="15" xfId="0" applyFill="1" applyBorder="1" applyAlignment="1">
      <alignment horizontal="center"/>
    </xf>
    <xf numFmtId="9" fontId="0" fillId="2" borderId="6" xfId="4" applyFont="1" applyFill="1" applyBorder="1" applyAlignment="1">
      <alignment horizontal="center"/>
    </xf>
    <xf numFmtId="9" fontId="0" fillId="2" borderId="9" xfId="4" applyFont="1" applyFill="1" applyBorder="1" applyAlignment="1">
      <alignment horizontal="center"/>
    </xf>
    <xf numFmtId="0" fontId="0" fillId="3" borderId="16" xfId="0" applyFill="1" applyBorder="1" applyAlignment="1">
      <alignment horizontal="center"/>
    </xf>
    <xf numFmtId="0" fontId="0" fillId="3" borderId="15" xfId="0" applyFill="1" applyBorder="1" applyAlignment="1">
      <alignment horizontal="center"/>
    </xf>
    <xf numFmtId="0" fontId="0" fillId="3" borderId="17" xfId="0" applyFill="1" applyBorder="1" applyAlignment="1">
      <alignment horizontal="center"/>
    </xf>
    <xf numFmtId="0" fontId="5" fillId="0" borderId="0" xfId="0" applyFont="1"/>
    <xf numFmtId="9" fontId="0" fillId="3" borderId="0" xfId="0" applyNumberFormat="1" applyFill="1"/>
    <xf numFmtId="3" fontId="0" fillId="2" borderId="9" xfId="0" applyNumberFormat="1" applyFill="1" applyBorder="1" applyAlignment="1">
      <alignment horizontal="center"/>
    </xf>
    <xf numFmtId="3" fontId="0" fillId="0" borderId="0" xfId="0" applyNumberFormat="1" applyAlignment="1">
      <alignment horizontal="right"/>
    </xf>
    <xf numFmtId="1" fontId="0" fillId="0" borderId="2" xfId="0" applyNumberFormat="1" applyBorder="1" applyAlignment="1">
      <alignment horizontal="center"/>
    </xf>
    <xf numFmtId="1" fontId="4" fillId="0" borderId="0" xfId="0" applyNumberFormat="1" applyFont="1" applyAlignment="1">
      <alignment horizontal="center"/>
    </xf>
    <xf numFmtId="3" fontId="0" fillId="2" borderId="4" xfId="0" applyNumberFormat="1" applyFill="1" applyBorder="1" applyAlignment="1">
      <alignment horizontal="center"/>
    </xf>
    <xf numFmtId="164" fontId="0" fillId="2" borderId="6" xfId="0" applyNumberFormat="1" applyFill="1" applyBorder="1" applyAlignment="1">
      <alignment horizontal="center"/>
    </xf>
    <xf numFmtId="164" fontId="0" fillId="2" borderId="9" xfId="0" applyNumberFormat="1" applyFill="1" applyBorder="1" applyAlignment="1">
      <alignment horizontal="center"/>
    </xf>
    <xf numFmtId="1" fontId="0" fillId="2" borderId="0" xfId="0" applyNumberFormat="1" applyFill="1" applyAlignment="1">
      <alignment horizontal="center"/>
    </xf>
    <xf numFmtId="6" fontId="0" fillId="3" borderId="0" xfId="0" applyNumberFormat="1" applyFill="1" applyAlignment="1">
      <alignment horizontal="center"/>
    </xf>
    <xf numFmtId="166" fontId="0" fillId="3" borderId="0" xfId="0" applyNumberFormat="1" applyFill="1" applyAlignment="1">
      <alignment horizontal="center"/>
    </xf>
    <xf numFmtId="6" fontId="4" fillId="0" borderId="0" xfId="0" applyNumberFormat="1" applyFont="1" applyAlignment="1">
      <alignment horizontal="center"/>
    </xf>
    <xf numFmtId="0" fontId="4" fillId="0" borderId="0" xfId="0" applyFont="1" applyAlignment="1">
      <alignment horizontal="center"/>
    </xf>
    <xf numFmtId="6" fontId="0" fillId="0" borderId="0" xfId="0" applyNumberFormat="1" applyAlignment="1">
      <alignment horizontal="right"/>
    </xf>
    <xf numFmtId="6" fontId="0" fillId="2" borderId="0" xfId="0" applyNumberFormat="1" applyFill="1" applyAlignment="1">
      <alignment horizontal="center"/>
    </xf>
    <xf numFmtId="0" fontId="0" fillId="2" borderId="3" xfId="0" applyFill="1" applyBorder="1" applyAlignment="1">
      <alignment horizontal="left"/>
    </xf>
    <xf numFmtId="3" fontId="0" fillId="3" borderId="0" xfId="0" applyNumberFormat="1" applyFill="1" applyAlignment="1">
      <alignment horizontal="center"/>
    </xf>
    <xf numFmtId="0" fontId="8" fillId="2" borderId="0" xfId="0" applyFont="1" applyFill="1" applyAlignment="1">
      <alignment horizontal="right"/>
    </xf>
    <xf numFmtId="6" fontId="8" fillId="2" borderId="0" xfId="0" applyNumberFormat="1" applyFont="1" applyFill="1" applyAlignment="1">
      <alignment horizontal="center"/>
    </xf>
    <xf numFmtId="166" fontId="6" fillId="2" borderId="2" xfId="4" applyNumberFormat="1" applyFont="1" applyFill="1" applyBorder="1" applyAlignment="1">
      <alignment horizontal="center"/>
    </xf>
    <xf numFmtId="6" fontId="4" fillId="4" borderId="0" xfId="0" applyNumberFormat="1" applyFont="1" applyFill="1" applyAlignment="1">
      <alignment horizontal="center"/>
    </xf>
    <xf numFmtId="9" fontId="0" fillId="2" borderId="0" xfId="4" applyFont="1" applyFill="1"/>
    <xf numFmtId="1" fontId="0" fillId="2" borderId="1" xfId="0" applyNumberFormat="1" applyFill="1" applyBorder="1" applyAlignment="1">
      <alignment horizontal="center"/>
    </xf>
    <xf numFmtId="0" fontId="4" fillId="2" borderId="2" xfId="0" applyFont="1" applyFill="1" applyBorder="1" applyAlignment="1">
      <alignment horizontal="right"/>
    </xf>
    <xf numFmtId="0" fontId="7" fillId="0" borderId="0" xfId="0" applyFont="1"/>
    <xf numFmtId="10" fontId="0" fillId="0" borderId="0" xfId="0" applyNumberFormat="1"/>
    <xf numFmtId="10" fontId="0" fillId="3" borderId="0" xfId="0" applyNumberFormat="1" applyFill="1" applyAlignment="1">
      <alignment horizontal="center"/>
    </xf>
    <xf numFmtId="164" fontId="0" fillId="0" borderId="0" xfId="0" applyNumberFormat="1"/>
    <xf numFmtId="167" fontId="0" fillId="0" borderId="0" xfId="0" applyNumberFormat="1" applyAlignment="1">
      <alignment horizontal="center"/>
    </xf>
    <xf numFmtId="6" fontId="9" fillId="0" borderId="0" xfId="0" applyNumberFormat="1" applyFont="1" applyAlignment="1">
      <alignment horizontal="center"/>
    </xf>
    <xf numFmtId="0" fontId="9" fillId="0" borderId="0" xfId="0" applyFont="1" applyAlignment="1">
      <alignment horizontal="right"/>
    </xf>
    <xf numFmtId="0" fontId="6" fillId="2" borderId="0" xfId="0" applyFont="1" applyFill="1" applyAlignment="1">
      <alignment horizontal="left"/>
    </xf>
    <xf numFmtId="0" fontId="9" fillId="2" borderId="0" xfId="0" applyFont="1" applyFill="1" applyAlignment="1">
      <alignment horizontal="right"/>
    </xf>
    <xf numFmtId="6" fontId="9" fillId="2" borderId="0" xfId="0" applyNumberFormat="1" applyFont="1" applyFill="1" applyAlignment="1">
      <alignment horizontal="center"/>
    </xf>
    <xf numFmtId="9" fontId="9" fillId="2" borderId="0" xfId="4" applyFont="1" applyFill="1" applyAlignment="1">
      <alignment horizontal="center"/>
    </xf>
    <xf numFmtId="6" fontId="6" fillId="2" borderId="0" xfId="0" applyNumberFormat="1" applyFont="1" applyFill="1" applyAlignment="1">
      <alignment horizontal="center"/>
    </xf>
    <xf numFmtId="0" fontId="9" fillId="2" borderId="0" xfId="0" applyFont="1" applyFill="1" applyAlignment="1">
      <alignment horizontal="left" indent="1"/>
    </xf>
    <xf numFmtId="9" fontId="6" fillId="2" borderId="0" xfId="4" applyFont="1" applyFill="1" applyAlignment="1">
      <alignment horizontal="left" indent="1"/>
    </xf>
    <xf numFmtId="168" fontId="9" fillId="2" borderId="0" xfId="0" applyNumberFormat="1" applyFont="1" applyFill="1" applyAlignment="1">
      <alignment horizontal="center"/>
    </xf>
    <xf numFmtId="0" fontId="9" fillId="2" borderId="0" xfId="0" applyFont="1" applyFill="1" applyAlignment="1">
      <alignment horizontal="left" indent="2"/>
    </xf>
    <xf numFmtId="169" fontId="0" fillId="3" borderId="0" xfId="0" applyNumberFormat="1" applyFill="1" applyAlignment="1">
      <alignment horizontal="center"/>
    </xf>
    <xf numFmtId="0" fontId="0" fillId="2" borderId="0" xfId="0" applyFill="1" applyAlignment="1">
      <alignment horizontal="left"/>
    </xf>
    <xf numFmtId="0" fontId="4" fillId="2" borderId="0" xfId="0" applyFont="1" applyFill="1" applyAlignment="1">
      <alignment horizontal="left"/>
    </xf>
    <xf numFmtId="0" fontId="10" fillId="2" borderId="0" xfId="0" applyFont="1" applyFill="1" applyAlignment="1">
      <alignment vertical="top"/>
    </xf>
    <xf numFmtId="0" fontId="4" fillId="4" borderId="0" xfId="0" applyFont="1" applyFill="1" applyAlignment="1">
      <alignment horizontal="right"/>
    </xf>
    <xf numFmtId="0" fontId="4" fillId="0" borderId="3" xfId="0" applyFont="1" applyBorder="1"/>
    <xf numFmtId="6" fontId="4" fillId="0" borderId="3" xfId="0" applyNumberFormat="1" applyFont="1" applyBorder="1" applyAlignment="1">
      <alignment horizontal="center"/>
    </xf>
    <xf numFmtId="3" fontId="0" fillId="3" borderId="11" xfId="0" applyNumberFormat="1" applyFill="1" applyBorder="1" applyAlignment="1">
      <alignment horizontal="center"/>
    </xf>
    <xf numFmtId="3" fontId="0" fillId="3" borderId="3" xfId="0" applyNumberFormat="1" applyFill="1" applyBorder="1" applyAlignment="1">
      <alignment horizontal="center"/>
    </xf>
    <xf numFmtId="0" fontId="11" fillId="0" borderId="0" xfId="0" applyFont="1"/>
    <xf numFmtId="3" fontId="0" fillId="2" borderId="13" xfId="0" applyNumberFormat="1" applyFill="1" applyBorder="1" applyAlignment="1">
      <alignment horizontal="center"/>
    </xf>
    <xf numFmtId="0" fontId="0" fillId="0" borderId="18" xfId="0" applyBorder="1" applyAlignment="1">
      <alignment horizontal="center"/>
    </xf>
    <xf numFmtId="0" fontId="0" fillId="2" borderId="18" xfId="0" applyFill="1" applyBorder="1" applyAlignment="1">
      <alignment horizontal="center"/>
    </xf>
    <xf numFmtId="0" fontId="9" fillId="0" borderId="0" xfId="0" applyFont="1" applyAlignment="1">
      <alignment horizontal="center"/>
    </xf>
    <xf numFmtId="3" fontId="9" fillId="0" borderId="0" xfId="0" applyNumberFormat="1" applyFont="1" applyAlignment="1">
      <alignment horizontal="center"/>
    </xf>
    <xf numFmtId="0" fontId="9" fillId="0" borderId="0" xfId="0" applyFont="1"/>
    <xf numFmtId="0" fontId="0" fillId="0" borderId="18" xfId="0" applyBorder="1"/>
    <xf numFmtId="10" fontId="0" fillId="0" borderId="0" xfId="4" applyNumberFormat="1" applyFont="1" applyAlignment="1">
      <alignment horizontal="center"/>
    </xf>
    <xf numFmtId="0" fontId="0" fillId="0" borderId="1" xfId="0" applyBorder="1" applyAlignment="1">
      <alignment horizontal="right"/>
    </xf>
    <xf numFmtId="0" fontId="0" fillId="0" borderId="2" xfId="0" applyBorder="1"/>
    <xf numFmtId="0" fontId="0" fillId="0" borderId="2" xfId="0" applyBorder="1" applyAlignment="1">
      <alignment horizontal="right"/>
    </xf>
    <xf numFmtId="6" fontId="0" fillId="0" borderId="1" xfId="0" applyNumberFormat="1" applyBorder="1" applyAlignment="1">
      <alignment horizontal="center"/>
    </xf>
    <xf numFmtId="6" fontId="0" fillId="0" borderId="2" xfId="0" applyNumberFormat="1" applyBorder="1" applyAlignment="1">
      <alignment horizontal="center"/>
    </xf>
    <xf numFmtId="6" fontId="6" fillId="5" borderId="9" xfId="0" applyNumberFormat="1" applyFont="1" applyFill="1" applyBorder="1" applyAlignment="1">
      <alignment horizontal="left"/>
    </xf>
    <xf numFmtId="9" fontId="6" fillId="5" borderId="9" xfId="0" applyNumberFormat="1" applyFont="1" applyFill="1" applyBorder="1" applyAlignment="1">
      <alignment horizontal="left"/>
    </xf>
    <xf numFmtId="6" fontId="6" fillId="5" borderId="0" xfId="0" applyNumberFormat="1" applyFont="1" applyFill="1" applyAlignment="1">
      <alignment horizontal="left"/>
    </xf>
    <xf numFmtId="9" fontId="6" fillId="5" borderId="0" xfId="0" applyNumberFormat="1" applyFont="1" applyFill="1" applyAlignment="1">
      <alignment horizontal="left"/>
    </xf>
    <xf numFmtId="0" fontId="4" fillId="0" borderId="18" xfId="0" applyFont="1" applyBorder="1"/>
    <xf numFmtId="0" fontId="4" fillId="0" borderId="18" xfId="0" applyFont="1" applyBorder="1" applyAlignment="1">
      <alignment horizontal="center"/>
    </xf>
    <xf numFmtId="6" fontId="0" fillId="0" borderId="18" xfId="0" applyNumberFormat="1" applyBorder="1" applyAlignment="1">
      <alignment horizontal="center"/>
    </xf>
    <xf numFmtId="9" fontId="0" fillId="0" borderId="18" xfId="4" applyFont="1" applyBorder="1" applyAlignment="1">
      <alignment horizontal="center"/>
    </xf>
    <xf numFmtId="9" fontId="0" fillId="0" borderId="18" xfId="0" applyNumberFormat="1" applyBorder="1" applyAlignment="1">
      <alignment horizontal="center"/>
    </xf>
    <xf numFmtId="9" fontId="0" fillId="2" borderId="3" xfId="4" applyFont="1" applyFill="1" applyBorder="1" applyAlignment="1">
      <alignment horizontal="center"/>
    </xf>
    <xf numFmtId="9" fontId="4" fillId="2" borderId="0" xfId="4" applyFont="1" applyFill="1" applyAlignment="1">
      <alignment horizontal="center"/>
    </xf>
    <xf numFmtId="9" fontId="0" fillId="2" borderId="0" xfId="4" applyFont="1" applyFill="1" applyBorder="1" applyAlignment="1">
      <alignment horizontal="center"/>
    </xf>
    <xf numFmtId="0" fontId="4" fillId="2" borderId="1" xfId="0" applyFont="1" applyFill="1" applyBorder="1"/>
    <xf numFmtId="9" fontId="4" fillId="2" borderId="1" xfId="4" applyFont="1" applyFill="1" applyBorder="1" applyAlignment="1">
      <alignment horizontal="center"/>
    </xf>
    <xf numFmtId="9" fontId="0" fillId="2" borderId="0" xfId="0" applyNumberFormat="1" applyFill="1" applyAlignment="1">
      <alignment horizontal="center"/>
    </xf>
    <xf numFmtId="0" fontId="8" fillId="2" borderId="0" xfId="0" applyFont="1" applyFill="1" applyAlignment="1">
      <alignment horizontal="left" indent="1"/>
    </xf>
    <xf numFmtId="10" fontId="4" fillId="2" borderId="0" xfId="0" applyNumberFormat="1" applyFont="1" applyFill="1" applyAlignment="1">
      <alignment horizontal="center"/>
    </xf>
    <xf numFmtId="6" fontId="9" fillId="6" borderId="0" xfId="0" applyNumberFormat="1" applyFont="1" applyFill="1" applyAlignment="1">
      <alignment horizontal="center"/>
    </xf>
    <xf numFmtId="3" fontId="4" fillId="3" borderId="0" xfId="0" applyNumberFormat="1" applyFont="1" applyFill="1" applyAlignment="1">
      <alignment horizontal="center"/>
    </xf>
    <xf numFmtId="0" fontId="4" fillId="0" borderId="0" xfId="0" applyFont="1" applyAlignment="1">
      <alignment horizontal="left"/>
    </xf>
    <xf numFmtId="0" fontId="6" fillId="0" borderId="0" xfId="0" applyFont="1"/>
    <xf numFmtId="0" fontId="12" fillId="0" borderId="0" xfId="5"/>
    <xf numFmtId="3" fontId="12" fillId="0" borderId="0" xfId="5" applyNumberFormat="1"/>
    <xf numFmtId="0" fontId="12" fillId="0" borderId="0" xfId="5" applyAlignment="1">
      <alignment horizontal="right"/>
    </xf>
    <xf numFmtId="9" fontId="4" fillId="2" borderId="0" xfId="5" applyNumberFormat="1" applyFont="1" applyFill="1" applyAlignment="1">
      <alignment horizontal="center"/>
    </xf>
    <xf numFmtId="170" fontId="4" fillId="2" borderId="0" xfId="6" applyNumberFormat="1" applyFont="1" applyFill="1" applyBorder="1" applyAlignment="1">
      <alignment horizontal="center"/>
    </xf>
    <xf numFmtId="0" fontId="4" fillId="2" borderId="0" xfId="5" applyFont="1" applyFill="1" applyAlignment="1">
      <alignment horizontal="left"/>
    </xf>
    <xf numFmtId="166" fontId="12" fillId="2" borderId="2" xfId="5" applyNumberFormat="1" applyFill="1" applyBorder="1" applyAlignment="1">
      <alignment horizontal="center"/>
    </xf>
    <xf numFmtId="170" fontId="12" fillId="2" borderId="2" xfId="5" applyNumberFormat="1" applyFill="1" applyBorder="1" applyAlignment="1">
      <alignment horizontal="center"/>
    </xf>
    <xf numFmtId="0" fontId="12" fillId="2" borderId="2" xfId="5" applyFill="1" applyBorder="1" applyAlignment="1">
      <alignment horizontal="center"/>
    </xf>
    <xf numFmtId="170" fontId="0" fillId="2" borderId="2" xfId="6" applyNumberFormat="1" applyFont="1" applyFill="1" applyBorder="1" applyAlignment="1">
      <alignment horizontal="center"/>
    </xf>
    <xf numFmtId="0" fontId="12" fillId="2" borderId="2" xfId="5" applyFill="1" applyBorder="1" applyAlignment="1">
      <alignment horizontal="left"/>
    </xf>
    <xf numFmtId="166" fontId="12" fillId="2" borderId="0" xfId="5" applyNumberFormat="1" applyFill="1" applyAlignment="1">
      <alignment horizontal="center"/>
    </xf>
    <xf numFmtId="170" fontId="12" fillId="2" borderId="0" xfId="5" applyNumberFormat="1" applyFill="1" applyAlignment="1">
      <alignment horizontal="center"/>
    </xf>
    <xf numFmtId="0" fontId="12" fillId="2" borderId="0" xfId="5" applyFill="1" applyAlignment="1">
      <alignment horizontal="center"/>
    </xf>
    <xf numFmtId="170" fontId="0" fillId="2" borderId="0" xfId="6" applyNumberFormat="1" applyFont="1" applyFill="1" applyBorder="1" applyAlignment="1">
      <alignment horizontal="center"/>
    </xf>
    <xf numFmtId="0" fontId="12" fillId="2" borderId="0" xfId="5" applyFill="1" applyAlignment="1">
      <alignment horizontal="left"/>
    </xf>
    <xf numFmtId="166" fontId="12" fillId="0" borderId="0" xfId="5" applyNumberFormat="1"/>
    <xf numFmtId="166" fontId="12" fillId="2" borderId="1" xfId="5" applyNumberFormat="1" applyFill="1" applyBorder="1" applyAlignment="1">
      <alignment horizontal="center"/>
    </xf>
    <xf numFmtId="170" fontId="12" fillId="2" borderId="1" xfId="5" applyNumberFormat="1" applyFill="1" applyBorder="1" applyAlignment="1">
      <alignment horizontal="center"/>
    </xf>
    <xf numFmtId="0" fontId="12" fillId="2" borderId="1" xfId="5" applyFill="1" applyBorder="1" applyAlignment="1">
      <alignment horizontal="center"/>
    </xf>
    <xf numFmtId="170" fontId="0" fillId="2" borderId="1" xfId="6" applyNumberFormat="1" applyFont="1" applyFill="1" applyBorder="1" applyAlignment="1">
      <alignment horizontal="center"/>
    </xf>
    <xf numFmtId="0" fontId="12" fillId="2" borderId="1" xfId="5" applyFill="1" applyBorder="1" applyAlignment="1">
      <alignment horizontal="left"/>
    </xf>
    <xf numFmtId="0" fontId="4" fillId="2" borderId="0" xfId="5" applyFont="1" applyFill="1" applyAlignment="1">
      <alignment horizontal="center"/>
    </xf>
    <xf numFmtId="0" fontId="6" fillId="2" borderId="0" xfId="5" applyFont="1" applyFill="1" applyAlignment="1">
      <alignment horizontal="right"/>
    </xf>
    <xf numFmtId="2" fontId="12" fillId="2" borderId="2" xfId="5" applyNumberFormat="1" applyFill="1" applyBorder="1" applyAlignment="1">
      <alignment horizontal="center"/>
    </xf>
    <xf numFmtId="9" fontId="0" fillId="0" borderId="0" xfId="0" applyNumberFormat="1"/>
    <xf numFmtId="9" fontId="0" fillId="0" borderId="0" xfId="4" applyFont="1"/>
    <xf numFmtId="169" fontId="0" fillId="0" borderId="0" xfId="0" applyNumberFormat="1"/>
    <xf numFmtId="2" fontId="0" fillId="0" borderId="0" xfId="0" applyNumberFormat="1" applyAlignment="1">
      <alignment horizontal="center"/>
    </xf>
    <xf numFmtId="172" fontId="0" fillId="2" borderId="1" xfId="0" applyNumberFormat="1" applyFill="1" applyBorder="1" applyAlignment="1">
      <alignment horizontal="center"/>
    </xf>
    <xf numFmtId="9" fontId="0" fillId="0" borderId="0" xfId="4" applyFont="1" applyBorder="1" applyAlignment="1">
      <alignment horizontal="center"/>
    </xf>
    <xf numFmtId="8" fontId="0" fillId="0" borderId="0" xfId="0" applyNumberFormat="1"/>
    <xf numFmtId="6" fontId="4" fillId="7" borderId="0" xfId="0" applyNumberFormat="1" applyFont="1" applyFill="1" applyAlignment="1">
      <alignment horizontal="right"/>
    </xf>
    <xf numFmtId="0" fontId="4" fillId="7" borderId="0" xfId="0" applyFont="1" applyFill="1" applyAlignment="1">
      <alignment horizontal="center"/>
    </xf>
    <xf numFmtId="0" fontId="4" fillId="7" borderId="0" xfId="0" applyFont="1" applyFill="1"/>
    <xf numFmtId="0" fontId="4" fillId="2" borderId="4"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11" xfId="0" applyFont="1" applyFill="1" applyBorder="1" applyAlignment="1">
      <alignment horizontal="center" vertical="top" wrapText="1"/>
    </xf>
    <xf numFmtId="0" fontId="4" fillId="2" borderId="12" xfId="0" applyFont="1" applyFill="1" applyBorder="1" applyAlignment="1">
      <alignment horizontal="center" vertical="top" wrapText="1"/>
    </xf>
    <xf numFmtId="0" fontId="0" fillId="2" borderId="7" xfId="0" applyFill="1" applyBorder="1" applyAlignment="1">
      <alignment horizontal="left"/>
    </xf>
    <xf numFmtId="0" fontId="0" fillId="2" borderId="8" xfId="0" applyFill="1" applyBorder="1" applyAlignment="1">
      <alignment horizontal="left"/>
    </xf>
    <xf numFmtId="0" fontId="4" fillId="8" borderId="4" xfId="0" applyFont="1" applyFill="1" applyBorder="1" applyAlignment="1">
      <alignment horizontal="center" vertical="top" wrapText="1"/>
    </xf>
    <xf numFmtId="6" fontId="4" fillId="8" borderId="5" xfId="0" applyNumberFormat="1" applyFont="1" applyFill="1" applyBorder="1" applyAlignment="1">
      <alignment horizontal="center"/>
    </xf>
    <xf numFmtId="0" fontId="4" fillId="5" borderId="4" xfId="0" applyFont="1" applyFill="1" applyBorder="1" applyAlignment="1">
      <alignment horizontal="center" vertical="top" wrapText="1"/>
    </xf>
    <xf numFmtId="6" fontId="4" fillId="5" borderId="6" xfId="0" applyNumberFormat="1" applyFont="1" applyFill="1" applyBorder="1" applyAlignment="1">
      <alignment horizontal="center" vertical="center"/>
    </xf>
    <xf numFmtId="6" fontId="4" fillId="5" borderId="5" xfId="0" applyNumberFormat="1" applyFont="1" applyFill="1" applyBorder="1" applyAlignment="1">
      <alignment horizontal="center" vertical="center"/>
    </xf>
    <xf numFmtId="0" fontId="0" fillId="9" borderId="4" xfId="0" applyFill="1" applyBorder="1" applyAlignment="1">
      <alignment horizontal="center" vertical="top" wrapText="1"/>
    </xf>
    <xf numFmtId="9" fontId="0" fillId="9" borderId="5" xfId="0" applyNumberFormat="1" applyFill="1" applyBorder="1" applyAlignment="1">
      <alignment horizontal="center"/>
    </xf>
    <xf numFmtId="10" fontId="0" fillId="9" borderId="5" xfId="0" applyNumberFormat="1" applyFill="1" applyBorder="1" applyAlignment="1">
      <alignment horizontal="center"/>
    </xf>
    <xf numFmtId="0" fontId="4" fillId="9" borderId="4" xfId="0" applyFont="1" applyFill="1" applyBorder="1" applyAlignment="1">
      <alignment horizontal="center" vertical="top" wrapText="1"/>
    </xf>
    <xf numFmtId="10" fontId="4" fillId="9" borderId="5" xfId="0" applyNumberFormat="1" applyFont="1" applyFill="1" applyBorder="1" applyAlignment="1">
      <alignment horizontal="center"/>
    </xf>
    <xf numFmtId="6" fontId="4" fillId="9" borderId="5" xfId="0" applyNumberFormat="1" applyFont="1" applyFill="1" applyBorder="1" applyAlignment="1">
      <alignment horizontal="center" vertical="center"/>
    </xf>
    <xf numFmtId="0" fontId="0" fillId="2" borderId="4" xfId="0" applyFill="1" applyBorder="1" applyAlignment="1">
      <alignment horizontal="center" vertical="top" wrapText="1"/>
    </xf>
    <xf numFmtId="166" fontId="0" fillId="2" borderId="5" xfId="0" applyNumberFormat="1" applyFill="1" applyBorder="1" applyAlignment="1">
      <alignment horizontal="center"/>
    </xf>
    <xf numFmtId="0" fontId="0" fillId="2" borderId="6" xfId="0" applyFill="1" applyBorder="1" applyAlignment="1">
      <alignment horizontal="center" vertical="center"/>
    </xf>
    <xf numFmtId="171" fontId="0" fillId="2" borderId="5" xfId="0" applyNumberFormat="1" applyFill="1" applyBorder="1" applyAlignment="1">
      <alignment horizontal="center"/>
    </xf>
    <xf numFmtId="1" fontId="0" fillId="2" borderId="5" xfId="0" applyNumberFormat="1" applyFill="1" applyBorder="1" applyAlignment="1">
      <alignment horizontal="center"/>
    </xf>
    <xf numFmtId="9" fontId="0" fillId="2" borderId="5" xfId="4" applyFont="1" applyFill="1" applyBorder="1" applyAlignment="1">
      <alignment horizontal="center"/>
    </xf>
    <xf numFmtId="10" fontId="0" fillId="2" borderId="0" xfId="0" applyNumberFormat="1" applyFill="1"/>
    <xf numFmtId="10" fontId="0" fillId="2" borderId="5" xfId="0" applyNumberFormat="1" applyFill="1" applyBorder="1" applyAlignment="1">
      <alignment horizontal="center"/>
    </xf>
    <xf numFmtId="8" fontId="0" fillId="2" borderId="5" xfId="0" applyNumberFormat="1" applyFill="1" applyBorder="1" applyAlignment="1">
      <alignment horizontal="center"/>
    </xf>
    <xf numFmtId="3" fontId="0" fillId="2" borderId="5" xfId="0" applyNumberFormat="1" applyFill="1" applyBorder="1" applyAlignment="1">
      <alignment horizontal="center"/>
    </xf>
    <xf numFmtId="2" fontId="0" fillId="2" borderId="5" xfId="0" applyNumberFormat="1" applyFill="1" applyBorder="1" applyAlignment="1">
      <alignment horizontal="center"/>
    </xf>
    <xf numFmtId="0" fontId="0" fillId="2" borderId="0" xfId="0" applyFill="1" applyAlignment="1">
      <alignment horizontal="center" vertical="top" wrapText="1"/>
    </xf>
    <xf numFmtId="165" fontId="0" fillId="2" borderId="5" xfId="0" applyNumberFormat="1" applyFill="1" applyBorder="1" applyAlignment="1">
      <alignment horizontal="center"/>
    </xf>
    <xf numFmtId="6" fontId="0" fillId="2" borderId="0" xfId="0" applyNumberFormat="1" applyFill="1"/>
    <xf numFmtId="9" fontId="0" fillId="2" borderId="5" xfId="0" applyNumberFormat="1" applyFill="1" applyBorder="1" applyAlignment="1">
      <alignment horizontal="center"/>
    </xf>
    <xf numFmtId="6" fontId="0" fillId="2" borderId="0" xfId="0" applyNumberFormat="1" applyFill="1" applyAlignment="1">
      <alignment horizontal="right"/>
    </xf>
    <xf numFmtId="0" fontId="0" fillId="2" borderId="0" xfId="0" applyFill="1" applyAlignment="1">
      <alignment vertical="center"/>
    </xf>
    <xf numFmtId="6" fontId="0" fillId="2" borderId="0" xfId="0" applyNumberFormat="1" applyFill="1" applyAlignment="1">
      <alignment vertical="center"/>
    </xf>
    <xf numFmtId="164" fontId="0" fillId="2" borderId="5" xfId="0" applyNumberFormat="1" applyFill="1" applyBorder="1" applyAlignment="1">
      <alignment horizontal="center"/>
    </xf>
    <xf numFmtId="9" fontId="0" fillId="2" borderId="0" xfId="0" applyNumberFormat="1" applyFill="1"/>
    <xf numFmtId="6" fontId="9" fillId="2" borderId="0" xfId="0" applyNumberFormat="1" applyFont="1" applyFill="1" applyAlignment="1">
      <alignment horizontal="center" vertical="center"/>
    </xf>
    <xf numFmtId="6" fontId="0" fillId="2" borderId="5" xfId="0" applyNumberFormat="1" applyFill="1" applyBorder="1" applyAlignment="1">
      <alignment horizontal="center"/>
    </xf>
    <xf numFmtId="0" fontId="9" fillId="2" borderId="0" xfId="0" applyFont="1" applyFill="1" applyAlignment="1">
      <alignment vertical="center"/>
    </xf>
    <xf numFmtId="0" fontId="9" fillId="2" borderId="0" xfId="0" applyFont="1" applyFill="1" applyAlignment="1">
      <alignment horizontal="center" vertical="center"/>
    </xf>
    <xf numFmtId="166" fontId="0" fillId="2" borderId="0" xfId="0" applyNumberFormat="1" applyFill="1" applyAlignment="1">
      <alignment horizontal="center"/>
    </xf>
    <xf numFmtId="166" fontId="0" fillId="2" borderId="3" xfId="0" applyNumberFormat="1" applyFill="1" applyBorder="1" applyAlignment="1">
      <alignment horizontal="center"/>
    </xf>
    <xf numFmtId="169" fontId="0" fillId="2" borderId="0" xfId="0" applyNumberFormat="1" applyFill="1" applyAlignment="1">
      <alignment horizontal="center"/>
    </xf>
    <xf numFmtId="3" fontId="0" fillId="2" borderId="14" xfId="0" applyNumberFormat="1" applyFill="1" applyBorder="1" applyAlignment="1">
      <alignment horizontal="center"/>
    </xf>
    <xf numFmtId="6" fontId="0" fillId="2" borderId="6" xfId="0" applyNumberFormat="1" applyFill="1" applyBorder="1" applyAlignment="1">
      <alignment horizontal="center"/>
    </xf>
    <xf numFmtId="169" fontId="0" fillId="2" borderId="3" xfId="0" applyNumberFormat="1" applyFill="1" applyBorder="1" applyAlignment="1">
      <alignment horizontal="center"/>
    </xf>
    <xf numFmtId="6" fontId="4" fillId="2" borderId="0" xfId="0" applyNumberFormat="1" applyFont="1" applyFill="1" applyAlignment="1">
      <alignment vertical="center"/>
    </xf>
    <xf numFmtId="6" fontId="4" fillId="2" borderId="6" xfId="0" applyNumberFormat="1" applyFont="1" applyFill="1" applyBorder="1" applyAlignment="1">
      <alignment horizontal="center" vertical="center"/>
    </xf>
    <xf numFmtId="6" fontId="4" fillId="2" borderId="5" xfId="0" applyNumberFormat="1" applyFont="1" applyFill="1" applyBorder="1" applyAlignment="1">
      <alignment horizontal="center" vertical="center"/>
    </xf>
    <xf numFmtId="0" fontId="13" fillId="2" borderId="0" xfId="0" applyFont="1" applyFill="1" applyAlignment="1">
      <alignment horizontal="right"/>
    </xf>
    <xf numFmtId="0" fontId="14" fillId="2" borderId="0" xfId="0" applyFont="1" applyFill="1"/>
    <xf numFmtId="0" fontId="8" fillId="2" borderId="4" xfId="0" applyFont="1" applyFill="1" applyBorder="1" applyAlignment="1">
      <alignment horizontal="center" vertical="top" wrapText="1"/>
    </xf>
    <xf numFmtId="165" fontId="15" fillId="2" borderId="0" xfId="4" applyNumberFormat="1" applyFont="1" applyFill="1"/>
    <xf numFmtId="0" fontId="15" fillId="2" borderId="0" xfId="0" applyFont="1" applyFill="1"/>
    <xf numFmtId="0" fontId="0" fillId="0" borderId="0" xfId="0" applyAlignment="1">
      <alignment horizontal="center" vertical="top" wrapText="1"/>
    </xf>
    <xf numFmtId="10" fontId="0" fillId="0" borderId="0" xfId="0" applyNumberFormat="1" applyAlignment="1">
      <alignment horizontal="center"/>
    </xf>
    <xf numFmtId="6" fontId="0" fillId="2" borderId="3" xfId="0" applyNumberFormat="1" applyFill="1" applyBorder="1"/>
    <xf numFmtId="6" fontId="4" fillId="2" borderId="0" xfId="0" applyNumberFormat="1" applyFont="1" applyFill="1"/>
    <xf numFmtId="6" fontId="0" fillId="2" borderId="0" xfId="0" applyNumberFormat="1" applyFill="1" applyAlignment="1">
      <alignment horizontal="center" vertical="top" wrapText="1"/>
    </xf>
    <xf numFmtId="10" fontId="0" fillId="6" borderId="0" xfId="4" applyNumberFormat="1" applyFont="1" applyFill="1" applyAlignment="1">
      <alignment horizontal="center"/>
    </xf>
    <xf numFmtId="0" fontId="4" fillId="5" borderId="20" xfId="0" applyFont="1" applyFill="1" applyBorder="1" applyAlignment="1">
      <alignment horizontal="center" vertical="top" wrapText="1"/>
    </xf>
    <xf numFmtId="0" fontId="0" fillId="5" borderId="20" xfId="0" applyFill="1" applyBorder="1" applyAlignment="1">
      <alignment horizontal="left" vertical="top" wrapText="1"/>
    </xf>
    <xf numFmtId="6" fontId="0" fillId="5" borderId="20" xfId="0" applyNumberFormat="1" applyFill="1" applyBorder="1" applyAlignment="1">
      <alignment horizontal="center" vertical="top" wrapText="1"/>
    </xf>
    <xf numFmtId="9" fontId="0" fillId="5" borderId="20" xfId="4" applyFont="1" applyFill="1" applyBorder="1" applyAlignment="1">
      <alignment horizontal="center"/>
    </xf>
    <xf numFmtId="9" fontId="0" fillId="2" borderId="1" xfId="0" applyNumberFormat="1" applyFill="1" applyBorder="1" applyAlignment="1">
      <alignment horizontal="center"/>
    </xf>
    <xf numFmtId="0" fontId="0" fillId="2" borderId="2" xfId="0" applyFill="1" applyBorder="1"/>
    <xf numFmtId="166" fontId="0" fillId="2" borderId="2" xfId="0" applyNumberFormat="1" applyFill="1" applyBorder="1" applyAlignment="1">
      <alignment horizontal="center"/>
    </xf>
    <xf numFmtId="10" fontId="0" fillId="2" borderId="2" xfId="0" applyNumberFormat="1" applyFill="1" applyBorder="1" applyAlignment="1">
      <alignment horizontal="center"/>
    </xf>
    <xf numFmtId="9" fontId="0" fillId="2" borderId="2" xfId="4" applyFont="1" applyFill="1" applyBorder="1" applyAlignment="1">
      <alignment horizontal="center"/>
    </xf>
    <xf numFmtId="0" fontId="0" fillId="2" borderId="1" xfId="0" applyFill="1" applyBorder="1" applyAlignment="1">
      <alignment horizontal="center"/>
    </xf>
    <xf numFmtId="8" fontId="0" fillId="2" borderId="0" xfId="0" applyNumberFormat="1" applyFill="1" applyAlignment="1">
      <alignment horizontal="center"/>
    </xf>
    <xf numFmtId="0" fontId="0" fillId="2" borderId="2" xfId="0" applyFill="1" applyBorder="1" applyAlignment="1">
      <alignment horizontal="center"/>
    </xf>
    <xf numFmtId="0" fontId="4" fillId="2" borderId="20" xfId="0" applyFont="1" applyFill="1" applyBorder="1" applyAlignment="1">
      <alignment horizontal="center" vertical="top" wrapText="1"/>
    </xf>
    <xf numFmtId="0" fontId="0" fillId="2" borderId="11" xfId="0" applyFill="1" applyBorder="1" applyAlignment="1">
      <alignment horizontal="center"/>
    </xf>
    <xf numFmtId="0" fontId="0" fillId="2" borderId="4" xfId="0" applyFill="1" applyBorder="1" applyAlignment="1">
      <alignment horizontal="center"/>
    </xf>
    <xf numFmtId="3" fontId="0" fillId="5" borderId="0" xfId="0" applyNumberFormat="1" applyFill="1" applyAlignment="1">
      <alignment horizontal="center"/>
    </xf>
    <xf numFmtId="0" fontId="5" fillId="2" borderId="0" xfId="0" applyFont="1" applyFill="1" applyAlignment="1">
      <alignment horizontal="left"/>
    </xf>
    <xf numFmtId="6" fontId="0" fillId="5" borderId="0" xfId="0" applyNumberFormat="1" applyFill="1" applyAlignment="1">
      <alignment horizontal="center"/>
    </xf>
    <xf numFmtId="0" fontId="8" fillId="0" borderId="0" xfId="0" applyFont="1"/>
    <xf numFmtId="9" fontId="0" fillId="5" borderId="0" xfId="0" applyNumberFormat="1" applyFill="1" applyAlignment="1">
      <alignment horizontal="center"/>
    </xf>
    <xf numFmtId="0" fontId="6" fillId="0" borderId="0" xfId="0" applyFont="1" applyAlignment="1">
      <alignment horizontal="right"/>
    </xf>
    <xf numFmtId="166" fontId="0" fillId="5" borderId="0" xfId="0" applyNumberFormat="1" applyFill="1" applyAlignment="1">
      <alignment horizontal="center"/>
    </xf>
    <xf numFmtId="0" fontId="4" fillId="10" borderId="16" xfId="0" applyFont="1" applyFill="1" applyBorder="1" applyAlignment="1">
      <alignment horizontal="center" vertical="top" wrapText="1"/>
    </xf>
    <xf numFmtId="0" fontId="4" fillId="10" borderId="15" xfId="0" applyFont="1" applyFill="1" applyBorder="1" applyAlignment="1">
      <alignment horizontal="center" vertical="center"/>
    </xf>
    <xf numFmtId="0" fontId="0" fillId="2" borderId="16" xfId="0" applyFill="1" applyBorder="1" applyAlignment="1">
      <alignment horizontal="center"/>
    </xf>
    <xf numFmtId="3" fontId="0" fillId="2" borderId="15" xfId="0" applyNumberFormat="1" applyFill="1" applyBorder="1" applyAlignment="1">
      <alignment horizontal="center"/>
    </xf>
    <xf numFmtId="3" fontId="0" fillId="2" borderId="17" xfId="0" applyNumberFormat="1" applyFill="1" applyBorder="1" applyAlignment="1">
      <alignment horizontal="center"/>
    </xf>
    <xf numFmtId="3" fontId="0" fillId="2" borderId="12" xfId="0" applyNumberFormat="1" applyFill="1" applyBorder="1" applyAlignment="1">
      <alignment horizontal="center"/>
    </xf>
    <xf numFmtId="0" fontId="5" fillId="2" borderId="0" xfId="0" applyFont="1" applyFill="1"/>
    <xf numFmtId="164" fontId="14" fillId="2" borderId="1" xfId="0" applyNumberFormat="1" applyFont="1" applyFill="1" applyBorder="1" applyAlignment="1">
      <alignment horizontal="center"/>
    </xf>
    <xf numFmtId="0" fontId="14" fillId="2" borderId="0" xfId="0" applyFont="1" applyFill="1" applyAlignment="1">
      <alignment horizontal="left"/>
    </xf>
    <xf numFmtId="164" fontId="14" fillId="2" borderId="0" xfId="0" applyNumberFormat="1" applyFont="1" applyFill="1" applyAlignment="1">
      <alignment horizontal="center"/>
    </xf>
    <xf numFmtId="9" fontId="14" fillId="2" borderId="0" xfId="4" applyFont="1" applyFill="1" applyBorder="1" applyAlignment="1">
      <alignment horizontal="center"/>
    </xf>
    <xf numFmtId="166" fontId="14" fillId="2" borderId="0" xfId="4" applyNumberFormat="1" applyFont="1" applyFill="1" applyBorder="1" applyAlignment="1">
      <alignment horizontal="center"/>
    </xf>
    <xf numFmtId="0" fontId="14" fillId="2" borderId="2" xfId="0" applyFont="1" applyFill="1" applyBorder="1" applyAlignment="1">
      <alignment horizontal="left"/>
    </xf>
    <xf numFmtId="166" fontId="14" fillId="2" borderId="2" xfId="4" applyNumberFormat="1" applyFont="1" applyFill="1" applyBorder="1" applyAlignment="1">
      <alignment horizontal="center"/>
    </xf>
    <xf numFmtId="10" fontId="0" fillId="2" borderId="1" xfId="4" applyNumberFormat="1" applyFont="1" applyFill="1" applyBorder="1" applyAlignment="1">
      <alignment horizontal="center"/>
    </xf>
    <xf numFmtId="169" fontId="0" fillId="0" borderId="0" xfId="0" applyNumberFormat="1" applyAlignment="1">
      <alignment horizont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4" fillId="2" borderId="0" xfId="0" applyFont="1" applyFill="1" applyAlignment="1">
      <alignment horizont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1"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3" xfId="0" applyFill="1" applyBorder="1" applyAlignment="1">
      <alignment horizontal="center" vertical="center"/>
    </xf>
    <xf numFmtId="0" fontId="0" fillId="2" borderId="13" xfId="0" applyFill="1" applyBorder="1" applyAlignment="1">
      <alignment horizontal="center" vertical="center"/>
    </xf>
    <xf numFmtId="0" fontId="0" fillId="0" borderId="0" xfId="0" applyAlignment="1">
      <alignment horizontal="center" wrapText="1"/>
    </xf>
    <xf numFmtId="0" fontId="0" fillId="2" borderId="10" xfId="0" applyFill="1" applyBorder="1" applyAlignment="1">
      <alignment horizontal="center" vertical="center" wrapText="1"/>
    </xf>
    <xf numFmtId="0" fontId="0" fillId="2" borderId="8" xfId="0" applyFill="1" applyBorder="1" applyAlignment="1">
      <alignment horizontal="center" vertic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2" borderId="10" xfId="0" applyFill="1" applyBorder="1" applyAlignment="1">
      <alignment horizontal="center"/>
    </xf>
    <xf numFmtId="0" fontId="0" fillId="2" borderId="6" xfId="0" applyFill="1" applyBorder="1" applyAlignment="1">
      <alignment horizontal="center" wrapText="1"/>
    </xf>
    <xf numFmtId="0" fontId="0" fillId="0" borderId="0" xfId="0" applyAlignment="1">
      <alignment horizontal="center"/>
    </xf>
    <xf numFmtId="0" fontId="0" fillId="2" borderId="0" xfId="0" applyFill="1" applyAlignment="1">
      <alignment horizontal="center" vertical="center"/>
    </xf>
    <xf numFmtId="0" fontId="0" fillId="0" borderId="0" xfId="0" applyAlignment="1">
      <alignment horizontal="center" vertical="center" wrapText="1"/>
    </xf>
    <xf numFmtId="0" fontId="4" fillId="2" borderId="19" xfId="0" applyFont="1" applyFill="1" applyBorder="1" applyAlignment="1">
      <alignment horizontal="center"/>
    </xf>
    <xf numFmtId="0" fontId="0" fillId="0" borderId="0" xfId="0" applyAlignment="1">
      <alignment horizontal="center" vertical="center"/>
    </xf>
    <xf numFmtId="0" fontId="0" fillId="2" borderId="14"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0" xfId="0" applyAlignment="1">
      <alignment horizontal="right"/>
    </xf>
    <xf numFmtId="9" fontId="0" fillId="2" borderId="16" xfId="4" applyFont="1" applyFill="1" applyBorder="1" applyAlignment="1">
      <alignment horizontal="right"/>
    </xf>
    <xf numFmtId="9" fontId="0" fillId="2" borderId="15" xfId="4" applyFont="1" applyFill="1" applyBorder="1" applyAlignment="1">
      <alignment horizontal="right"/>
    </xf>
    <xf numFmtId="9" fontId="0" fillId="2" borderId="17" xfId="4" applyFont="1" applyFill="1" applyBorder="1" applyAlignment="1">
      <alignment horizontal="right"/>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14" fillId="2" borderId="0" xfId="0" applyFont="1" applyFill="1" applyAlignment="1">
      <alignment horizontal="left"/>
    </xf>
    <xf numFmtId="0" fontId="4" fillId="10" borderId="15" xfId="0" applyFont="1" applyFill="1" applyBorder="1" applyAlignment="1">
      <alignment horizontal="center" vertical="center"/>
    </xf>
    <xf numFmtId="0" fontId="4" fillId="10" borderId="17" xfId="0" applyFont="1" applyFill="1" applyBorder="1" applyAlignment="1">
      <alignment horizontal="center" vertical="center"/>
    </xf>
    <xf numFmtId="0" fontId="0" fillId="2" borderId="10" xfId="0" applyFill="1" applyBorder="1" applyAlignment="1">
      <alignment horizontal="center" vertical="top" wrapText="1"/>
    </xf>
    <xf numFmtId="0" fontId="0" fillId="2" borderId="7" xfId="0" applyFill="1" applyBorder="1" applyAlignment="1">
      <alignment horizontal="center" vertical="top" wrapText="1"/>
    </xf>
    <xf numFmtId="0" fontId="0" fillId="2" borderId="8" xfId="0" applyFill="1" applyBorder="1" applyAlignment="1">
      <alignment horizontal="center" vertical="top" wrapText="1"/>
    </xf>
    <xf numFmtId="0" fontId="14" fillId="2" borderId="1" xfId="0" applyFont="1" applyFill="1" applyBorder="1" applyAlignment="1">
      <alignment horizontal="left"/>
    </xf>
    <xf numFmtId="0" fontId="14" fillId="2" borderId="2" xfId="0" applyFont="1" applyFill="1" applyBorder="1" applyAlignment="1">
      <alignment horizontal="left"/>
    </xf>
  </cellXfs>
  <cellStyles count="7">
    <cellStyle name="Millares [0] 2" xfId="2" xr:uid="{69B73BBE-24A0-4D33-9761-135EA690308D}"/>
    <cellStyle name="Millares [0] 3" xfId="6" xr:uid="{2D2371B7-D1B9-4563-ADD1-13276379F20E}"/>
    <cellStyle name="Normal" xfId="0" builtinId="0"/>
    <cellStyle name="Normal 2" xfId="1" xr:uid="{5CD3965C-354F-4488-A805-94F649DDC8AA}"/>
    <cellStyle name="Normal 3" xfId="5" xr:uid="{DFDA6069-D2BE-4822-B83F-FBBC0A433AEF}"/>
    <cellStyle name="Porcentaje" xfId="4" builtinId="5"/>
    <cellStyle name="Porcentaje 2" xfId="3" xr:uid="{C5E2909E-7349-453D-828D-0E451EF7F4A5}"/>
  </cellStyles>
  <dxfs count="9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Ventas en MUS$ Target vs Acumuladas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areaChart>
        <c:grouping val="standard"/>
        <c:varyColors val="0"/>
        <c:ser>
          <c:idx val="2"/>
          <c:order val="1"/>
          <c:tx>
            <c:strRef>
              <c:f>Dashboard!$I$5</c:f>
              <c:strCache>
                <c:ptCount val="1"/>
                <c:pt idx="0">
                  <c:v>YTD /Target ScaleX</c:v>
                </c:pt>
              </c:strCache>
            </c:strRef>
          </c:tx>
          <c:spPr>
            <a:solidFill>
              <a:schemeClr val="accent3"/>
            </a:solidFill>
            <a:ln>
              <a:noFill/>
            </a:ln>
            <a:effectLst/>
          </c:spPr>
          <c:cat>
            <c:strRef>
              <c:f>Dashboard!$J$2:$X$2</c:f>
              <c:strCache>
                <c:ptCount val="15"/>
                <c:pt idx="0">
                  <c:v>Ene</c:v>
                </c:pt>
                <c:pt idx="1">
                  <c:v>Feb</c:v>
                </c:pt>
                <c:pt idx="2">
                  <c:v>Mar</c:v>
                </c:pt>
                <c:pt idx="3">
                  <c:v>Abr</c:v>
                </c:pt>
                <c:pt idx="4">
                  <c:v>May</c:v>
                </c:pt>
                <c:pt idx="5">
                  <c:v>Jun</c:v>
                </c:pt>
                <c:pt idx="6">
                  <c:v>Jul</c:v>
                </c:pt>
                <c:pt idx="7">
                  <c:v>Ago</c:v>
                </c:pt>
                <c:pt idx="8">
                  <c:v>Sept</c:v>
                </c:pt>
                <c:pt idx="9">
                  <c:v>Oct</c:v>
                </c:pt>
                <c:pt idx="10">
                  <c:v>Nov</c:v>
                </c:pt>
                <c:pt idx="11">
                  <c:v>Dic</c:v>
                </c:pt>
                <c:pt idx="12">
                  <c:v>2024</c:v>
                </c:pt>
                <c:pt idx="13">
                  <c:v>2025</c:v>
                </c:pt>
                <c:pt idx="14">
                  <c:v>2026</c:v>
                </c:pt>
              </c:strCache>
            </c:strRef>
          </c:cat>
          <c:val>
            <c:numRef>
              <c:f>Dashboard!$J$5:$X$5</c:f>
              <c:numCache>
                <c:formatCode>"$"#,##0_);[Red]\("$"#,##0\)</c:formatCode>
                <c:ptCount val="15"/>
                <c:pt idx="0">
                  <c:v>355.10974074074073</c:v>
                </c:pt>
                <c:pt idx="1">
                  <c:v>710.21948148148147</c:v>
                </c:pt>
                <c:pt idx="2">
                  <c:v>1065.3292222222221</c:v>
                </c:pt>
                <c:pt idx="3">
                  <c:v>1420.4389629629629</c:v>
                </c:pt>
                <c:pt idx="4">
                  <c:v>1775.5487037037037</c:v>
                </c:pt>
                <c:pt idx="5">
                  <c:v>2130.6584444444443</c:v>
                </c:pt>
                <c:pt idx="6">
                  <c:v>2485.7681851851848</c:v>
                </c:pt>
                <c:pt idx="7">
                  <c:v>2840.8779259259254</c:v>
                </c:pt>
                <c:pt idx="8">
                  <c:v>3195.987666666666</c:v>
                </c:pt>
                <c:pt idx="9">
                  <c:v>3551.0974074074065</c:v>
                </c:pt>
                <c:pt idx="10">
                  <c:v>3906.2071481481471</c:v>
                </c:pt>
                <c:pt idx="11">
                  <c:v>4261.3168888888877</c:v>
                </c:pt>
                <c:pt idx="12">
                  <c:v>4261.3168888888877</c:v>
                </c:pt>
                <c:pt idx="13">
                  <c:v>4389.1563955555557</c:v>
                </c:pt>
                <c:pt idx="14">
                  <c:v>4520.8310874222225</c:v>
                </c:pt>
              </c:numCache>
            </c:numRef>
          </c:val>
          <c:extLst>
            <c:ext xmlns:c16="http://schemas.microsoft.com/office/drawing/2014/chart" uri="{C3380CC4-5D6E-409C-BE32-E72D297353CC}">
              <c16:uniqueId val="{00000002-AA90-4C1A-90BF-06BF10B8F9B1}"/>
            </c:ext>
          </c:extLst>
        </c:ser>
        <c:dLbls>
          <c:showLegendKey val="0"/>
          <c:showVal val="0"/>
          <c:showCatName val="0"/>
          <c:showSerName val="0"/>
          <c:showPercent val="0"/>
          <c:showBubbleSize val="0"/>
        </c:dLbls>
        <c:axId val="1368272336"/>
        <c:axId val="520314048"/>
      </c:areaChart>
      <c:lineChart>
        <c:grouping val="standard"/>
        <c:varyColors val="0"/>
        <c:ser>
          <c:idx val="1"/>
          <c:order val="0"/>
          <c:tx>
            <c:strRef>
              <c:f>Dashboard!$I$4</c:f>
              <c:strCache>
                <c:ptCount val="1"/>
                <c:pt idx="0">
                  <c:v>Vtas Acum. Chile</c:v>
                </c:pt>
              </c:strCache>
            </c:strRef>
          </c:tx>
          <c:spPr>
            <a:ln w="28575" cap="rnd">
              <a:solidFill>
                <a:schemeClr val="accent2"/>
              </a:solidFill>
              <a:round/>
            </a:ln>
            <a:effectLst/>
          </c:spPr>
          <c:marker>
            <c:symbol val="none"/>
          </c:marker>
          <c:cat>
            <c:strRef>
              <c:f>Dashboard!$J$2:$X$2</c:f>
              <c:strCache>
                <c:ptCount val="15"/>
                <c:pt idx="0">
                  <c:v>Ene</c:v>
                </c:pt>
                <c:pt idx="1">
                  <c:v>Feb</c:v>
                </c:pt>
                <c:pt idx="2">
                  <c:v>Mar</c:v>
                </c:pt>
                <c:pt idx="3">
                  <c:v>Abr</c:v>
                </c:pt>
                <c:pt idx="4">
                  <c:v>May</c:v>
                </c:pt>
                <c:pt idx="5">
                  <c:v>Jun</c:v>
                </c:pt>
                <c:pt idx="6">
                  <c:v>Jul</c:v>
                </c:pt>
                <c:pt idx="7">
                  <c:v>Ago</c:v>
                </c:pt>
                <c:pt idx="8">
                  <c:v>Sept</c:v>
                </c:pt>
                <c:pt idx="9">
                  <c:v>Oct</c:v>
                </c:pt>
                <c:pt idx="10">
                  <c:v>Nov</c:v>
                </c:pt>
                <c:pt idx="11">
                  <c:v>Dic</c:v>
                </c:pt>
                <c:pt idx="12">
                  <c:v>2024</c:v>
                </c:pt>
                <c:pt idx="13">
                  <c:v>2025</c:v>
                </c:pt>
                <c:pt idx="14">
                  <c:v>2026</c:v>
                </c:pt>
              </c:strCache>
            </c:strRef>
          </c:cat>
          <c:val>
            <c:numRef>
              <c:f>Dashboard!$J$4:$X$4</c:f>
              <c:numCache>
                <c:formatCode>"$"#,##0_);[Red]\("$"#,##0\)</c:formatCode>
                <c:ptCount val="15"/>
                <c:pt idx="0">
                  <c:v>1.2333333333333332</c:v>
                </c:pt>
                <c:pt idx="1">
                  <c:v>1.2333333333333332</c:v>
                </c:pt>
                <c:pt idx="2">
                  <c:v>6.5777777777777784</c:v>
                </c:pt>
                <c:pt idx="3">
                  <c:v>74</c:v>
                </c:pt>
                <c:pt idx="4">
                  <c:v>186.64444444444445</c:v>
                </c:pt>
                <c:pt idx="5">
                  <c:v>299.28888888888889</c:v>
                </c:pt>
                <c:pt idx="6">
                  <c:v>503.2</c:v>
                </c:pt>
                <c:pt idx="7">
                  <c:v>712.04444444444448</c:v>
                </c:pt>
                <c:pt idx="8">
                  <c:v>920.88888888888891</c:v>
                </c:pt>
                <c:pt idx="9">
                  <c:v>1134.6666666666667</c:v>
                </c:pt>
                <c:pt idx="10">
                  <c:v>1348.4444444444446</c:v>
                </c:pt>
                <c:pt idx="11">
                  <c:v>1564.5643136843578</c:v>
                </c:pt>
                <c:pt idx="12">
                  <c:v>1564.5643136843578</c:v>
                </c:pt>
                <c:pt idx="13">
                  <c:v>3364.8210334941605</c:v>
                </c:pt>
                <c:pt idx="14">
                  <c:v>5160.3446717012785</c:v>
                </c:pt>
              </c:numCache>
            </c:numRef>
          </c:val>
          <c:smooth val="0"/>
          <c:extLst>
            <c:ext xmlns:c16="http://schemas.microsoft.com/office/drawing/2014/chart" uri="{C3380CC4-5D6E-409C-BE32-E72D297353CC}">
              <c16:uniqueId val="{00000001-AA90-4C1A-90BF-06BF10B8F9B1}"/>
            </c:ext>
          </c:extLst>
        </c:ser>
        <c:dLbls>
          <c:showLegendKey val="0"/>
          <c:showVal val="0"/>
          <c:showCatName val="0"/>
          <c:showSerName val="0"/>
          <c:showPercent val="0"/>
          <c:showBubbleSize val="0"/>
        </c:dLbls>
        <c:marker val="1"/>
        <c:smooth val="0"/>
        <c:axId val="1368272336"/>
        <c:axId val="520314048"/>
      </c:lineChart>
      <c:catAx>
        <c:axId val="136827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20314048"/>
        <c:crosses val="autoZero"/>
        <c:auto val="1"/>
        <c:lblAlgn val="ctr"/>
        <c:lblOffset val="100"/>
        <c:noMultiLvlLbl val="0"/>
      </c:catAx>
      <c:valAx>
        <c:axId val="5203140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682723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 Clientes Target vs Acumulados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areaChart>
        <c:grouping val="standard"/>
        <c:varyColors val="0"/>
        <c:ser>
          <c:idx val="4"/>
          <c:order val="1"/>
          <c:tx>
            <c:strRef>
              <c:f>Dashboard!$I$7</c:f>
              <c:strCache>
                <c:ptCount val="1"/>
                <c:pt idx="0">
                  <c:v>Clientes para target ScaleX</c:v>
                </c:pt>
              </c:strCache>
            </c:strRef>
          </c:tx>
          <c:spPr>
            <a:solidFill>
              <a:schemeClr val="accent5"/>
            </a:solidFill>
            <a:ln>
              <a:noFill/>
            </a:ln>
            <a:effectLst/>
          </c:spPr>
          <c:cat>
            <c:strRef>
              <c:f>Dashboard!$J$2:$X$2</c:f>
              <c:strCache>
                <c:ptCount val="15"/>
                <c:pt idx="0">
                  <c:v>Ene</c:v>
                </c:pt>
                <c:pt idx="1">
                  <c:v>Feb</c:v>
                </c:pt>
                <c:pt idx="2">
                  <c:v>Mar</c:v>
                </c:pt>
                <c:pt idx="3">
                  <c:v>Abr</c:v>
                </c:pt>
                <c:pt idx="4">
                  <c:v>May</c:v>
                </c:pt>
                <c:pt idx="5">
                  <c:v>Jun</c:v>
                </c:pt>
                <c:pt idx="6">
                  <c:v>Jul</c:v>
                </c:pt>
                <c:pt idx="7">
                  <c:v>Ago</c:v>
                </c:pt>
                <c:pt idx="8">
                  <c:v>Sept</c:v>
                </c:pt>
                <c:pt idx="9">
                  <c:v>Oct</c:v>
                </c:pt>
                <c:pt idx="10">
                  <c:v>Nov</c:v>
                </c:pt>
                <c:pt idx="11">
                  <c:v>Dic</c:v>
                </c:pt>
                <c:pt idx="12">
                  <c:v>2024</c:v>
                </c:pt>
                <c:pt idx="13">
                  <c:v>2025</c:v>
                </c:pt>
                <c:pt idx="14">
                  <c:v>2026</c:v>
                </c:pt>
              </c:strCache>
            </c:strRef>
          </c:cat>
          <c:val>
            <c:numRef>
              <c:f>Dashboard!$J$7:$X$7</c:f>
              <c:numCache>
                <c:formatCode>#,##0_ ;[Red]\-#,##0\ </c:formatCode>
                <c:ptCount val="15"/>
                <c:pt idx="0">
                  <c:v>59.125781314238488</c:v>
                </c:pt>
                <c:pt idx="1">
                  <c:v>118.25156262847698</c:v>
                </c:pt>
                <c:pt idx="2">
                  <c:v>177.37734394271544</c:v>
                </c:pt>
                <c:pt idx="3">
                  <c:v>236.50312525695395</c:v>
                </c:pt>
                <c:pt idx="4">
                  <c:v>295.62890657119243</c:v>
                </c:pt>
                <c:pt idx="5">
                  <c:v>354.75468788543088</c:v>
                </c:pt>
                <c:pt idx="6">
                  <c:v>413.88046919966934</c:v>
                </c:pt>
                <c:pt idx="7">
                  <c:v>473.00625051390779</c:v>
                </c:pt>
                <c:pt idx="8">
                  <c:v>532.1320318281463</c:v>
                </c:pt>
                <c:pt idx="9">
                  <c:v>591.25781314238475</c:v>
                </c:pt>
                <c:pt idx="10">
                  <c:v>650.3835944566232</c:v>
                </c:pt>
                <c:pt idx="11">
                  <c:v>709.50937577086165</c:v>
                </c:pt>
                <c:pt idx="12">
                  <c:v>709.50937577086165</c:v>
                </c:pt>
                <c:pt idx="13">
                  <c:v>866.1381445367582</c:v>
                </c:pt>
                <c:pt idx="14">
                  <c:v>1077.1299546069126</c:v>
                </c:pt>
              </c:numCache>
            </c:numRef>
          </c:val>
          <c:extLst>
            <c:ext xmlns:c16="http://schemas.microsoft.com/office/drawing/2014/chart" uri="{C3380CC4-5D6E-409C-BE32-E72D297353CC}">
              <c16:uniqueId val="{00000001-9FF0-47AB-906E-409B82EF3F13}"/>
            </c:ext>
          </c:extLst>
        </c:ser>
        <c:dLbls>
          <c:showLegendKey val="0"/>
          <c:showVal val="0"/>
          <c:showCatName val="0"/>
          <c:showSerName val="0"/>
          <c:showPercent val="0"/>
          <c:showBubbleSize val="0"/>
        </c:dLbls>
        <c:axId val="1368272336"/>
        <c:axId val="520314048"/>
      </c:areaChart>
      <c:lineChart>
        <c:grouping val="standard"/>
        <c:varyColors val="0"/>
        <c:ser>
          <c:idx val="3"/>
          <c:order val="0"/>
          <c:tx>
            <c:strRef>
              <c:f>Dashboard!$I$6</c:f>
              <c:strCache>
                <c:ptCount val="1"/>
                <c:pt idx="0">
                  <c:v>Clientes nuevos acum. Chile</c:v>
                </c:pt>
              </c:strCache>
            </c:strRef>
          </c:tx>
          <c:spPr>
            <a:ln w="28575" cap="rnd">
              <a:solidFill>
                <a:schemeClr val="accent4"/>
              </a:solidFill>
              <a:round/>
            </a:ln>
            <a:effectLst/>
          </c:spPr>
          <c:marker>
            <c:symbol val="none"/>
          </c:marker>
          <c:cat>
            <c:strRef>
              <c:f>Dashboard!$J$2:$X$2</c:f>
              <c:strCache>
                <c:ptCount val="15"/>
                <c:pt idx="0">
                  <c:v>Ene</c:v>
                </c:pt>
                <c:pt idx="1">
                  <c:v>Feb</c:v>
                </c:pt>
                <c:pt idx="2">
                  <c:v>Mar</c:v>
                </c:pt>
                <c:pt idx="3">
                  <c:v>Abr</c:v>
                </c:pt>
                <c:pt idx="4">
                  <c:v>May</c:v>
                </c:pt>
                <c:pt idx="5">
                  <c:v>Jun</c:v>
                </c:pt>
                <c:pt idx="6">
                  <c:v>Jul</c:v>
                </c:pt>
                <c:pt idx="7">
                  <c:v>Ago</c:v>
                </c:pt>
                <c:pt idx="8">
                  <c:v>Sept</c:v>
                </c:pt>
                <c:pt idx="9">
                  <c:v>Oct</c:v>
                </c:pt>
                <c:pt idx="10">
                  <c:v>Nov</c:v>
                </c:pt>
                <c:pt idx="11">
                  <c:v>Dic</c:v>
                </c:pt>
                <c:pt idx="12">
                  <c:v>2024</c:v>
                </c:pt>
                <c:pt idx="13">
                  <c:v>2025</c:v>
                </c:pt>
                <c:pt idx="14">
                  <c:v>2026</c:v>
                </c:pt>
              </c:strCache>
            </c:strRef>
          </c:cat>
          <c:val>
            <c:numRef>
              <c:f>Dashboard!$J$6:$X$6</c:f>
              <c:numCache>
                <c:formatCode>General</c:formatCode>
                <c:ptCount val="15"/>
                <c:pt idx="0">
                  <c:v>1</c:v>
                </c:pt>
                <c:pt idx="1">
                  <c:v>1</c:v>
                </c:pt>
                <c:pt idx="2">
                  <c:v>3</c:v>
                </c:pt>
                <c:pt idx="3">
                  <c:v>10</c:v>
                </c:pt>
                <c:pt idx="4">
                  <c:v>29</c:v>
                </c:pt>
                <c:pt idx="5">
                  <c:v>48</c:v>
                </c:pt>
                <c:pt idx="6">
                  <c:v>78</c:v>
                </c:pt>
                <c:pt idx="7">
                  <c:v>112</c:v>
                </c:pt>
                <c:pt idx="8">
                  <c:v>146</c:v>
                </c:pt>
                <c:pt idx="9">
                  <c:v>184</c:v>
                </c:pt>
                <c:pt idx="10">
                  <c:v>222</c:v>
                </c:pt>
                <c:pt idx="11">
                  <c:v>260</c:v>
                </c:pt>
                <c:pt idx="12" formatCode="#,##0">
                  <c:v>260</c:v>
                </c:pt>
                <c:pt idx="13" formatCode="#,##0">
                  <c:v>515</c:v>
                </c:pt>
                <c:pt idx="14" formatCode="#,##0">
                  <c:v>814</c:v>
                </c:pt>
              </c:numCache>
            </c:numRef>
          </c:val>
          <c:smooth val="0"/>
          <c:extLst>
            <c:ext xmlns:c16="http://schemas.microsoft.com/office/drawing/2014/chart" uri="{C3380CC4-5D6E-409C-BE32-E72D297353CC}">
              <c16:uniqueId val="{00000004-9FF0-47AB-906E-409B82EF3F13}"/>
            </c:ext>
          </c:extLst>
        </c:ser>
        <c:dLbls>
          <c:showLegendKey val="0"/>
          <c:showVal val="0"/>
          <c:showCatName val="0"/>
          <c:showSerName val="0"/>
          <c:showPercent val="0"/>
          <c:showBubbleSize val="0"/>
        </c:dLbls>
        <c:marker val="1"/>
        <c:smooth val="0"/>
        <c:axId val="1368272336"/>
        <c:axId val="520314048"/>
      </c:lineChart>
      <c:catAx>
        <c:axId val="136827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20314048"/>
        <c:crosses val="autoZero"/>
        <c:auto val="1"/>
        <c:lblAlgn val="ctr"/>
        <c:lblOffset val="100"/>
        <c:noMultiLvlLbl val="0"/>
      </c:catAx>
      <c:valAx>
        <c:axId val="5203140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682723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900"/>
              <a:t>Ventas Chile, total &amp; Target ScaleX en MUS$ 2024-2025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areaChart>
        <c:grouping val="stacked"/>
        <c:varyColors val="0"/>
        <c:ser>
          <c:idx val="7"/>
          <c:order val="7"/>
          <c:tx>
            <c:strRef>
              <c:f>Dashboard!$B$10</c:f>
              <c:strCache>
                <c:ptCount val="1"/>
                <c:pt idx="0">
                  <c:v>ScaleX target</c:v>
                </c:pt>
              </c:strCache>
            </c:strRef>
          </c:tx>
          <c:spPr>
            <a:solidFill>
              <a:schemeClr val="accent2">
                <a:lumMod val="60000"/>
              </a:schemeClr>
            </a:solidFill>
            <a:ln>
              <a:noFill/>
            </a:ln>
            <a:effectLst/>
          </c:spPr>
          <c:cat>
            <c:numRef>
              <c:f>Dashboard!$C$2:$E$2</c:f>
              <c:numCache>
                <c:formatCode>General</c:formatCode>
                <c:ptCount val="3"/>
                <c:pt idx="0">
                  <c:v>2024</c:v>
                </c:pt>
                <c:pt idx="1">
                  <c:v>2025</c:v>
                </c:pt>
                <c:pt idx="2">
                  <c:v>2026</c:v>
                </c:pt>
              </c:numCache>
            </c:numRef>
          </c:cat>
          <c:val>
            <c:numRef>
              <c:f>Dashboard!$C$10:$E$10</c:f>
              <c:numCache>
                <c:formatCode>"$"#,##0_);[Red]\("$"#,##0\)</c:formatCode>
                <c:ptCount val="3"/>
                <c:pt idx="0">
                  <c:v>4261.3168888888886</c:v>
                </c:pt>
                <c:pt idx="1">
                  <c:v>4389.1563955555557</c:v>
                </c:pt>
                <c:pt idx="2">
                  <c:v>4520.8310874222225</c:v>
                </c:pt>
              </c:numCache>
            </c:numRef>
          </c:val>
          <c:extLst>
            <c:ext xmlns:c16="http://schemas.microsoft.com/office/drawing/2014/chart" uri="{C3380CC4-5D6E-409C-BE32-E72D297353CC}">
              <c16:uniqueId val="{00000007-967A-4192-8B4B-161BB873C371}"/>
            </c:ext>
          </c:extLst>
        </c:ser>
        <c:dLbls>
          <c:showLegendKey val="0"/>
          <c:showVal val="0"/>
          <c:showCatName val="0"/>
          <c:showSerName val="0"/>
          <c:showPercent val="0"/>
          <c:showBubbleSize val="0"/>
        </c:dLbls>
        <c:axId val="1231495135"/>
        <c:axId val="1135885807"/>
      </c:areaChart>
      <c:barChart>
        <c:barDir val="col"/>
        <c:grouping val="stacked"/>
        <c:varyColors val="0"/>
        <c:ser>
          <c:idx val="0"/>
          <c:order val="0"/>
          <c:tx>
            <c:strRef>
              <c:f>Dashboard!$B$3</c:f>
              <c:strCache>
                <c:ptCount val="1"/>
                <c:pt idx="0">
                  <c:v>Ventas Chile</c:v>
                </c:pt>
              </c:strCache>
            </c:strRef>
          </c:tx>
          <c:spPr>
            <a:solidFill>
              <a:schemeClr val="accent1"/>
            </a:solidFill>
            <a:ln>
              <a:noFill/>
            </a:ln>
            <a:effectLst/>
          </c:spPr>
          <c:invertIfNegative val="0"/>
          <c:cat>
            <c:numRef>
              <c:f>Dashboard!$C$2:$E$2</c:f>
              <c:numCache>
                <c:formatCode>General</c:formatCode>
                <c:ptCount val="3"/>
                <c:pt idx="0">
                  <c:v>2024</c:v>
                </c:pt>
                <c:pt idx="1">
                  <c:v>2025</c:v>
                </c:pt>
                <c:pt idx="2">
                  <c:v>2026</c:v>
                </c:pt>
              </c:numCache>
            </c:numRef>
          </c:cat>
          <c:val>
            <c:numRef>
              <c:f>Dashboard!$C$3:$E$3</c:f>
              <c:numCache>
                <c:formatCode>"$"#,##0_);[Red]\("$"#,##0\)</c:formatCode>
                <c:ptCount val="3"/>
                <c:pt idx="0">
                  <c:v>1564.5643136843578</c:v>
                </c:pt>
                <c:pt idx="1">
                  <c:v>3364.8210334941605</c:v>
                </c:pt>
                <c:pt idx="2">
                  <c:v>5160.3446717012794</c:v>
                </c:pt>
              </c:numCache>
            </c:numRef>
          </c:val>
          <c:extLst>
            <c:ext xmlns:c16="http://schemas.microsoft.com/office/drawing/2014/chart" uri="{C3380CC4-5D6E-409C-BE32-E72D297353CC}">
              <c16:uniqueId val="{00000000-967A-4192-8B4B-161BB873C371}"/>
            </c:ext>
          </c:extLst>
        </c:ser>
        <c:ser>
          <c:idx val="1"/>
          <c:order val="1"/>
          <c:tx>
            <c:strRef>
              <c:f>Dashboard!$B$4</c:f>
              <c:strCache>
                <c:ptCount val="1"/>
                <c:pt idx="0">
                  <c:v>Ventas Internacionales</c:v>
                </c:pt>
              </c:strCache>
            </c:strRef>
          </c:tx>
          <c:spPr>
            <a:solidFill>
              <a:schemeClr val="accent2"/>
            </a:solidFill>
            <a:ln>
              <a:noFill/>
            </a:ln>
            <a:effectLst/>
          </c:spPr>
          <c:invertIfNegative val="0"/>
          <c:cat>
            <c:numRef>
              <c:f>Dashboard!$C$2:$E$2</c:f>
              <c:numCache>
                <c:formatCode>General</c:formatCode>
                <c:ptCount val="3"/>
                <c:pt idx="0">
                  <c:v>2024</c:v>
                </c:pt>
                <c:pt idx="1">
                  <c:v>2025</c:v>
                </c:pt>
                <c:pt idx="2">
                  <c:v>2026</c:v>
                </c:pt>
              </c:numCache>
            </c:numRef>
          </c:cat>
          <c:val>
            <c:numRef>
              <c:f>Dashboard!$C$4:$E$4</c:f>
              <c:numCache>
                <c:formatCode>"$"#,##0_);[Red]\("$"#,##0\)</c:formatCode>
                <c:ptCount val="3"/>
                <c:pt idx="0">
                  <c:v>1760.1348528949027</c:v>
                </c:pt>
                <c:pt idx="1">
                  <c:v>6412.4650777917605</c:v>
                </c:pt>
                <c:pt idx="2">
                  <c:v>10365.220276728898</c:v>
                </c:pt>
              </c:numCache>
            </c:numRef>
          </c:val>
          <c:extLst>
            <c:ext xmlns:c16="http://schemas.microsoft.com/office/drawing/2014/chart" uri="{C3380CC4-5D6E-409C-BE32-E72D297353CC}">
              <c16:uniqueId val="{00000001-967A-4192-8B4B-161BB873C371}"/>
            </c:ext>
          </c:extLst>
        </c:ser>
        <c:dLbls>
          <c:showLegendKey val="0"/>
          <c:showVal val="0"/>
          <c:showCatName val="0"/>
          <c:showSerName val="0"/>
          <c:showPercent val="0"/>
          <c:showBubbleSize val="0"/>
        </c:dLbls>
        <c:gapWidth val="219"/>
        <c:overlap val="100"/>
        <c:axId val="1231495135"/>
        <c:axId val="1135885807"/>
        <c:extLst>
          <c:ext xmlns:c15="http://schemas.microsoft.com/office/drawing/2012/chart" uri="{02D57815-91ED-43cb-92C2-25804820EDAC}">
            <c15:filteredBarSeries>
              <c15:ser>
                <c:idx val="2"/>
                <c:order val="2"/>
                <c:tx>
                  <c:strRef>
                    <c:extLst>
                      <c:ext uri="{02D57815-91ED-43cb-92C2-25804820EDAC}">
                        <c15:formulaRef>
                          <c15:sqref>Dashboard!$B$5</c15:sqref>
                        </c15:formulaRef>
                      </c:ext>
                    </c:extLst>
                    <c:strCache>
                      <c:ptCount val="1"/>
                      <c:pt idx="0">
                        <c:v>Total de Ventas</c:v>
                      </c:pt>
                    </c:strCache>
                  </c:strRef>
                </c:tx>
                <c:spPr>
                  <a:solidFill>
                    <a:schemeClr val="accent3"/>
                  </a:solidFill>
                  <a:ln>
                    <a:noFill/>
                  </a:ln>
                  <a:effectLst/>
                </c:spPr>
                <c:invertIfNegative val="0"/>
                <c:cat>
                  <c:numRef>
                    <c:extLst>
                      <c:ext uri="{02D57815-91ED-43cb-92C2-25804820EDAC}">
                        <c15:formulaRef>
                          <c15:sqref>Dashboard!$C$2:$E$2</c15:sqref>
                        </c15:formulaRef>
                      </c:ext>
                    </c:extLst>
                    <c:numCache>
                      <c:formatCode>General</c:formatCode>
                      <c:ptCount val="3"/>
                      <c:pt idx="0">
                        <c:v>2024</c:v>
                      </c:pt>
                      <c:pt idx="1">
                        <c:v>2025</c:v>
                      </c:pt>
                      <c:pt idx="2">
                        <c:v>2026</c:v>
                      </c:pt>
                    </c:numCache>
                  </c:numRef>
                </c:cat>
                <c:val>
                  <c:numRef>
                    <c:extLst>
                      <c:ext uri="{02D57815-91ED-43cb-92C2-25804820EDAC}">
                        <c15:formulaRef>
                          <c15:sqref>Dashboard!$C$5:$E$5</c15:sqref>
                        </c15:formulaRef>
                      </c:ext>
                    </c:extLst>
                    <c:numCache>
                      <c:formatCode>"$"#,##0_);[Red]\("$"#,##0\)</c:formatCode>
                      <c:ptCount val="3"/>
                      <c:pt idx="0">
                        <c:v>3324.6991665792602</c:v>
                      </c:pt>
                      <c:pt idx="1">
                        <c:v>9777.2861112859209</c:v>
                      </c:pt>
                      <c:pt idx="2">
                        <c:v>15525.564948430178</c:v>
                      </c:pt>
                    </c:numCache>
                  </c:numRef>
                </c:val>
                <c:extLst>
                  <c:ext xmlns:c16="http://schemas.microsoft.com/office/drawing/2014/chart" uri="{C3380CC4-5D6E-409C-BE32-E72D297353CC}">
                    <c16:uniqueId val="{00000002-967A-4192-8B4B-161BB873C3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Dashboard!$B$6</c15:sqref>
                        </c15:formulaRef>
                      </c:ext>
                    </c:extLst>
                    <c:strCache>
                      <c:ptCount val="1"/>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Dashboard!$C$2:$E$2</c15:sqref>
                        </c15:formulaRef>
                      </c:ext>
                    </c:extLst>
                    <c:numCache>
                      <c:formatCode>General</c:formatCode>
                      <c:ptCount val="3"/>
                      <c:pt idx="0">
                        <c:v>2024</c:v>
                      </c:pt>
                      <c:pt idx="1">
                        <c:v>2025</c:v>
                      </c:pt>
                      <c:pt idx="2">
                        <c:v>2026</c:v>
                      </c:pt>
                    </c:numCache>
                  </c:numRef>
                </c:cat>
                <c:val>
                  <c:numRef>
                    <c:extLst xmlns:c15="http://schemas.microsoft.com/office/drawing/2012/chart">
                      <c:ext xmlns:c15="http://schemas.microsoft.com/office/drawing/2012/chart" uri="{02D57815-91ED-43cb-92C2-25804820EDAC}">
                        <c15:formulaRef>
                          <c15:sqref>Dashboard!$C$6:$E$6</c15:sqref>
                        </c15:formulaRef>
                      </c:ext>
                    </c:extLst>
                    <c:numCache>
                      <c:formatCode>"$"#,##0_);[Red]\("$"#,##0\)</c:formatCode>
                      <c:ptCount val="3"/>
                    </c:numCache>
                  </c:numRef>
                </c:val>
                <c:extLst xmlns:c15="http://schemas.microsoft.com/office/drawing/2012/chart">
                  <c:ext xmlns:c16="http://schemas.microsoft.com/office/drawing/2014/chart" uri="{C3380CC4-5D6E-409C-BE32-E72D297353CC}">
                    <c16:uniqueId val="{00000003-967A-4192-8B4B-161BB873C3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Dashboard!$B$7</c15:sqref>
                        </c15:formulaRef>
                      </c:ext>
                    </c:extLst>
                    <c:strCache>
                      <c:ptCount val="1"/>
                      <c:pt idx="0">
                        <c:v>MUS$ sobre o bajo el eq. s/Chile</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Dashboard!$C$2:$E$2</c15:sqref>
                        </c15:formulaRef>
                      </c:ext>
                    </c:extLst>
                    <c:numCache>
                      <c:formatCode>General</c:formatCode>
                      <c:ptCount val="3"/>
                      <c:pt idx="0">
                        <c:v>2024</c:v>
                      </c:pt>
                      <c:pt idx="1">
                        <c:v>2025</c:v>
                      </c:pt>
                      <c:pt idx="2">
                        <c:v>2026</c:v>
                      </c:pt>
                    </c:numCache>
                  </c:numRef>
                </c:cat>
                <c:val>
                  <c:numRef>
                    <c:extLst xmlns:c15="http://schemas.microsoft.com/office/drawing/2012/chart">
                      <c:ext xmlns:c15="http://schemas.microsoft.com/office/drawing/2012/chart" uri="{02D57815-91ED-43cb-92C2-25804820EDAC}">
                        <c15:formulaRef>
                          <c15:sqref>Dashboard!$C$7:$E$7</c15:sqref>
                        </c15:formulaRef>
                      </c:ext>
                    </c:extLst>
                    <c:numCache>
                      <c:formatCode>"$"#,##0_);[Red]\("$"#,##0\)</c:formatCode>
                      <c:ptCount val="3"/>
                      <c:pt idx="0">
                        <c:v>157.64280260121677</c:v>
                      </c:pt>
                      <c:pt idx="1">
                        <c:v>655.71173071813155</c:v>
                      </c:pt>
                      <c:pt idx="2">
                        <c:v>1177.6092949444092</c:v>
                      </c:pt>
                    </c:numCache>
                  </c:numRef>
                </c:val>
                <c:extLst xmlns:c15="http://schemas.microsoft.com/office/drawing/2012/chart">
                  <c:ext xmlns:c16="http://schemas.microsoft.com/office/drawing/2014/chart" uri="{C3380CC4-5D6E-409C-BE32-E72D297353CC}">
                    <c16:uniqueId val="{00000004-967A-4192-8B4B-161BB873C3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Dashboard!$B$8</c15:sqref>
                        </c15:formulaRef>
                      </c:ext>
                    </c:extLst>
                    <c:strCache>
                      <c:ptCount val="1"/>
                      <c:pt idx="0">
                        <c:v>Down/Upside</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Dashboard!$C$2:$E$2</c15:sqref>
                        </c15:formulaRef>
                      </c:ext>
                    </c:extLst>
                    <c:numCache>
                      <c:formatCode>General</c:formatCode>
                      <c:ptCount val="3"/>
                      <c:pt idx="0">
                        <c:v>2024</c:v>
                      </c:pt>
                      <c:pt idx="1">
                        <c:v>2025</c:v>
                      </c:pt>
                      <c:pt idx="2">
                        <c:v>2026</c:v>
                      </c:pt>
                    </c:numCache>
                  </c:numRef>
                </c:cat>
                <c:val>
                  <c:numRef>
                    <c:extLst xmlns:c15="http://schemas.microsoft.com/office/drawing/2012/chart">
                      <c:ext xmlns:c15="http://schemas.microsoft.com/office/drawing/2012/chart" uri="{02D57815-91ED-43cb-92C2-25804820EDAC}">
                        <c15:formulaRef>
                          <c15:sqref>Dashboard!$C$8:$E$8</c15:sqref>
                        </c15:formulaRef>
                      </c:ext>
                    </c:extLst>
                    <c:numCache>
                      <c:formatCode>0%</c:formatCode>
                      <c:ptCount val="3"/>
                      <c:pt idx="0">
                        <c:v>1.112048043447607</c:v>
                      </c:pt>
                      <c:pt idx="1">
                        <c:v>1.2420395995267606</c:v>
                      </c:pt>
                      <c:pt idx="2">
                        <c:v>1.2956785182909474</c:v>
                      </c:pt>
                    </c:numCache>
                  </c:numRef>
                </c:val>
                <c:extLst xmlns:c15="http://schemas.microsoft.com/office/drawing/2012/chart">
                  <c:ext xmlns:c16="http://schemas.microsoft.com/office/drawing/2014/chart" uri="{C3380CC4-5D6E-409C-BE32-E72D297353CC}">
                    <c16:uniqueId val="{00000005-967A-4192-8B4B-161BB873C371}"/>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Dashboard!$B$9</c15:sqref>
                        </c15:formulaRef>
                      </c:ext>
                    </c:extLst>
                    <c:strCache>
                      <c:ptCount val="1"/>
                    </c:strCache>
                  </c:strRef>
                </c:tx>
                <c:spPr>
                  <a:solidFill>
                    <a:schemeClr val="accent1">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Dashboard!$C$2:$E$2</c15:sqref>
                        </c15:formulaRef>
                      </c:ext>
                    </c:extLst>
                    <c:numCache>
                      <c:formatCode>General</c:formatCode>
                      <c:ptCount val="3"/>
                      <c:pt idx="0">
                        <c:v>2024</c:v>
                      </c:pt>
                      <c:pt idx="1">
                        <c:v>2025</c:v>
                      </c:pt>
                      <c:pt idx="2">
                        <c:v>2026</c:v>
                      </c:pt>
                    </c:numCache>
                  </c:numRef>
                </c:cat>
                <c:val>
                  <c:numRef>
                    <c:extLst xmlns:c15="http://schemas.microsoft.com/office/drawing/2012/chart">
                      <c:ext xmlns:c15="http://schemas.microsoft.com/office/drawing/2012/chart" uri="{02D57815-91ED-43cb-92C2-25804820EDAC}">
                        <c15:formulaRef>
                          <c15:sqref>Dashboard!$C$9:$E$9</c15:sqref>
                        </c15:formulaRef>
                      </c:ext>
                    </c:extLst>
                    <c:numCache>
                      <c:formatCode>"$"#,##0_);[Red]\("$"#,##0\)</c:formatCode>
                      <c:ptCount val="3"/>
                    </c:numCache>
                  </c:numRef>
                </c:val>
                <c:extLst xmlns:c15="http://schemas.microsoft.com/office/drawing/2012/chart">
                  <c:ext xmlns:c16="http://schemas.microsoft.com/office/drawing/2014/chart" uri="{C3380CC4-5D6E-409C-BE32-E72D297353CC}">
                    <c16:uniqueId val="{00000006-967A-4192-8B4B-161BB873C371}"/>
                  </c:ext>
                </c:extLst>
              </c15:ser>
            </c15:filteredBarSeries>
          </c:ext>
        </c:extLst>
      </c:barChart>
      <c:catAx>
        <c:axId val="12314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35885807"/>
        <c:crosses val="autoZero"/>
        <c:auto val="1"/>
        <c:lblAlgn val="ctr"/>
        <c:lblOffset val="100"/>
        <c:noMultiLvlLbl val="0"/>
      </c:catAx>
      <c:valAx>
        <c:axId val="1135885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3149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L"/>
              <a:t>Meta de ventas 2024 por tipo de cliente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L"/>
        </a:p>
      </c:txPr>
    </c:title>
    <c:autoTitleDeleted val="0"/>
    <c:plotArea>
      <c:layout/>
      <c:areaChart>
        <c:grouping val="standard"/>
        <c:varyColors val="0"/>
        <c:ser>
          <c:idx val="0"/>
          <c:order val="0"/>
          <c:tx>
            <c:strRef>
              <c:f>Vaciado!$G$10</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Vaciado!$H$8:$S$9</c:f>
              <c:multiLvlStrCache>
                <c:ptCount val="1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2024</c:v>
                  </c:pt>
                </c:lvl>
              </c:multiLvlStrCache>
            </c:multiLvlStrRef>
          </c:cat>
          <c:val>
            <c:numRef>
              <c:f>Vaciado!$H$10:$S$10</c:f>
              <c:numCache>
                <c:formatCode>General</c:formatCode>
                <c:ptCount val="12"/>
                <c:pt idx="0">
                  <c:v>1</c:v>
                </c:pt>
                <c:pt idx="1">
                  <c:v>0</c:v>
                </c:pt>
                <c:pt idx="2">
                  <c:v>1</c:v>
                </c:pt>
                <c:pt idx="3">
                  <c:v>3</c:v>
                </c:pt>
                <c:pt idx="4">
                  <c:v>8</c:v>
                </c:pt>
                <c:pt idx="5">
                  <c:v>8</c:v>
                </c:pt>
                <c:pt idx="6">
                  <c:v>12</c:v>
                </c:pt>
                <c:pt idx="7">
                  <c:v>16</c:v>
                </c:pt>
                <c:pt idx="8">
                  <c:v>16</c:v>
                </c:pt>
                <c:pt idx="9">
                  <c:v>20</c:v>
                </c:pt>
                <c:pt idx="10">
                  <c:v>20</c:v>
                </c:pt>
                <c:pt idx="11">
                  <c:v>20</c:v>
                </c:pt>
              </c:numCache>
            </c:numRef>
          </c:val>
          <c:extLst>
            <c:ext xmlns:c16="http://schemas.microsoft.com/office/drawing/2014/chart" uri="{C3380CC4-5D6E-409C-BE32-E72D297353CC}">
              <c16:uniqueId val="{00000000-B534-4A3A-A573-5A694CBA7B44}"/>
            </c:ext>
          </c:extLst>
        </c:ser>
        <c:ser>
          <c:idx val="1"/>
          <c:order val="1"/>
          <c:tx>
            <c:strRef>
              <c:f>Vaciado!$G$11</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Vaciado!$H$8:$S$9</c:f>
              <c:multiLvlStrCache>
                <c:ptCount val="1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2024</c:v>
                  </c:pt>
                </c:lvl>
              </c:multiLvlStrCache>
            </c:multiLvlStrRef>
          </c:cat>
          <c:val>
            <c:numRef>
              <c:f>Vaciado!$H$11:$S$11</c:f>
              <c:numCache>
                <c:formatCode>General</c:formatCode>
                <c:ptCount val="12"/>
                <c:pt idx="0">
                  <c:v>0</c:v>
                </c:pt>
                <c:pt idx="1">
                  <c:v>0</c:v>
                </c:pt>
                <c:pt idx="2">
                  <c:v>1</c:v>
                </c:pt>
                <c:pt idx="3">
                  <c:v>2</c:v>
                </c:pt>
                <c:pt idx="4">
                  <c:v>8</c:v>
                </c:pt>
                <c:pt idx="5">
                  <c:v>8</c:v>
                </c:pt>
                <c:pt idx="6">
                  <c:v>12</c:v>
                </c:pt>
                <c:pt idx="7">
                  <c:v>12</c:v>
                </c:pt>
                <c:pt idx="8">
                  <c:v>12</c:v>
                </c:pt>
                <c:pt idx="9">
                  <c:v>12</c:v>
                </c:pt>
                <c:pt idx="10">
                  <c:v>12</c:v>
                </c:pt>
                <c:pt idx="11">
                  <c:v>12</c:v>
                </c:pt>
              </c:numCache>
            </c:numRef>
          </c:val>
          <c:extLst>
            <c:ext xmlns:c16="http://schemas.microsoft.com/office/drawing/2014/chart" uri="{C3380CC4-5D6E-409C-BE32-E72D297353CC}">
              <c16:uniqueId val="{00000001-B534-4A3A-A573-5A694CBA7B44}"/>
            </c:ext>
          </c:extLst>
        </c:ser>
        <c:ser>
          <c:idx val="2"/>
          <c:order val="2"/>
          <c:tx>
            <c:strRef>
              <c:f>Vaciado!$G$12</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Vaciado!$H$8:$S$9</c:f>
              <c:multiLvlStrCache>
                <c:ptCount val="1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2024</c:v>
                  </c:pt>
                </c:lvl>
              </c:multiLvlStrCache>
            </c:multiLvlStrRef>
          </c:cat>
          <c:val>
            <c:numRef>
              <c:f>Vaciado!$H$12:$S$12</c:f>
              <c:numCache>
                <c:formatCode>General</c:formatCode>
                <c:ptCount val="12"/>
                <c:pt idx="0">
                  <c:v>0</c:v>
                </c:pt>
                <c:pt idx="1">
                  <c:v>0</c:v>
                </c:pt>
                <c:pt idx="2">
                  <c:v>0</c:v>
                </c:pt>
                <c:pt idx="3">
                  <c:v>1</c:v>
                </c:pt>
                <c:pt idx="4">
                  <c:v>2</c:v>
                </c:pt>
                <c:pt idx="5">
                  <c:v>2</c:v>
                </c:pt>
                <c:pt idx="6">
                  <c:v>4</c:v>
                </c:pt>
                <c:pt idx="7">
                  <c:v>4</c:v>
                </c:pt>
                <c:pt idx="8">
                  <c:v>4</c:v>
                </c:pt>
                <c:pt idx="9">
                  <c:v>4</c:v>
                </c:pt>
                <c:pt idx="10">
                  <c:v>4</c:v>
                </c:pt>
                <c:pt idx="11">
                  <c:v>4</c:v>
                </c:pt>
              </c:numCache>
            </c:numRef>
          </c:val>
          <c:extLst>
            <c:ext xmlns:c16="http://schemas.microsoft.com/office/drawing/2014/chart" uri="{C3380CC4-5D6E-409C-BE32-E72D297353CC}">
              <c16:uniqueId val="{00000002-B534-4A3A-A573-5A694CBA7B44}"/>
            </c:ext>
          </c:extLst>
        </c:ser>
        <c:ser>
          <c:idx val="3"/>
          <c:order val="3"/>
          <c:tx>
            <c:strRef>
              <c:f>Vaciado!$G$13</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Vaciado!$H$8:$S$9</c:f>
              <c:multiLvlStrCache>
                <c:ptCount val="1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2024</c:v>
                  </c:pt>
                </c:lvl>
              </c:multiLvlStrCache>
            </c:multiLvlStrRef>
          </c:cat>
          <c:val>
            <c:numRef>
              <c:f>Vaciado!$H$13:$S$13</c:f>
              <c:numCache>
                <c:formatCode>General</c:formatCode>
                <c:ptCount val="12"/>
                <c:pt idx="0">
                  <c:v>0</c:v>
                </c:pt>
                <c:pt idx="1">
                  <c:v>0</c:v>
                </c:pt>
                <c:pt idx="2">
                  <c:v>0</c:v>
                </c:pt>
                <c:pt idx="3">
                  <c:v>1</c:v>
                </c:pt>
                <c:pt idx="4">
                  <c:v>1</c:v>
                </c:pt>
                <c:pt idx="5">
                  <c:v>1</c:v>
                </c:pt>
                <c:pt idx="6">
                  <c:v>2</c:v>
                </c:pt>
                <c:pt idx="7">
                  <c:v>2</c:v>
                </c:pt>
                <c:pt idx="8">
                  <c:v>2</c:v>
                </c:pt>
                <c:pt idx="9">
                  <c:v>2</c:v>
                </c:pt>
                <c:pt idx="10">
                  <c:v>2</c:v>
                </c:pt>
                <c:pt idx="11">
                  <c:v>2</c:v>
                </c:pt>
              </c:numCache>
            </c:numRef>
          </c:val>
          <c:extLst>
            <c:ext xmlns:c16="http://schemas.microsoft.com/office/drawing/2014/chart" uri="{C3380CC4-5D6E-409C-BE32-E72D297353CC}">
              <c16:uniqueId val="{00000003-B534-4A3A-A573-5A694CBA7B44}"/>
            </c:ext>
          </c:extLst>
        </c:ser>
        <c:ser>
          <c:idx val="4"/>
          <c:order val="4"/>
          <c:tx>
            <c:strRef>
              <c:f>Vaciado!$G$14</c:f>
              <c:strCache>
                <c:ptCount val="1"/>
                <c:pt idx="0">
                  <c:v>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Vaciado!$H$8:$S$9</c:f>
              <c:multiLvlStrCache>
                <c:ptCount val="1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2024</c:v>
                  </c:pt>
                </c:lvl>
              </c:multiLvlStrCache>
            </c:multiLvlStrRef>
          </c:cat>
          <c:val>
            <c:numRef>
              <c:f>Vaciado!$H$14:$S$14</c:f>
              <c:numCache>
                <c:formatCode>General</c:formatCode>
                <c:ptCount val="12"/>
              </c:numCache>
            </c:numRef>
          </c:val>
          <c:extLst>
            <c:ext xmlns:c16="http://schemas.microsoft.com/office/drawing/2014/chart" uri="{C3380CC4-5D6E-409C-BE32-E72D297353CC}">
              <c16:uniqueId val="{00000004-B534-4A3A-A573-5A694CBA7B44}"/>
            </c:ext>
          </c:extLst>
        </c:ser>
        <c:dLbls>
          <c:showLegendKey val="0"/>
          <c:showVal val="1"/>
          <c:showCatName val="0"/>
          <c:showSerName val="0"/>
          <c:showPercent val="0"/>
          <c:showBubbleSize val="0"/>
        </c:dLbls>
        <c:axId val="2101896944"/>
        <c:axId val="1280951184"/>
      </c:areaChart>
      <c:catAx>
        <c:axId val="210189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80951184"/>
        <c:crosses val="autoZero"/>
        <c:auto val="1"/>
        <c:lblAlgn val="ctr"/>
        <c:lblOffset val="100"/>
        <c:noMultiLvlLbl val="0"/>
      </c:catAx>
      <c:valAx>
        <c:axId val="128095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L"/>
                  <a:t># Clientes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01896944"/>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L"/>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CL"/>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CL"/>
              <a:t>Ingresos proyectados</a:t>
            </a:r>
            <a:r>
              <a:rPr lang="es-CL" baseline="0"/>
              <a:t> (2024-2026) por tipo y CAC asociado</a:t>
            </a:r>
            <a:endParaRPr lang="es-CL"/>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stacked"/>
        <c:varyColors val="0"/>
        <c:ser>
          <c:idx val="0"/>
          <c:order val="0"/>
          <c:tx>
            <c:strRef>
              <c:f>'Para reporte'!$O$3</c:f>
              <c:strCache>
                <c:ptCount val="1"/>
                <c:pt idx="0">
                  <c:v>Ingresos por clientes nuevos</c:v>
                </c:pt>
              </c:strCache>
            </c:strRef>
          </c:tx>
          <c:spPr>
            <a:solidFill>
              <a:schemeClr val="accent1"/>
            </a:solidFill>
            <a:ln>
              <a:noFill/>
            </a:ln>
            <a:effectLst/>
          </c:spPr>
          <c:invertIfNegative val="0"/>
          <c:cat>
            <c:numRef>
              <c:f>'Para reporte'!$P$2:$R$2</c:f>
              <c:numCache>
                <c:formatCode>General</c:formatCode>
                <c:ptCount val="3"/>
                <c:pt idx="0">
                  <c:v>2024</c:v>
                </c:pt>
                <c:pt idx="1">
                  <c:v>2025</c:v>
                </c:pt>
                <c:pt idx="2">
                  <c:v>2026</c:v>
                </c:pt>
              </c:numCache>
            </c:numRef>
          </c:cat>
          <c:val>
            <c:numRef>
              <c:f>'Para reporte'!$P$3:$R$3</c:f>
              <c:numCache>
                <c:formatCode>"$"#,##0_);[Red]\("$"#,##0\)</c:formatCode>
                <c:ptCount val="3"/>
                <c:pt idx="0">
                  <c:v>1562.2222222222224</c:v>
                </c:pt>
                <c:pt idx="1">
                  <c:v>2666.8777777777782</c:v>
                </c:pt>
                <c:pt idx="2">
                  <c:v>3214.0666666666671</c:v>
                </c:pt>
              </c:numCache>
            </c:numRef>
          </c:val>
          <c:extLst>
            <c:ext xmlns:c16="http://schemas.microsoft.com/office/drawing/2014/chart" uri="{C3380CC4-5D6E-409C-BE32-E72D297353CC}">
              <c16:uniqueId val="{00000000-5272-41A0-9B19-127AA95D45A7}"/>
            </c:ext>
          </c:extLst>
        </c:ser>
        <c:ser>
          <c:idx val="1"/>
          <c:order val="1"/>
          <c:tx>
            <c:strRef>
              <c:f>'Para reporte'!$O$4</c:f>
              <c:strCache>
                <c:ptCount val="1"/>
                <c:pt idx="0">
                  <c:v>Ingresos recurrentes</c:v>
                </c:pt>
              </c:strCache>
            </c:strRef>
          </c:tx>
          <c:spPr>
            <a:solidFill>
              <a:schemeClr val="accent2"/>
            </a:solidFill>
            <a:ln>
              <a:noFill/>
            </a:ln>
            <a:effectLst/>
          </c:spPr>
          <c:invertIfNegative val="0"/>
          <c:cat>
            <c:numRef>
              <c:f>'Para reporte'!$P$2:$R$2</c:f>
              <c:numCache>
                <c:formatCode>General</c:formatCode>
                <c:ptCount val="3"/>
                <c:pt idx="0">
                  <c:v>2024</c:v>
                </c:pt>
                <c:pt idx="1">
                  <c:v>2025</c:v>
                </c:pt>
                <c:pt idx="2">
                  <c:v>2026</c:v>
                </c:pt>
              </c:numCache>
            </c:numRef>
          </c:cat>
          <c:val>
            <c:numRef>
              <c:f>'Para reporte'!$P$4:$R$4</c:f>
              <c:numCache>
                <c:formatCode>"$"#,##0_);[Red]\("$"#,##0\)</c:formatCode>
                <c:ptCount val="3"/>
                <c:pt idx="0">
                  <c:v>2.3420914621353859</c:v>
                </c:pt>
                <c:pt idx="1">
                  <c:v>697.94325571638228</c:v>
                </c:pt>
                <c:pt idx="2">
                  <c:v>1946.2780050346123</c:v>
                </c:pt>
              </c:numCache>
            </c:numRef>
          </c:val>
          <c:extLst>
            <c:ext xmlns:c16="http://schemas.microsoft.com/office/drawing/2014/chart" uri="{C3380CC4-5D6E-409C-BE32-E72D297353CC}">
              <c16:uniqueId val="{00000001-5272-41A0-9B19-127AA95D45A7}"/>
            </c:ext>
          </c:extLst>
        </c:ser>
        <c:ser>
          <c:idx val="2"/>
          <c:order val="2"/>
          <c:tx>
            <c:strRef>
              <c:f>'Para reporte'!$O$5</c:f>
              <c:strCache>
                <c:ptCount val="1"/>
                <c:pt idx="0">
                  <c:v>CAC total</c:v>
                </c:pt>
              </c:strCache>
            </c:strRef>
          </c:tx>
          <c:spPr>
            <a:solidFill>
              <a:schemeClr val="accent3"/>
            </a:solidFill>
            <a:ln>
              <a:noFill/>
            </a:ln>
            <a:effectLst/>
          </c:spPr>
          <c:invertIfNegative val="0"/>
          <c:cat>
            <c:numRef>
              <c:f>'Para reporte'!$P$2:$R$2</c:f>
              <c:numCache>
                <c:formatCode>General</c:formatCode>
                <c:ptCount val="3"/>
                <c:pt idx="0">
                  <c:v>2024</c:v>
                </c:pt>
                <c:pt idx="1">
                  <c:v>2025</c:v>
                </c:pt>
                <c:pt idx="2">
                  <c:v>2026</c:v>
                </c:pt>
              </c:numCache>
            </c:numRef>
          </c:cat>
          <c:val>
            <c:numRef>
              <c:f>'Para reporte'!$P$5:$R$5</c:f>
              <c:numCache>
                <c:formatCode>"$"#,##0_);[Red]\("$"#,##0\)</c:formatCode>
                <c:ptCount val="3"/>
                <c:pt idx="0">
                  <c:v>-385.07703789944759</c:v>
                </c:pt>
                <c:pt idx="1">
                  <c:v>-783.32729403538201</c:v>
                </c:pt>
                <c:pt idx="2">
                  <c:v>-1180.1624944409482</c:v>
                </c:pt>
              </c:numCache>
            </c:numRef>
          </c:val>
          <c:extLst>
            <c:ext xmlns:c16="http://schemas.microsoft.com/office/drawing/2014/chart" uri="{C3380CC4-5D6E-409C-BE32-E72D297353CC}">
              <c16:uniqueId val="{00000002-5272-41A0-9B19-127AA95D45A7}"/>
            </c:ext>
          </c:extLst>
        </c:ser>
        <c:dLbls>
          <c:showLegendKey val="0"/>
          <c:showVal val="0"/>
          <c:showCatName val="0"/>
          <c:showSerName val="0"/>
          <c:showPercent val="0"/>
          <c:showBubbleSize val="0"/>
        </c:dLbls>
        <c:gapWidth val="79"/>
        <c:overlap val="100"/>
        <c:axId val="1543475856"/>
        <c:axId val="1301499088"/>
      </c:barChart>
      <c:catAx>
        <c:axId val="154347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L"/>
          </a:p>
        </c:txPr>
        <c:crossAx val="1301499088"/>
        <c:crosses val="autoZero"/>
        <c:auto val="1"/>
        <c:lblAlgn val="ctr"/>
        <c:lblOffset val="100"/>
        <c:noMultiLvlLbl val="0"/>
      </c:catAx>
      <c:valAx>
        <c:axId val="1301499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a:solidFill>
                <a:schemeClr val="tx1">
                  <a:lumMod val="5000"/>
                  <a:lumOff val="95000"/>
                </a:schemeClr>
              </a:solidFill>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CL"/>
                  <a:t>MUS$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L"/>
            </a:p>
          </c:txPr>
        </c:title>
        <c:numFmt formatCode="&quot;$&quot;#,##0_);[Red]\(&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4347585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L"/>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lt1"/>
    </a:solidFill>
    <a:ln w="9525" cap="flat" cmpd="sng" algn="ctr">
      <a:noFill/>
      <a:round/>
    </a:ln>
    <a:effectLst/>
  </c:spPr>
  <c:txPr>
    <a:bodyPr/>
    <a:lstStyle/>
    <a:p>
      <a:pPr>
        <a:defRPr/>
      </a:pPr>
      <a:endParaRPr lang="es-CL"/>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9AE3A30-055E-467A-AA7A-8A4312834D24}">
  <sheetPr/>
  <sheetViews>
    <sheetView zoomScale="6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560DC39-CE9F-4160-A718-32F57170ACC9}">
  <sheetPr/>
  <sheetViews>
    <sheetView zoomScale="6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12700</xdr:colOff>
      <xdr:row>7</xdr:row>
      <xdr:rowOff>47625</xdr:rowOff>
    </xdr:from>
    <xdr:to>
      <xdr:col>24</xdr:col>
      <xdr:colOff>6350</xdr:colOff>
      <xdr:row>17</xdr:row>
      <xdr:rowOff>0</xdr:rowOff>
    </xdr:to>
    <xdr:graphicFrame macro="">
      <xdr:nvGraphicFramePr>
        <xdr:cNvPr id="2" name="Gráfico 1">
          <a:extLst>
            <a:ext uri="{FF2B5EF4-FFF2-40B4-BE49-F238E27FC236}">
              <a16:creationId xmlns:a16="http://schemas.microsoft.com/office/drawing/2014/main" id="{C6928A50-2A62-52B8-F8A7-C87E1EABA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17</xdr:row>
      <xdr:rowOff>50801</xdr:rowOff>
    </xdr:from>
    <xdr:to>
      <xdr:col>23</xdr:col>
      <xdr:colOff>641350</xdr:colOff>
      <xdr:row>25</xdr:row>
      <xdr:rowOff>171450</xdr:rowOff>
    </xdr:to>
    <xdr:graphicFrame macro="">
      <xdr:nvGraphicFramePr>
        <xdr:cNvPr id="3" name="Gráfico 2">
          <a:extLst>
            <a:ext uri="{FF2B5EF4-FFF2-40B4-BE49-F238E27FC236}">
              <a16:creationId xmlns:a16="http://schemas.microsoft.com/office/drawing/2014/main" id="{89469081-5B09-4C60-8AB6-C979964D4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142875</xdr:colOff>
      <xdr:row>1</xdr:row>
      <xdr:rowOff>9525</xdr:rowOff>
    </xdr:from>
    <xdr:to>
      <xdr:col>7</xdr:col>
      <xdr:colOff>1117600</xdr:colOff>
      <xdr:row>12</xdr:row>
      <xdr:rowOff>6350</xdr:rowOff>
    </xdr:to>
    <xdr:graphicFrame macro="">
      <xdr:nvGraphicFramePr>
        <xdr:cNvPr id="4" name="Gráfico 3">
          <a:extLst>
            <a:ext uri="{FF2B5EF4-FFF2-40B4-BE49-F238E27FC236}">
              <a16:creationId xmlns:a16="http://schemas.microsoft.com/office/drawing/2014/main" id="{A4943E8C-DEFE-AAB9-EC78-FDCAB9EE7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758826</xdr:colOff>
      <xdr:row>7</xdr:row>
      <xdr:rowOff>28574</xdr:rowOff>
    </xdr:from>
    <xdr:to>
      <xdr:col>9</xdr:col>
      <xdr:colOff>6350</xdr:colOff>
      <xdr:row>8</xdr:row>
      <xdr:rowOff>25399</xdr:rowOff>
    </xdr:to>
    <xdr:sp macro="" textlink="">
      <xdr:nvSpPr>
        <xdr:cNvPr id="2" name="Abrir llave 1">
          <a:extLst>
            <a:ext uri="{FF2B5EF4-FFF2-40B4-BE49-F238E27FC236}">
              <a16:creationId xmlns:a16="http://schemas.microsoft.com/office/drawing/2014/main" id="{3CF2290D-B0D7-EC25-94F4-F22D7A63EDF1}"/>
            </a:ext>
          </a:extLst>
        </xdr:cNvPr>
        <xdr:cNvSpPr/>
      </xdr:nvSpPr>
      <xdr:spPr>
        <a:xfrm rot="16200000">
          <a:off x="4146550" y="-914400"/>
          <a:ext cx="180975" cy="5432424"/>
        </a:xfrm>
        <a:prstGeom prst="leftBrace">
          <a:avLst>
            <a:gd name="adj1" fmla="val 88429"/>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CL" sz="1100"/>
        </a:p>
      </xdr:txBody>
    </xdr:sp>
    <xdr:clientData/>
  </xdr:twoCellAnchor>
  <xdr:twoCellAnchor>
    <xdr:from>
      <xdr:col>1</xdr:col>
      <xdr:colOff>758827</xdr:colOff>
      <xdr:row>7</xdr:row>
      <xdr:rowOff>161924</xdr:rowOff>
    </xdr:from>
    <xdr:to>
      <xdr:col>4</xdr:col>
      <xdr:colOff>736603</xdr:colOff>
      <xdr:row>8</xdr:row>
      <xdr:rowOff>146047</xdr:rowOff>
    </xdr:to>
    <xdr:sp macro="" textlink="">
      <xdr:nvSpPr>
        <xdr:cNvPr id="3" name="Abrir llave 2">
          <a:extLst>
            <a:ext uri="{FF2B5EF4-FFF2-40B4-BE49-F238E27FC236}">
              <a16:creationId xmlns:a16="http://schemas.microsoft.com/office/drawing/2014/main" id="{00B8CC9C-F749-4D5B-B255-C6FB0F5889A4}"/>
            </a:ext>
          </a:extLst>
        </xdr:cNvPr>
        <xdr:cNvSpPr/>
      </xdr:nvSpPr>
      <xdr:spPr>
        <a:xfrm rot="16200000">
          <a:off x="2568578" y="415923"/>
          <a:ext cx="168273" cy="2263776"/>
        </a:xfrm>
        <a:prstGeom prst="leftBrace">
          <a:avLst>
            <a:gd name="adj1" fmla="val 53869"/>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CL" sz="1100"/>
        </a:p>
      </xdr:txBody>
    </xdr:sp>
    <xdr:clientData/>
  </xdr:twoCellAnchor>
  <xdr:twoCellAnchor>
    <xdr:from>
      <xdr:col>2</xdr:col>
      <xdr:colOff>9528</xdr:colOff>
      <xdr:row>4</xdr:row>
      <xdr:rowOff>25400</xdr:rowOff>
    </xdr:from>
    <xdr:to>
      <xdr:col>4</xdr:col>
      <xdr:colOff>749304</xdr:colOff>
      <xdr:row>4</xdr:row>
      <xdr:rowOff>146047</xdr:rowOff>
    </xdr:to>
    <xdr:sp macro="" textlink="">
      <xdr:nvSpPr>
        <xdr:cNvPr id="4" name="Abrir llave 3">
          <a:extLst>
            <a:ext uri="{FF2B5EF4-FFF2-40B4-BE49-F238E27FC236}">
              <a16:creationId xmlns:a16="http://schemas.microsoft.com/office/drawing/2014/main" id="{3A0BDE96-5902-4487-8A99-D0FD012B9529}"/>
            </a:ext>
          </a:extLst>
        </xdr:cNvPr>
        <xdr:cNvSpPr/>
      </xdr:nvSpPr>
      <xdr:spPr>
        <a:xfrm rot="5400000">
          <a:off x="2605092" y="-481014"/>
          <a:ext cx="120647" cy="2263776"/>
        </a:xfrm>
        <a:prstGeom prst="leftBrace">
          <a:avLst>
            <a:gd name="adj1" fmla="val 53869"/>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CL" sz="1100"/>
        </a:p>
      </xdr:txBody>
    </xdr:sp>
    <xdr:clientData/>
  </xdr:twoCellAnchor>
  <xdr:twoCellAnchor>
    <xdr:from>
      <xdr:col>4</xdr:col>
      <xdr:colOff>57150</xdr:colOff>
      <xdr:row>12</xdr:row>
      <xdr:rowOff>292100</xdr:rowOff>
    </xdr:from>
    <xdr:to>
      <xdr:col>8</xdr:col>
      <xdr:colOff>234950</xdr:colOff>
      <xdr:row>12</xdr:row>
      <xdr:rowOff>298450</xdr:rowOff>
    </xdr:to>
    <xdr:cxnSp macro="">
      <xdr:nvCxnSpPr>
        <xdr:cNvPr id="6" name="Conector recto de flecha 5">
          <a:extLst>
            <a:ext uri="{FF2B5EF4-FFF2-40B4-BE49-F238E27FC236}">
              <a16:creationId xmlns:a16="http://schemas.microsoft.com/office/drawing/2014/main" id="{C7E73D90-EAB6-E66A-2B36-912CC3FDBDD7}"/>
            </a:ext>
          </a:extLst>
        </xdr:cNvPr>
        <xdr:cNvCxnSpPr/>
      </xdr:nvCxnSpPr>
      <xdr:spPr>
        <a:xfrm flipV="1">
          <a:off x="3105150" y="3282950"/>
          <a:ext cx="3225800" cy="6350"/>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xdr:colOff>
      <xdr:row>14</xdr:row>
      <xdr:rowOff>38102</xdr:rowOff>
    </xdr:from>
    <xdr:to>
      <xdr:col>3</xdr:col>
      <xdr:colOff>828677</xdr:colOff>
      <xdr:row>14</xdr:row>
      <xdr:rowOff>142873</xdr:rowOff>
    </xdr:to>
    <xdr:sp macro="" textlink="">
      <xdr:nvSpPr>
        <xdr:cNvPr id="7" name="Abrir llave 6">
          <a:extLst>
            <a:ext uri="{FF2B5EF4-FFF2-40B4-BE49-F238E27FC236}">
              <a16:creationId xmlns:a16="http://schemas.microsoft.com/office/drawing/2014/main" id="{96AB2ADC-2740-42D6-B0EE-99799DDB3592}"/>
            </a:ext>
          </a:extLst>
        </xdr:cNvPr>
        <xdr:cNvSpPr/>
      </xdr:nvSpPr>
      <xdr:spPr>
        <a:xfrm rot="16200000">
          <a:off x="1885953" y="2476500"/>
          <a:ext cx="104771" cy="2352676"/>
        </a:xfrm>
        <a:prstGeom prst="leftBrace">
          <a:avLst>
            <a:gd name="adj1" fmla="val 53869"/>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CL" sz="1100"/>
        </a:p>
      </xdr:txBody>
    </xdr:sp>
    <xdr:clientData/>
  </xdr:twoCellAnchor>
  <xdr:twoCellAnchor>
    <xdr:from>
      <xdr:col>13</xdr:col>
      <xdr:colOff>423333</xdr:colOff>
      <xdr:row>20</xdr:row>
      <xdr:rowOff>14111</xdr:rowOff>
    </xdr:from>
    <xdr:to>
      <xdr:col>13</xdr:col>
      <xdr:colOff>423333</xdr:colOff>
      <xdr:row>20</xdr:row>
      <xdr:rowOff>155222</xdr:rowOff>
    </xdr:to>
    <xdr:cxnSp macro="">
      <xdr:nvCxnSpPr>
        <xdr:cNvPr id="8" name="Conector recto de flecha 7">
          <a:extLst>
            <a:ext uri="{FF2B5EF4-FFF2-40B4-BE49-F238E27FC236}">
              <a16:creationId xmlns:a16="http://schemas.microsoft.com/office/drawing/2014/main" id="{89EED82A-69C9-3B28-0610-B73F056259A1}"/>
            </a:ext>
          </a:extLst>
        </xdr:cNvPr>
        <xdr:cNvCxnSpPr/>
      </xdr:nvCxnSpPr>
      <xdr:spPr>
        <a:xfrm>
          <a:off x="10668000" y="5065889"/>
          <a:ext cx="0" cy="141111"/>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50646</xdr:colOff>
      <xdr:row>24</xdr:row>
      <xdr:rowOff>399009</xdr:rowOff>
    </xdr:from>
    <xdr:to>
      <xdr:col>16</xdr:col>
      <xdr:colOff>217772</xdr:colOff>
      <xdr:row>24</xdr:row>
      <xdr:rowOff>401258</xdr:rowOff>
    </xdr:to>
    <xdr:cxnSp macro="">
      <xdr:nvCxnSpPr>
        <xdr:cNvPr id="10" name="Conector recto de flecha 9">
          <a:extLst>
            <a:ext uri="{FF2B5EF4-FFF2-40B4-BE49-F238E27FC236}">
              <a16:creationId xmlns:a16="http://schemas.microsoft.com/office/drawing/2014/main" id="{14E71C2A-BE4C-4907-1952-770BC504FDE8}"/>
            </a:ext>
          </a:extLst>
        </xdr:cNvPr>
        <xdr:cNvCxnSpPr/>
      </xdr:nvCxnSpPr>
      <xdr:spPr>
        <a:xfrm flipV="1">
          <a:off x="8464396" y="6261420"/>
          <a:ext cx="4986322" cy="2249"/>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91722</xdr:colOff>
      <xdr:row>17</xdr:row>
      <xdr:rowOff>56446</xdr:rowOff>
    </xdr:from>
    <xdr:to>
      <xdr:col>15</xdr:col>
      <xdr:colOff>458618</xdr:colOff>
      <xdr:row>18</xdr:row>
      <xdr:rowOff>380999</xdr:rowOff>
    </xdr:to>
    <xdr:cxnSp macro="">
      <xdr:nvCxnSpPr>
        <xdr:cNvPr id="13" name="Conector: angular 12">
          <a:extLst>
            <a:ext uri="{FF2B5EF4-FFF2-40B4-BE49-F238E27FC236}">
              <a16:creationId xmlns:a16="http://schemas.microsoft.com/office/drawing/2014/main" id="{A90CEAFE-D83C-8F46-C6F5-1A939145376E}"/>
            </a:ext>
          </a:extLst>
        </xdr:cNvPr>
        <xdr:cNvCxnSpPr>
          <a:cxnSpLocks/>
        </xdr:cNvCxnSpPr>
      </xdr:nvCxnSpPr>
      <xdr:spPr>
        <a:xfrm rot="10800000" flipV="1">
          <a:off x="11168944" y="4176890"/>
          <a:ext cx="1128896" cy="515053"/>
        </a:xfrm>
        <a:prstGeom prst="bentConnector3">
          <a:avLst>
            <a:gd name="adj1" fmla="val 0"/>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564444</xdr:colOff>
      <xdr:row>14</xdr:row>
      <xdr:rowOff>127000</xdr:rowOff>
    </xdr:from>
    <xdr:to>
      <xdr:col>7</xdr:col>
      <xdr:colOff>148167</xdr:colOff>
      <xdr:row>17</xdr:row>
      <xdr:rowOff>119945</xdr:rowOff>
    </xdr:to>
    <xdr:sp macro="" textlink="">
      <xdr:nvSpPr>
        <xdr:cNvPr id="14" name="Rectángulo 13">
          <a:extLst>
            <a:ext uri="{FF2B5EF4-FFF2-40B4-BE49-F238E27FC236}">
              <a16:creationId xmlns:a16="http://schemas.microsoft.com/office/drawing/2014/main" id="{02C5E49D-FA36-CD68-D7F4-492DB87D04F4}"/>
            </a:ext>
          </a:extLst>
        </xdr:cNvPr>
        <xdr:cNvSpPr/>
      </xdr:nvSpPr>
      <xdr:spPr>
        <a:xfrm>
          <a:off x="1326444" y="3499556"/>
          <a:ext cx="4247445" cy="740833"/>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12</xdr:col>
      <xdr:colOff>642055</xdr:colOff>
      <xdr:row>4</xdr:row>
      <xdr:rowOff>134056</xdr:rowOff>
    </xdr:from>
    <xdr:to>
      <xdr:col>18</xdr:col>
      <xdr:colOff>218722</xdr:colOff>
      <xdr:row>11</xdr:row>
      <xdr:rowOff>63500</xdr:rowOff>
    </xdr:to>
    <xdr:sp macro="" textlink="">
      <xdr:nvSpPr>
        <xdr:cNvPr id="16" name="Rectángulo 15">
          <a:extLst>
            <a:ext uri="{FF2B5EF4-FFF2-40B4-BE49-F238E27FC236}">
              <a16:creationId xmlns:a16="http://schemas.microsoft.com/office/drawing/2014/main" id="{002D1B9E-D00B-527D-624E-6E0D7A7DCAAB}"/>
            </a:ext>
          </a:extLst>
        </xdr:cNvPr>
        <xdr:cNvSpPr/>
      </xdr:nvSpPr>
      <xdr:spPr>
        <a:xfrm>
          <a:off x="10124722" y="698500"/>
          <a:ext cx="4416778" cy="1989667"/>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editAs="oneCell">
    <xdr:from>
      <xdr:col>1</xdr:col>
      <xdr:colOff>31260</xdr:colOff>
      <xdr:row>24</xdr:row>
      <xdr:rowOff>9143</xdr:rowOff>
    </xdr:from>
    <xdr:to>
      <xdr:col>3</xdr:col>
      <xdr:colOff>543878</xdr:colOff>
      <xdr:row>29</xdr:row>
      <xdr:rowOff>102793</xdr:rowOff>
    </xdr:to>
    <xdr:pic>
      <xdr:nvPicPr>
        <xdr:cNvPr id="20" name="Imagen 19">
          <a:extLst>
            <a:ext uri="{FF2B5EF4-FFF2-40B4-BE49-F238E27FC236}">
              <a16:creationId xmlns:a16="http://schemas.microsoft.com/office/drawing/2014/main" id="{A1DAA6FA-52FD-7EA2-67A7-3D4A376BE337}"/>
            </a:ext>
          </a:extLst>
        </xdr:cNvPr>
        <xdr:cNvPicPr>
          <a:picLocks noChangeAspect="1"/>
        </xdr:cNvPicPr>
      </xdr:nvPicPr>
      <xdr:blipFill>
        <a:blip xmlns:r="http://schemas.openxmlformats.org/officeDocument/2006/relationships" r:embed="rId1"/>
        <a:stretch>
          <a:fillRect/>
        </a:stretch>
      </xdr:blipFill>
      <xdr:spPr>
        <a:xfrm>
          <a:off x="790992" y="5871554"/>
          <a:ext cx="2077440" cy="1409007"/>
        </a:xfrm>
        <a:prstGeom prst="rect">
          <a:avLst/>
        </a:prstGeom>
      </xdr:spPr>
    </xdr:pic>
    <xdr:clientData/>
  </xdr:twoCellAnchor>
  <xdr:twoCellAnchor>
    <xdr:from>
      <xdr:col>16</xdr:col>
      <xdr:colOff>69984</xdr:colOff>
      <xdr:row>31</xdr:row>
      <xdr:rowOff>462617</xdr:rowOff>
    </xdr:from>
    <xdr:to>
      <xdr:col>16</xdr:col>
      <xdr:colOff>676762</xdr:colOff>
      <xdr:row>31</xdr:row>
      <xdr:rowOff>462617</xdr:rowOff>
    </xdr:to>
    <xdr:cxnSp macro="">
      <xdr:nvCxnSpPr>
        <xdr:cNvPr id="21" name="Conector recto de flecha 20">
          <a:extLst>
            <a:ext uri="{FF2B5EF4-FFF2-40B4-BE49-F238E27FC236}">
              <a16:creationId xmlns:a16="http://schemas.microsoft.com/office/drawing/2014/main" id="{BEDBDF4E-65DC-4A1E-9E62-56C25845E693}"/>
            </a:ext>
          </a:extLst>
        </xdr:cNvPr>
        <xdr:cNvCxnSpPr/>
      </xdr:nvCxnSpPr>
      <xdr:spPr>
        <a:xfrm>
          <a:off x="13319173" y="7765117"/>
          <a:ext cx="606778" cy="0"/>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85808</xdr:colOff>
      <xdr:row>31</xdr:row>
      <xdr:rowOff>471960</xdr:rowOff>
    </xdr:from>
    <xdr:to>
      <xdr:col>18</xdr:col>
      <xdr:colOff>692586</xdr:colOff>
      <xdr:row>31</xdr:row>
      <xdr:rowOff>471960</xdr:rowOff>
    </xdr:to>
    <xdr:cxnSp macro="">
      <xdr:nvCxnSpPr>
        <xdr:cNvPr id="22" name="Conector recto de flecha 21">
          <a:extLst>
            <a:ext uri="{FF2B5EF4-FFF2-40B4-BE49-F238E27FC236}">
              <a16:creationId xmlns:a16="http://schemas.microsoft.com/office/drawing/2014/main" id="{AB80EC43-7461-4BAE-BFCD-577212FAD77B}"/>
            </a:ext>
          </a:extLst>
        </xdr:cNvPr>
        <xdr:cNvCxnSpPr/>
      </xdr:nvCxnSpPr>
      <xdr:spPr>
        <a:xfrm>
          <a:off x="14922497" y="7774460"/>
          <a:ext cx="606778" cy="0"/>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612323</xdr:colOff>
      <xdr:row>23</xdr:row>
      <xdr:rowOff>111554</xdr:rowOff>
    </xdr:from>
    <xdr:to>
      <xdr:col>20</xdr:col>
      <xdr:colOff>97458</xdr:colOff>
      <xdr:row>26</xdr:row>
      <xdr:rowOff>68649</xdr:rowOff>
    </xdr:to>
    <xdr:sp macro="" textlink="">
      <xdr:nvSpPr>
        <xdr:cNvPr id="23" name="Corchetes 22">
          <a:extLst>
            <a:ext uri="{FF2B5EF4-FFF2-40B4-BE49-F238E27FC236}">
              <a16:creationId xmlns:a16="http://schemas.microsoft.com/office/drawing/2014/main" id="{B67CC3E4-FAFF-8FDE-31E7-A2DEAFFC7216}"/>
            </a:ext>
          </a:extLst>
        </xdr:cNvPr>
        <xdr:cNvSpPr/>
      </xdr:nvSpPr>
      <xdr:spPr>
        <a:xfrm>
          <a:off x="15670894" y="5781197"/>
          <a:ext cx="1004600" cy="898256"/>
        </a:xfrm>
        <a:prstGeom prst="bracketPair">
          <a:avLst>
            <a:gd name="adj" fmla="val 9871"/>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CL" sz="1100"/>
        </a:p>
      </xdr:txBody>
    </xdr:sp>
    <xdr:clientData/>
  </xdr:twoCellAnchor>
  <xdr:twoCellAnchor>
    <xdr:from>
      <xdr:col>10</xdr:col>
      <xdr:colOff>25743</xdr:colOff>
      <xdr:row>21</xdr:row>
      <xdr:rowOff>398626</xdr:rowOff>
    </xdr:from>
    <xdr:to>
      <xdr:col>16</xdr:col>
      <xdr:colOff>223108</xdr:colOff>
      <xdr:row>24</xdr:row>
      <xdr:rowOff>398626</xdr:rowOff>
    </xdr:to>
    <xdr:cxnSp macro="">
      <xdr:nvCxnSpPr>
        <xdr:cNvPr id="17" name="Conector: angular 16">
          <a:extLst>
            <a:ext uri="{FF2B5EF4-FFF2-40B4-BE49-F238E27FC236}">
              <a16:creationId xmlns:a16="http://schemas.microsoft.com/office/drawing/2014/main" id="{BDC764C0-F5A3-EA8C-2071-556469935313}"/>
            </a:ext>
          </a:extLst>
        </xdr:cNvPr>
        <xdr:cNvCxnSpPr/>
      </xdr:nvCxnSpPr>
      <xdr:spPr>
        <a:xfrm>
          <a:off x="8436571" y="5322798"/>
          <a:ext cx="5031936" cy="934969"/>
        </a:xfrm>
        <a:prstGeom prst="bentConnector3">
          <a:avLst>
            <a:gd name="adj1" fmla="val 4437"/>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566962</xdr:colOff>
      <xdr:row>30</xdr:row>
      <xdr:rowOff>68035</xdr:rowOff>
    </xdr:from>
    <xdr:to>
      <xdr:col>20</xdr:col>
      <xdr:colOff>45355</xdr:colOff>
      <xdr:row>30</xdr:row>
      <xdr:rowOff>90713</xdr:rowOff>
    </xdr:to>
    <xdr:cxnSp macro="">
      <xdr:nvCxnSpPr>
        <xdr:cNvPr id="30" name="Conector recto 29">
          <a:extLst>
            <a:ext uri="{FF2B5EF4-FFF2-40B4-BE49-F238E27FC236}">
              <a16:creationId xmlns:a16="http://schemas.microsoft.com/office/drawing/2014/main" id="{91C4FDBF-8A44-CCF2-8B1B-2717747996C6}"/>
            </a:ext>
          </a:extLst>
        </xdr:cNvPr>
        <xdr:cNvCxnSpPr/>
      </xdr:nvCxnSpPr>
      <xdr:spPr>
        <a:xfrm flipV="1">
          <a:off x="4603748" y="7427231"/>
          <a:ext cx="12019643" cy="22678"/>
        </a:xfrm>
        <a:prstGeom prst="line">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680357</xdr:colOff>
      <xdr:row>18</xdr:row>
      <xdr:rowOff>45359</xdr:rowOff>
    </xdr:from>
    <xdr:to>
      <xdr:col>8</xdr:col>
      <xdr:colOff>249464</xdr:colOff>
      <xdr:row>23</xdr:row>
      <xdr:rowOff>56698</xdr:rowOff>
    </xdr:to>
    <xdr:sp macro="" textlink="">
      <xdr:nvSpPr>
        <xdr:cNvPr id="34" name="CuadroTexto 33">
          <a:extLst>
            <a:ext uri="{FF2B5EF4-FFF2-40B4-BE49-F238E27FC236}">
              <a16:creationId xmlns:a16="http://schemas.microsoft.com/office/drawing/2014/main" id="{DA5EBA9C-3B27-890A-C353-D3FB14BB15D8}"/>
            </a:ext>
          </a:extLst>
        </xdr:cNvPr>
        <xdr:cNvSpPr txBox="1"/>
      </xdr:nvSpPr>
      <xdr:spPr>
        <a:xfrm>
          <a:off x="680357" y="4025448"/>
          <a:ext cx="5987143" cy="1700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
          </a:pPr>
          <a:r>
            <a:rPr lang="es-CL" sz="1100"/>
            <a:t>El objetivo de AiJourney es captar 1.589 clientes en tres años.</a:t>
          </a:r>
        </a:p>
        <a:p>
          <a:pPr marL="171450" indent="-171450">
            <a:buFont typeface="Wingdings" panose="05000000000000000000" pitchFamily="2" charset="2"/>
            <a:buChar char="§"/>
          </a:pPr>
          <a:r>
            <a:rPr lang="es-CL" sz="1100"/>
            <a:t>El ticket promedio por cliente es de MUS$4,68</a:t>
          </a:r>
        </a:p>
        <a:p>
          <a:pPr marL="171450" indent="-171450">
            <a:buFont typeface="Wingdings" panose="05000000000000000000" pitchFamily="2" charset="2"/>
            <a:buChar char="§"/>
          </a:pPr>
          <a:r>
            <a:rPr lang="es-CL" sz="1100"/>
            <a:t>El</a:t>
          </a:r>
          <a:r>
            <a:rPr lang="es-CL" sz="1100" baseline="0"/>
            <a:t> costo de adquirir un clientes (CAC) es de MUS$1,5</a:t>
          </a:r>
        </a:p>
        <a:p>
          <a:pPr marL="171450" indent="-171450">
            <a:buFont typeface="Wingdings" panose="05000000000000000000" pitchFamily="2" charset="2"/>
            <a:buChar char="§"/>
          </a:pPr>
          <a:r>
            <a:rPr lang="es-CL" sz="1100" baseline="0"/>
            <a:t>Los ingresos, después de CAC de cada cliente es de MUS$3,21</a:t>
          </a:r>
        </a:p>
        <a:p>
          <a:pPr marL="171450" indent="-171450">
            <a:buFont typeface="Wingdings" panose="05000000000000000000" pitchFamily="2" charset="2"/>
            <a:buChar char="§"/>
          </a:pPr>
          <a:r>
            <a:rPr lang="es-CL" sz="1100" baseline="0"/>
            <a:t>Se estimó que solo un 50% de los clientes vuelve a comprar después de 12 meses, generando una recurrencia de 1,36 veces de compra por cliente captado.</a:t>
          </a:r>
        </a:p>
        <a:p>
          <a:pPr marL="171450" indent="-171450">
            <a:buFont typeface="Wingdings" panose="05000000000000000000" pitchFamily="2" charset="2"/>
            <a:buChar char="§"/>
          </a:pPr>
          <a:r>
            <a:rPr lang="es-CL" sz="1100" baseline="0"/>
            <a:t>El </a:t>
          </a:r>
          <a:r>
            <a:rPr lang="es-CL" sz="1100" i="1" baseline="0"/>
            <a:t>long term value</a:t>
          </a:r>
          <a:r>
            <a:rPr lang="es-CL" sz="1100" i="0" baseline="0"/>
            <a:t> por cliente es de MUS$4,35</a:t>
          </a:r>
        </a:p>
        <a:p>
          <a:pPr marL="171450" indent="-171450">
            <a:buFont typeface="Wingdings" panose="05000000000000000000" pitchFamily="2" charset="2"/>
            <a:buChar char="§"/>
          </a:pPr>
          <a:r>
            <a:rPr lang="es-CL" sz="1100" i="0" baseline="0"/>
            <a:t>La rentabilidad final por cliente, después de costos operacionales, de adqusición y gastos de administarción y ventas es de un 47% de los ingresos por cliente</a:t>
          </a:r>
          <a:endParaRPr lang="es-CL" sz="1100" baseline="0"/>
        </a:p>
        <a:p>
          <a:pPr marL="171450" indent="-171450">
            <a:buFont typeface="Wingdings" panose="05000000000000000000" pitchFamily="2" charset="2"/>
            <a:buChar char="§"/>
          </a:pPr>
          <a:endParaRPr lang="es-CL" sz="1100"/>
        </a:p>
      </xdr:txBody>
    </xdr:sp>
    <xdr:clientData/>
  </xdr:twoCellAnchor>
  <xdr:twoCellAnchor>
    <xdr:from>
      <xdr:col>1</xdr:col>
      <xdr:colOff>328838</xdr:colOff>
      <xdr:row>30</xdr:row>
      <xdr:rowOff>181426</xdr:rowOff>
    </xdr:from>
    <xdr:to>
      <xdr:col>10</xdr:col>
      <xdr:colOff>737053</xdr:colOff>
      <xdr:row>35</xdr:row>
      <xdr:rowOff>90714</xdr:rowOff>
    </xdr:to>
    <xdr:sp macro="" textlink="">
      <xdr:nvSpPr>
        <xdr:cNvPr id="35" name="CuadroTexto 34">
          <a:extLst>
            <a:ext uri="{FF2B5EF4-FFF2-40B4-BE49-F238E27FC236}">
              <a16:creationId xmlns:a16="http://schemas.microsoft.com/office/drawing/2014/main" id="{C99CD5B3-FFBB-41CC-AC5D-8767D0E69A84}"/>
            </a:ext>
          </a:extLst>
        </xdr:cNvPr>
        <xdr:cNvSpPr txBox="1"/>
      </xdr:nvSpPr>
      <xdr:spPr>
        <a:xfrm>
          <a:off x="1088570" y="7722051"/>
          <a:ext cx="8198304" cy="12133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
          </a:pPr>
          <a:r>
            <a:rPr lang="es-CL" sz="1100"/>
            <a:t>La internacionalización es a través de </a:t>
          </a:r>
          <a:r>
            <a:rPr lang="es-CL" sz="1100" i="1"/>
            <a:t>joint</a:t>
          </a:r>
          <a:r>
            <a:rPr lang="es-CL" sz="1100" i="1" baseline="0"/>
            <a:t> ventures</a:t>
          </a:r>
          <a:r>
            <a:rPr lang="es-CL" sz="1100" i="0" baseline="0"/>
            <a:t> con partners quienes cobran una comisión fija de los ingresos que logran (</a:t>
          </a:r>
          <a:r>
            <a:rPr lang="es-CL" sz="1100" i="1" baseline="0"/>
            <a:t>comisión</a:t>
          </a:r>
          <a:r>
            <a:rPr lang="es-CL" sz="1100" i="0" baseline="0"/>
            <a:t>)</a:t>
          </a:r>
        </a:p>
        <a:p>
          <a:pPr marL="171450" indent="-171450">
            <a:buFont typeface="Wingdings" panose="05000000000000000000" pitchFamily="2" charset="2"/>
            <a:buChar char="§"/>
          </a:pPr>
          <a:r>
            <a:rPr lang="es-CL" sz="1100" i="0" baseline="0"/>
            <a:t>Cada país es evaluado en "veces ingresos de Chile"</a:t>
          </a:r>
        </a:p>
        <a:p>
          <a:pPr marL="171450" indent="-171450">
            <a:buFont typeface="Wingdings" panose="05000000000000000000" pitchFamily="2" charset="2"/>
            <a:buChar char="§"/>
          </a:pPr>
          <a:r>
            <a:rPr lang="es-CL" sz="1100" i="0" baseline="0"/>
            <a:t>Cada país tiene días pago después de captado los clientes (días de pago ingresos)</a:t>
          </a:r>
        </a:p>
        <a:p>
          <a:pPr marL="171450" indent="-171450">
            <a:buFont typeface="Wingdings" panose="05000000000000000000" pitchFamily="2" charset="2"/>
            <a:buChar char="§"/>
          </a:pPr>
          <a:r>
            <a:rPr lang="es-CL" sz="1100" i="0" baseline="0"/>
            <a:t>Los ingresos menos el CAC o comisión, menos los gastos operacionales, descontados por la tasa de descuento entrega el VAN por país</a:t>
          </a:r>
        </a:p>
        <a:p>
          <a:pPr marL="171450" indent="-171450">
            <a:buFont typeface="Wingdings" panose="05000000000000000000" pitchFamily="2" charset="2"/>
            <a:buChar char="§"/>
          </a:pPr>
          <a:r>
            <a:rPr lang="es-CL" sz="1100" i="0" baseline="0"/>
            <a:t>Si bien la contribución del valor internacional es mayor al nacional en él no se generan economías de escala, innovación o eficiencias operacionales que aseguren la sustentabilidad de la empresa en el largo plazo y que si se logran en Chile.</a:t>
          </a:r>
          <a:endParaRPr lang="es-CL" sz="1100" baseline="0"/>
        </a:p>
      </xdr:txBody>
    </xdr:sp>
    <xdr:clientData/>
  </xdr:twoCellAnchor>
  <xdr:twoCellAnchor>
    <xdr:from>
      <xdr:col>16</xdr:col>
      <xdr:colOff>374197</xdr:colOff>
      <xdr:row>11</xdr:row>
      <xdr:rowOff>136070</xdr:rowOff>
    </xdr:from>
    <xdr:to>
      <xdr:col>20</xdr:col>
      <xdr:colOff>170088</xdr:colOff>
      <xdr:row>19</xdr:row>
      <xdr:rowOff>170088</xdr:rowOff>
    </xdr:to>
    <xdr:sp macro="" textlink="">
      <xdr:nvSpPr>
        <xdr:cNvPr id="36" name="CuadroTexto 35">
          <a:extLst>
            <a:ext uri="{FF2B5EF4-FFF2-40B4-BE49-F238E27FC236}">
              <a16:creationId xmlns:a16="http://schemas.microsoft.com/office/drawing/2014/main" id="{F1CFA602-18FA-44B1-A759-A245AC19D073}"/>
            </a:ext>
          </a:extLst>
        </xdr:cNvPr>
        <xdr:cNvSpPr txBox="1"/>
      </xdr:nvSpPr>
      <xdr:spPr>
        <a:xfrm>
          <a:off x="13743215" y="2608034"/>
          <a:ext cx="3140980" cy="22791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171450" indent="-171450">
            <a:buFont typeface="Wingdings" panose="05000000000000000000" pitchFamily="2" charset="2"/>
            <a:buChar char="§"/>
          </a:pPr>
          <a:r>
            <a:rPr lang="es-CL" sz="1100"/>
            <a:t>La inversión necesaria</a:t>
          </a:r>
          <a:r>
            <a:rPr lang="es-CL" sz="1100" baseline="0"/>
            <a:t> es de MUS$279 (MUS$183 por desface de caja medido por flujos y MUS$26 adicional por posibles desafaces de caja (</a:t>
          </a:r>
          <a:r>
            <a:rPr lang="es-CL" sz="1100" i="1" baseline="0"/>
            <a:t>bootrsaping</a:t>
          </a:r>
          <a:r>
            <a:rPr lang="es-CL" sz="1100" i="0" baseline="0"/>
            <a:t>), más MUS$70 para pago de pasivos actuales.</a:t>
          </a:r>
        </a:p>
        <a:p>
          <a:pPr marL="171450" indent="-171450">
            <a:buFont typeface="Wingdings" panose="05000000000000000000" pitchFamily="2" charset="2"/>
            <a:buChar char="§"/>
          </a:pPr>
          <a:r>
            <a:rPr lang="es-CL" sz="1100" i="0" baseline="0"/>
            <a:t>El valor nacional es de MUS$2.183</a:t>
          </a:r>
        </a:p>
        <a:p>
          <a:pPr marL="171450" indent="-171450">
            <a:buFont typeface="Wingdings" panose="05000000000000000000" pitchFamily="2" charset="2"/>
            <a:buChar char="§"/>
          </a:pPr>
          <a:r>
            <a:rPr lang="es-CL" sz="1100" i="0" baseline="0"/>
            <a:t>La inversión corresponde a un 12,8% del valor</a:t>
          </a:r>
        </a:p>
        <a:p>
          <a:pPr marL="171450" indent="-171450">
            <a:buFont typeface="Wingdings" panose="05000000000000000000" pitchFamily="2" charset="2"/>
            <a:buChar char="§"/>
          </a:pPr>
          <a:r>
            <a:rPr lang="es-CL" sz="1100" i="0" baseline="0"/>
            <a:t>El valor se multiplica por 4,2 veces al considerar los flujos internacionales</a:t>
          </a:r>
          <a:endParaRPr lang="es-CL" sz="1100" baseline="0"/>
        </a:p>
        <a:p>
          <a:pPr marL="171450" indent="-171450">
            <a:buFont typeface="Wingdings" panose="05000000000000000000" pitchFamily="2" charset="2"/>
            <a:buChar char="§"/>
          </a:pPr>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8668712" cy="6292273"/>
    <xdr:graphicFrame macro="">
      <xdr:nvGraphicFramePr>
        <xdr:cNvPr id="2" name="Gráfico 1">
          <a:extLst>
            <a:ext uri="{FF2B5EF4-FFF2-40B4-BE49-F238E27FC236}">
              <a16:creationId xmlns:a16="http://schemas.microsoft.com/office/drawing/2014/main" id="{C3A78A17-8AC7-38FD-33BB-C256280437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7167" cy="6286500"/>
    <xdr:graphicFrame macro="">
      <xdr:nvGraphicFramePr>
        <xdr:cNvPr id="2" name="Gráfico 1">
          <a:extLst>
            <a:ext uri="{FF2B5EF4-FFF2-40B4-BE49-F238E27FC236}">
              <a16:creationId xmlns:a16="http://schemas.microsoft.com/office/drawing/2014/main" id="{DEFC416B-1133-8DED-084D-1BFE718B51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Alejandro Maureira B." id="{962D9C2B-C26B-4D82-BF9B-D06CE0B667EC}" userId="1d65985cf633194f" providerId="Windows Live"/>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2" dT="2024-01-24T15:06:30.91" personId="{962D9C2B-C26B-4D82-BF9B-D06CE0B667EC}" id="{CE10A980-EBD6-45D9-B6DA-85EDDD5ED1EB}">
    <text>Corresponde a 3 años de capital de trabajo. Para la evaluación se uso solo el del primer año (ambos deberían estar cubiertos por recursos propios, siendo este valor el máximo en el peor escenario)</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6729-8356-4E6F-A28E-FBD1B77E7779}">
  <sheetPr>
    <tabColor rgb="FF0070C0"/>
  </sheetPr>
  <dimension ref="A1:V80"/>
  <sheetViews>
    <sheetView showGridLines="0" zoomScale="87" zoomScaleNormal="80" workbookViewId="0">
      <pane ySplit="5" topLeftCell="A30" activePane="bottomLeft" state="frozen"/>
      <selection pane="bottomLeft" activeCell="J44" sqref="J44"/>
    </sheetView>
  </sheetViews>
  <sheetFormatPr baseColWidth="10" defaultRowHeight="14.5" x14ac:dyDescent="0.35"/>
  <cols>
    <col min="2" max="2" width="4.81640625" customWidth="1"/>
    <col min="4" max="4" width="10.90625" customWidth="1"/>
    <col min="5" max="5" width="12.453125" bestFit="1" customWidth="1"/>
    <col min="7" max="7" width="8.36328125" customWidth="1"/>
    <col min="8" max="19" width="7.90625" customWidth="1"/>
  </cols>
  <sheetData>
    <row r="1" spans="2:20" x14ac:dyDescent="0.35">
      <c r="B1" s="19"/>
      <c r="C1" s="19"/>
      <c r="D1" s="20">
        <v>2024</v>
      </c>
      <c r="E1" s="20">
        <v>2025</v>
      </c>
      <c r="F1" s="20">
        <v>2026</v>
      </c>
      <c r="G1" s="19"/>
      <c r="H1" s="40" t="s">
        <v>163</v>
      </c>
      <c r="I1" s="40" t="s">
        <v>164</v>
      </c>
      <c r="O1" s="97" t="s">
        <v>26</v>
      </c>
    </row>
    <row r="2" spans="2:20" x14ac:dyDescent="0.35">
      <c r="B2" s="19"/>
      <c r="C2" s="35" t="s">
        <v>65</v>
      </c>
      <c r="D2" s="107">
        <f>Flujos!B8</f>
        <v>130</v>
      </c>
      <c r="E2" s="107">
        <f>Flujos!C8</f>
        <v>387.5</v>
      </c>
      <c r="F2" s="107">
        <f>Flujos!D8</f>
        <v>794.5</v>
      </c>
      <c r="G2" s="19"/>
      <c r="H2" s="106">
        <f>(E2-D2)/D2</f>
        <v>1.9807692307692308</v>
      </c>
      <c r="I2" s="106">
        <f>(F2-E2)/E2</f>
        <v>1.0503225806451613</v>
      </c>
      <c r="L2" s="305" t="s">
        <v>189</v>
      </c>
      <c r="M2" s="305"/>
      <c r="N2" s="305"/>
      <c r="O2" s="34">
        <f>'Para reporte'!G92</f>
        <v>716.63374237110691</v>
      </c>
      <c r="P2" s="109" t="s">
        <v>190</v>
      </c>
    </row>
    <row r="3" spans="2:20" x14ac:dyDescent="0.35">
      <c r="B3" s="19"/>
      <c r="C3" s="108" t="s">
        <v>162</v>
      </c>
      <c r="D3" s="33">
        <f>Flujos!B12</f>
        <v>1564.5643136843578</v>
      </c>
      <c r="E3" s="33">
        <f>Flujos!C12</f>
        <v>3364.8210334941605</v>
      </c>
      <c r="F3" s="33">
        <f>Flujos!D12</f>
        <v>5160.3446717012785</v>
      </c>
      <c r="G3" s="19"/>
      <c r="H3" s="106">
        <f>(E3-D3)/D3</f>
        <v>1.150644114827353</v>
      </c>
      <c r="I3" s="106">
        <f>(F3-E3)/E3</f>
        <v>0.53361638563658664</v>
      </c>
    </row>
    <row r="4" spans="2:20" ht="5" customHeight="1" x14ac:dyDescent="0.35"/>
    <row r="5" spans="2:20" x14ac:dyDescent="0.35">
      <c r="D5" s="129" t="s">
        <v>260</v>
      </c>
      <c r="E5" s="105">
        <f>'MAP VALUE'!R29</f>
        <v>2183.3686176998935</v>
      </c>
      <c r="G5" s="129" t="s">
        <v>259</v>
      </c>
      <c r="H5" s="105">
        <f>NPV(D29,Flujos!B100:D100)</f>
        <v>6982.4394477427522</v>
      </c>
      <c r="J5" s="1">
        <f>E5+H5</f>
        <v>9165.8080654426449</v>
      </c>
    </row>
    <row r="7" spans="2:20" ht="15" thickBot="1" x14ac:dyDescent="0.4">
      <c r="B7" s="134" t="s">
        <v>284</v>
      </c>
      <c r="G7" s="134" t="s">
        <v>282</v>
      </c>
    </row>
    <row r="8" spans="2:20" x14ac:dyDescent="0.35">
      <c r="B8" s="315" t="s">
        <v>70</v>
      </c>
      <c r="C8" s="310" t="s">
        <v>50</v>
      </c>
      <c r="D8" s="311"/>
      <c r="E8" s="40"/>
      <c r="G8" s="317" t="s">
        <v>71</v>
      </c>
      <c r="H8" s="308">
        <v>2024</v>
      </c>
      <c r="I8" s="308"/>
      <c r="J8" s="308"/>
      <c r="K8" s="308"/>
      <c r="L8" s="308"/>
      <c r="M8" s="308"/>
      <c r="N8" s="308"/>
      <c r="O8" s="308"/>
      <c r="P8" s="308"/>
      <c r="Q8" s="308"/>
      <c r="R8" s="308"/>
      <c r="S8" s="309"/>
    </row>
    <row r="9" spans="2:20" ht="15" thickBot="1" x14ac:dyDescent="0.4">
      <c r="B9" s="316"/>
      <c r="C9" s="312"/>
      <c r="D9" s="313"/>
      <c r="E9" s="40"/>
      <c r="G9" s="318"/>
      <c r="H9" s="55" t="s">
        <v>53</v>
      </c>
      <c r="I9" s="55" t="s">
        <v>54</v>
      </c>
      <c r="J9" s="55" t="s">
        <v>55</v>
      </c>
      <c r="K9" s="55" t="s">
        <v>56</v>
      </c>
      <c r="L9" s="55" t="s">
        <v>57</v>
      </c>
      <c r="M9" s="55" t="s">
        <v>58</v>
      </c>
      <c r="N9" s="55" t="s">
        <v>59</v>
      </c>
      <c r="O9" s="55" t="s">
        <v>60</v>
      </c>
      <c r="P9" s="55" t="s">
        <v>61</v>
      </c>
      <c r="Q9" s="55" t="s">
        <v>62</v>
      </c>
      <c r="R9" s="55" t="s">
        <v>63</v>
      </c>
      <c r="S9" s="46" t="s">
        <v>64</v>
      </c>
    </row>
    <row r="10" spans="2:20" x14ac:dyDescent="0.35">
      <c r="B10" s="50" t="s">
        <v>7</v>
      </c>
      <c r="C10" s="132">
        <v>1</v>
      </c>
      <c r="D10" s="47">
        <v>25</v>
      </c>
      <c r="G10" s="279" t="str">
        <f>B10</f>
        <v>A</v>
      </c>
      <c r="H10" s="62">
        <v>1</v>
      </c>
      <c r="I10" s="63">
        <v>0</v>
      </c>
      <c r="J10" s="63">
        <v>1</v>
      </c>
      <c r="K10" s="63">
        <v>3</v>
      </c>
      <c r="L10" s="63">
        <v>8</v>
      </c>
      <c r="M10" s="63">
        <v>8</v>
      </c>
      <c r="N10" s="63">
        <v>12</v>
      </c>
      <c r="O10" s="63">
        <v>16</v>
      </c>
      <c r="P10" s="63">
        <v>16</v>
      </c>
      <c r="Q10" s="63">
        <v>20</v>
      </c>
      <c r="R10" s="63">
        <v>20</v>
      </c>
      <c r="S10" s="64">
        <v>20</v>
      </c>
    </row>
    <row r="11" spans="2:20" x14ac:dyDescent="0.35">
      <c r="B11" s="51" t="s">
        <v>8</v>
      </c>
      <c r="C11" s="280">
        <v>1</v>
      </c>
      <c r="D11" s="48">
        <v>500</v>
      </c>
      <c r="G11" s="60" t="str">
        <f>B11</f>
        <v>B</v>
      </c>
      <c r="H11" s="65">
        <v>0</v>
      </c>
      <c r="I11" s="16">
        <v>0</v>
      </c>
      <c r="J11" s="16">
        <v>1</v>
      </c>
      <c r="K11" s="16">
        <v>2</v>
      </c>
      <c r="L11" s="16">
        <v>8</v>
      </c>
      <c r="M11" s="16">
        <v>8</v>
      </c>
      <c r="N11" s="16">
        <v>12</v>
      </c>
      <c r="O11" s="16">
        <v>12</v>
      </c>
      <c r="P11" s="16">
        <v>12</v>
      </c>
      <c r="Q11" s="16">
        <v>12</v>
      </c>
      <c r="R11" s="16">
        <v>12</v>
      </c>
      <c r="S11" s="66">
        <v>12</v>
      </c>
    </row>
    <row r="12" spans="2:20" x14ac:dyDescent="0.35">
      <c r="B12" s="51" t="s">
        <v>9</v>
      </c>
      <c r="C12" s="42">
        <f>D11+1</f>
        <v>501</v>
      </c>
      <c r="D12" s="48">
        <v>1000</v>
      </c>
      <c r="G12" s="60" t="str">
        <f>B12</f>
        <v>C</v>
      </c>
      <c r="H12" s="65">
        <v>0</v>
      </c>
      <c r="I12" s="16">
        <v>0</v>
      </c>
      <c r="J12" s="16">
        <v>0</v>
      </c>
      <c r="K12" s="16">
        <v>1</v>
      </c>
      <c r="L12" s="16">
        <v>2</v>
      </c>
      <c r="M12" s="16">
        <v>2</v>
      </c>
      <c r="N12" s="16">
        <v>4</v>
      </c>
      <c r="O12" s="16">
        <v>4</v>
      </c>
      <c r="P12" s="16">
        <v>4</v>
      </c>
      <c r="Q12" s="16">
        <v>4</v>
      </c>
      <c r="R12" s="16">
        <v>4</v>
      </c>
      <c r="S12" s="66">
        <v>4</v>
      </c>
    </row>
    <row r="13" spans="2:20" ht="15" thickBot="1" x14ac:dyDescent="0.4">
      <c r="B13" s="52" t="s">
        <v>51</v>
      </c>
      <c r="C13" s="24">
        <f>D12+1</f>
        <v>1001</v>
      </c>
      <c r="D13" s="49" t="s">
        <v>5</v>
      </c>
      <c r="G13" s="61" t="str">
        <f>B13</f>
        <v>D</v>
      </c>
      <c r="H13" s="67">
        <v>0</v>
      </c>
      <c r="I13" s="68">
        <v>0</v>
      </c>
      <c r="J13" s="68">
        <v>0</v>
      </c>
      <c r="K13" s="68">
        <v>1</v>
      </c>
      <c r="L13" s="68">
        <v>1</v>
      </c>
      <c r="M13" s="68">
        <v>1</v>
      </c>
      <c r="N13" s="68">
        <v>2</v>
      </c>
      <c r="O13" s="68">
        <v>2</v>
      </c>
      <c r="P13" s="68">
        <v>2</v>
      </c>
      <c r="Q13" s="68">
        <v>2</v>
      </c>
      <c r="R13" s="68">
        <v>2</v>
      </c>
      <c r="S13" s="69">
        <v>2</v>
      </c>
    </row>
    <row r="14" spans="2:20" ht="15" thickBot="1" x14ac:dyDescent="0.4">
      <c r="B14" s="52" t="s">
        <v>10</v>
      </c>
      <c r="C14" s="24"/>
      <c r="D14" s="135"/>
      <c r="G14" s="61" t="str">
        <f>B14</f>
        <v>E</v>
      </c>
      <c r="H14" s="67"/>
      <c r="I14" s="68"/>
      <c r="J14" s="68"/>
      <c r="K14" s="68"/>
      <c r="L14" s="68"/>
      <c r="M14" s="68"/>
      <c r="N14" s="68"/>
      <c r="O14" s="68"/>
      <c r="P14" s="68"/>
      <c r="Q14" s="68"/>
      <c r="R14" s="68"/>
      <c r="S14" s="69"/>
    </row>
    <row r="15" spans="2:20" ht="15" thickBot="1" x14ac:dyDescent="0.4"/>
    <row r="16" spans="2:20" x14ac:dyDescent="0.35">
      <c r="C16" t="s">
        <v>3</v>
      </c>
      <c r="D16" s="94">
        <v>37000</v>
      </c>
      <c r="G16" s="317" t="s">
        <v>264</v>
      </c>
      <c r="H16" s="308">
        <v>2024</v>
      </c>
      <c r="I16" s="308"/>
      <c r="J16" s="308"/>
      <c r="K16" s="308"/>
      <c r="L16" s="308"/>
      <c r="M16" s="308"/>
      <c r="N16" s="308"/>
      <c r="O16" s="308"/>
      <c r="P16" s="308"/>
      <c r="Q16" s="308"/>
      <c r="R16" s="308"/>
      <c r="S16" s="309"/>
      <c r="T16" s="303" t="s">
        <v>283</v>
      </c>
    </row>
    <row r="17" spans="1:22" ht="15" thickBot="1" x14ac:dyDescent="0.4">
      <c r="C17" t="s">
        <v>27</v>
      </c>
      <c r="D17" s="94">
        <v>900</v>
      </c>
      <c r="G17" s="320"/>
      <c r="H17" s="55" t="s">
        <v>53</v>
      </c>
      <c r="I17" s="55" t="s">
        <v>54</v>
      </c>
      <c r="J17" s="55" t="s">
        <v>55</v>
      </c>
      <c r="K17" s="55" t="s">
        <v>56</v>
      </c>
      <c r="L17" s="55" t="s">
        <v>57</v>
      </c>
      <c r="M17" s="55" t="s">
        <v>58</v>
      </c>
      <c r="N17" s="55" t="s">
        <v>59</v>
      </c>
      <c r="O17" s="55" t="s">
        <v>60</v>
      </c>
      <c r="P17" s="55" t="s">
        <v>61</v>
      </c>
      <c r="Q17" s="55" t="s">
        <v>62</v>
      </c>
      <c r="R17" s="55" t="s">
        <v>63</v>
      </c>
      <c r="S17" s="46" t="s">
        <v>64</v>
      </c>
      <c r="T17" s="304"/>
    </row>
    <row r="18" spans="1:22" x14ac:dyDescent="0.35">
      <c r="G18" s="90" t="str">
        <f>B10</f>
        <v>A</v>
      </c>
      <c r="H18" s="50">
        <v>30</v>
      </c>
      <c r="I18" s="132">
        <v>30</v>
      </c>
      <c r="J18" s="132">
        <v>30</v>
      </c>
      <c r="K18" s="132">
        <v>30</v>
      </c>
      <c r="L18" s="132">
        <v>30</v>
      </c>
      <c r="M18" s="132">
        <v>30</v>
      </c>
      <c r="N18" s="132">
        <v>30</v>
      </c>
      <c r="O18" s="132">
        <v>30</v>
      </c>
      <c r="P18" s="132">
        <v>30</v>
      </c>
      <c r="Q18" s="132">
        <v>30</v>
      </c>
      <c r="R18" s="132">
        <v>30</v>
      </c>
      <c r="S18" s="47">
        <v>30</v>
      </c>
      <c r="T18" s="47">
        <v>30</v>
      </c>
      <c r="V18" s="1"/>
    </row>
    <row r="19" spans="1:22" x14ac:dyDescent="0.35">
      <c r="D19" s="3" t="s">
        <v>26</v>
      </c>
      <c r="G19" s="60" t="str">
        <f>B11</f>
        <v>B</v>
      </c>
      <c r="H19" s="51">
        <v>100</v>
      </c>
      <c r="I19" s="101">
        <v>100</v>
      </c>
      <c r="J19" s="101">
        <v>100</v>
      </c>
      <c r="K19" s="101">
        <v>100</v>
      </c>
      <c r="L19" s="101">
        <v>100</v>
      </c>
      <c r="M19" s="101">
        <v>100</v>
      </c>
      <c r="N19" s="101">
        <v>100</v>
      </c>
      <c r="O19" s="101">
        <v>100</v>
      </c>
      <c r="P19" s="101">
        <v>100</v>
      </c>
      <c r="Q19" s="101">
        <v>100</v>
      </c>
      <c r="R19" s="101">
        <v>100</v>
      </c>
      <c r="S19" s="48">
        <v>100</v>
      </c>
      <c r="T19" s="48">
        <v>100</v>
      </c>
      <c r="V19" s="1"/>
    </row>
    <row r="20" spans="1:22" x14ac:dyDescent="0.35">
      <c r="C20" s="10" t="s">
        <v>116</v>
      </c>
      <c r="D20" s="94">
        <v>0</v>
      </c>
      <c r="G20" s="60" t="str">
        <f>B12</f>
        <v>C</v>
      </c>
      <c r="H20" s="51">
        <v>350</v>
      </c>
      <c r="I20" s="101">
        <v>350</v>
      </c>
      <c r="J20" s="101">
        <v>350</v>
      </c>
      <c r="K20" s="101">
        <v>350</v>
      </c>
      <c r="L20" s="101">
        <v>350</v>
      </c>
      <c r="M20" s="101">
        <v>350</v>
      </c>
      <c r="N20" s="101">
        <v>350</v>
      </c>
      <c r="O20" s="101">
        <v>350</v>
      </c>
      <c r="P20" s="101">
        <v>350</v>
      </c>
      <c r="Q20" s="101">
        <v>350</v>
      </c>
      <c r="R20" s="101">
        <v>350</v>
      </c>
      <c r="S20" s="48">
        <v>350</v>
      </c>
      <c r="T20" s="48">
        <v>350</v>
      </c>
      <c r="V20" s="1"/>
    </row>
    <row r="21" spans="1:22" ht="15" thickBot="1" x14ac:dyDescent="0.4">
      <c r="C21" s="10" t="s">
        <v>124</v>
      </c>
      <c r="D21" s="94">
        <f>63200/D17</f>
        <v>70.222222222222229</v>
      </c>
      <c r="E21" s="1"/>
      <c r="G21" s="61" t="str">
        <f>B13</f>
        <v>D</v>
      </c>
      <c r="H21" s="52">
        <v>1000</v>
      </c>
      <c r="I21" s="133">
        <v>1000</v>
      </c>
      <c r="J21" s="133">
        <v>1000</v>
      </c>
      <c r="K21" s="133">
        <v>1000</v>
      </c>
      <c r="L21" s="133">
        <v>1000</v>
      </c>
      <c r="M21" s="133">
        <v>1000</v>
      </c>
      <c r="N21" s="133">
        <v>1000</v>
      </c>
      <c r="O21" s="133">
        <v>1000</v>
      </c>
      <c r="P21" s="133">
        <v>1000</v>
      </c>
      <c r="Q21" s="133">
        <v>1000</v>
      </c>
      <c r="R21" s="133">
        <v>1000</v>
      </c>
      <c r="S21" s="49">
        <v>1000</v>
      </c>
      <c r="T21" s="49">
        <v>1000</v>
      </c>
      <c r="V21" s="1"/>
    </row>
    <row r="22" spans="1:22" ht="15" thickBot="1" x14ac:dyDescent="0.4">
      <c r="C22" s="10" t="s">
        <v>117</v>
      </c>
      <c r="D22" s="94">
        <v>0</v>
      </c>
      <c r="G22" s="61" t="str">
        <f>B14</f>
        <v>E</v>
      </c>
      <c r="H22" s="52"/>
      <c r="I22" s="133"/>
      <c r="J22" s="133"/>
      <c r="K22" s="133"/>
      <c r="L22" s="133"/>
      <c r="M22" s="133"/>
      <c r="N22" s="133"/>
      <c r="O22" s="133"/>
      <c r="P22" s="133"/>
      <c r="Q22" s="133"/>
      <c r="R22" s="133"/>
      <c r="S22" s="49"/>
      <c r="T22" s="49"/>
    </row>
    <row r="23" spans="1:22" ht="15" thickBot="1" x14ac:dyDescent="0.4">
      <c r="G23" s="3"/>
      <c r="H23" s="4"/>
      <c r="I23" s="4"/>
      <c r="J23" s="4"/>
      <c r="K23" s="4"/>
      <c r="L23" s="4"/>
      <c r="M23" s="4"/>
      <c r="N23" s="4"/>
      <c r="O23" s="4"/>
      <c r="P23" s="4"/>
      <c r="Q23" s="4"/>
      <c r="R23" s="4"/>
      <c r="S23" s="4"/>
    </row>
    <row r="24" spans="1:22" x14ac:dyDescent="0.35">
      <c r="A24" s="19"/>
      <c r="B24" s="19" t="s">
        <v>202</v>
      </c>
      <c r="C24" s="16">
        <v>1.28</v>
      </c>
      <c r="D24" s="163" t="s">
        <v>203</v>
      </c>
      <c r="E24" s="19"/>
      <c r="F24" s="19"/>
      <c r="G24" s="317" t="s">
        <v>71</v>
      </c>
      <c r="H24" s="319" t="s">
        <v>6</v>
      </c>
      <c r="I24" s="309"/>
    </row>
    <row r="25" spans="1:22" ht="15" thickBot="1" x14ac:dyDescent="0.4">
      <c r="A25" s="19"/>
      <c r="B25" s="40" t="s">
        <v>198</v>
      </c>
      <c r="C25" s="40" t="s">
        <v>199</v>
      </c>
      <c r="D25" s="111">
        <v>5.5E-2</v>
      </c>
      <c r="E25" s="19"/>
      <c r="F25" s="19"/>
      <c r="G25" s="318"/>
      <c r="H25" s="59">
        <v>2025</v>
      </c>
      <c r="I25" s="46">
        <v>2026</v>
      </c>
    </row>
    <row r="26" spans="1:22" x14ac:dyDescent="0.35">
      <c r="A26" s="19"/>
      <c r="B26" s="162" t="s">
        <v>200</v>
      </c>
      <c r="C26" s="40" t="s">
        <v>199</v>
      </c>
      <c r="D26" s="111">
        <v>4.4200000000000003E-2</v>
      </c>
      <c r="E26" s="19"/>
      <c r="F26" s="19"/>
      <c r="G26" s="76" t="str">
        <f>B10</f>
        <v>A</v>
      </c>
      <c r="H26" s="70">
        <v>0.01</v>
      </c>
      <c r="I26" s="71">
        <v>0.01</v>
      </c>
    </row>
    <row r="27" spans="1:22" x14ac:dyDescent="0.35">
      <c r="A27" s="19"/>
      <c r="B27" s="19" t="s">
        <v>201</v>
      </c>
      <c r="C27" s="40" t="s">
        <v>199</v>
      </c>
      <c r="D27" s="15">
        <v>0.2</v>
      </c>
      <c r="E27" s="19"/>
      <c r="F27" s="19"/>
      <c r="G27" s="60" t="str">
        <f>B11</f>
        <v>B</v>
      </c>
      <c r="H27" s="72">
        <v>0.01</v>
      </c>
      <c r="I27" s="73">
        <v>0.01</v>
      </c>
    </row>
    <row r="28" spans="1:22" x14ac:dyDescent="0.35">
      <c r="A28" s="19"/>
      <c r="B28" s="19"/>
      <c r="C28" s="23" t="s">
        <v>204</v>
      </c>
      <c r="D28" s="15">
        <v>0.1</v>
      </c>
      <c r="E28" s="19"/>
      <c r="F28" s="19"/>
      <c r="G28" s="60" t="str">
        <f>B12</f>
        <v>C</v>
      </c>
      <c r="H28" s="72">
        <v>0.01</v>
      </c>
      <c r="I28" s="73">
        <v>0.01</v>
      </c>
    </row>
    <row r="29" spans="1:22" x14ac:dyDescent="0.35">
      <c r="A29" s="19"/>
      <c r="B29" s="19"/>
      <c r="C29" s="21" t="s">
        <v>165</v>
      </c>
      <c r="D29" s="164">
        <f>((D26+(C24*(D27-D26)))+(D25-D26))+D28</f>
        <v>0.35442399999999996</v>
      </c>
      <c r="E29" s="19"/>
      <c r="F29" s="19"/>
      <c r="G29" s="60" t="str">
        <f>B13</f>
        <v>D</v>
      </c>
      <c r="H29" s="72">
        <v>0.01</v>
      </c>
      <c r="I29" s="73">
        <v>0.01</v>
      </c>
    </row>
    <row r="30" spans="1:22" ht="15" thickBot="1" x14ac:dyDescent="0.4">
      <c r="G30" s="61" t="str">
        <f>B14</f>
        <v>E</v>
      </c>
      <c r="H30" s="74">
        <v>0.01</v>
      </c>
      <c r="I30" s="75">
        <v>0.01</v>
      </c>
    </row>
    <row r="31" spans="1:22" ht="15" thickBot="1" x14ac:dyDescent="0.4"/>
    <row r="32" spans="1:22" x14ac:dyDescent="0.35">
      <c r="C32" s="10" t="s">
        <v>45</v>
      </c>
      <c r="D32" s="16">
        <v>12</v>
      </c>
      <c r="E32" t="s">
        <v>83</v>
      </c>
      <c r="G32" s="306" t="s">
        <v>52</v>
      </c>
      <c r="H32" s="308">
        <v>2024</v>
      </c>
      <c r="I32" s="308"/>
      <c r="J32" s="308"/>
      <c r="K32" s="308"/>
      <c r="L32" s="308"/>
      <c r="M32" s="308"/>
      <c r="N32" s="308"/>
      <c r="O32" s="308"/>
      <c r="P32" s="308"/>
      <c r="Q32" s="308"/>
      <c r="R32" s="308"/>
      <c r="S32" s="309"/>
    </row>
    <row r="33" spans="3:19" ht="15" thickBot="1" x14ac:dyDescent="0.4">
      <c r="C33" s="10" t="s">
        <v>68</v>
      </c>
      <c r="D33" s="15">
        <v>0.5</v>
      </c>
      <c r="E33" t="s">
        <v>84</v>
      </c>
      <c r="G33" s="307"/>
      <c r="H33" s="55" t="s">
        <v>53</v>
      </c>
      <c r="I33" s="55" t="s">
        <v>54</v>
      </c>
      <c r="J33" s="55" t="s">
        <v>55</v>
      </c>
      <c r="K33" s="55" t="s">
        <v>56</v>
      </c>
      <c r="L33" s="55" t="s">
        <v>57</v>
      </c>
      <c r="M33" s="55" t="s">
        <v>58</v>
      </c>
      <c r="N33" s="55" t="s">
        <v>59</v>
      </c>
      <c r="O33" s="55" t="s">
        <v>60</v>
      </c>
      <c r="P33" s="55" t="s">
        <v>61</v>
      </c>
      <c r="Q33" s="55" t="s">
        <v>62</v>
      </c>
      <c r="R33" s="55" t="s">
        <v>63</v>
      </c>
      <c r="S33" s="46" t="s">
        <v>64</v>
      </c>
    </row>
    <row r="34" spans="3:19" ht="15" thickBot="1" x14ac:dyDescent="0.4">
      <c r="G34" s="77" t="s">
        <v>52</v>
      </c>
      <c r="H34" s="81">
        <v>0</v>
      </c>
      <c r="I34" s="82">
        <v>0</v>
      </c>
      <c r="J34" s="82">
        <v>0</v>
      </c>
      <c r="K34" s="82">
        <v>0</v>
      </c>
      <c r="L34" s="82">
        <v>0</v>
      </c>
      <c r="M34" s="82">
        <v>0</v>
      </c>
      <c r="N34" s="82">
        <v>0</v>
      </c>
      <c r="O34" s="82">
        <v>0</v>
      </c>
      <c r="P34" s="82">
        <v>0</v>
      </c>
      <c r="Q34" s="82">
        <v>0</v>
      </c>
      <c r="R34" s="82">
        <v>0</v>
      </c>
      <c r="S34" s="83">
        <v>0</v>
      </c>
    </row>
    <row r="35" spans="3:19" x14ac:dyDescent="0.35">
      <c r="C35" s="41" t="s">
        <v>30</v>
      </c>
      <c r="D35" s="40" t="s">
        <v>21</v>
      </c>
    </row>
    <row r="36" spans="3:19" x14ac:dyDescent="0.35">
      <c r="C36" s="23" t="s">
        <v>115</v>
      </c>
      <c r="D36" s="94">
        <v>125</v>
      </c>
      <c r="G36" s="84" t="s">
        <v>75</v>
      </c>
      <c r="K36" s="84" t="s">
        <v>76</v>
      </c>
    </row>
    <row r="37" spans="3:19" x14ac:dyDescent="0.35">
      <c r="G37" s="20">
        <v>3</v>
      </c>
      <c r="K37" s="85">
        <v>0.5</v>
      </c>
    </row>
    <row r="38" spans="3:19" x14ac:dyDescent="0.35">
      <c r="C38" s="41" t="s">
        <v>15</v>
      </c>
      <c r="D38" s="40" t="s">
        <v>21</v>
      </c>
      <c r="E38" s="20" t="s">
        <v>26</v>
      </c>
      <c r="G38" s="17" t="s">
        <v>78</v>
      </c>
    </row>
    <row r="39" spans="3:19" x14ac:dyDescent="0.35">
      <c r="C39" s="23" t="s">
        <v>16</v>
      </c>
      <c r="D39" s="94">
        <v>125</v>
      </c>
      <c r="E39" s="2">
        <f>D39/1000</f>
        <v>0.125</v>
      </c>
      <c r="G39" s="3">
        <v>2025</v>
      </c>
      <c r="H39" s="15">
        <v>0</v>
      </c>
    </row>
    <row r="40" spans="3:19" x14ac:dyDescent="0.35">
      <c r="C40" s="23" t="s">
        <v>17</v>
      </c>
      <c r="D40" s="94">
        <v>63</v>
      </c>
      <c r="E40" s="2">
        <f t="shared" ref="E40:E45" si="0">D40/1000</f>
        <v>6.3E-2</v>
      </c>
      <c r="G40" s="3">
        <v>2026</v>
      </c>
      <c r="H40" s="15">
        <v>0</v>
      </c>
    </row>
    <row r="41" spans="3:19" x14ac:dyDescent="0.35">
      <c r="C41" s="23" t="s">
        <v>18</v>
      </c>
      <c r="D41" s="94">
        <v>125</v>
      </c>
      <c r="E41" s="2">
        <f t="shared" si="0"/>
        <v>0.125</v>
      </c>
    </row>
    <row r="42" spans="3:19" x14ac:dyDescent="0.35">
      <c r="C42" s="23" t="s">
        <v>19</v>
      </c>
      <c r="D42" s="94">
        <v>125</v>
      </c>
      <c r="E42" s="2">
        <f t="shared" si="0"/>
        <v>0.125</v>
      </c>
    </row>
    <row r="43" spans="3:19" x14ac:dyDescent="0.35">
      <c r="C43" s="23" t="s">
        <v>20</v>
      </c>
      <c r="D43" s="94">
        <v>125</v>
      </c>
      <c r="E43" s="2">
        <f t="shared" si="0"/>
        <v>0.125</v>
      </c>
      <c r="I43" s="3">
        <v>2024</v>
      </c>
      <c r="J43" s="3">
        <v>2025</v>
      </c>
      <c r="K43" s="3">
        <v>2026</v>
      </c>
    </row>
    <row r="44" spans="3:19" x14ac:dyDescent="0.35">
      <c r="C44" s="23" t="s">
        <v>118</v>
      </c>
      <c r="D44" s="94">
        <v>1000</v>
      </c>
      <c r="E44" s="2">
        <f t="shared" si="0"/>
        <v>1</v>
      </c>
      <c r="H44" s="10" t="s">
        <v>142</v>
      </c>
      <c r="I44" s="95">
        <v>0.125</v>
      </c>
      <c r="J44" s="15">
        <v>0.15</v>
      </c>
      <c r="K44" s="15">
        <v>0.15</v>
      </c>
    </row>
    <row r="45" spans="3:19" x14ac:dyDescent="0.35">
      <c r="C45" s="23" t="s">
        <v>39</v>
      </c>
      <c r="D45" s="94">
        <v>1000</v>
      </c>
      <c r="E45" s="2">
        <f t="shared" si="0"/>
        <v>1</v>
      </c>
      <c r="F45" s="3"/>
      <c r="G45" s="5"/>
    </row>
    <row r="46" spans="3:19" x14ac:dyDescent="0.35">
      <c r="C46" s="23"/>
      <c r="D46" s="97" t="s">
        <v>125</v>
      </c>
      <c r="E46" s="20" t="s">
        <v>26</v>
      </c>
    </row>
    <row r="47" spans="3:19" x14ac:dyDescent="0.35">
      <c r="C47" s="23" t="s">
        <v>34</v>
      </c>
      <c r="D47" s="94">
        <v>1000000</v>
      </c>
      <c r="E47" s="7">
        <f>(D47/1000)/D17</f>
        <v>1.1111111111111112</v>
      </c>
      <c r="F47" s="3"/>
    </row>
    <row r="49" spans="3:12" x14ac:dyDescent="0.35">
      <c r="C49" s="41" t="s">
        <v>121</v>
      </c>
      <c r="D49" s="3" t="s">
        <v>125</v>
      </c>
      <c r="E49" s="40" t="s">
        <v>26</v>
      </c>
    </row>
    <row r="50" spans="3:12" x14ac:dyDescent="0.35">
      <c r="C50" s="23" t="s">
        <v>119</v>
      </c>
      <c r="D50" s="94">
        <v>500000</v>
      </c>
      <c r="E50" s="7">
        <f>(D50/1000)/D17</f>
        <v>0.55555555555555558</v>
      </c>
      <c r="L50" s="110"/>
    </row>
    <row r="51" spans="3:12" x14ac:dyDescent="0.35">
      <c r="C51" s="23" t="s">
        <v>120</v>
      </c>
      <c r="D51" s="15">
        <v>0.15</v>
      </c>
      <c r="E51" s="7"/>
    </row>
    <row r="54" spans="3:12" x14ac:dyDescent="0.35">
      <c r="F54" s="314" t="s">
        <v>28</v>
      </c>
      <c r="G54" s="314" t="s">
        <v>29</v>
      </c>
      <c r="I54" s="314" t="s">
        <v>143</v>
      </c>
    </row>
    <row r="55" spans="3:12" ht="14.5" customHeight="1" x14ac:dyDescent="0.35">
      <c r="C55" s="41" t="s">
        <v>24</v>
      </c>
      <c r="D55" s="3" t="s">
        <v>25</v>
      </c>
      <c r="E55" s="20" t="s">
        <v>26</v>
      </c>
      <c r="F55" s="314"/>
      <c r="G55" s="314"/>
      <c r="I55" s="314"/>
    </row>
    <row r="56" spans="3:12" x14ac:dyDescent="0.35">
      <c r="C56" s="23" t="s">
        <v>129</v>
      </c>
      <c r="D56" s="94">
        <v>1400</v>
      </c>
      <c r="E56" s="7">
        <f t="shared" ref="E56:E65" si="1">D56/$D$17</f>
        <v>1.5555555555555556</v>
      </c>
      <c r="F56" s="16">
        <v>1</v>
      </c>
      <c r="G56" s="15">
        <v>0.05</v>
      </c>
    </row>
    <row r="57" spans="3:12" x14ac:dyDescent="0.35">
      <c r="C57" s="23" t="s">
        <v>128</v>
      </c>
      <c r="D57" s="94">
        <f>1200</f>
        <v>1200</v>
      </c>
      <c r="E57" s="7">
        <f t="shared" si="1"/>
        <v>1.3333333333333333</v>
      </c>
      <c r="F57" s="16">
        <v>1</v>
      </c>
      <c r="G57" s="15">
        <v>0.05</v>
      </c>
      <c r="I57" s="101">
        <v>1000</v>
      </c>
    </row>
    <row r="58" spans="3:12" x14ac:dyDescent="0.35">
      <c r="C58" s="23" t="s">
        <v>127</v>
      </c>
      <c r="D58" s="94">
        <v>4500</v>
      </c>
      <c r="E58" s="7">
        <f t="shared" si="1"/>
        <v>5</v>
      </c>
      <c r="F58" s="16">
        <v>1</v>
      </c>
      <c r="G58" s="15">
        <v>0.05</v>
      </c>
      <c r="I58" s="11"/>
    </row>
    <row r="59" spans="3:12" x14ac:dyDescent="0.35">
      <c r="C59" s="23" t="s">
        <v>130</v>
      </c>
      <c r="D59" s="94">
        <v>2000</v>
      </c>
      <c r="E59" s="7">
        <f t="shared" si="1"/>
        <v>2.2222222222222223</v>
      </c>
      <c r="F59" s="16">
        <v>1</v>
      </c>
      <c r="G59" s="15">
        <v>0.05</v>
      </c>
      <c r="I59" s="11"/>
    </row>
    <row r="60" spans="3:12" x14ac:dyDescent="0.35">
      <c r="C60" s="23" t="s">
        <v>131</v>
      </c>
      <c r="D60" s="94">
        <v>1500</v>
      </c>
      <c r="E60" s="7">
        <f t="shared" si="1"/>
        <v>1.6666666666666667</v>
      </c>
      <c r="F60" s="16">
        <v>13</v>
      </c>
      <c r="G60" s="15">
        <v>0.05</v>
      </c>
      <c r="I60" s="101">
        <v>1000</v>
      </c>
    </row>
    <row r="61" spans="3:12" x14ac:dyDescent="0.35">
      <c r="C61" s="23" t="s">
        <v>144</v>
      </c>
      <c r="D61" s="94">
        <f>1000</f>
        <v>1000</v>
      </c>
      <c r="E61" s="7">
        <f t="shared" si="1"/>
        <v>1.1111111111111112</v>
      </c>
      <c r="F61" s="16">
        <v>1</v>
      </c>
      <c r="G61" s="15">
        <v>0.05</v>
      </c>
      <c r="I61" s="101">
        <v>1000</v>
      </c>
    </row>
    <row r="62" spans="3:12" x14ac:dyDescent="0.35">
      <c r="C62" s="23" t="s">
        <v>145</v>
      </c>
      <c r="D62" s="94">
        <v>1250</v>
      </c>
      <c r="E62" s="7">
        <f t="shared" si="1"/>
        <v>1.3888888888888888</v>
      </c>
      <c r="F62" s="16">
        <v>9</v>
      </c>
      <c r="G62" s="15">
        <v>0.05</v>
      </c>
    </row>
    <row r="63" spans="3:12" x14ac:dyDescent="0.35">
      <c r="C63" s="23" t="s">
        <v>31</v>
      </c>
      <c r="D63" s="94">
        <v>5000</v>
      </c>
      <c r="E63" s="7">
        <f t="shared" si="1"/>
        <v>5.5555555555555554</v>
      </c>
      <c r="F63" s="16">
        <v>1</v>
      </c>
      <c r="G63" s="15">
        <v>0.05</v>
      </c>
    </row>
    <row r="64" spans="3:12" x14ac:dyDescent="0.35">
      <c r="C64" s="23" t="s">
        <v>32</v>
      </c>
      <c r="D64" s="94">
        <v>3000</v>
      </c>
      <c r="E64" s="7">
        <f t="shared" si="1"/>
        <v>3.3333333333333335</v>
      </c>
      <c r="F64" s="16">
        <v>1</v>
      </c>
      <c r="G64" s="15">
        <v>0.05</v>
      </c>
    </row>
    <row r="65" spans="2:8" x14ac:dyDescent="0.35">
      <c r="C65" s="23" t="s">
        <v>33</v>
      </c>
      <c r="D65" s="94">
        <v>1000</v>
      </c>
      <c r="E65" s="7">
        <f t="shared" si="1"/>
        <v>1.1111111111111112</v>
      </c>
      <c r="F65" s="16">
        <v>1</v>
      </c>
      <c r="G65" s="15">
        <v>0.05</v>
      </c>
    </row>
    <row r="67" spans="2:8" x14ac:dyDescent="0.35">
      <c r="C67" s="41" t="s">
        <v>123</v>
      </c>
      <c r="D67" s="3" t="s">
        <v>122</v>
      </c>
      <c r="F67" s="281" t="s">
        <v>444</v>
      </c>
      <c r="G67" s="3" t="s">
        <v>446</v>
      </c>
      <c r="H67" s="3" t="s">
        <v>26</v>
      </c>
    </row>
    <row r="68" spans="2:8" x14ac:dyDescent="0.35">
      <c r="C68" s="23" t="s">
        <v>38</v>
      </c>
      <c r="D68" s="95">
        <v>0.05</v>
      </c>
      <c r="E68" s="3"/>
      <c r="F68" s="10" t="s">
        <v>445</v>
      </c>
      <c r="G68" s="282">
        <v>55000</v>
      </c>
      <c r="H68" s="6">
        <f>G68/D17</f>
        <v>61.111111111111114</v>
      </c>
    </row>
    <row r="69" spans="2:8" x14ac:dyDescent="0.35">
      <c r="C69" s="23" t="s">
        <v>22</v>
      </c>
      <c r="D69" s="95">
        <v>0.01</v>
      </c>
      <c r="E69" s="3"/>
      <c r="F69" s="10" t="s">
        <v>447</v>
      </c>
      <c r="G69" s="284">
        <v>7.0000000000000007E-2</v>
      </c>
      <c r="H69" s="283" t="s">
        <v>448</v>
      </c>
    </row>
    <row r="70" spans="2:8" x14ac:dyDescent="0.35">
      <c r="C70" s="23" t="s">
        <v>23</v>
      </c>
      <c r="D70" s="95">
        <v>3.5000000000000003E-2</v>
      </c>
      <c r="E70" s="3"/>
      <c r="F70" s="285"/>
      <c r="G70" s="285" t="s">
        <v>449</v>
      </c>
    </row>
    <row r="71" spans="2:8" x14ac:dyDescent="0.35">
      <c r="C71" s="23" t="s">
        <v>36</v>
      </c>
      <c r="D71" s="95">
        <v>3.5000000000000003E-2</v>
      </c>
    </row>
    <row r="72" spans="2:8" x14ac:dyDescent="0.35">
      <c r="C72" s="102" t="s">
        <v>35</v>
      </c>
      <c r="D72" s="286">
        <v>3.5000000000000003E-2</v>
      </c>
      <c r="E72" t="s">
        <v>450</v>
      </c>
      <c r="F72" s="286">
        <v>0.05</v>
      </c>
      <c r="G72" t="s">
        <v>451</v>
      </c>
    </row>
    <row r="73" spans="2:8" x14ac:dyDescent="0.35">
      <c r="C73" s="23"/>
    </row>
    <row r="74" spans="2:8" x14ac:dyDescent="0.35">
      <c r="C74" s="127" t="s">
        <v>243</v>
      </c>
      <c r="D74" s="20" t="s">
        <v>247</v>
      </c>
      <c r="E74" s="28" t="s">
        <v>246</v>
      </c>
      <c r="F74" s="28" t="s">
        <v>255</v>
      </c>
    </row>
    <row r="75" spans="2:8" x14ac:dyDescent="0.35">
      <c r="C75" s="126" t="s">
        <v>244</v>
      </c>
      <c r="D75" s="95">
        <v>0.15</v>
      </c>
      <c r="E75" s="125">
        <v>1.5</v>
      </c>
      <c r="F75" s="101">
        <v>90</v>
      </c>
    </row>
    <row r="76" spans="2:8" x14ac:dyDescent="0.35">
      <c r="C76" s="126" t="s">
        <v>245</v>
      </c>
      <c r="D76" s="95">
        <v>0.2</v>
      </c>
      <c r="E76" s="125">
        <v>0.7</v>
      </c>
      <c r="F76" s="101">
        <v>90</v>
      </c>
    </row>
    <row r="77" spans="2:8" x14ac:dyDescent="0.35">
      <c r="C77" s="19"/>
      <c r="D77" s="128" t="s">
        <v>43</v>
      </c>
      <c r="E77" s="19"/>
      <c r="F77" s="19"/>
    </row>
    <row r="79" spans="2:8" x14ac:dyDescent="0.35">
      <c r="C79" s="167" t="s">
        <v>352</v>
      </c>
    </row>
    <row r="80" spans="2:8" x14ac:dyDescent="0.35">
      <c r="B80" s="19"/>
      <c r="C80" s="166">
        <v>90</v>
      </c>
      <c r="D80" s="168" t="s">
        <v>353</v>
      </c>
    </row>
  </sheetData>
  <mergeCells count="15">
    <mergeCell ref="F54:F55"/>
    <mergeCell ref="G54:G55"/>
    <mergeCell ref="I54:I55"/>
    <mergeCell ref="B8:B9"/>
    <mergeCell ref="G8:G9"/>
    <mergeCell ref="H8:S8"/>
    <mergeCell ref="G24:G25"/>
    <mergeCell ref="H24:I24"/>
    <mergeCell ref="G16:G17"/>
    <mergeCell ref="H16:S16"/>
    <mergeCell ref="T16:T17"/>
    <mergeCell ref="L2:N2"/>
    <mergeCell ref="G32:G33"/>
    <mergeCell ref="H32:S32"/>
    <mergeCell ref="C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BD8D-F33B-4271-915D-73CB92EB2EDE}">
  <sheetPr>
    <tabColor rgb="FF7030A0"/>
  </sheetPr>
  <dimension ref="A1:O41"/>
  <sheetViews>
    <sheetView zoomScale="93" workbookViewId="0">
      <selection activeCell="D2" sqref="D2"/>
    </sheetView>
  </sheetViews>
  <sheetFormatPr baseColWidth="10" defaultRowHeight="14.5" x14ac:dyDescent="0.35"/>
  <cols>
    <col min="2" max="2" width="29.08984375" bestFit="1" customWidth="1"/>
    <col min="3" max="3" width="6" style="140" bestFit="1" customWidth="1"/>
  </cols>
  <sheetData>
    <row r="1" spans="1:15" x14ac:dyDescent="0.35">
      <c r="A1" s="321" t="s">
        <v>279</v>
      </c>
      <c r="B1" s="321"/>
      <c r="C1" s="138" t="s">
        <v>285</v>
      </c>
      <c r="D1" s="137" t="s">
        <v>53</v>
      </c>
      <c r="E1" s="137" t="s">
        <v>54</v>
      </c>
      <c r="F1" s="137" t="s">
        <v>55</v>
      </c>
      <c r="G1" s="137" t="s">
        <v>56</v>
      </c>
      <c r="H1" s="137" t="s">
        <v>57</v>
      </c>
      <c r="I1" s="137" t="s">
        <v>58</v>
      </c>
      <c r="J1" s="137" t="s">
        <v>59</v>
      </c>
      <c r="K1" s="137" t="s">
        <v>60</v>
      </c>
      <c r="L1" s="137" t="s">
        <v>61</v>
      </c>
      <c r="M1" s="137" t="s">
        <v>62</v>
      </c>
      <c r="N1" s="137" t="s">
        <v>63</v>
      </c>
      <c r="O1" s="137" t="s">
        <v>64</v>
      </c>
    </row>
    <row r="2" spans="1:15" x14ac:dyDescent="0.35">
      <c r="A2" s="323" t="s">
        <v>266</v>
      </c>
      <c r="B2" s="11" t="str">
        <f>Vaciado!B10</f>
        <v>A</v>
      </c>
      <c r="C2" s="139" t="s">
        <v>286</v>
      </c>
      <c r="D2" s="136"/>
      <c r="E2" s="136"/>
      <c r="F2" s="136"/>
      <c r="G2" s="136"/>
      <c r="H2" s="136"/>
      <c r="I2" s="136"/>
      <c r="J2" s="136"/>
      <c r="K2" s="136"/>
      <c r="L2" s="136"/>
      <c r="M2" s="136"/>
      <c r="N2" s="136"/>
      <c r="O2" s="136"/>
    </row>
    <row r="3" spans="1:15" x14ac:dyDescent="0.35">
      <c r="A3" s="323"/>
      <c r="B3" s="11" t="str">
        <f>Vaciado!B11</f>
        <v>B</v>
      </c>
      <c r="C3" s="139" t="s">
        <v>286</v>
      </c>
      <c r="D3" s="136"/>
      <c r="E3" s="136"/>
      <c r="F3" s="136"/>
      <c r="G3" s="136"/>
      <c r="H3" s="136"/>
      <c r="I3" s="136"/>
      <c r="J3" s="136"/>
      <c r="K3" s="136"/>
      <c r="L3" s="136"/>
      <c r="M3" s="136"/>
      <c r="N3" s="136"/>
      <c r="O3" s="136"/>
    </row>
    <row r="4" spans="1:15" x14ac:dyDescent="0.35">
      <c r="A4" s="323"/>
      <c r="B4" s="11" t="str">
        <f>Vaciado!B12</f>
        <v>C</v>
      </c>
      <c r="C4" s="139" t="s">
        <v>286</v>
      </c>
      <c r="D4" s="136"/>
      <c r="E4" s="136"/>
      <c r="F4" s="136"/>
      <c r="G4" s="136"/>
      <c r="H4" s="136"/>
      <c r="I4" s="136"/>
      <c r="J4" s="136"/>
      <c r="K4" s="136"/>
      <c r="L4" s="136"/>
      <c r="M4" s="136"/>
      <c r="N4" s="136"/>
      <c r="O4" s="136"/>
    </row>
    <row r="5" spans="1:15" x14ac:dyDescent="0.35">
      <c r="A5" s="323"/>
      <c r="B5" s="11" t="str">
        <f>Vaciado!B13</f>
        <v>D</v>
      </c>
      <c r="C5" s="139" t="s">
        <v>286</v>
      </c>
      <c r="D5" s="136"/>
      <c r="E5" s="136"/>
      <c r="F5" s="136"/>
      <c r="G5" s="136"/>
      <c r="H5" s="136"/>
      <c r="I5" s="136"/>
      <c r="J5" s="136"/>
      <c r="K5" s="136"/>
      <c r="L5" s="136"/>
      <c r="M5" s="136"/>
      <c r="N5" s="136"/>
      <c r="O5" s="136"/>
    </row>
    <row r="6" spans="1:15" x14ac:dyDescent="0.35">
      <c r="A6" s="323"/>
      <c r="B6" s="11" t="str">
        <f>Vaciado!B14</f>
        <v>E</v>
      </c>
      <c r="C6" s="139" t="s">
        <v>286</v>
      </c>
      <c r="D6" s="136"/>
      <c r="E6" s="136"/>
      <c r="F6" s="136"/>
      <c r="G6" s="136"/>
      <c r="H6" s="136"/>
      <c r="I6" s="136"/>
      <c r="J6" s="136"/>
      <c r="K6" s="136"/>
      <c r="L6" s="136"/>
      <c r="M6" s="136"/>
      <c r="N6" s="136"/>
      <c r="O6" s="136"/>
    </row>
    <row r="7" spans="1:15" x14ac:dyDescent="0.35">
      <c r="A7" s="323" t="s">
        <v>265</v>
      </c>
      <c r="B7" s="11" t="str">
        <f>Vaciado!B10</f>
        <v>A</v>
      </c>
      <c r="C7" s="139" t="s">
        <v>4</v>
      </c>
      <c r="D7" s="136"/>
      <c r="E7" s="136"/>
      <c r="F7" s="136"/>
      <c r="G7" s="136"/>
      <c r="H7" s="136"/>
      <c r="I7" s="136"/>
      <c r="J7" s="136"/>
      <c r="K7" s="136"/>
      <c r="L7" s="136"/>
      <c r="M7" s="136"/>
      <c r="N7" s="136"/>
      <c r="O7" s="136"/>
    </row>
    <row r="8" spans="1:15" x14ac:dyDescent="0.35">
      <c r="A8" s="323"/>
      <c r="B8" s="11" t="str">
        <f>Vaciado!B11</f>
        <v>B</v>
      </c>
      <c r="C8" s="139" t="s">
        <v>4</v>
      </c>
      <c r="D8" s="136"/>
      <c r="E8" s="136"/>
      <c r="F8" s="136"/>
      <c r="G8" s="136"/>
      <c r="H8" s="136"/>
      <c r="I8" s="136"/>
      <c r="J8" s="136"/>
      <c r="K8" s="136"/>
      <c r="L8" s="136"/>
      <c r="M8" s="136"/>
      <c r="N8" s="136"/>
      <c r="O8" s="136"/>
    </row>
    <row r="9" spans="1:15" x14ac:dyDescent="0.35">
      <c r="A9" s="323"/>
      <c r="B9" s="11" t="str">
        <f>Vaciado!B12</f>
        <v>C</v>
      </c>
      <c r="C9" s="139" t="s">
        <v>4</v>
      </c>
      <c r="D9" s="136"/>
      <c r="E9" s="136"/>
      <c r="F9" s="136"/>
      <c r="G9" s="136"/>
      <c r="H9" s="136"/>
      <c r="I9" s="136"/>
      <c r="J9" s="136"/>
      <c r="K9" s="136"/>
      <c r="L9" s="136"/>
      <c r="M9" s="136"/>
      <c r="N9" s="136"/>
      <c r="O9" s="136"/>
    </row>
    <row r="10" spans="1:15" x14ac:dyDescent="0.35">
      <c r="A10" s="323"/>
      <c r="B10" s="11" t="str">
        <f>Vaciado!B13</f>
        <v>D</v>
      </c>
      <c r="C10" s="139" t="s">
        <v>4</v>
      </c>
      <c r="D10" s="136"/>
      <c r="E10" s="136"/>
      <c r="F10" s="136"/>
      <c r="G10" s="136"/>
      <c r="H10" s="136"/>
      <c r="I10" s="136"/>
      <c r="J10" s="136"/>
      <c r="K10" s="136"/>
      <c r="L10" s="136"/>
      <c r="M10" s="136"/>
      <c r="N10" s="136"/>
      <c r="O10" s="136"/>
    </row>
    <row r="11" spans="1:15" x14ac:dyDescent="0.35">
      <c r="A11" s="323"/>
      <c r="B11" s="11" t="str">
        <f>Vaciado!B14</f>
        <v>E</v>
      </c>
      <c r="C11" s="139" t="s">
        <v>4</v>
      </c>
      <c r="D11" s="136"/>
      <c r="E11" s="136"/>
      <c r="F11" s="136"/>
      <c r="G11" s="136"/>
      <c r="H11" s="136"/>
      <c r="I11" s="136"/>
      <c r="J11" s="136"/>
      <c r="K11" s="136"/>
      <c r="L11" s="136"/>
      <c r="M11" s="136"/>
      <c r="N11" s="136"/>
      <c r="O11" s="136"/>
    </row>
    <row r="12" spans="1:15" x14ac:dyDescent="0.35">
      <c r="A12" t="s">
        <v>263</v>
      </c>
      <c r="B12" t="s">
        <v>270</v>
      </c>
      <c r="C12" s="139" t="s">
        <v>21</v>
      </c>
      <c r="D12" s="136"/>
      <c r="E12" s="136"/>
      <c r="F12" s="136"/>
      <c r="G12" s="136"/>
      <c r="H12" s="136"/>
      <c r="I12" s="136"/>
      <c r="J12" s="136"/>
      <c r="K12" s="136"/>
      <c r="L12" s="136"/>
      <c r="M12" s="136"/>
      <c r="N12" s="136"/>
      <c r="O12" s="136"/>
    </row>
    <row r="13" spans="1:15" x14ac:dyDescent="0.35">
      <c r="A13" s="323"/>
      <c r="B13" t="s">
        <v>271</v>
      </c>
      <c r="C13" s="139" t="s">
        <v>21</v>
      </c>
      <c r="D13" s="136"/>
      <c r="E13" s="136"/>
      <c r="F13" s="136"/>
      <c r="G13" s="136"/>
      <c r="H13" s="136"/>
      <c r="I13" s="136"/>
      <c r="J13" s="136"/>
      <c r="K13" s="136"/>
      <c r="L13" s="136"/>
      <c r="M13" s="136"/>
      <c r="N13" s="136"/>
      <c r="O13" s="136"/>
    </row>
    <row r="14" spans="1:15" x14ac:dyDescent="0.35">
      <c r="A14" s="323"/>
      <c r="B14" t="s">
        <v>272</v>
      </c>
      <c r="C14" s="139" t="s">
        <v>21</v>
      </c>
      <c r="D14" s="136"/>
      <c r="E14" s="136"/>
      <c r="F14" s="136"/>
      <c r="G14" s="136"/>
      <c r="H14" s="136"/>
      <c r="I14" s="136"/>
      <c r="J14" s="136"/>
      <c r="K14" s="136"/>
      <c r="L14" s="136"/>
      <c r="M14" s="136"/>
      <c r="N14" s="136"/>
      <c r="O14" s="136"/>
    </row>
    <row r="15" spans="1:15" x14ac:dyDescent="0.35">
      <c r="A15" s="323"/>
      <c r="B15" t="s">
        <v>273</v>
      </c>
      <c r="C15" s="139" t="s">
        <v>21</v>
      </c>
      <c r="D15" s="136"/>
      <c r="E15" s="136"/>
      <c r="F15" s="136"/>
      <c r="G15" s="136"/>
      <c r="H15" s="136"/>
      <c r="I15" s="136"/>
      <c r="J15" s="136"/>
      <c r="K15" s="136"/>
      <c r="L15" s="136"/>
      <c r="M15" s="136"/>
      <c r="N15" s="136"/>
      <c r="O15" s="136"/>
    </row>
    <row r="16" spans="1:15" x14ac:dyDescent="0.35">
      <c r="A16" s="323"/>
      <c r="B16" t="s">
        <v>274</v>
      </c>
      <c r="C16" s="139" t="s">
        <v>21</v>
      </c>
      <c r="D16" s="136"/>
      <c r="E16" s="136"/>
      <c r="F16" s="136"/>
      <c r="G16" s="136"/>
      <c r="H16" s="136"/>
      <c r="I16" s="136"/>
      <c r="J16" s="136"/>
      <c r="K16" s="136"/>
      <c r="L16" s="136"/>
      <c r="M16" s="136"/>
      <c r="N16" s="136"/>
      <c r="O16" s="136"/>
    </row>
    <row r="17" spans="1:15" x14ac:dyDescent="0.35">
      <c r="A17" s="323"/>
      <c r="B17" t="s">
        <v>275</v>
      </c>
      <c r="C17" s="139" t="s">
        <v>21</v>
      </c>
      <c r="D17" s="136"/>
      <c r="E17" s="136"/>
      <c r="F17" s="136"/>
      <c r="G17" s="136"/>
      <c r="H17" s="136"/>
      <c r="I17" s="136"/>
      <c r="J17" s="136"/>
      <c r="K17" s="136"/>
      <c r="L17" s="136"/>
      <c r="M17" s="136"/>
      <c r="N17" s="136"/>
      <c r="O17" s="136"/>
    </row>
    <row r="18" spans="1:15" x14ac:dyDescent="0.35">
      <c r="A18" s="323"/>
      <c r="B18" t="s">
        <v>276</v>
      </c>
      <c r="C18" s="139" t="s">
        <v>21</v>
      </c>
      <c r="D18" s="136"/>
      <c r="E18" s="136"/>
      <c r="F18" s="136"/>
      <c r="G18" s="136"/>
      <c r="H18" s="136"/>
      <c r="I18" s="136"/>
      <c r="J18" s="136"/>
      <c r="K18" s="136"/>
      <c r="L18" s="136"/>
      <c r="M18" s="136"/>
      <c r="N18" s="136"/>
      <c r="O18" s="136"/>
    </row>
    <row r="19" spans="1:15" x14ac:dyDescent="0.35">
      <c r="A19" s="323"/>
      <c r="B19" t="s">
        <v>39</v>
      </c>
      <c r="C19" s="139" t="s">
        <v>21</v>
      </c>
      <c r="D19" s="136"/>
      <c r="E19" s="136"/>
      <c r="F19" s="136"/>
      <c r="G19" s="136"/>
      <c r="H19" s="136"/>
      <c r="I19" s="136"/>
      <c r="J19" s="136"/>
      <c r="K19" s="136"/>
      <c r="L19" s="136"/>
      <c r="M19" s="136"/>
      <c r="N19" s="136"/>
      <c r="O19" s="136"/>
    </row>
    <row r="20" spans="1:15" x14ac:dyDescent="0.35">
      <c r="A20" s="3" t="s">
        <v>267</v>
      </c>
      <c r="B20" t="s">
        <v>34</v>
      </c>
      <c r="C20" s="139" t="s">
        <v>125</v>
      </c>
      <c r="D20" s="136"/>
      <c r="E20" s="136"/>
      <c r="F20" s="136"/>
      <c r="G20" s="136"/>
      <c r="H20" s="136"/>
      <c r="I20" s="136"/>
      <c r="J20" s="136"/>
      <c r="K20" s="136"/>
      <c r="L20" s="136"/>
      <c r="M20" s="136"/>
      <c r="N20" s="136"/>
      <c r="O20" s="136"/>
    </row>
    <row r="21" spans="1:15" x14ac:dyDescent="0.35">
      <c r="A21" s="323"/>
      <c r="B21" t="s">
        <v>277</v>
      </c>
      <c r="C21" s="138" t="s">
        <v>125</v>
      </c>
      <c r="D21" s="136"/>
      <c r="E21" s="136"/>
      <c r="F21" s="136"/>
      <c r="G21" s="136"/>
      <c r="H21" s="136"/>
      <c r="I21" s="136"/>
      <c r="J21" s="136"/>
      <c r="K21" s="136"/>
      <c r="L21" s="136"/>
      <c r="M21" s="136"/>
      <c r="N21" s="136"/>
      <c r="O21" s="136"/>
    </row>
    <row r="22" spans="1:15" x14ac:dyDescent="0.35">
      <c r="A22" s="323"/>
      <c r="B22" t="s">
        <v>278</v>
      </c>
      <c r="C22" s="138" t="s">
        <v>287</v>
      </c>
      <c r="D22" s="136"/>
      <c r="E22" s="136"/>
      <c r="F22" s="136"/>
      <c r="G22" s="136"/>
      <c r="H22" s="136"/>
      <c r="I22" s="136"/>
      <c r="J22" s="136"/>
      <c r="K22" s="136"/>
      <c r="L22" s="136"/>
      <c r="M22" s="136"/>
      <c r="N22" s="136"/>
      <c r="O22" s="136"/>
    </row>
    <row r="23" spans="1:15" x14ac:dyDescent="0.35">
      <c r="A23" s="323" t="s">
        <v>268</v>
      </c>
      <c r="B23" t="s">
        <v>129</v>
      </c>
      <c r="C23" s="138" t="s">
        <v>25</v>
      </c>
      <c r="D23" s="136"/>
      <c r="E23" s="136"/>
      <c r="F23" s="136"/>
      <c r="G23" s="136"/>
      <c r="H23" s="136"/>
      <c r="I23" s="136"/>
      <c r="J23" s="136"/>
      <c r="K23" s="136"/>
      <c r="L23" s="136"/>
      <c r="M23" s="136"/>
      <c r="N23" s="136"/>
      <c r="O23" s="136"/>
    </row>
    <row r="24" spans="1:15" x14ac:dyDescent="0.35">
      <c r="A24" s="323"/>
      <c r="B24" t="s">
        <v>128</v>
      </c>
      <c r="C24" s="138" t="s">
        <v>25</v>
      </c>
      <c r="D24" s="136"/>
      <c r="E24" s="136"/>
      <c r="F24" s="136"/>
      <c r="G24" s="136"/>
      <c r="H24" s="136"/>
      <c r="I24" s="136"/>
      <c r="J24" s="136"/>
      <c r="K24" s="136"/>
      <c r="L24" s="136"/>
      <c r="M24" s="136"/>
      <c r="N24" s="136"/>
      <c r="O24" s="136"/>
    </row>
    <row r="25" spans="1:15" x14ac:dyDescent="0.35">
      <c r="A25" s="323"/>
      <c r="B25" t="s">
        <v>127</v>
      </c>
      <c r="C25" s="138" t="s">
        <v>25</v>
      </c>
      <c r="D25" s="136"/>
      <c r="E25" s="136"/>
      <c r="F25" s="136"/>
      <c r="G25" s="136"/>
      <c r="H25" s="136"/>
      <c r="I25" s="136"/>
      <c r="J25" s="136"/>
      <c r="K25" s="136"/>
      <c r="L25" s="136"/>
      <c r="M25" s="136"/>
      <c r="N25" s="136"/>
      <c r="O25" s="136"/>
    </row>
    <row r="26" spans="1:15" x14ac:dyDescent="0.35">
      <c r="A26" s="323"/>
      <c r="B26" t="s">
        <v>130</v>
      </c>
      <c r="C26" s="138" t="s">
        <v>25</v>
      </c>
      <c r="D26" s="136"/>
      <c r="E26" s="136"/>
      <c r="F26" s="136"/>
      <c r="G26" s="136"/>
      <c r="H26" s="136"/>
      <c r="I26" s="136"/>
      <c r="J26" s="136"/>
      <c r="K26" s="136"/>
      <c r="L26" s="136"/>
      <c r="M26" s="136"/>
      <c r="N26" s="136"/>
      <c r="O26" s="136"/>
    </row>
    <row r="27" spans="1:15" x14ac:dyDescent="0.35">
      <c r="A27" s="323"/>
      <c r="B27" t="s">
        <v>131</v>
      </c>
      <c r="C27" s="138" t="s">
        <v>25</v>
      </c>
      <c r="D27" s="136"/>
      <c r="E27" s="136"/>
      <c r="F27" s="136"/>
      <c r="G27" s="136"/>
      <c r="H27" s="136"/>
      <c r="I27" s="136"/>
      <c r="J27" s="136"/>
      <c r="K27" s="136"/>
      <c r="L27" s="136"/>
      <c r="M27" s="136"/>
      <c r="N27" s="136"/>
      <c r="O27" s="136"/>
    </row>
    <row r="28" spans="1:15" x14ac:dyDescent="0.35">
      <c r="A28" s="323"/>
      <c r="B28" t="s">
        <v>144</v>
      </c>
      <c r="C28" s="138" t="s">
        <v>25</v>
      </c>
      <c r="D28" s="136"/>
      <c r="E28" s="136"/>
      <c r="F28" s="136"/>
      <c r="G28" s="136"/>
      <c r="H28" s="136"/>
      <c r="I28" s="136"/>
      <c r="J28" s="136"/>
      <c r="K28" s="136"/>
      <c r="L28" s="136"/>
      <c r="M28" s="136"/>
      <c r="N28" s="136"/>
      <c r="O28" s="136"/>
    </row>
    <row r="29" spans="1:15" x14ac:dyDescent="0.35">
      <c r="A29" s="323"/>
      <c r="B29" t="s">
        <v>145</v>
      </c>
      <c r="C29" s="138" t="s">
        <v>25</v>
      </c>
      <c r="D29" s="136"/>
      <c r="E29" s="136"/>
      <c r="F29" s="136"/>
      <c r="G29" s="136"/>
      <c r="H29" s="136"/>
      <c r="I29" s="136"/>
      <c r="J29" s="136"/>
      <c r="K29" s="136"/>
      <c r="L29" s="136"/>
      <c r="M29" s="136"/>
      <c r="N29" s="136"/>
      <c r="O29" s="136"/>
    </row>
    <row r="30" spans="1:15" x14ac:dyDescent="0.35">
      <c r="A30" s="323"/>
      <c r="B30" t="s">
        <v>31</v>
      </c>
      <c r="C30" s="138" t="s">
        <v>25</v>
      </c>
      <c r="D30" s="136"/>
      <c r="E30" s="136"/>
      <c r="F30" s="136"/>
      <c r="G30" s="136"/>
      <c r="H30" s="136"/>
      <c r="I30" s="136"/>
      <c r="J30" s="136"/>
      <c r="K30" s="136"/>
      <c r="L30" s="136"/>
      <c r="M30" s="136"/>
      <c r="N30" s="136"/>
      <c r="O30" s="136"/>
    </row>
    <row r="31" spans="1:15" x14ac:dyDescent="0.35">
      <c r="A31" s="323"/>
      <c r="B31" t="s">
        <v>32</v>
      </c>
      <c r="C31" s="138" t="s">
        <v>25</v>
      </c>
      <c r="D31" s="136"/>
      <c r="E31" s="136"/>
      <c r="F31" s="136"/>
      <c r="G31" s="136"/>
      <c r="H31" s="136"/>
      <c r="I31" s="136"/>
      <c r="J31" s="136"/>
      <c r="K31" s="136"/>
      <c r="L31" s="136"/>
      <c r="M31" s="136"/>
      <c r="N31" s="136"/>
      <c r="O31" s="136"/>
    </row>
    <row r="32" spans="1:15" x14ac:dyDescent="0.35">
      <c r="A32" s="323"/>
      <c r="B32" t="s">
        <v>33</v>
      </c>
      <c r="C32" s="138" t="s">
        <v>25</v>
      </c>
      <c r="D32" s="136"/>
      <c r="E32" s="136"/>
      <c r="F32" s="136"/>
      <c r="G32" s="136"/>
      <c r="H32" s="136"/>
      <c r="I32" s="136"/>
      <c r="J32" s="136"/>
      <c r="K32" s="136"/>
      <c r="L32" s="136"/>
      <c r="M32" s="136"/>
      <c r="N32" s="136"/>
      <c r="O32" s="136"/>
    </row>
    <row r="33" spans="1:15" x14ac:dyDescent="0.35">
      <c r="A33" s="323" t="s">
        <v>269</v>
      </c>
      <c r="B33" t="s">
        <v>38</v>
      </c>
      <c r="C33" s="138" t="s">
        <v>287</v>
      </c>
      <c r="D33" s="136"/>
      <c r="E33" s="136"/>
      <c r="F33" s="136"/>
      <c r="G33" s="136"/>
      <c r="H33" s="136"/>
      <c r="I33" s="136"/>
      <c r="J33" s="136"/>
      <c r="K33" s="136"/>
      <c r="L33" s="136"/>
      <c r="M33" s="136"/>
      <c r="N33" s="136"/>
      <c r="O33" s="136"/>
    </row>
    <row r="34" spans="1:15" x14ac:dyDescent="0.35">
      <c r="A34" s="323"/>
      <c r="B34" t="s">
        <v>22</v>
      </c>
      <c r="C34" s="138" t="s">
        <v>287</v>
      </c>
      <c r="D34" s="136"/>
      <c r="E34" s="136"/>
      <c r="F34" s="136"/>
      <c r="G34" s="136"/>
      <c r="H34" s="136"/>
      <c r="I34" s="136"/>
      <c r="J34" s="136"/>
      <c r="K34" s="136"/>
      <c r="L34" s="136"/>
      <c r="M34" s="136"/>
      <c r="N34" s="136"/>
      <c r="O34" s="136"/>
    </row>
    <row r="35" spans="1:15" x14ac:dyDescent="0.35">
      <c r="A35" s="323"/>
      <c r="B35" t="s">
        <v>23</v>
      </c>
      <c r="C35" s="138" t="s">
        <v>287</v>
      </c>
      <c r="D35" s="136"/>
      <c r="E35" s="136"/>
      <c r="F35" s="136"/>
      <c r="G35" s="136"/>
      <c r="H35" s="136"/>
      <c r="I35" s="136"/>
      <c r="J35" s="136"/>
      <c r="K35" s="136"/>
      <c r="L35" s="136"/>
      <c r="M35" s="136"/>
      <c r="N35" s="136"/>
      <c r="O35" s="136"/>
    </row>
    <row r="36" spans="1:15" x14ac:dyDescent="0.35">
      <c r="A36" s="323"/>
      <c r="B36" t="s">
        <v>36</v>
      </c>
      <c r="C36" s="138" t="s">
        <v>287</v>
      </c>
      <c r="D36" s="136"/>
      <c r="E36" s="136"/>
      <c r="F36" s="136"/>
      <c r="G36" s="136"/>
      <c r="H36" s="136"/>
      <c r="I36" s="136"/>
      <c r="J36" s="136"/>
      <c r="K36" s="136"/>
      <c r="L36" s="136"/>
      <c r="M36" s="136"/>
      <c r="N36" s="136"/>
      <c r="O36" s="136"/>
    </row>
    <row r="37" spans="1:15" x14ac:dyDescent="0.35">
      <c r="A37" s="323"/>
      <c r="B37" t="s">
        <v>35</v>
      </c>
      <c r="C37" s="138" t="s">
        <v>287</v>
      </c>
      <c r="D37" s="136"/>
      <c r="E37" s="136"/>
      <c r="F37" s="136"/>
      <c r="G37" s="136"/>
      <c r="H37" s="136"/>
      <c r="I37" s="136"/>
      <c r="J37" s="136"/>
      <c r="K37" s="136"/>
      <c r="L37" s="136"/>
      <c r="M37" s="136"/>
      <c r="N37" s="136"/>
      <c r="O37" s="136"/>
    </row>
    <row r="38" spans="1:15" x14ac:dyDescent="0.35">
      <c r="A38" s="322" t="s">
        <v>244</v>
      </c>
      <c r="B38" t="s">
        <v>289</v>
      </c>
      <c r="C38" s="138" t="s">
        <v>26</v>
      </c>
      <c r="D38" s="141"/>
      <c r="E38" s="141"/>
      <c r="F38" s="141"/>
      <c r="G38" s="141"/>
      <c r="H38" s="141"/>
      <c r="I38" s="141"/>
      <c r="J38" s="141"/>
      <c r="K38" s="141"/>
      <c r="L38" s="141"/>
      <c r="M38" s="141"/>
      <c r="N38" s="141"/>
      <c r="O38" s="141"/>
    </row>
    <row r="39" spans="1:15" x14ac:dyDescent="0.35">
      <c r="A39" s="322"/>
      <c r="B39" t="s">
        <v>288</v>
      </c>
      <c r="C39" s="138" t="s">
        <v>26</v>
      </c>
      <c r="D39" s="141"/>
      <c r="E39" s="141"/>
      <c r="F39" s="141"/>
      <c r="G39" s="141"/>
      <c r="H39" s="141"/>
      <c r="I39" s="141"/>
      <c r="J39" s="141"/>
      <c r="K39" s="141"/>
      <c r="L39" s="141"/>
      <c r="M39" s="141"/>
      <c r="N39" s="141"/>
      <c r="O39" s="141"/>
    </row>
    <row r="40" spans="1:15" x14ac:dyDescent="0.35">
      <c r="A40" s="322" t="s">
        <v>245</v>
      </c>
      <c r="B40" t="s">
        <v>289</v>
      </c>
      <c r="C40" s="138" t="s">
        <v>26</v>
      </c>
      <c r="D40" s="141"/>
      <c r="E40" s="141"/>
      <c r="F40" s="141"/>
      <c r="G40" s="141"/>
      <c r="H40" s="141"/>
      <c r="I40" s="141"/>
      <c r="J40" s="141"/>
      <c r="K40" s="141"/>
      <c r="L40" s="141"/>
      <c r="M40" s="141"/>
      <c r="N40" s="141"/>
      <c r="O40" s="141"/>
    </row>
    <row r="41" spans="1:15" x14ac:dyDescent="0.35">
      <c r="A41" s="322"/>
      <c r="B41" t="s">
        <v>281</v>
      </c>
      <c r="C41" s="138" t="s">
        <v>26</v>
      </c>
      <c r="D41" s="141"/>
      <c r="E41" s="141"/>
      <c r="F41" s="141"/>
      <c r="G41" s="141"/>
      <c r="H41" s="141"/>
      <c r="I41" s="141"/>
      <c r="J41" s="141"/>
      <c r="K41" s="141"/>
      <c r="L41" s="141"/>
      <c r="M41" s="141"/>
      <c r="N41" s="141"/>
      <c r="O41" s="141"/>
    </row>
  </sheetData>
  <mergeCells count="9">
    <mergeCell ref="A1:B1"/>
    <mergeCell ref="A38:A39"/>
    <mergeCell ref="A40:A41"/>
    <mergeCell ref="A7:A11"/>
    <mergeCell ref="A2:A6"/>
    <mergeCell ref="A13:A19"/>
    <mergeCell ref="A21:A22"/>
    <mergeCell ref="A23:A32"/>
    <mergeCell ref="A33:A37"/>
  </mergeCells>
  <phoneticPr fontId="3" type="noConversion"/>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ellIs" priority="3" operator="lessThan" id="{CF51809B-FD8E-43E5-A017-462F367DE4D3}">
            <xm:f>Vaciado!H10</xm:f>
            <x14:dxf>
              <font>
                <color rgb="FF9C0006"/>
              </font>
              <fill>
                <patternFill>
                  <bgColor rgb="FFFFC7CE"/>
                </patternFill>
              </fill>
            </x14:dxf>
          </x14:cfRule>
          <x14:cfRule type="cellIs" priority="4" operator="greaterThanOrEqual" id="{9C379E4A-9343-486F-BAD2-F8AA8BE89B7A}">
            <xm:f>Vaciado!H10</xm:f>
            <x14:dxf>
              <font>
                <color rgb="FF006100"/>
              </font>
              <fill>
                <patternFill>
                  <bgColor rgb="FFC6EFCE"/>
                </patternFill>
              </fill>
            </x14:dxf>
          </x14:cfRule>
          <xm:sqref>D2:O6</xm:sqref>
        </x14:conditionalFormatting>
        <x14:conditionalFormatting xmlns:xm="http://schemas.microsoft.com/office/excel/2006/main">
          <x14:cfRule type="cellIs" priority="74" operator="lessThan" id="{4F62E51E-03F2-47AC-9C16-35CE725F05F9}">
            <xm:f>Vaciado!I11</xm:f>
            <x14:dxf>
              <font>
                <color rgb="FF9C0006"/>
              </font>
              <fill>
                <patternFill>
                  <bgColor rgb="FFFFC7CE"/>
                </patternFill>
              </fill>
            </x14:dxf>
          </x14:cfRule>
          <x14:cfRule type="cellIs" priority="75" operator="greaterThanOrEqual" id="{DF48A5F2-F485-4A5C-8E43-1A40DE201142}">
            <xm:f>Vaciado!I11</xm:f>
            <x14:dxf>
              <font>
                <color rgb="FF006100"/>
              </font>
              <fill>
                <patternFill>
                  <bgColor rgb="FFC6EFCE"/>
                </patternFill>
              </fill>
            </x14:dxf>
          </x14:cfRule>
          <xm:sqref>D3:O6</xm:sqref>
        </x14:conditionalFormatting>
        <x14:conditionalFormatting xmlns:xm="http://schemas.microsoft.com/office/excel/2006/main">
          <x14:cfRule type="cellIs" priority="72" operator="lessThan" id="{5711C206-9811-4E72-A9E9-4C73FECE4458}">
            <xm:f>Vaciado!I18</xm:f>
            <x14:dxf>
              <font>
                <color rgb="FF9C0006"/>
              </font>
              <fill>
                <patternFill>
                  <bgColor rgb="FFFFC7CE"/>
                </patternFill>
              </fill>
            </x14:dxf>
          </x14:cfRule>
          <x14:cfRule type="cellIs" priority="70" operator="greaterThanOrEqual" id="{76DAEA01-40AD-4BD1-8340-BB5F7A5B84E6}">
            <xm:f>Vaciado!I18</xm:f>
            <x14:dxf>
              <font>
                <color rgb="FF006100"/>
              </font>
              <fill>
                <patternFill>
                  <bgColor rgb="FFC6EFCE"/>
                </patternFill>
              </fill>
            </x14:dxf>
          </x14:cfRule>
          <xm:sqref>D7:O11</xm:sqref>
        </x14:conditionalFormatting>
        <x14:conditionalFormatting xmlns:xm="http://schemas.microsoft.com/office/excel/2006/main">
          <x14:cfRule type="cellIs" priority="68" operator="greaterThan" id="{3D4520A1-EFC1-451D-851B-01AC82543787}">
            <xm:f>Vaciado!$D$36</xm:f>
            <x14:dxf>
              <font>
                <color rgb="FF9C0006"/>
              </font>
              <fill>
                <patternFill>
                  <bgColor rgb="FFFFC7CE"/>
                </patternFill>
              </fill>
            </x14:dxf>
          </x14:cfRule>
          <x14:cfRule type="cellIs" priority="67" operator="lessThanOrEqual" id="{B42F6975-A5AF-41B4-BCC0-28DD9C041558}">
            <xm:f>Vaciado!$D$36</xm:f>
            <x14:dxf>
              <font>
                <color rgb="FF006100"/>
              </font>
              <fill>
                <patternFill>
                  <bgColor rgb="FFC6EFCE"/>
                </patternFill>
              </fill>
            </x14:dxf>
          </x14:cfRule>
          <xm:sqref>D12:O12</xm:sqref>
        </x14:conditionalFormatting>
        <x14:conditionalFormatting xmlns:xm="http://schemas.microsoft.com/office/excel/2006/main">
          <x14:cfRule type="cellIs" priority="65" operator="lessThanOrEqual" id="{1E1F5582-3A3A-462E-B411-BD0CA78910B5}">
            <xm:f>Vaciado!$D$39</xm:f>
            <x14:dxf>
              <font>
                <color rgb="FF006100"/>
              </font>
              <fill>
                <patternFill>
                  <bgColor rgb="FFC6EFCE"/>
                </patternFill>
              </fill>
            </x14:dxf>
          </x14:cfRule>
          <x14:cfRule type="cellIs" priority="66" operator="greaterThan" id="{95E28B0B-7D12-41DF-86BA-E4921E73CD20}">
            <xm:f>Vaciado!$D$39</xm:f>
            <x14:dxf>
              <font>
                <color rgb="FF9C0006"/>
              </font>
              <fill>
                <patternFill>
                  <bgColor rgb="FFFFC7CE"/>
                </patternFill>
              </fill>
            </x14:dxf>
          </x14:cfRule>
          <xm:sqref>D13:O13</xm:sqref>
        </x14:conditionalFormatting>
        <x14:conditionalFormatting xmlns:xm="http://schemas.microsoft.com/office/excel/2006/main">
          <x14:cfRule type="cellIs" priority="64" operator="greaterThan" id="{56586498-DF97-4B47-AA10-FC5648D2462D}">
            <xm:f>Vaciado!$D$40</xm:f>
            <x14:dxf>
              <font>
                <color rgb="FF9C0006"/>
              </font>
              <fill>
                <patternFill>
                  <bgColor rgb="FFFFC7CE"/>
                </patternFill>
              </fill>
            </x14:dxf>
          </x14:cfRule>
          <x14:cfRule type="cellIs" priority="63" operator="lessThanOrEqual" id="{FC0319A2-1271-4171-8EE5-011EC7362F2F}">
            <xm:f>Vaciado!$D$40</xm:f>
            <x14:dxf>
              <font>
                <color rgb="FF006100"/>
              </font>
              <fill>
                <patternFill>
                  <bgColor rgb="FFC6EFCE"/>
                </patternFill>
              </fill>
            </x14:dxf>
          </x14:cfRule>
          <xm:sqref>D14:O14</xm:sqref>
        </x14:conditionalFormatting>
        <x14:conditionalFormatting xmlns:xm="http://schemas.microsoft.com/office/excel/2006/main">
          <x14:cfRule type="cellIs" priority="54" operator="greaterThan" id="{EF91A22D-9435-4F83-AE51-926DDC124850}">
            <xm:f>Vaciado!$D$41</xm:f>
            <x14:dxf>
              <font>
                <color rgb="FF9C0006"/>
              </font>
              <fill>
                <patternFill>
                  <bgColor rgb="FFFFC7CE"/>
                </patternFill>
              </fill>
            </x14:dxf>
          </x14:cfRule>
          <x14:cfRule type="cellIs" priority="53" operator="lessThanOrEqual" id="{16C5236A-3623-455B-869A-AB3F0C0BD654}">
            <xm:f>Vaciado!$D$41</xm:f>
            <x14:dxf>
              <font>
                <color rgb="FF006100"/>
              </font>
              <fill>
                <patternFill>
                  <bgColor rgb="FFC6EFCE"/>
                </patternFill>
              </fill>
            </x14:dxf>
          </x14:cfRule>
          <xm:sqref>D15:O15</xm:sqref>
        </x14:conditionalFormatting>
        <x14:conditionalFormatting xmlns:xm="http://schemas.microsoft.com/office/excel/2006/main">
          <x14:cfRule type="cellIs" priority="56" operator="greaterThan" id="{0C724D83-BCF8-4182-BAEF-71F549E45921}">
            <xm:f>Vaciado!$D$42</xm:f>
            <x14:dxf>
              <font>
                <color rgb="FF9C0006"/>
              </font>
              <fill>
                <patternFill>
                  <bgColor rgb="FFFFC7CE"/>
                </patternFill>
              </fill>
            </x14:dxf>
          </x14:cfRule>
          <x14:cfRule type="cellIs" priority="55" operator="lessThanOrEqual" id="{60E5C7A3-16D5-4523-AA7D-09988F810F73}">
            <xm:f>Vaciado!$D$42</xm:f>
            <x14:dxf>
              <font>
                <color rgb="FF006100"/>
              </font>
              <fill>
                <patternFill>
                  <bgColor rgb="FFC6EFCE"/>
                </patternFill>
              </fill>
            </x14:dxf>
          </x14:cfRule>
          <xm:sqref>D16:O16</xm:sqref>
        </x14:conditionalFormatting>
        <x14:conditionalFormatting xmlns:xm="http://schemas.microsoft.com/office/excel/2006/main">
          <x14:cfRule type="cellIs" priority="58" operator="greaterThan" id="{15109139-3250-4764-8166-9AF124BD20BB}">
            <xm:f>Vaciado!$D$43</xm:f>
            <x14:dxf>
              <font>
                <color rgb="FF9C0006"/>
              </font>
              <fill>
                <patternFill>
                  <bgColor rgb="FFFFC7CE"/>
                </patternFill>
              </fill>
            </x14:dxf>
          </x14:cfRule>
          <x14:cfRule type="cellIs" priority="57" operator="lessThanOrEqual" id="{1F4B500A-9E93-4B85-ADE8-CC301851320B}">
            <xm:f>Vaciado!$D$43</xm:f>
            <x14:dxf>
              <font>
                <color rgb="FF006100"/>
              </font>
              <fill>
                <patternFill>
                  <bgColor rgb="FFC6EFCE"/>
                </patternFill>
              </fill>
            </x14:dxf>
          </x14:cfRule>
          <xm:sqref>D17:O17</xm:sqref>
        </x14:conditionalFormatting>
        <x14:conditionalFormatting xmlns:xm="http://schemas.microsoft.com/office/excel/2006/main">
          <x14:cfRule type="cellIs" priority="60" operator="greaterThan" id="{9B60DB99-6621-4905-BFA2-B193FB203749}">
            <xm:f>Vaciado!$D$44</xm:f>
            <x14:dxf>
              <font>
                <color rgb="FF9C0006"/>
              </font>
              <fill>
                <patternFill>
                  <bgColor rgb="FFFFC7CE"/>
                </patternFill>
              </fill>
            </x14:dxf>
          </x14:cfRule>
          <x14:cfRule type="cellIs" priority="59" operator="lessThanOrEqual" id="{AA3D4B0A-173D-47AE-9941-EFA74BAB082D}">
            <xm:f>Vaciado!$D$44</xm:f>
            <x14:dxf>
              <font>
                <color rgb="FF006100"/>
              </font>
              <fill>
                <patternFill>
                  <bgColor rgb="FFC6EFCE"/>
                </patternFill>
              </fill>
            </x14:dxf>
          </x14:cfRule>
          <xm:sqref>D18:O18</xm:sqref>
        </x14:conditionalFormatting>
        <x14:conditionalFormatting xmlns:xm="http://schemas.microsoft.com/office/excel/2006/main">
          <x14:cfRule type="cellIs" priority="62" operator="greaterThan" id="{B9647A47-DD47-44E0-B0A5-788BE8E490B4}">
            <xm:f>Vaciado!$D$45</xm:f>
            <x14:dxf>
              <font>
                <color rgb="FF9C0006"/>
              </font>
              <fill>
                <patternFill>
                  <bgColor rgb="FFFFC7CE"/>
                </patternFill>
              </fill>
            </x14:dxf>
          </x14:cfRule>
          <x14:cfRule type="cellIs" priority="61" operator="lessThanOrEqual" id="{EC16DFF1-5748-48F0-B66A-EEBE36DA20EF}">
            <xm:f>Vaciado!$D$45</xm:f>
            <x14:dxf>
              <font>
                <color rgb="FF006100"/>
              </font>
              <fill>
                <patternFill>
                  <bgColor rgb="FFC6EFCE"/>
                </patternFill>
              </fill>
            </x14:dxf>
          </x14:cfRule>
          <xm:sqref>D19:O19</xm:sqref>
        </x14:conditionalFormatting>
        <x14:conditionalFormatting xmlns:xm="http://schemas.microsoft.com/office/excel/2006/main">
          <x14:cfRule type="cellIs" priority="52" operator="greaterThan" id="{5337AC73-3131-4F01-BB9F-B9087C448FB4}">
            <xm:f>Vaciado!$D$47</xm:f>
            <x14:dxf>
              <font>
                <color rgb="FF9C0006"/>
              </font>
              <fill>
                <patternFill>
                  <bgColor rgb="FFFFC7CE"/>
                </patternFill>
              </fill>
            </x14:dxf>
          </x14:cfRule>
          <x14:cfRule type="cellIs" priority="51" operator="lessThanOrEqual" id="{B70E4464-F1F7-4D25-BC07-A7CA151D310B}">
            <xm:f>Vaciado!$D$47</xm:f>
            <x14:dxf>
              <font>
                <color rgb="FF006100"/>
              </font>
              <fill>
                <patternFill>
                  <bgColor rgb="FFC6EFCE"/>
                </patternFill>
              </fill>
            </x14:dxf>
          </x14:cfRule>
          <xm:sqref>D20:O20</xm:sqref>
        </x14:conditionalFormatting>
        <x14:conditionalFormatting xmlns:xm="http://schemas.microsoft.com/office/excel/2006/main">
          <x14:cfRule type="cellIs" priority="50" operator="greaterThan" id="{650EDE7B-A872-43E3-963E-CF843B0FD9F5}">
            <xm:f>Vaciado!$D$50</xm:f>
            <x14:dxf>
              <font>
                <color rgb="FF9C0006"/>
              </font>
              <fill>
                <patternFill>
                  <bgColor rgb="FFFFC7CE"/>
                </patternFill>
              </fill>
            </x14:dxf>
          </x14:cfRule>
          <x14:cfRule type="cellIs" priority="49" operator="lessThanOrEqual" id="{4CAA8DE3-BE0F-4369-B948-32423FDD00DA}">
            <xm:f>Vaciado!$D$50</xm:f>
            <x14:dxf>
              <font>
                <color rgb="FF006100"/>
              </font>
              <fill>
                <patternFill>
                  <bgColor rgb="FFC6EFCE"/>
                </patternFill>
              </fill>
            </x14:dxf>
          </x14:cfRule>
          <xm:sqref>D21:O21</xm:sqref>
        </x14:conditionalFormatting>
        <x14:conditionalFormatting xmlns:xm="http://schemas.microsoft.com/office/excel/2006/main">
          <x14:cfRule type="cellIs" priority="48" operator="greaterThan" id="{050C6BEA-5FB7-4B6C-BE51-1BBC5D19024A}">
            <xm:f>Vaciado!$D$51</xm:f>
            <x14:dxf>
              <font>
                <color rgb="FF9C0006"/>
              </font>
              <fill>
                <patternFill>
                  <bgColor rgb="FFFFC7CE"/>
                </patternFill>
              </fill>
            </x14:dxf>
          </x14:cfRule>
          <x14:cfRule type="cellIs" priority="47" operator="lessThanOrEqual" id="{2241B151-2C09-4CA1-A87A-A68EF00DE02E}">
            <xm:f>Vaciado!$D$51</xm:f>
            <x14:dxf>
              <font>
                <color rgb="FF006100"/>
              </font>
              <fill>
                <patternFill>
                  <bgColor rgb="FFC6EFCE"/>
                </patternFill>
              </fill>
            </x14:dxf>
          </x14:cfRule>
          <xm:sqref>D22:O22</xm:sqref>
        </x14:conditionalFormatting>
        <x14:conditionalFormatting xmlns:xm="http://schemas.microsoft.com/office/excel/2006/main">
          <x14:cfRule type="cellIs" priority="46" operator="greaterThan" id="{6D126161-734B-4324-BB8B-33DACE0AFF64}">
            <xm:f>Vaciado!$D$56</xm:f>
            <x14:dxf>
              <font>
                <color rgb="FF9C0006"/>
              </font>
              <fill>
                <patternFill>
                  <bgColor rgb="FFFFC7CE"/>
                </patternFill>
              </fill>
            </x14:dxf>
          </x14:cfRule>
          <x14:cfRule type="cellIs" priority="45" operator="lessThanOrEqual" id="{B253657C-BD71-489C-8043-BBE0300DCAB4}">
            <xm:f>Vaciado!$D$56</xm:f>
            <x14:dxf>
              <font>
                <color rgb="FF006100"/>
              </font>
              <fill>
                <patternFill>
                  <bgColor rgb="FFC6EFCE"/>
                </patternFill>
              </fill>
            </x14:dxf>
          </x14:cfRule>
          <xm:sqref>D23:O23</xm:sqref>
        </x14:conditionalFormatting>
        <x14:conditionalFormatting xmlns:xm="http://schemas.microsoft.com/office/excel/2006/main">
          <x14:cfRule type="cellIs" priority="43" operator="lessThanOrEqual" id="{07C95F3F-D1B6-4364-B751-D63E7702372A}">
            <xm:f>Vaciado!$D$57</xm:f>
            <x14:dxf>
              <font>
                <color rgb="FF006100"/>
              </font>
              <fill>
                <patternFill>
                  <bgColor rgb="FFC6EFCE"/>
                </patternFill>
              </fill>
            </x14:dxf>
          </x14:cfRule>
          <x14:cfRule type="cellIs" priority="44" operator="greaterThan" id="{BF22E356-E15C-4C3A-89DB-D425935DBFC3}">
            <xm:f>Vaciado!$D$57</xm:f>
            <x14:dxf>
              <font>
                <color rgb="FF9C0006"/>
              </font>
              <fill>
                <patternFill>
                  <bgColor rgb="FFFFC7CE"/>
                </patternFill>
              </fill>
            </x14:dxf>
          </x14:cfRule>
          <xm:sqref>D24:O24</xm:sqref>
        </x14:conditionalFormatting>
        <x14:conditionalFormatting xmlns:xm="http://schemas.microsoft.com/office/excel/2006/main">
          <x14:cfRule type="cellIs" priority="42" operator="greaterThan" id="{8CB095BC-625D-4F40-8177-2346BCB7A9C6}">
            <xm:f>Vaciado!$D$58</xm:f>
            <x14:dxf>
              <font>
                <color rgb="FF9C0006"/>
              </font>
              <fill>
                <patternFill>
                  <bgColor rgb="FFFFC7CE"/>
                </patternFill>
              </fill>
            </x14:dxf>
          </x14:cfRule>
          <x14:cfRule type="cellIs" priority="41" operator="lessThanOrEqual" id="{F29D25D0-15CE-4C9D-991A-C101D628A08B}">
            <xm:f>Vaciado!$D$58</xm:f>
            <x14:dxf>
              <font>
                <color rgb="FF006100"/>
              </font>
              <fill>
                <patternFill>
                  <bgColor rgb="FFC6EFCE"/>
                </patternFill>
              </fill>
            </x14:dxf>
          </x14:cfRule>
          <xm:sqref>D25:O25</xm:sqref>
        </x14:conditionalFormatting>
        <x14:conditionalFormatting xmlns:xm="http://schemas.microsoft.com/office/excel/2006/main">
          <x14:cfRule type="cellIs" priority="40" operator="greaterThan" id="{96CEC40A-1F42-4D7C-B0B9-2C4E97DAD2FF}">
            <xm:f>Vaciado!$D$59</xm:f>
            <x14:dxf>
              <font>
                <color rgb="FF9C0006"/>
              </font>
              <fill>
                <patternFill>
                  <bgColor rgb="FFFFC7CE"/>
                </patternFill>
              </fill>
            </x14:dxf>
          </x14:cfRule>
          <x14:cfRule type="cellIs" priority="39" operator="lessThanOrEqual" id="{9E931AF0-CF3F-4752-A20A-A501811E4FA7}">
            <xm:f>Vaciado!$D$59</xm:f>
            <x14:dxf>
              <font>
                <color rgb="FF006100"/>
              </font>
              <fill>
                <patternFill>
                  <bgColor rgb="FFC6EFCE"/>
                </patternFill>
              </fill>
            </x14:dxf>
          </x14:cfRule>
          <xm:sqref>D26:O26</xm:sqref>
        </x14:conditionalFormatting>
        <x14:conditionalFormatting xmlns:xm="http://schemas.microsoft.com/office/excel/2006/main">
          <x14:cfRule type="cellIs" priority="38" operator="greaterThan" id="{DEF1712C-D9D2-4D52-980D-F3121F8E57DF}">
            <xm:f>Vaciado!$D$60</xm:f>
            <x14:dxf>
              <font>
                <color rgb="FF9C0006"/>
              </font>
              <fill>
                <patternFill>
                  <bgColor rgb="FFFFC7CE"/>
                </patternFill>
              </fill>
            </x14:dxf>
          </x14:cfRule>
          <x14:cfRule type="cellIs" priority="37" operator="lessThanOrEqual" id="{DE7D7A7B-4B6F-442E-84B5-ADFA68C4D6FA}">
            <xm:f>Vaciado!$D$60</xm:f>
            <x14:dxf>
              <font>
                <color rgb="FF006100"/>
              </font>
              <fill>
                <patternFill>
                  <bgColor rgb="FFC6EFCE"/>
                </patternFill>
              </fill>
            </x14:dxf>
          </x14:cfRule>
          <xm:sqref>D27:O27</xm:sqref>
        </x14:conditionalFormatting>
        <x14:conditionalFormatting xmlns:xm="http://schemas.microsoft.com/office/excel/2006/main">
          <x14:cfRule type="cellIs" priority="36" operator="greaterThan" id="{7D4CAA60-75B3-4C1B-B660-D86B54DD3D40}">
            <xm:f>Vaciado!$D$61</xm:f>
            <x14:dxf>
              <font>
                <color rgb="FF9C0006"/>
              </font>
              <fill>
                <patternFill>
                  <bgColor rgb="FFFFC7CE"/>
                </patternFill>
              </fill>
            </x14:dxf>
          </x14:cfRule>
          <x14:cfRule type="cellIs" priority="35" operator="lessThanOrEqual" id="{9F30A9C8-FBA5-4B5C-9465-8A37996F8068}">
            <xm:f>Vaciado!$D$61</xm:f>
            <x14:dxf>
              <font>
                <color rgb="FF006100"/>
              </font>
              <fill>
                <patternFill>
                  <bgColor rgb="FFC6EFCE"/>
                </patternFill>
              </fill>
            </x14:dxf>
          </x14:cfRule>
          <xm:sqref>D28:O28</xm:sqref>
        </x14:conditionalFormatting>
        <x14:conditionalFormatting xmlns:xm="http://schemas.microsoft.com/office/excel/2006/main">
          <x14:cfRule type="cellIs" priority="34" operator="greaterThan" id="{3757E184-9AB0-4E4B-910A-AB00DF0E0EBD}">
            <xm:f>Vaciado!$D$62</xm:f>
            <x14:dxf>
              <font>
                <color rgb="FF9C0006"/>
              </font>
              <fill>
                <patternFill>
                  <bgColor rgb="FFFFC7CE"/>
                </patternFill>
              </fill>
            </x14:dxf>
          </x14:cfRule>
          <x14:cfRule type="cellIs" priority="33" operator="lessThanOrEqual" id="{141F29B5-00D4-4501-84EB-2746737D66EE}">
            <xm:f>Vaciado!$D$62</xm:f>
            <x14:dxf>
              <font>
                <color rgb="FF006100"/>
              </font>
              <fill>
                <patternFill>
                  <bgColor rgb="FFC6EFCE"/>
                </patternFill>
              </fill>
            </x14:dxf>
          </x14:cfRule>
          <xm:sqref>D29:O29</xm:sqref>
        </x14:conditionalFormatting>
        <x14:conditionalFormatting xmlns:xm="http://schemas.microsoft.com/office/excel/2006/main">
          <x14:cfRule type="cellIs" priority="32" operator="greaterThan" id="{5CDD00F2-6AB7-4D24-9378-5063A982FFCC}">
            <xm:f>Vaciado!$D$63</xm:f>
            <x14:dxf>
              <font>
                <color rgb="FF9C0006"/>
              </font>
              <fill>
                <patternFill>
                  <bgColor rgb="FFFFC7CE"/>
                </patternFill>
              </fill>
            </x14:dxf>
          </x14:cfRule>
          <x14:cfRule type="cellIs" priority="31" operator="lessThanOrEqual" id="{A7CF2178-6047-489E-9C1C-BEC803587654}">
            <xm:f>Vaciado!$D$63</xm:f>
            <x14:dxf>
              <font>
                <color rgb="FF006100"/>
              </font>
              <fill>
                <patternFill>
                  <bgColor rgb="FFC6EFCE"/>
                </patternFill>
              </fill>
            </x14:dxf>
          </x14:cfRule>
          <xm:sqref>D30:O30</xm:sqref>
        </x14:conditionalFormatting>
        <x14:conditionalFormatting xmlns:xm="http://schemas.microsoft.com/office/excel/2006/main">
          <x14:cfRule type="cellIs" priority="30" operator="greaterThan" id="{3FBA621B-4F3D-45F7-9AB4-0BEEC6C941B5}">
            <xm:f>Vaciado!$D$64</xm:f>
            <x14:dxf>
              <font>
                <color rgb="FF9C0006"/>
              </font>
              <fill>
                <patternFill>
                  <bgColor rgb="FFFFC7CE"/>
                </patternFill>
              </fill>
            </x14:dxf>
          </x14:cfRule>
          <x14:cfRule type="cellIs" priority="29" operator="lessThanOrEqual" id="{55F94D2C-5DAC-40D1-A5BC-5CCE683E7CBE}">
            <xm:f>Vaciado!$D$64</xm:f>
            <x14:dxf>
              <font>
                <color rgb="FF006100"/>
              </font>
              <fill>
                <patternFill>
                  <bgColor rgb="FFC6EFCE"/>
                </patternFill>
              </fill>
            </x14:dxf>
          </x14:cfRule>
          <xm:sqref>D31:O31</xm:sqref>
        </x14:conditionalFormatting>
        <x14:conditionalFormatting xmlns:xm="http://schemas.microsoft.com/office/excel/2006/main">
          <x14:cfRule type="cellIs" priority="28" operator="greaterThan" id="{11BD0B23-2A20-4326-9B0D-263A5AD7B286}">
            <xm:f>Vaciado!$D$65</xm:f>
            <x14:dxf>
              <font>
                <color rgb="FF9C0006"/>
              </font>
              <fill>
                <patternFill>
                  <bgColor rgb="FFFFC7CE"/>
                </patternFill>
              </fill>
            </x14:dxf>
          </x14:cfRule>
          <x14:cfRule type="cellIs" priority="27" operator="lessThanOrEqual" id="{B07E7E45-517B-475B-BA00-F380851C65E7}">
            <xm:f>Vaciado!$D$65</xm:f>
            <x14:dxf>
              <font>
                <color rgb="FF006100"/>
              </font>
              <fill>
                <patternFill>
                  <bgColor rgb="FFC6EFCE"/>
                </patternFill>
              </fill>
            </x14:dxf>
          </x14:cfRule>
          <xm:sqref>D32:O32</xm:sqref>
        </x14:conditionalFormatting>
        <x14:conditionalFormatting xmlns:xm="http://schemas.microsoft.com/office/excel/2006/main">
          <x14:cfRule type="cellIs" priority="26" operator="greaterThan" id="{3920B8B9-0EF3-4EBD-A0E0-D2E002EEA7E6}">
            <xm:f>Vaciado!$D$68</xm:f>
            <x14:dxf>
              <font>
                <color rgb="FF9C0006"/>
              </font>
              <fill>
                <patternFill>
                  <bgColor rgb="FFFFC7CE"/>
                </patternFill>
              </fill>
            </x14:dxf>
          </x14:cfRule>
          <x14:cfRule type="cellIs" priority="25" operator="lessThanOrEqual" id="{1A073333-0E2A-42A0-AA18-1E02BF4FCAD0}">
            <xm:f>Vaciado!$D$68</xm:f>
            <x14:dxf>
              <font>
                <color rgb="FF006100"/>
              </font>
              <fill>
                <patternFill>
                  <bgColor rgb="FFC6EFCE"/>
                </patternFill>
              </fill>
            </x14:dxf>
          </x14:cfRule>
          <xm:sqref>D33:O33</xm:sqref>
        </x14:conditionalFormatting>
        <x14:conditionalFormatting xmlns:xm="http://schemas.microsoft.com/office/excel/2006/main">
          <x14:cfRule type="cellIs" priority="24" operator="greaterThan" id="{7F74F13F-E9D6-420B-A6B7-F12C417044F4}">
            <xm:f>Vaciado!$D$69</xm:f>
            <x14:dxf>
              <font>
                <color rgb="FF9C0006"/>
              </font>
              <fill>
                <patternFill>
                  <bgColor rgb="FFFFC7CE"/>
                </patternFill>
              </fill>
            </x14:dxf>
          </x14:cfRule>
          <x14:cfRule type="cellIs" priority="23" operator="lessThanOrEqual" id="{6582E751-3F5B-48C1-A5B0-1287EE5E3DF4}">
            <xm:f>Vaciado!$D$69</xm:f>
            <x14:dxf>
              <font>
                <color rgb="FF006100"/>
              </font>
              <fill>
                <patternFill>
                  <bgColor rgb="FFC6EFCE"/>
                </patternFill>
              </fill>
            </x14:dxf>
          </x14:cfRule>
          <xm:sqref>D34:O34</xm:sqref>
        </x14:conditionalFormatting>
        <x14:conditionalFormatting xmlns:xm="http://schemas.microsoft.com/office/excel/2006/main">
          <x14:cfRule type="cellIs" priority="22" operator="greaterThan" id="{0C84A28C-5C4C-4055-BF0C-6613B0667851}">
            <xm:f>Vaciado!$D$70</xm:f>
            <x14:dxf>
              <font>
                <color rgb="FF9C0006"/>
              </font>
              <fill>
                <patternFill>
                  <bgColor rgb="FFFFC7CE"/>
                </patternFill>
              </fill>
            </x14:dxf>
          </x14:cfRule>
          <x14:cfRule type="cellIs" priority="21" operator="lessThanOrEqual" id="{28775A30-932E-4111-8E33-6D8918FC7296}">
            <xm:f>Vaciado!$D$70</xm:f>
            <x14:dxf>
              <font>
                <color rgb="FF006100"/>
              </font>
              <fill>
                <patternFill>
                  <bgColor rgb="FFC6EFCE"/>
                </patternFill>
              </fill>
            </x14:dxf>
          </x14:cfRule>
          <xm:sqref>D35:O35</xm:sqref>
        </x14:conditionalFormatting>
        <x14:conditionalFormatting xmlns:xm="http://schemas.microsoft.com/office/excel/2006/main">
          <x14:cfRule type="cellIs" priority="20" operator="greaterThan" id="{83DBBB10-C640-4206-A46D-4B05622015BD}">
            <xm:f>Vaciado!$D$71</xm:f>
            <x14:dxf>
              <font>
                <color rgb="FF9C0006"/>
              </font>
              <fill>
                <patternFill>
                  <bgColor rgb="FFFFC7CE"/>
                </patternFill>
              </fill>
            </x14:dxf>
          </x14:cfRule>
          <x14:cfRule type="cellIs" priority="19" operator="lessThanOrEqual" id="{8DF3D788-6D23-42DB-A10F-92C30427943F}">
            <xm:f>Vaciado!$D$71</xm:f>
            <x14:dxf>
              <font>
                <color rgb="FF006100"/>
              </font>
              <fill>
                <patternFill>
                  <bgColor rgb="FFC6EFCE"/>
                </patternFill>
              </fill>
            </x14:dxf>
          </x14:cfRule>
          <xm:sqref>D36:O36</xm:sqref>
        </x14:conditionalFormatting>
        <x14:conditionalFormatting xmlns:xm="http://schemas.microsoft.com/office/excel/2006/main">
          <x14:cfRule type="cellIs" priority="18" operator="greaterThan" id="{0BE309A2-BFA8-4CA4-9637-FC59AA305780}">
            <xm:f>Vaciado!$D$72</xm:f>
            <x14:dxf>
              <font>
                <color rgb="FF9C0006"/>
              </font>
              <fill>
                <patternFill>
                  <bgColor rgb="FFFFC7CE"/>
                </patternFill>
              </fill>
            </x14:dxf>
          </x14:cfRule>
          <x14:cfRule type="cellIs" priority="17" operator="lessThanOrEqual" id="{2BFA0FBE-5E0D-43EA-850A-0F4AD3C8FD3A}">
            <xm:f>Vaciado!$D$72</xm:f>
            <x14:dxf>
              <font>
                <color rgb="FF006100"/>
              </font>
              <fill>
                <patternFill>
                  <bgColor rgb="FFC6EFCE"/>
                </patternFill>
              </fill>
            </x14:dxf>
          </x14:cfRule>
          <xm:sqref>D37:O37</xm:sqref>
        </x14:conditionalFormatting>
        <x14:conditionalFormatting xmlns:xm="http://schemas.microsoft.com/office/excel/2006/main">
          <x14:cfRule type="cellIs" priority="1" operator="lessThan" id="{98CC0830-DF78-4E55-8212-6695EAE756FF}">
            <xm:f>Flujos!E89</xm:f>
            <x14:dxf>
              <font>
                <color rgb="FF9C0006"/>
              </font>
              <fill>
                <patternFill>
                  <bgColor rgb="FFFFC7CE"/>
                </patternFill>
              </fill>
            </x14:dxf>
          </x14:cfRule>
          <x14:cfRule type="cellIs" priority="2" operator="greaterThanOrEqual" id="{EF70EAB1-0EB7-450D-845A-5F94CABB6F11}">
            <xm:f>Flujos!E89</xm:f>
            <x14:dxf>
              <font>
                <color rgb="FF006100"/>
              </font>
              <fill>
                <patternFill>
                  <bgColor rgb="FFC6EFCE"/>
                </patternFill>
              </fill>
            </x14:dxf>
          </x14:cfRule>
          <xm:sqref>D38:O41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FA54-D341-48A5-98BB-75F6EC7520CF}">
  <sheetPr>
    <tabColor theme="9"/>
  </sheetPr>
  <dimension ref="B2:X34"/>
  <sheetViews>
    <sheetView showGridLines="0" topLeftCell="A21" zoomScale="77" workbookViewId="0">
      <selection activeCell="F21" sqref="F21:G21"/>
    </sheetView>
  </sheetViews>
  <sheetFormatPr baseColWidth="10" defaultRowHeight="14.5" x14ac:dyDescent="0.35"/>
  <cols>
    <col min="1" max="1" width="3.453125" customWidth="1"/>
    <col min="2" max="2" width="30.6328125" bestFit="1" customWidth="1"/>
    <col min="6" max="6" width="16.1796875" bestFit="1" customWidth="1"/>
    <col min="7" max="7" width="18.36328125" bestFit="1" customWidth="1"/>
    <col min="8" max="9" width="18.36328125" customWidth="1"/>
    <col min="10" max="24" width="9.6328125" customWidth="1"/>
  </cols>
  <sheetData>
    <row r="2" spans="2:24" x14ac:dyDescent="0.35">
      <c r="B2" s="116" t="s">
        <v>26</v>
      </c>
      <c r="C2" s="20">
        <v>2024</v>
      </c>
      <c r="D2" s="20">
        <v>2025</v>
      </c>
      <c r="E2" s="20">
        <v>2026</v>
      </c>
      <c r="I2" s="116" t="s">
        <v>26</v>
      </c>
      <c r="J2" s="40" t="s">
        <v>237</v>
      </c>
      <c r="K2" s="40" t="s">
        <v>236</v>
      </c>
      <c r="L2" s="40" t="s">
        <v>235</v>
      </c>
      <c r="M2" s="40" t="s">
        <v>226</v>
      </c>
      <c r="N2" s="40" t="s">
        <v>227</v>
      </c>
      <c r="O2" s="40" t="s">
        <v>228</v>
      </c>
      <c r="P2" s="40" t="s">
        <v>229</v>
      </c>
      <c r="Q2" s="40" t="s">
        <v>230</v>
      </c>
      <c r="R2" s="40" t="s">
        <v>231</v>
      </c>
      <c r="S2" s="40" t="s">
        <v>232</v>
      </c>
      <c r="T2" s="40" t="s">
        <v>233</v>
      </c>
      <c r="U2" s="40" t="s">
        <v>234</v>
      </c>
      <c r="V2" s="40">
        <v>2024</v>
      </c>
      <c r="W2" s="40">
        <v>2025</v>
      </c>
      <c r="X2" s="40">
        <v>2026</v>
      </c>
    </row>
    <row r="3" spans="2:24" x14ac:dyDescent="0.35">
      <c r="B3" s="28" t="s">
        <v>303</v>
      </c>
      <c r="C3" s="34">
        <f>'Para reporte'!J28</f>
        <v>1564.5643136843578</v>
      </c>
      <c r="D3" s="34">
        <f>'Para reporte'!K28</f>
        <v>3364.8210334941605</v>
      </c>
      <c r="E3" s="34">
        <f>'Para reporte'!L28</f>
        <v>5160.3446717012794</v>
      </c>
      <c r="I3" s="28" t="s">
        <v>311</v>
      </c>
      <c r="J3" s="99">
        <f>Flujos!E12</f>
        <v>1.2333333333333332</v>
      </c>
      <c r="K3" s="99">
        <f>Flujos!F12</f>
        <v>0</v>
      </c>
      <c r="L3" s="99">
        <f>Flujos!G12</f>
        <v>5.344444444444445</v>
      </c>
      <c r="M3" s="99">
        <f>Flujos!H12</f>
        <v>67.422222222222217</v>
      </c>
      <c r="N3" s="99">
        <f>Flujos!I12</f>
        <v>112.64444444444445</v>
      </c>
      <c r="O3" s="99">
        <f>Flujos!J12</f>
        <v>112.64444444444445</v>
      </c>
      <c r="P3" s="99">
        <f>Flujos!K12</f>
        <v>203.9111111111111</v>
      </c>
      <c r="Q3" s="99">
        <f>Flujos!L12</f>
        <v>208.84444444444443</v>
      </c>
      <c r="R3" s="99">
        <f>Flujos!M12</f>
        <v>208.84444444444443</v>
      </c>
      <c r="S3" s="99">
        <f>Flujos!N12</f>
        <v>213.77777777777777</v>
      </c>
      <c r="T3" s="99">
        <f>Flujos!O12</f>
        <v>213.77777777777777</v>
      </c>
      <c r="U3" s="99">
        <f>Flujos!P12</f>
        <v>216.11986923991333</v>
      </c>
      <c r="V3" s="99">
        <f>SUM(J3:U3)</f>
        <v>1564.5643136843578</v>
      </c>
      <c r="W3" s="99">
        <f>'Para reporte'!K13</f>
        <v>3364.8210334941605</v>
      </c>
      <c r="X3" s="99">
        <f>'Para reporte'!L13</f>
        <v>5160.3446717012785</v>
      </c>
    </row>
    <row r="4" spans="2:24" ht="15" thickBot="1" x14ac:dyDescent="0.4">
      <c r="B4" s="130" t="s">
        <v>261</v>
      </c>
      <c r="C4" s="131">
        <f>Flujos!B95</f>
        <v>1760.1348528949027</v>
      </c>
      <c r="D4" s="131">
        <f>Flujos!C85</f>
        <v>6412.4650777917605</v>
      </c>
      <c r="E4" s="131">
        <f>Flujos!D85</f>
        <v>10365.220276728898</v>
      </c>
      <c r="I4" s="115" t="s">
        <v>320</v>
      </c>
      <c r="J4" s="118">
        <f>J3</f>
        <v>1.2333333333333332</v>
      </c>
      <c r="K4" s="118">
        <f>J4+K3</f>
        <v>1.2333333333333332</v>
      </c>
      <c r="L4" s="118">
        <f t="shared" ref="L4:U4" si="0">K4+L3</f>
        <v>6.5777777777777784</v>
      </c>
      <c r="M4" s="118">
        <f t="shared" si="0"/>
        <v>74</v>
      </c>
      <c r="N4" s="118">
        <f t="shared" si="0"/>
        <v>186.64444444444445</v>
      </c>
      <c r="O4" s="118">
        <f t="shared" si="0"/>
        <v>299.28888888888889</v>
      </c>
      <c r="P4" s="118">
        <f t="shared" si="0"/>
        <v>503.2</v>
      </c>
      <c r="Q4" s="118">
        <f t="shared" si="0"/>
        <v>712.04444444444448</v>
      </c>
      <c r="R4" s="118">
        <f t="shared" si="0"/>
        <v>920.88888888888891</v>
      </c>
      <c r="S4" s="118">
        <f t="shared" si="0"/>
        <v>1134.6666666666667</v>
      </c>
      <c r="T4" s="118">
        <f t="shared" si="0"/>
        <v>1348.4444444444446</v>
      </c>
      <c r="U4" s="118">
        <f t="shared" si="0"/>
        <v>1564.5643136843578</v>
      </c>
      <c r="V4" s="118">
        <f>U4</f>
        <v>1564.5643136843578</v>
      </c>
      <c r="W4" s="118">
        <f>W3</f>
        <v>3364.8210334941605</v>
      </c>
      <c r="X4" s="118">
        <f>X3</f>
        <v>5160.3446717012785</v>
      </c>
    </row>
    <row r="5" spans="2:24" x14ac:dyDescent="0.35">
      <c r="B5" s="17" t="s">
        <v>262</v>
      </c>
      <c r="C5" s="96">
        <f>C3+C4</f>
        <v>3324.6991665792602</v>
      </c>
      <c r="D5" s="96">
        <f>D3+D4</f>
        <v>9777.2861112859209</v>
      </c>
      <c r="E5" s="96">
        <f>E3+E4</f>
        <v>15525.564948430178</v>
      </c>
      <c r="I5" s="115" t="s">
        <v>318</v>
      </c>
      <c r="J5" s="114">
        <f>($C$10/12)</f>
        <v>355.10974074074073</v>
      </c>
      <c r="K5" s="114">
        <f t="shared" ref="K5:U5" si="1">($C$10/12)+J5</f>
        <v>710.21948148148147</v>
      </c>
      <c r="L5" s="114">
        <f t="shared" si="1"/>
        <v>1065.3292222222221</v>
      </c>
      <c r="M5" s="114">
        <f t="shared" si="1"/>
        <v>1420.4389629629629</v>
      </c>
      <c r="N5" s="114">
        <f t="shared" si="1"/>
        <v>1775.5487037037037</v>
      </c>
      <c r="O5" s="114">
        <f t="shared" si="1"/>
        <v>2130.6584444444443</v>
      </c>
      <c r="P5" s="114">
        <f t="shared" si="1"/>
        <v>2485.7681851851848</v>
      </c>
      <c r="Q5" s="114">
        <f t="shared" si="1"/>
        <v>2840.8779259259254</v>
      </c>
      <c r="R5" s="114">
        <f t="shared" si="1"/>
        <v>3195.987666666666</v>
      </c>
      <c r="S5" s="114">
        <f t="shared" si="1"/>
        <v>3551.0974074074065</v>
      </c>
      <c r="T5" s="114">
        <f t="shared" si="1"/>
        <v>3906.2071481481471</v>
      </c>
      <c r="U5" s="114">
        <f t="shared" si="1"/>
        <v>4261.3168888888877</v>
      </c>
      <c r="V5" s="114">
        <f>U5</f>
        <v>4261.3168888888877</v>
      </c>
      <c r="W5" s="114">
        <f>D10</f>
        <v>4389.1563955555557</v>
      </c>
      <c r="X5" s="114">
        <f>E10</f>
        <v>4520.8310874222225</v>
      </c>
    </row>
    <row r="6" spans="2:24" x14ac:dyDescent="0.35">
      <c r="B6" s="17"/>
      <c r="C6" s="96"/>
      <c r="D6" s="96"/>
      <c r="E6" s="96"/>
      <c r="I6" s="19" t="s">
        <v>321</v>
      </c>
      <c r="J6" s="40">
        <f>P.Comercial!H10</f>
        <v>1</v>
      </c>
      <c r="K6" s="40">
        <f>P.Comercial!I10+J6</f>
        <v>1</v>
      </c>
      <c r="L6" s="40">
        <f>P.Comercial!J10+K6</f>
        <v>3</v>
      </c>
      <c r="M6" s="40">
        <f>P.Comercial!K10+L6</f>
        <v>10</v>
      </c>
      <c r="N6" s="40">
        <f>P.Comercial!L10+M6</f>
        <v>29</v>
      </c>
      <c r="O6" s="40">
        <f>P.Comercial!M10+N6</f>
        <v>48</v>
      </c>
      <c r="P6" s="40">
        <f>P.Comercial!N10+O6</f>
        <v>78</v>
      </c>
      <c r="Q6" s="40">
        <f>P.Comercial!O10+P6</f>
        <v>112</v>
      </c>
      <c r="R6" s="40">
        <f>P.Comercial!P10+Q6</f>
        <v>146</v>
      </c>
      <c r="S6" s="40">
        <f>P.Comercial!Q10+R6</f>
        <v>184</v>
      </c>
      <c r="T6" s="40">
        <f>P.Comercial!R10+S6</f>
        <v>222</v>
      </c>
      <c r="U6" s="40">
        <f>P.Comercial!S10+T6</f>
        <v>260</v>
      </c>
      <c r="V6" s="42">
        <f>'Para reporte'!J3</f>
        <v>260</v>
      </c>
      <c r="W6" s="42">
        <f>'Para reporte'!K3</f>
        <v>515</v>
      </c>
      <c r="X6" s="42">
        <f>'Para reporte'!L3</f>
        <v>814</v>
      </c>
    </row>
    <row r="7" spans="2:24" x14ac:dyDescent="0.35">
      <c r="B7" s="117" t="s">
        <v>305</v>
      </c>
      <c r="C7" s="165">
        <f>Metas!C15</f>
        <v>157.64280260121677</v>
      </c>
      <c r="D7" s="118">
        <f>Metas!D15</f>
        <v>655.71173071813155</v>
      </c>
      <c r="E7" s="118">
        <f>Metas!E15</f>
        <v>1177.6092949444092</v>
      </c>
      <c r="I7" s="117" t="s">
        <v>319</v>
      </c>
      <c r="J7" s="123">
        <f>J5/'Unit Economics'!$C$3</f>
        <v>59.125781314238488</v>
      </c>
      <c r="K7" s="123">
        <f>K5/'Unit Economics'!$C$3</f>
        <v>118.25156262847698</v>
      </c>
      <c r="L7" s="123">
        <f>L5/'Unit Economics'!$C$3</f>
        <v>177.37734394271544</v>
      </c>
      <c r="M7" s="123">
        <f>M5/'Unit Economics'!$C$3</f>
        <v>236.50312525695395</v>
      </c>
      <c r="N7" s="123">
        <f>N5/'Unit Economics'!$C$3</f>
        <v>295.62890657119243</v>
      </c>
      <c r="O7" s="123">
        <f>O5/'Unit Economics'!$C$3</f>
        <v>354.75468788543088</v>
      </c>
      <c r="P7" s="123">
        <f>P5/'Unit Economics'!$C$3</f>
        <v>413.88046919966934</v>
      </c>
      <c r="Q7" s="123">
        <f>Q5/'Unit Economics'!$C$3</f>
        <v>473.00625051390779</v>
      </c>
      <c r="R7" s="123">
        <f>R5/'Unit Economics'!$C$3</f>
        <v>532.1320318281463</v>
      </c>
      <c r="S7" s="123">
        <f>S5/'Unit Economics'!$C$3</f>
        <v>591.25781314238475</v>
      </c>
      <c r="T7" s="123">
        <f>T5/'Unit Economics'!$C$3</f>
        <v>650.3835944566232</v>
      </c>
      <c r="U7" s="123">
        <f>U5/'Unit Economics'!$C$3</f>
        <v>709.50937577086165</v>
      </c>
      <c r="V7" s="123">
        <f>V5/'Unit Economics'!C3</f>
        <v>709.50937577086165</v>
      </c>
      <c r="W7" s="123">
        <f>W5/'Unit Economics'!D3</f>
        <v>866.1381445367582</v>
      </c>
      <c r="X7" s="123">
        <f>X5/'Unit Economics'!E3</f>
        <v>1077.1299546069126</v>
      </c>
    </row>
    <row r="8" spans="2:24" x14ac:dyDescent="0.35">
      <c r="B8" s="117" t="s">
        <v>219</v>
      </c>
      <c r="C8" s="119">
        <f>Metas!C16</f>
        <v>1.112048043447607</v>
      </c>
      <c r="D8" s="119">
        <f>Metas!D16</f>
        <v>1.2420395995267606</v>
      </c>
      <c r="E8" s="119">
        <f>Metas!E16</f>
        <v>1.2956785182909474</v>
      </c>
    </row>
    <row r="9" spans="2:24" x14ac:dyDescent="0.35">
      <c r="B9" s="17"/>
      <c r="C9" s="96"/>
      <c r="D9" s="96"/>
      <c r="E9" s="96"/>
    </row>
    <row r="10" spans="2:24" x14ac:dyDescent="0.35">
      <c r="B10" s="117" t="s">
        <v>218</v>
      </c>
      <c r="C10" s="118">
        <f>Metas!E7</f>
        <v>4261.3168888888886</v>
      </c>
      <c r="D10" s="118">
        <f>Metas!E8</f>
        <v>4389.1563955555557</v>
      </c>
      <c r="E10" s="118">
        <f>Metas!E9</f>
        <v>4520.8310874222225</v>
      </c>
    </row>
    <row r="11" spans="2:24" x14ac:dyDescent="0.35">
      <c r="B11" s="117" t="s">
        <v>306</v>
      </c>
      <c r="C11" s="119">
        <f>(C3-C10)/C3</f>
        <v>-1.7236444367403523</v>
      </c>
      <c r="D11" s="119">
        <f>(D3-D10)/D3</f>
        <v>-0.30442491647102127</v>
      </c>
      <c r="E11" s="119">
        <f>(E3-E10)/E3</f>
        <v>0.12392846310946512</v>
      </c>
    </row>
    <row r="12" spans="2:24" x14ac:dyDescent="0.35">
      <c r="B12" s="117" t="s">
        <v>307</v>
      </c>
      <c r="C12" s="119">
        <f>(C5-C10)/C5</f>
        <v>-0.28171502905428347</v>
      </c>
      <c r="D12" s="119">
        <f>(D5-D10)/D5</f>
        <v>0.55108643179735195</v>
      </c>
      <c r="E12" s="119">
        <f>(E5-E10)/E5</f>
        <v>0.70881374671783948</v>
      </c>
    </row>
    <row r="15" spans="2:24" x14ac:dyDescent="0.35">
      <c r="B15" s="116" t="s">
        <v>26</v>
      </c>
      <c r="C15" s="20">
        <v>2024</v>
      </c>
      <c r="D15" s="20">
        <v>2025</v>
      </c>
      <c r="E15" s="20">
        <v>2026</v>
      </c>
    </row>
    <row r="16" spans="2:24" x14ac:dyDescent="0.35">
      <c r="B16" s="19" t="s">
        <v>308</v>
      </c>
      <c r="C16" s="99">
        <f>'Unit Economics'!C22</f>
        <v>208.96388414708758</v>
      </c>
      <c r="D16" s="99">
        <f>'Unit Economics'!D22</f>
        <v>161.27352224057756</v>
      </c>
      <c r="E16" s="99">
        <f>'Unit Economics'!E22</f>
        <v>154.56498650881065</v>
      </c>
    </row>
    <row r="17" spans="2:8" x14ac:dyDescent="0.35">
      <c r="B17" s="26" t="s">
        <v>223</v>
      </c>
      <c r="C17" s="120"/>
      <c r="D17" s="38">
        <f>(D16-C16)/C16</f>
        <v>-0.22822298743710781</v>
      </c>
      <c r="E17" s="38">
        <f>(E16-D16)/D16</f>
        <v>-4.1597254394677069E-2</v>
      </c>
    </row>
    <row r="18" spans="2:8" x14ac:dyDescent="0.35">
      <c r="B18" s="28" t="s">
        <v>222</v>
      </c>
      <c r="C18" s="99">
        <f>IF(C16&gt;'Unit Economics'!C21,'Unit Economics'!C20,'Unit Economics'!C21)</f>
        <v>208.96388414708758</v>
      </c>
      <c r="D18" s="99">
        <f>D16</f>
        <v>161.27352224057756</v>
      </c>
      <c r="E18" s="99">
        <f>E16</f>
        <v>154.56498650881065</v>
      </c>
    </row>
    <row r="19" spans="2:8" x14ac:dyDescent="0.35">
      <c r="B19" s="117" t="s">
        <v>309</v>
      </c>
      <c r="C19" s="99">
        <f>C7-C18</f>
        <v>-51.321081545870811</v>
      </c>
      <c r="D19" s="99">
        <f>D7-D18</f>
        <v>494.43820847755399</v>
      </c>
      <c r="E19" s="99">
        <f>E7-E18</f>
        <v>1023.0443084355985</v>
      </c>
      <c r="F19" s="34"/>
    </row>
    <row r="20" spans="2:8" x14ac:dyDescent="0.35">
      <c r="D20" s="19"/>
      <c r="E20" s="19"/>
    </row>
    <row r="21" spans="2:8" ht="15" thickBot="1" x14ac:dyDescent="0.4">
      <c r="B21" s="31" t="s">
        <v>13</v>
      </c>
      <c r="C21" s="20">
        <v>2024</v>
      </c>
      <c r="D21" s="20">
        <v>2025</v>
      </c>
      <c r="E21" s="20">
        <v>2026</v>
      </c>
      <c r="F21" s="324" t="s">
        <v>239</v>
      </c>
      <c r="G21" s="324"/>
      <c r="H21" s="20"/>
    </row>
    <row r="22" spans="2:8" ht="15" thickTop="1" x14ac:dyDescent="0.35">
      <c r="B22" s="29" t="s">
        <v>2</v>
      </c>
      <c r="C22" s="32">
        <f>'Para reporte'!J47</f>
        <v>1564.5643136843578</v>
      </c>
      <c r="D22" s="32">
        <f>'Para reporte'!K47</f>
        <v>3364.8210334941605</v>
      </c>
      <c r="E22" s="32">
        <f>'Para reporte'!L47</f>
        <v>5160.3446717012785</v>
      </c>
      <c r="F22" s="121" t="s">
        <v>241</v>
      </c>
      <c r="G22" s="19"/>
      <c r="H22" s="19"/>
    </row>
    <row r="23" spans="2:8" x14ac:dyDescent="0.35">
      <c r="B23" s="19" t="s">
        <v>132</v>
      </c>
      <c r="C23" s="99">
        <f>'Para reporte'!J48</f>
        <v>121.79428300468498</v>
      </c>
      <c r="D23" s="99">
        <f>'Para reporte'!K48</f>
        <v>268.29194650723724</v>
      </c>
      <c r="E23" s="99">
        <f>'Para reporte'!L48</f>
        <v>389.09051022655757</v>
      </c>
      <c r="F23" s="121"/>
      <c r="G23" s="19"/>
      <c r="H23" s="19"/>
    </row>
    <row r="24" spans="2:8" x14ac:dyDescent="0.35">
      <c r="B24" s="26" t="s">
        <v>134</v>
      </c>
      <c r="C24" s="38">
        <f>(C22-C23)/C22</f>
        <v>0.92215450528979892</v>
      </c>
      <c r="D24" s="38">
        <f>(D22-D23)/D22</f>
        <v>0.92026561180027078</v>
      </c>
      <c r="E24" s="38">
        <f>(E22-E23)/E22</f>
        <v>0.92459989884778737</v>
      </c>
      <c r="F24" s="122" t="s">
        <v>240</v>
      </c>
      <c r="G24" s="19"/>
      <c r="H24" s="19"/>
    </row>
    <row r="25" spans="2:8" ht="15" thickBot="1" x14ac:dyDescent="0.4">
      <c r="B25" s="19" t="s">
        <v>37</v>
      </c>
      <c r="C25" s="99">
        <f>'Para reporte'!J49</f>
        <v>385.07703789944759</v>
      </c>
      <c r="D25" s="99">
        <f>'Para reporte'!K49</f>
        <v>783.32729403538201</v>
      </c>
      <c r="E25" s="99">
        <f>'Para reporte'!L49</f>
        <v>1180.1624944409482</v>
      </c>
      <c r="F25" s="122"/>
      <c r="G25" s="19"/>
      <c r="H25" s="19"/>
    </row>
    <row r="26" spans="2:8" ht="15" thickBot="1" x14ac:dyDescent="0.4">
      <c r="B26" s="26" t="s">
        <v>312</v>
      </c>
      <c r="C26" s="120">
        <f>Metas!C22</f>
        <v>1.4810655303824907</v>
      </c>
      <c r="D26" s="120">
        <f>Metas!D22</f>
        <v>1.5210238719133631</v>
      </c>
      <c r="E26" s="120">
        <f>Metas!E22</f>
        <v>1.449831074251779</v>
      </c>
      <c r="F26" s="122" t="s">
        <v>313</v>
      </c>
      <c r="G26" s="148">
        <v>10</v>
      </c>
      <c r="H26" s="150"/>
    </row>
    <row r="27" spans="2:8" ht="15" thickBot="1" x14ac:dyDescent="0.4">
      <c r="B27" s="30" t="s">
        <v>137</v>
      </c>
      <c r="C27" s="37">
        <f>'Para reporte'!J50</f>
        <v>328.98421568421787</v>
      </c>
      <c r="D27" s="37">
        <f>'Para reporte'!K50</f>
        <v>429.33038500804139</v>
      </c>
      <c r="E27" s="37">
        <f>'Para reporte'!L50</f>
        <v>529.95656691839736</v>
      </c>
      <c r="F27" s="122"/>
      <c r="G27" s="19"/>
      <c r="H27" s="19"/>
    </row>
    <row r="28" spans="2:8" ht="15" thickBot="1" x14ac:dyDescent="0.4">
      <c r="B28" s="21" t="s">
        <v>42</v>
      </c>
      <c r="C28" s="34">
        <f>'Para reporte'!J51</f>
        <v>728.70877709600745</v>
      </c>
      <c r="D28" s="34">
        <f>'Para reporte'!K51</f>
        <v>1883.8714079434999</v>
      </c>
      <c r="E28" s="34">
        <f>'Para reporte'!L51</f>
        <v>3061.1351001153753</v>
      </c>
      <c r="F28" s="122" t="s">
        <v>310</v>
      </c>
      <c r="G28" s="19"/>
      <c r="H28" s="19"/>
    </row>
    <row r="29" spans="2:8" ht="15" thickBot="1" x14ac:dyDescent="0.4">
      <c r="B29" s="26" t="s">
        <v>138</v>
      </c>
      <c r="C29" s="38">
        <f>'Para reporte'!J52</f>
        <v>0.4657582757847693</v>
      </c>
      <c r="D29" s="38">
        <f>'Para reporte'!K52</f>
        <v>0.55987269135298257</v>
      </c>
      <c r="E29" s="38">
        <f>'Para reporte'!L52</f>
        <v>0.59320361232889718</v>
      </c>
      <c r="F29" s="122" t="s">
        <v>314</v>
      </c>
      <c r="G29" s="149">
        <v>0</v>
      </c>
      <c r="H29" s="151"/>
    </row>
    <row r="31" spans="2:8" ht="15" thickBot="1" x14ac:dyDescent="0.4">
      <c r="B31" s="19"/>
      <c r="C31" s="20" t="s">
        <v>242</v>
      </c>
      <c r="D31" s="324" t="s">
        <v>239</v>
      </c>
      <c r="E31" s="324"/>
    </row>
    <row r="32" spans="2:8" ht="15" thickTop="1" x14ac:dyDescent="0.35">
      <c r="B32" s="28" t="s">
        <v>420</v>
      </c>
      <c r="C32" s="34">
        <f>C18+D18+E18</f>
        <v>524.80239289647579</v>
      </c>
      <c r="D32" s="124" t="s">
        <v>315</v>
      </c>
      <c r="E32" s="124">
        <v>350</v>
      </c>
    </row>
    <row r="33" spans="2:5" x14ac:dyDescent="0.35">
      <c r="B33" s="19" t="s">
        <v>224</v>
      </c>
      <c r="C33" s="40">
        <f>SUM(Flujos!E56:AN56)</f>
        <v>3</v>
      </c>
      <c r="D33" s="124" t="s">
        <v>316</v>
      </c>
      <c r="E33" s="124">
        <v>4</v>
      </c>
    </row>
    <row r="34" spans="2:5" x14ac:dyDescent="0.35">
      <c r="B34" s="19" t="s">
        <v>225</v>
      </c>
      <c r="C34" s="40">
        <f>SUM(Flujos!E58:AN58)</f>
        <v>10</v>
      </c>
      <c r="D34" s="124" t="s">
        <v>316</v>
      </c>
      <c r="E34" s="124">
        <v>12</v>
      </c>
    </row>
  </sheetData>
  <mergeCells count="2">
    <mergeCell ref="F21:G21"/>
    <mergeCell ref="D31:E31"/>
  </mergeCells>
  <phoneticPr fontId="3" type="noConversion"/>
  <conditionalFormatting sqref="C10">
    <cfRule type="cellIs" dxfId="31" priority="48" operator="lessThan">
      <formula>$C$3</formula>
    </cfRule>
    <cfRule type="cellIs" dxfId="30" priority="49" operator="greaterThan">
      <formula>$C$3</formula>
    </cfRule>
  </conditionalFormatting>
  <conditionalFormatting sqref="C32">
    <cfRule type="cellIs" dxfId="29" priority="5" operator="lessThan">
      <formula>$E$32</formula>
    </cfRule>
    <cfRule type="cellIs" dxfId="28" priority="6" operator="greaterThanOrEqual">
      <formula>$E$32</formula>
    </cfRule>
  </conditionalFormatting>
  <conditionalFormatting sqref="C33">
    <cfRule type="cellIs" dxfId="27" priority="3" operator="lessThan">
      <formula>$E$33</formula>
    </cfRule>
    <cfRule type="cellIs" dxfId="26" priority="4" operator="greaterThanOrEqual">
      <formula>$E$33</formula>
    </cfRule>
  </conditionalFormatting>
  <conditionalFormatting sqref="C34">
    <cfRule type="cellIs" dxfId="25" priority="1" operator="lessThan">
      <formula>$E$34</formula>
    </cfRule>
    <cfRule type="cellIs" dxfId="24" priority="2" operator="greaterThanOrEqual">
      <formula>$E$34</formula>
    </cfRule>
  </conditionalFormatting>
  <conditionalFormatting sqref="C7:E8">
    <cfRule type="cellIs" dxfId="23" priority="17" operator="lessThanOrEqual">
      <formula>0</formula>
    </cfRule>
    <cfRule type="cellIs" dxfId="22" priority="18" operator="greaterThan">
      <formula>0</formula>
    </cfRule>
  </conditionalFormatting>
  <conditionalFormatting sqref="C11:E12">
    <cfRule type="cellIs" dxfId="21" priority="50" operator="greaterThan">
      <formula>0</formula>
    </cfRule>
    <cfRule type="cellIs" dxfId="20" priority="51" operator="lessThan">
      <formula>0</formula>
    </cfRule>
  </conditionalFormatting>
  <conditionalFormatting sqref="C19:E19">
    <cfRule type="cellIs" dxfId="19" priority="15" operator="lessThanOrEqual">
      <formula>0</formula>
    </cfRule>
    <cfRule type="cellIs" dxfId="18" priority="16" operator="greaterThan">
      <formula>0</formula>
    </cfRule>
  </conditionalFormatting>
  <conditionalFormatting sqref="C22:E22">
    <cfRule type="cellIs" dxfId="17" priority="13" operator="lessThanOrEqual">
      <formula>1000</formula>
    </cfRule>
    <cfRule type="cellIs" dxfId="16" priority="14" operator="greaterThan">
      <formula>1000</formula>
    </cfRule>
  </conditionalFormatting>
  <conditionalFormatting sqref="C24:E24">
    <cfRule type="cellIs" dxfId="15" priority="11" operator="lessThanOrEqual">
      <formula>0.9</formula>
    </cfRule>
    <cfRule type="cellIs" dxfId="14" priority="12" operator="greaterThan">
      <formula>0.9</formula>
    </cfRule>
  </conditionalFormatting>
  <conditionalFormatting sqref="C26:E26">
    <cfRule type="cellIs" dxfId="13" priority="9" operator="lessThanOrEqual">
      <formula>$G$26</formula>
    </cfRule>
    <cfRule type="cellIs" dxfId="12" priority="10" operator="greaterThan">
      <formula>$G$26</formula>
    </cfRule>
  </conditionalFormatting>
  <conditionalFormatting sqref="C29:E29">
    <cfRule type="cellIs" dxfId="11" priority="7" operator="lessThanOrEqual">
      <formula>$G$29</formula>
    </cfRule>
    <cfRule type="cellIs" dxfId="10" priority="8" operator="greaterThan">
      <formula>$G$29</formula>
    </cfRule>
  </conditionalFormatting>
  <conditionalFormatting sqref="D10">
    <cfRule type="cellIs" dxfId="9" priority="46" operator="lessThan">
      <formula>$D$3</formula>
    </cfRule>
    <cfRule type="cellIs" dxfId="8" priority="47" operator="greaterThan">
      <formula>$D$3</formula>
    </cfRule>
  </conditionalFormatting>
  <conditionalFormatting sqref="E10">
    <cfRule type="cellIs" dxfId="7" priority="44" operator="lessThan">
      <formula>$E$3</formula>
    </cfRule>
    <cfRule type="cellIs" dxfId="6" priority="45" operator="greaterThan">
      <formula>$E$3</formula>
    </cfRule>
  </conditionalFormatting>
  <conditionalFormatting sqref="J5">
    <cfRule type="cellIs" dxfId="5" priority="39" operator="lessThan">
      <formula>$J$4</formula>
    </cfRule>
    <cfRule type="cellIs" dxfId="4" priority="40" operator="greaterThan">
      <formula>$J$4</formula>
    </cfRule>
  </conditionalFormatting>
  <conditionalFormatting sqref="J7:X7">
    <cfRule type="cellIs" dxfId="3" priority="35" operator="lessThan">
      <formula>J6</formula>
    </cfRule>
    <cfRule type="cellIs" dxfId="2" priority="36" operator="greaterThan">
      <formula>J6</formula>
    </cfRule>
  </conditionalFormatting>
  <conditionalFormatting sqref="K5:X5">
    <cfRule type="cellIs" dxfId="1" priority="37" operator="lessThan">
      <formula>K4</formula>
    </cfRule>
    <cfRule type="cellIs" dxfId="0" priority="38" operator="greaterThan">
      <formula>K4</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2FC7-191F-42F4-8C80-393D93B552A2}">
  <sheetPr>
    <tabColor rgb="FFFFFF00"/>
  </sheetPr>
  <dimension ref="B2:AB56"/>
  <sheetViews>
    <sheetView showGridLines="0" workbookViewId="0">
      <selection activeCell="F20" sqref="F20"/>
    </sheetView>
  </sheetViews>
  <sheetFormatPr baseColWidth="10" defaultRowHeight="14.5" x14ac:dyDescent="0.35"/>
  <cols>
    <col min="2" max="2" width="25.26953125" bestFit="1" customWidth="1"/>
    <col min="3" max="6" width="10.453125" customWidth="1"/>
    <col min="7" max="7" width="12.1796875" style="109" bestFit="1" customWidth="1"/>
    <col min="14" max="14" width="12.08984375" customWidth="1"/>
    <col min="20" max="20" width="13.54296875" customWidth="1"/>
    <col min="22" max="22" width="11.7265625" customWidth="1"/>
    <col min="24" max="24" width="11.90625" customWidth="1"/>
  </cols>
  <sheetData>
    <row r="2" spans="2:18" x14ac:dyDescent="0.35">
      <c r="C2" s="97">
        <v>2024</v>
      </c>
      <c r="D2" s="97">
        <v>2025</v>
      </c>
      <c r="E2" s="97">
        <v>2026</v>
      </c>
      <c r="F2" s="97" t="s">
        <v>428</v>
      </c>
    </row>
    <row r="3" spans="2:18" x14ac:dyDescent="0.35">
      <c r="B3" t="s">
        <v>166</v>
      </c>
      <c r="C3" s="302">
        <f>'Para reporte'!J23</f>
        <v>6.0060050429341949</v>
      </c>
      <c r="D3" s="302">
        <f>'Para reporte'!K23</f>
        <v>5.0675015564671089</v>
      </c>
      <c r="E3" s="302">
        <f>'Para reporte'!L23</f>
        <v>4.1971083137057983</v>
      </c>
      <c r="F3" s="302">
        <f>'Para reporte'!M16</f>
        <v>4.6841829242710293</v>
      </c>
      <c r="G3" s="109" t="s">
        <v>291</v>
      </c>
      <c r="L3" s="1">
        <f t="shared" ref="L3:N4" si="0">C15</f>
        <v>1564.5643136843578</v>
      </c>
      <c r="M3" s="1">
        <f t="shared" si="0"/>
        <v>3364.8210334941605</v>
      </c>
      <c r="N3" s="1">
        <f t="shared" si="0"/>
        <v>5160.3446717012785</v>
      </c>
      <c r="O3" s="1">
        <f>L3+M3+N3</f>
        <v>10089.730018879796</v>
      </c>
    </row>
    <row r="4" spans="2:18" x14ac:dyDescent="0.35">
      <c r="B4" t="s">
        <v>167</v>
      </c>
      <c r="C4" s="197">
        <f>Flujos!B10/Flujos!B4</f>
        <v>1.0019230769230769</v>
      </c>
      <c r="D4" s="197">
        <f>Flujos!C10/Flujos!C4</f>
        <v>1.2893203883495146</v>
      </c>
      <c r="E4" s="197">
        <f>Flujos!D10/Flujos!D4</f>
        <v>1.5104422604422605</v>
      </c>
      <c r="F4" s="197">
        <f>((Flujos!B10+Flujos!C10+Flujos!D10)/(Flujos!B4+Flujos!C4+Flujos!D4))</f>
        <v>1.3555695405915671</v>
      </c>
      <c r="G4" s="109" t="s">
        <v>169</v>
      </c>
      <c r="L4" s="194">
        <f t="shared" si="0"/>
        <v>1.4969608098884576E-3</v>
      </c>
      <c r="M4" s="194">
        <f t="shared" si="0"/>
        <v>0.20742358918019843</v>
      </c>
      <c r="N4" s="195">
        <f t="shared" si="0"/>
        <v>0.37716046676257342</v>
      </c>
      <c r="O4" s="195">
        <f>O5/O3</f>
        <v>0.26230269266480971</v>
      </c>
    </row>
    <row r="5" spans="2:18" x14ac:dyDescent="0.35">
      <c r="B5" t="s">
        <v>49</v>
      </c>
      <c r="C5" s="27">
        <f>'Para reporte'!J42/'Para reporte'!J3</f>
        <v>1.4810655303824907</v>
      </c>
      <c r="D5" s="27">
        <f>'Para reporte'!K42/'Para reporte'!K3</f>
        <v>1.5210238719133631</v>
      </c>
      <c r="E5" s="27">
        <f>'Para reporte'!L42/'Para reporte'!L3</f>
        <v>1.449831074251779</v>
      </c>
      <c r="F5" s="27">
        <f>'Para reporte'!M42/'Para reporte'!M3</f>
        <v>1.478015623899168</v>
      </c>
      <c r="G5" s="109" t="s">
        <v>290</v>
      </c>
      <c r="L5" s="1">
        <f>L3*L4</f>
        <v>2.3420914621355151</v>
      </c>
      <c r="M5" s="1">
        <f>M3*M4</f>
        <v>697.94325571638342</v>
      </c>
      <c r="N5" s="1">
        <f>N3*N4</f>
        <v>1946.278005034613</v>
      </c>
      <c r="O5" s="1">
        <f>SUM(L5:N5)</f>
        <v>2646.563352213132</v>
      </c>
    </row>
    <row r="6" spans="2:18" x14ac:dyDescent="0.35">
      <c r="B6" t="s">
        <v>176</v>
      </c>
      <c r="C6" s="8">
        <f>'Para reporte'!J52</f>
        <v>0.4657582757847693</v>
      </c>
      <c r="D6" s="8">
        <f>'Para reporte'!K52</f>
        <v>0.55987269135298257</v>
      </c>
      <c r="E6" s="8">
        <f>'Para reporte'!L52</f>
        <v>0.59320361232889718</v>
      </c>
      <c r="F6" s="8">
        <f>'Unit Economics'!C24</f>
        <v>0.4657582757847693</v>
      </c>
      <c r="G6" s="109" t="s">
        <v>177</v>
      </c>
      <c r="L6">
        <f>(C10*12)</f>
        <v>260</v>
      </c>
      <c r="M6">
        <f>(D10*12)</f>
        <v>515</v>
      </c>
      <c r="N6">
        <f>(E10*12)</f>
        <v>814</v>
      </c>
    </row>
    <row r="7" spans="2:18" x14ac:dyDescent="0.35">
      <c r="C7" s="8"/>
      <c r="D7" s="8"/>
      <c r="E7" s="8"/>
      <c r="F7" s="8"/>
    </row>
    <row r="9" spans="2:18" x14ac:dyDescent="0.35">
      <c r="C9" s="97">
        <v>2024</v>
      </c>
      <c r="D9" s="97">
        <v>2025</v>
      </c>
      <c r="E9" s="97">
        <v>2026</v>
      </c>
      <c r="F9" s="97" t="s">
        <v>428</v>
      </c>
    </row>
    <row r="10" spans="2:18" x14ac:dyDescent="0.35">
      <c r="B10" t="s">
        <v>168</v>
      </c>
      <c r="C10" s="4">
        <f>(Flujos!B4+Flujos!B5)/12</f>
        <v>21.666666666666668</v>
      </c>
      <c r="D10" s="4">
        <f>(Flujos!C4+Flujos!C5)/12</f>
        <v>42.916666666666664</v>
      </c>
      <c r="E10" s="4">
        <f>(Flujos!D4+Flujos!D5)/12</f>
        <v>67.833333333333329</v>
      </c>
      <c r="F10" s="4">
        <f>'MAP VALUE'!C7</f>
        <v>44.138888888888886</v>
      </c>
      <c r="G10" s="109" t="s">
        <v>292</v>
      </c>
    </row>
    <row r="11" spans="2:18" x14ac:dyDescent="0.35">
      <c r="B11" t="s">
        <v>6</v>
      </c>
      <c r="C11" s="142">
        <f>(POWER(('Para reporte'!J3/1),(1/11)))-1</f>
        <v>0.65784159428482991</v>
      </c>
      <c r="D11" s="142">
        <f>(POWER(('Para reporte'!K3/'Para reporte'!J3),(1/11)))-1</f>
        <v>6.4106015425299478E-2</v>
      </c>
      <c r="E11" s="142">
        <f>(POWER(('Para reporte'!L3/'Para reporte'!K3),(1/11)))-1</f>
        <v>4.2495739381318343E-2</v>
      </c>
      <c r="F11" s="142">
        <f>'MAP VALUE'!D4</f>
        <v>0.18523830682844381</v>
      </c>
      <c r="G11" s="109" t="s">
        <v>170</v>
      </c>
    </row>
    <row r="12" spans="2:18" x14ac:dyDescent="0.35">
      <c r="B12" t="s">
        <v>68</v>
      </c>
      <c r="C12" s="142">
        <f>(POWER((-'Para reporte'!J6/1),(1/11)))-1</f>
        <v>0.55659871785471049</v>
      </c>
      <c r="D12" s="142">
        <f>(POWER((-'Para reporte'!K6/1),(1/11)))-1</f>
        <v>0.65638605927250593</v>
      </c>
      <c r="E12" s="142">
        <f>(POWER((-'Para reporte'!L6/1),(1/11)))-1</f>
        <v>0.72677540956219921</v>
      </c>
      <c r="F12" s="142">
        <f>'MAP VALUE'!G7</f>
        <v>0.64658672889647184</v>
      </c>
      <c r="G12" s="109" t="s">
        <v>171</v>
      </c>
    </row>
    <row r="14" spans="2:18" x14ac:dyDescent="0.35">
      <c r="C14" s="97">
        <v>2024</v>
      </c>
      <c r="D14" s="97">
        <v>2025</v>
      </c>
      <c r="E14" s="97">
        <v>2026</v>
      </c>
      <c r="F14" s="97" t="s">
        <v>428</v>
      </c>
      <c r="L14" s="1">
        <f>C15+D15+E15</f>
        <v>10089.730018879796</v>
      </c>
      <c r="M14" t="s">
        <v>355</v>
      </c>
      <c r="N14" s="195">
        <f>L14/$L$14</f>
        <v>1</v>
      </c>
      <c r="P14">
        <v>0.471471730819012</v>
      </c>
    </row>
    <row r="15" spans="2:18" x14ac:dyDescent="0.35">
      <c r="B15" t="s">
        <v>293</v>
      </c>
      <c r="C15" s="6">
        <f>Flujos!B12</f>
        <v>1564.5643136843578</v>
      </c>
      <c r="D15" s="6">
        <f>Flujos!C12</f>
        <v>3364.8210334941605</v>
      </c>
      <c r="E15" s="6">
        <f>Flujos!D12</f>
        <v>5160.3446717012785</v>
      </c>
      <c r="F15" s="6">
        <f>C15+D15+E15</f>
        <v>10089.730018879796</v>
      </c>
      <c r="L15" s="1">
        <f>(C15*C16)+(D15*D16)+(E15*E16)</f>
        <v>2646.563352213132</v>
      </c>
      <c r="M15" t="s">
        <v>395</v>
      </c>
      <c r="N15" s="195">
        <f t="shared" ref="N15:N16" si="1">L15/$L$14</f>
        <v>0.26230269266480971</v>
      </c>
      <c r="O15" s="11">
        <f>O16</f>
        <v>1589</v>
      </c>
      <c r="P15" s="196">
        <f>P16</f>
        <v>4.6841829242710293</v>
      </c>
      <c r="Q15" s="1">
        <f>O15*P15*P14</f>
        <v>3509.2426711077092</v>
      </c>
      <c r="R15" s="1"/>
    </row>
    <row r="16" spans="2:18" x14ac:dyDescent="0.35">
      <c r="B16" t="s">
        <v>172</v>
      </c>
      <c r="C16" s="142">
        <f>P.Comercial!C73/P.Comercial!C48</f>
        <v>1.4969608098884576E-3</v>
      </c>
      <c r="D16" s="8">
        <f>P.Comercial!D73/P.Comercial!D48</f>
        <v>0.20742358918019843</v>
      </c>
      <c r="E16" s="8">
        <f>P.Comercial!E73/P.Comercial!E48</f>
        <v>0.37716046676257342</v>
      </c>
      <c r="F16" s="8"/>
      <c r="G16" s="109" t="s">
        <v>173</v>
      </c>
      <c r="L16" s="1">
        <f>L14-L15</f>
        <v>7443.1666666666642</v>
      </c>
      <c r="M16" t="s">
        <v>394</v>
      </c>
      <c r="N16" s="195">
        <f t="shared" si="1"/>
        <v>0.73769730733519023</v>
      </c>
      <c r="O16" s="11">
        <f>'MAP VALUE'!D11</f>
        <v>1589</v>
      </c>
      <c r="P16" s="1">
        <f>'MAP VALUE'!B11</f>
        <v>4.6841829242710293</v>
      </c>
      <c r="Q16" s="1">
        <f>O16*P16</f>
        <v>7443.1666666666661</v>
      </c>
    </row>
    <row r="17" spans="2:16" x14ac:dyDescent="0.35">
      <c r="B17" t="s">
        <v>174</v>
      </c>
      <c r="C17" s="5">
        <f>'Para reporte'!J38</f>
        <v>0.92215450528979892</v>
      </c>
      <c r="D17" s="5">
        <f>'Para reporte'!K38</f>
        <v>0.92026561180027078</v>
      </c>
      <c r="E17" s="5">
        <f>'Para reporte'!L38</f>
        <v>0.92459989884778737</v>
      </c>
      <c r="F17" s="5">
        <f>'MAP VALUE'!J11</f>
        <v>0.92234000531261906</v>
      </c>
      <c r="G17" s="109" t="s">
        <v>175</v>
      </c>
    </row>
    <row r="18" spans="2:16" x14ac:dyDescent="0.35">
      <c r="B18" t="s">
        <v>178</v>
      </c>
      <c r="C18" s="2">
        <f>('Para reporte'!J36+'Para reporte'!J42+'Para reporte'!J50)/360</f>
        <v>2.32182093496764</v>
      </c>
      <c r="D18" s="2">
        <f>('Para reporte'!K36+'Para reporte'!K42+'Para reporte'!K50)/360</f>
        <v>4.1137489598629458</v>
      </c>
      <c r="E18" s="2">
        <f>('Para reporte'!L36+'Para reporte'!L42+'Para reporte'!L50)/360</f>
        <v>5.831137698849731</v>
      </c>
      <c r="F18" s="2">
        <f>'MAP VALUE'!F26</f>
        <v>2.32182093496764</v>
      </c>
      <c r="G18" s="109" t="s">
        <v>192</v>
      </c>
    </row>
    <row r="19" spans="2:16" x14ac:dyDescent="0.35">
      <c r="B19" t="s">
        <v>191</v>
      </c>
      <c r="C19" s="4">
        <f>Vaciado!$C$80</f>
        <v>90</v>
      </c>
      <c r="D19" s="4">
        <f>Vaciado!$C$80</f>
        <v>90</v>
      </c>
      <c r="E19" s="4">
        <f>Vaciado!$C$80</f>
        <v>90</v>
      </c>
      <c r="F19" s="4">
        <f>'MAP VALUE'!H26</f>
        <v>90</v>
      </c>
      <c r="G19" s="109" t="s">
        <v>193</v>
      </c>
    </row>
    <row r="20" spans="2:16" x14ac:dyDescent="0.35">
      <c r="B20" t="s">
        <v>195</v>
      </c>
      <c r="C20" s="6">
        <f>C18*C19</f>
        <v>208.96388414708758</v>
      </c>
      <c r="D20" s="6">
        <f>D18*D19</f>
        <v>370.23740638766515</v>
      </c>
      <c r="E20" s="6">
        <f>E18*E19</f>
        <v>524.80239289647579</v>
      </c>
      <c r="F20" s="6">
        <f>C20</f>
        <v>208.96388414708758</v>
      </c>
      <c r="G20" s="109" t="s">
        <v>194</v>
      </c>
    </row>
    <row r="21" spans="2:16" x14ac:dyDescent="0.35">
      <c r="B21" t="s">
        <v>196</v>
      </c>
      <c r="C21" s="6">
        <f>Flujos!E72</f>
        <v>-182.6392222222222</v>
      </c>
      <c r="D21" s="6"/>
      <c r="E21" s="6"/>
      <c r="F21" s="6">
        <f>C21</f>
        <v>-182.6392222222222</v>
      </c>
      <c r="G21" s="109" t="s">
        <v>197</v>
      </c>
    </row>
    <row r="22" spans="2:16" x14ac:dyDescent="0.35">
      <c r="B22" t="s">
        <v>308</v>
      </c>
      <c r="C22" s="6">
        <f>MAX(C21,C20)</f>
        <v>208.96388414708758</v>
      </c>
      <c r="D22" s="6">
        <f>MAX(D21,D20)-C22</f>
        <v>161.27352224057756</v>
      </c>
      <c r="E22" s="6">
        <f>MAX(E21,E20)-D22-C22</f>
        <v>154.56498650881065</v>
      </c>
      <c r="F22" s="6">
        <f>MAX(F20,F21)</f>
        <v>208.96388414708758</v>
      </c>
      <c r="G22" s="109" t="s">
        <v>334</v>
      </c>
    </row>
    <row r="23" spans="2:16" x14ac:dyDescent="0.35">
      <c r="B23" t="s">
        <v>322</v>
      </c>
      <c r="C23" s="5">
        <f>'Para reporte'!J38</f>
        <v>0.92215450528979892</v>
      </c>
      <c r="D23" s="5">
        <f>'Para reporte'!K38</f>
        <v>0.92026561180027078</v>
      </c>
      <c r="E23" s="5">
        <f>'Para reporte'!L38</f>
        <v>0.92459989884778737</v>
      </c>
      <c r="F23" s="5">
        <f>F17</f>
        <v>0.92234000531261906</v>
      </c>
      <c r="G23" s="109" t="s">
        <v>335</v>
      </c>
    </row>
    <row r="24" spans="2:16" x14ac:dyDescent="0.35">
      <c r="B24" t="s">
        <v>323</v>
      </c>
      <c r="C24" s="5">
        <f>'Para reporte'!J52</f>
        <v>0.4657582757847693</v>
      </c>
      <c r="D24" s="5">
        <f>'Para reporte'!K52</f>
        <v>0.55987269135298257</v>
      </c>
      <c r="E24" s="5">
        <f>'Para reporte'!L52</f>
        <v>0.59320361232889718</v>
      </c>
      <c r="F24" s="5">
        <f>'MAP VALUE'!G17</f>
        <v>0.4657582757847693</v>
      </c>
      <c r="G24" s="109" t="s">
        <v>336</v>
      </c>
    </row>
    <row r="26" spans="2:16" x14ac:dyDescent="0.35">
      <c r="B26" s="152" t="s">
        <v>26</v>
      </c>
      <c r="C26" s="153">
        <v>2024</v>
      </c>
      <c r="D26" s="153">
        <v>2025</v>
      </c>
      <c r="E26" s="153">
        <v>2026</v>
      </c>
      <c r="F26" s="97"/>
    </row>
    <row r="27" spans="2:16" x14ac:dyDescent="0.35">
      <c r="B27" s="141" t="s">
        <v>324</v>
      </c>
      <c r="C27" s="154">
        <f>C15</f>
        <v>1564.5643136843578</v>
      </c>
      <c r="D27" s="154">
        <f>D15</f>
        <v>3364.8210334941605</v>
      </c>
      <c r="E27" s="154">
        <f>E15</f>
        <v>5160.3446717012785</v>
      </c>
      <c r="F27" s="6"/>
    </row>
    <row r="28" spans="2:16" x14ac:dyDescent="0.35">
      <c r="B28" s="141" t="s">
        <v>317</v>
      </c>
      <c r="C28" s="154">
        <f>Flujos!B95</f>
        <v>1760.1348528949027</v>
      </c>
      <c r="D28" s="154">
        <f>Flujos!C95</f>
        <v>4372.1352803125646</v>
      </c>
      <c r="E28" s="154">
        <f>Flujos!D95</f>
        <v>7067.1956432242487</v>
      </c>
      <c r="F28" s="6"/>
    </row>
    <row r="29" spans="2:16" x14ac:dyDescent="0.35">
      <c r="B29" s="141" t="s">
        <v>325</v>
      </c>
      <c r="C29" s="154">
        <f>Flujos!B96</f>
        <v>821.39626468428764</v>
      </c>
      <c r="D29" s="154">
        <f>Flujos!C96</f>
        <v>2040.3297974791967</v>
      </c>
      <c r="E29" s="154">
        <f>Flujos!D96</f>
        <v>3298.0246335046495</v>
      </c>
      <c r="F29" s="6"/>
    </row>
    <row r="30" spans="2:16" x14ac:dyDescent="0.35">
      <c r="B30" s="141" t="s">
        <v>326</v>
      </c>
      <c r="C30" s="154">
        <f>C27+C28+C29</f>
        <v>4146.0954312635477</v>
      </c>
      <c r="D30" s="154">
        <f>D27+D28+D29</f>
        <v>9777.2861112859209</v>
      </c>
      <c r="E30" s="154">
        <f>E27+E28+E29</f>
        <v>15525.564948430176</v>
      </c>
      <c r="F30" s="6"/>
    </row>
    <row r="31" spans="2:16" ht="3.5" customHeight="1" x14ac:dyDescent="0.35">
      <c r="B31" s="141"/>
      <c r="C31" s="136"/>
      <c r="D31" s="136"/>
      <c r="E31" s="136"/>
      <c r="F31" s="3"/>
    </row>
    <row r="32" spans="2:16" x14ac:dyDescent="0.35">
      <c r="B32" s="141" t="s">
        <v>327</v>
      </c>
      <c r="C32" s="155">
        <f>C27/$C$30</f>
        <v>0.37735849056603776</v>
      </c>
      <c r="D32" s="155">
        <f>D27/$D$30</f>
        <v>0.3441467289793379</v>
      </c>
      <c r="E32" s="155">
        <f>E27/$E$30</f>
        <v>0.33237725576118582</v>
      </c>
      <c r="F32" s="199"/>
      <c r="N32" s="259"/>
      <c r="O32" s="325"/>
      <c r="P32" s="259"/>
    </row>
    <row r="33" spans="2:23" x14ac:dyDescent="0.35">
      <c r="B33" s="141" t="s">
        <v>328</v>
      </c>
      <c r="C33" s="155">
        <f>C28/$C$30</f>
        <v>0.42452830188679253</v>
      </c>
      <c r="D33" s="155">
        <f>D28/$D$30</f>
        <v>0.44717268478681516</v>
      </c>
      <c r="E33" s="155">
        <f>E28/$E$30</f>
        <v>0.45519732561737331</v>
      </c>
      <c r="F33" s="199"/>
      <c r="N33" s="27"/>
      <c r="O33" s="325"/>
      <c r="P33" s="199"/>
    </row>
    <row r="34" spans="2:23" x14ac:dyDescent="0.35">
      <c r="B34" s="141" t="s">
        <v>329</v>
      </c>
      <c r="C34" s="155">
        <f>C29/$C$30</f>
        <v>0.1981132075471698</v>
      </c>
      <c r="D34" s="155">
        <f>D29/$D$30</f>
        <v>0.20868058623384705</v>
      </c>
      <c r="E34" s="155">
        <f>E29/$E$30</f>
        <v>0.2124254186214409</v>
      </c>
      <c r="F34" s="199"/>
    </row>
    <row r="35" spans="2:23" ht="4" customHeight="1" x14ac:dyDescent="0.35">
      <c r="B35" s="141"/>
      <c r="C35" s="155"/>
      <c r="D35" s="155"/>
      <c r="E35" s="155"/>
      <c r="F35" s="199"/>
      <c r="N35" s="259"/>
      <c r="O35" s="325"/>
      <c r="P35" s="259"/>
    </row>
    <row r="36" spans="2:23" x14ac:dyDescent="0.35">
      <c r="B36" s="141" t="s">
        <v>332</v>
      </c>
      <c r="C36" s="156">
        <f>C32</f>
        <v>0.37735849056603776</v>
      </c>
      <c r="D36" s="156">
        <f>D32</f>
        <v>0.3441467289793379</v>
      </c>
      <c r="E36" s="156">
        <f>E32</f>
        <v>0.33237725576118582</v>
      </c>
      <c r="F36" s="5"/>
      <c r="N36" s="27"/>
      <c r="O36" s="325"/>
      <c r="P36" s="199"/>
    </row>
    <row r="37" spans="2:23" x14ac:dyDescent="0.35">
      <c r="B37" s="141" t="s">
        <v>333</v>
      </c>
      <c r="C37" s="156">
        <f>C33+C34</f>
        <v>0.62264150943396235</v>
      </c>
      <c r="D37" s="156">
        <f>D33+D34</f>
        <v>0.65585327102066215</v>
      </c>
      <c r="E37" s="156">
        <f>E33+E34</f>
        <v>0.66762274423881418</v>
      </c>
      <c r="F37" s="5"/>
    </row>
    <row r="40" spans="2:23" x14ac:dyDescent="0.35">
      <c r="L40" s="259"/>
      <c r="M40" s="325"/>
      <c r="N40" s="259"/>
      <c r="O40" s="325"/>
      <c r="P40" s="259"/>
      <c r="Q40" s="325"/>
      <c r="R40" s="259"/>
      <c r="S40" s="325"/>
      <c r="T40" s="259"/>
      <c r="U40" s="325"/>
      <c r="V40" s="259"/>
      <c r="W40" s="325"/>
    </row>
    <row r="41" spans="2:23" x14ac:dyDescent="0.35">
      <c r="L41" s="6"/>
      <c r="M41" s="325"/>
      <c r="N41" s="4"/>
      <c r="O41" s="325"/>
      <c r="P41" s="27"/>
      <c r="Q41" s="325"/>
      <c r="R41" s="6"/>
      <c r="S41" s="325"/>
      <c r="T41" s="5"/>
      <c r="U41" s="325"/>
      <c r="V41" s="6"/>
      <c r="W41" s="325"/>
    </row>
    <row r="43" spans="2:23" x14ac:dyDescent="0.35">
      <c r="M43" s="325"/>
      <c r="N43" s="259"/>
      <c r="P43" s="259"/>
      <c r="S43" s="325"/>
      <c r="T43" s="259"/>
      <c r="U43" s="325"/>
      <c r="V43" s="259"/>
    </row>
    <row r="44" spans="2:23" x14ac:dyDescent="0.35">
      <c r="M44" s="325"/>
      <c r="N44" s="27"/>
      <c r="S44" s="325"/>
      <c r="T44" s="6"/>
      <c r="U44" s="325"/>
      <c r="V44" s="6"/>
    </row>
    <row r="45" spans="2:23" x14ac:dyDescent="0.35">
      <c r="T45" s="6"/>
    </row>
    <row r="46" spans="2:23" x14ac:dyDescent="0.35">
      <c r="S46" s="325"/>
      <c r="T46" s="259"/>
      <c r="U46" s="325"/>
      <c r="V46" s="259"/>
    </row>
    <row r="47" spans="2:23" x14ac:dyDescent="0.35">
      <c r="S47" s="325"/>
      <c r="T47" s="6"/>
      <c r="U47" s="325"/>
      <c r="V47" s="6"/>
    </row>
    <row r="49" spans="12:28" x14ac:dyDescent="0.35">
      <c r="L49" s="259"/>
      <c r="S49" s="325"/>
      <c r="T49" s="259"/>
      <c r="U49" s="325"/>
      <c r="V49" s="259"/>
    </row>
    <row r="50" spans="12:28" x14ac:dyDescent="0.35">
      <c r="L50" s="6"/>
      <c r="S50" s="325"/>
      <c r="T50" s="260"/>
      <c r="U50" s="325"/>
      <c r="V50" s="6"/>
    </row>
    <row r="52" spans="12:28" x14ac:dyDescent="0.35">
      <c r="P52" s="259"/>
      <c r="Q52" s="325"/>
      <c r="R52" s="259"/>
      <c r="S52" s="325"/>
      <c r="T52" s="259"/>
      <c r="U52" s="325"/>
      <c r="V52" s="259"/>
      <c r="W52" s="325"/>
      <c r="X52" s="259"/>
      <c r="Y52" s="325"/>
      <c r="Z52" s="259"/>
      <c r="AA52" s="325"/>
      <c r="AB52" s="259"/>
    </row>
    <row r="53" spans="12:28" x14ac:dyDescent="0.35">
      <c r="P53" s="2"/>
      <c r="Q53" s="325"/>
      <c r="R53" s="27"/>
      <c r="S53" s="325"/>
      <c r="T53" s="6"/>
      <c r="U53" s="325"/>
      <c r="V53" s="6"/>
      <c r="W53" s="325"/>
      <c r="X53" s="260"/>
      <c r="Y53" s="325"/>
      <c r="Z53" s="6"/>
      <c r="AA53" s="325"/>
      <c r="AB53" s="6"/>
    </row>
    <row r="55" spans="12:28" x14ac:dyDescent="0.35">
      <c r="AA55" s="325"/>
      <c r="AB55" s="259"/>
    </row>
    <row r="56" spans="12:28" x14ac:dyDescent="0.35">
      <c r="AA56" s="325"/>
      <c r="AB56" s="6"/>
    </row>
  </sheetData>
  <mergeCells count="22">
    <mergeCell ref="W40:W41"/>
    <mergeCell ref="O32:O33"/>
    <mergeCell ref="O35:O36"/>
    <mergeCell ref="AA55:AA56"/>
    <mergeCell ref="S52:S53"/>
    <mergeCell ref="Q52:Q53"/>
    <mergeCell ref="S43:S44"/>
    <mergeCell ref="S46:S47"/>
    <mergeCell ref="S49:S50"/>
    <mergeCell ref="U46:U47"/>
    <mergeCell ref="U49:U50"/>
    <mergeCell ref="U52:U53"/>
    <mergeCell ref="W52:W53"/>
    <mergeCell ref="Y52:Y53"/>
    <mergeCell ref="AA52:AA53"/>
    <mergeCell ref="U43:U44"/>
    <mergeCell ref="U40:U41"/>
    <mergeCell ref="M43:M44"/>
    <mergeCell ref="M40:M41"/>
    <mergeCell ref="O40:O41"/>
    <mergeCell ref="Q40:Q41"/>
    <mergeCell ref="S40:S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3238-993E-495D-9C9B-71C66F11A7CB}">
  <sheetPr>
    <tabColor rgb="FFFF0000"/>
  </sheetPr>
  <dimension ref="A1:Y37"/>
  <sheetViews>
    <sheetView showGridLines="0" tabSelected="1" topLeftCell="A11" zoomScale="56" zoomScaleNormal="100" workbookViewId="0">
      <selection sqref="A1:U37"/>
    </sheetView>
  </sheetViews>
  <sheetFormatPr baseColWidth="10" defaultRowHeight="14.5" x14ac:dyDescent="0.35"/>
  <cols>
    <col min="3" max="3" width="11.54296875" customWidth="1"/>
    <col min="4" max="4" width="12.1796875" customWidth="1"/>
    <col min="5" max="5" width="12.90625" customWidth="1"/>
    <col min="6" max="6" width="11.36328125" customWidth="1"/>
    <col min="7" max="7" width="12.26953125" customWidth="1"/>
    <col min="9" max="9" width="14.7265625" customWidth="1"/>
    <col min="10" max="10" width="14.54296875" customWidth="1"/>
    <col min="12" max="12" width="11.6328125" customWidth="1"/>
    <col min="14" max="14" width="11.90625" customWidth="1"/>
    <col min="16" max="16" width="12.81640625" customWidth="1"/>
    <col min="18" max="18" width="15.26953125" customWidth="1"/>
  </cols>
  <sheetData>
    <row r="1" spans="1:25" x14ac:dyDescent="0.35">
      <c r="A1" s="255" t="s">
        <v>427</v>
      </c>
      <c r="B1" s="19"/>
      <c r="C1" s="19"/>
      <c r="D1" s="19"/>
      <c r="E1" s="19"/>
      <c r="F1" s="19"/>
      <c r="G1" s="19"/>
      <c r="H1" s="19"/>
      <c r="I1" s="19"/>
      <c r="J1" s="19"/>
      <c r="K1" s="19"/>
      <c r="L1" s="19"/>
      <c r="M1" s="19"/>
      <c r="N1" s="19"/>
      <c r="O1" s="19"/>
      <c r="P1" s="19"/>
      <c r="Q1" s="19"/>
      <c r="R1" s="19"/>
      <c r="S1" s="19"/>
      <c r="T1" s="19"/>
      <c r="U1" s="19"/>
      <c r="V1" s="19"/>
      <c r="W1" s="19"/>
      <c r="X1" s="19"/>
      <c r="Y1" s="19"/>
    </row>
    <row r="2" spans="1:25" ht="15" thickBot="1" x14ac:dyDescent="0.4">
      <c r="A2" s="19"/>
      <c r="B2" s="19"/>
      <c r="C2" s="19"/>
      <c r="D2" s="19"/>
      <c r="E2" s="19"/>
      <c r="F2" s="19"/>
      <c r="G2" s="19"/>
      <c r="H2" s="19"/>
      <c r="I2" s="19"/>
      <c r="J2" s="19"/>
      <c r="K2" s="19"/>
      <c r="L2" s="19"/>
      <c r="M2" s="19"/>
      <c r="N2" s="19"/>
      <c r="O2" s="19"/>
      <c r="P2" s="19"/>
      <c r="Q2" s="19"/>
      <c r="R2" s="19"/>
      <c r="S2" s="19"/>
      <c r="T2" s="19"/>
      <c r="U2" s="19"/>
      <c r="V2" s="19"/>
      <c r="W2" s="19"/>
      <c r="X2" s="19"/>
      <c r="Y2" s="19"/>
    </row>
    <row r="3" spans="1:25" x14ac:dyDescent="0.35">
      <c r="A3" s="19"/>
      <c r="B3" s="19"/>
      <c r="C3" s="19"/>
      <c r="D3" s="221" t="s">
        <v>6</v>
      </c>
      <c r="E3" s="19"/>
      <c r="F3" s="19"/>
      <c r="G3" s="19"/>
      <c r="H3" s="19"/>
      <c r="I3" s="19"/>
      <c r="J3" s="19"/>
      <c r="K3" s="19"/>
      <c r="L3" s="19"/>
      <c r="M3" s="19"/>
      <c r="N3" s="19"/>
      <c r="O3" s="19"/>
      <c r="P3" s="19"/>
      <c r="Q3" s="19"/>
      <c r="R3" s="201" t="s">
        <v>409</v>
      </c>
      <c r="S3" s="202">
        <f>Dashboard!C33</f>
        <v>3</v>
      </c>
      <c r="T3" s="203" t="s">
        <v>411</v>
      </c>
      <c r="U3" s="19"/>
    </row>
    <row r="4" spans="1:25" ht="15" thickBot="1" x14ac:dyDescent="0.4">
      <c r="A4" s="19"/>
      <c r="B4" s="19"/>
      <c r="C4" s="19"/>
      <c r="D4" s="222">
        <v>0.18523830682844381</v>
      </c>
      <c r="E4" s="19"/>
      <c r="F4" s="19"/>
      <c r="G4" s="19"/>
      <c r="H4" s="19"/>
      <c r="I4" s="19"/>
      <c r="J4" s="19"/>
      <c r="K4" s="19"/>
      <c r="L4" s="19"/>
      <c r="M4" s="19"/>
      <c r="N4" s="19"/>
      <c r="O4" s="19"/>
      <c r="P4" s="19"/>
      <c r="Q4" s="19"/>
      <c r="R4" s="201" t="s">
        <v>410</v>
      </c>
      <c r="S4" s="202">
        <f>Dashboard!C34</f>
        <v>10</v>
      </c>
      <c r="T4" s="203" t="s">
        <v>411</v>
      </c>
      <c r="U4" s="19"/>
    </row>
    <row r="5" spans="1:25" ht="16" customHeight="1" thickBot="1" x14ac:dyDescent="0.4">
      <c r="A5" s="19"/>
      <c r="B5" s="19"/>
      <c r="C5" s="19"/>
      <c r="D5" s="19"/>
      <c r="E5" s="19"/>
      <c r="F5" s="19"/>
      <c r="G5" s="19"/>
      <c r="H5" s="19"/>
      <c r="I5" s="19"/>
      <c r="J5" s="19"/>
      <c r="K5" s="19"/>
      <c r="L5" s="19"/>
      <c r="M5" s="19"/>
      <c r="N5" s="19"/>
      <c r="O5" s="19"/>
      <c r="P5" s="19"/>
      <c r="Q5" s="19"/>
      <c r="R5" s="19"/>
      <c r="S5" s="19"/>
      <c r="T5" s="19"/>
      <c r="U5" s="19"/>
    </row>
    <row r="6" spans="1:25" ht="31.5" customHeight="1" x14ac:dyDescent="0.35">
      <c r="A6" s="19"/>
      <c r="B6" s="19"/>
      <c r="C6" s="221" t="s">
        <v>392</v>
      </c>
      <c r="D6" s="327" t="s">
        <v>382</v>
      </c>
      <c r="E6" s="221" t="s">
        <v>419</v>
      </c>
      <c r="F6" s="327" t="s">
        <v>382</v>
      </c>
      <c r="G6" s="221" t="s">
        <v>390</v>
      </c>
      <c r="H6" s="223" t="s">
        <v>382</v>
      </c>
      <c r="I6" s="221" t="s">
        <v>391</v>
      </c>
      <c r="J6" s="19"/>
      <c r="K6" s="19"/>
      <c r="L6" s="19"/>
      <c r="M6" s="19"/>
      <c r="N6" s="221" t="s">
        <v>405</v>
      </c>
      <c r="O6" s="19"/>
      <c r="P6" s="221" t="s">
        <v>404</v>
      </c>
      <c r="Q6" s="19"/>
      <c r="R6" s="221" t="s">
        <v>403</v>
      </c>
      <c r="S6" s="19"/>
      <c r="T6" s="19"/>
      <c r="U6" s="19"/>
    </row>
    <row r="7" spans="1:25" ht="15" thickBot="1" x14ac:dyDescent="0.4">
      <c r="A7" s="19"/>
      <c r="B7" s="19"/>
      <c r="C7" s="224">
        <f>AVERAGE('Unit Economics'!C10:E10)</f>
        <v>44.138888888888886</v>
      </c>
      <c r="D7" s="327"/>
      <c r="E7" s="225">
        <v>3</v>
      </c>
      <c r="F7" s="327"/>
      <c r="G7" s="226">
        <f>AVERAGE('Unit Economics'!C12:E12)</f>
        <v>0.64658672889647184</v>
      </c>
      <c r="H7" s="223"/>
      <c r="I7" s="225">
        <v>12</v>
      </c>
      <c r="J7" s="19"/>
      <c r="K7" s="227"/>
      <c r="L7" s="19"/>
      <c r="M7" s="19"/>
      <c r="N7" s="228">
        <f>Vaciado!D26</f>
        <v>4.4200000000000003E-2</v>
      </c>
      <c r="O7" s="19"/>
      <c r="P7" s="228">
        <f>Vaciado!D25</f>
        <v>5.5E-2</v>
      </c>
      <c r="Q7" s="19"/>
      <c r="R7" s="235">
        <f>Vaciado!D27</f>
        <v>0.2</v>
      </c>
      <c r="S7" s="19"/>
      <c r="T7" s="19"/>
      <c r="U7" s="19"/>
    </row>
    <row r="8" spans="1:25" x14ac:dyDescent="0.35">
      <c r="A8" s="19"/>
      <c r="B8" s="19"/>
      <c r="C8" s="19"/>
      <c r="D8" s="19"/>
      <c r="E8" s="19"/>
      <c r="F8" s="19"/>
      <c r="G8" s="19"/>
      <c r="H8" s="19"/>
      <c r="I8" s="19"/>
      <c r="J8" s="19"/>
      <c r="K8" s="19"/>
      <c r="L8" s="19"/>
      <c r="M8" s="19"/>
      <c r="N8" s="19"/>
      <c r="O8" s="19"/>
      <c r="P8" s="19"/>
      <c r="Q8" s="19"/>
      <c r="R8" s="19"/>
      <c r="S8" s="19"/>
      <c r="T8" s="19"/>
      <c r="U8" s="19"/>
    </row>
    <row r="9" spans="1:25" ht="15" thickBot="1" x14ac:dyDescent="0.4">
      <c r="A9" s="19"/>
      <c r="B9" s="19"/>
      <c r="C9" s="19"/>
      <c r="D9" s="19"/>
      <c r="E9" s="19"/>
      <c r="F9" s="19"/>
      <c r="G9" s="19"/>
      <c r="H9" s="19"/>
      <c r="I9" s="19"/>
      <c r="J9" s="19"/>
      <c r="K9" s="19"/>
      <c r="L9" s="19"/>
      <c r="M9" s="19"/>
      <c r="N9" s="19"/>
      <c r="O9" s="19"/>
      <c r="P9" s="40" t="s">
        <v>202</v>
      </c>
      <c r="Q9" s="19"/>
      <c r="R9" s="19"/>
      <c r="S9" s="19"/>
      <c r="T9" s="19"/>
      <c r="U9" s="19"/>
    </row>
    <row r="10" spans="1:25" ht="29" x14ac:dyDescent="0.35">
      <c r="A10" s="19"/>
      <c r="B10" s="221" t="s">
        <v>370</v>
      </c>
      <c r="C10" s="327" t="s">
        <v>382</v>
      </c>
      <c r="D10" s="221" t="s">
        <v>371</v>
      </c>
      <c r="E10" s="327" t="s">
        <v>382</v>
      </c>
      <c r="F10" s="221" t="s">
        <v>45</v>
      </c>
      <c r="G10" s="327" t="s">
        <v>383</v>
      </c>
      <c r="H10" s="210" t="s">
        <v>372</v>
      </c>
      <c r="I10" s="327" t="s">
        <v>382</v>
      </c>
      <c r="J10" s="221" t="s">
        <v>374</v>
      </c>
      <c r="K10" s="327" t="s">
        <v>383</v>
      </c>
      <c r="L10" s="221" t="s">
        <v>375</v>
      </c>
      <c r="M10" s="328"/>
      <c r="N10" s="19"/>
      <c r="O10" s="19"/>
      <c r="P10" s="256" t="str">
        <f>Vaciado!D24</f>
        <v>Information System</v>
      </c>
      <c r="Q10" s="19"/>
      <c r="R10" s="19"/>
      <c r="S10" s="19"/>
      <c r="T10" s="19"/>
      <c r="U10" s="19"/>
    </row>
    <row r="11" spans="1:25" ht="15" thickBot="1" x14ac:dyDescent="0.4">
      <c r="A11" s="19"/>
      <c r="B11" s="229">
        <f>'Para reporte'!M16</f>
        <v>4.6841829242710293</v>
      </c>
      <c r="C11" s="327"/>
      <c r="D11" s="230">
        <f>(C7*(12*E7))</f>
        <v>1589</v>
      </c>
      <c r="E11" s="327"/>
      <c r="F11" s="231">
        <f>((Flujos!B10+Flujos!C10+Flujos!D10)/(Flujos!B4+Flujos!C4+Flujos!D4))</f>
        <v>1.3555695405915671</v>
      </c>
      <c r="G11" s="327"/>
      <c r="H11" s="211">
        <f>B11*D11*F11</f>
        <v>10089.730018879798</v>
      </c>
      <c r="I11" s="327"/>
      <c r="J11" s="235">
        <f>AVERAGE('Unit Economics'!C17:E17)</f>
        <v>0.92234000531261906</v>
      </c>
      <c r="K11" s="327"/>
      <c r="L11" s="242">
        <f>(H11*J11)</f>
        <v>9306.1616392164851</v>
      </c>
      <c r="M11" s="328"/>
      <c r="N11" s="19"/>
      <c r="O11" s="19"/>
      <c r="P11" s="61">
        <f>Vaciado!C24</f>
        <v>1.28</v>
      </c>
      <c r="Q11" s="19"/>
      <c r="R11" s="19"/>
      <c r="S11" s="19"/>
      <c r="T11" s="19"/>
      <c r="U11" s="19"/>
    </row>
    <row r="12" spans="1:25" ht="15" thickBot="1" x14ac:dyDescent="0.4">
      <c r="A12" s="19"/>
      <c r="B12" s="19"/>
      <c r="C12" s="19"/>
      <c r="D12" s="40" t="s">
        <v>393</v>
      </c>
      <c r="E12" s="19"/>
      <c r="F12" s="19"/>
      <c r="G12" s="19"/>
      <c r="H12" s="40"/>
      <c r="I12" s="19"/>
      <c r="J12" s="19"/>
      <c r="K12" s="19"/>
      <c r="L12" s="19"/>
      <c r="M12" s="19"/>
      <c r="N12" s="19"/>
      <c r="O12" s="19"/>
      <c r="P12" s="19"/>
      <c r="Q12" s="19"/>
      <c r="R12" s="19"/>
      <c r="S12" s="19"/>
      <c r="T12" s="19"/>
      <c r="U12" s="19"/>
    </row>
    <row r="13" spans="1:25" ht="29" x14ac:dyDescent="0.35">
      <c r="A13" s="19"/>
      <c r="B13" s="19"/>
      <c r="C13" s="326"/>
      <c r="D13" s="221" t="s">
        <v>373</v>
      </c>
      <c r="E13" s="19"/>
      <c r="F13" s="232"/>
      <c r="G13" s="19"/>
      <c r="H13" s="19"/>
      <c r="I13" s="326" t="s">
        <v>388</v>
      </c>
      <c r="J13" s="221" t="s">
        <v>37</v>
      </c>
      <c r="K13" s="327" t="s">
        <v>383</v>
      </c>
      <c r="L13" s="221" t="s">
        <v>384</v>
      </c>
      <c r="M13" s="19"/>
      <c r="N13" s="19"/>
      <c r="O13" s="19"/>
      <c r="P13" s="215" t="s">
        <v>378</v>
      </c>
      <c r="Q13" s="19"/>
      <c r="R13" s="19"/>
      <c r="S13" s="19"/>
      <c r="T13" s="19"/>
      <c r="U13" s="19"/>
    </row>
    <row r="14" spans="1:25" ht="15" thickBot="1" x14ac:dyDescent="0.4">
      <c r="A14" s="19"/>
      <c r="B14" s="19"/>
      <c r="C14" s="326"/>
      <c r="D14" s="233">
        <f>'Unit Economics'!F5</f>
        <v>1.478015623899168</v>
      </c>
      <c r="E14" s="19"/>
      <c r="F14" s="19"/>
      <c r="G14" s="19"/>
      <c r="H14" s="19"/>
      <c r="I14" s="326"/>
      <c r="J14" s="242">
        <f>D14*D11</f>
        <v>2348.566826375778</v>
      </c>
      <c r="K14" s="327"/>
      <c r="L14" s="242">
        <f>L11-J14</f>
        <v>6957.5948128407072</v>
      </c>
      <c r="M14" s="19"/>
      <c r="N14" s="19"/>
      <c r="O14" s="19"/>
      <c r="P14" s="217">
        <f>(N7+(P11*(R7-N7)))+(P7-N7)</f>
        <v>0.25442399999999998</v>
      </c>
      <c r="Q14" s="19"/>
      <c r="R14" s="19"/>
      <c r="S14" s="19"/>
      <c r="T14" s="19"/>
      <c r="U14" s="19"/>
    </row>
    <row r="15" spans="1:25" ht="15" thickBot="1" x14ac:dyDescent="0.4">
      <c r="A15" s="19"/>
      <c r="B15" s="19"/>
      <c r="C15" s="19"/>
      <c r="D15" s="19"/>
      <c r="E15" s="19"/>
      <c r="F15" s="19"/>
      <c r="G15" s="19"/>
      <c r="H15" s="19"/>
      <c r="I15" s="19"/>
      <c r="J15" s="241"/>
      <c r="K15" s="243"/>
      <c r="L15" s="244"/>
      <c r="M15" s="19"/>
      <c r="N15" s="19"/>
      <c r="O15" s="19"/>
      <c r="P15" s="19"/>
      <c r="Q15" s="19"/>
      <c r="R15" s="19"/>
      <c r="S15" s="19"/>
      <c r="T15" s="19"/>
      <c r="U15" s="19"/>
    </row>
    <row r="16" spans="1:25" ht="29" x14ac:dyDescent="0.35">
      <c r="A16" s="19"/>
      <c r="B16" s="234"/>
      <c r="C16" s="221" t="s">
        <v>406</v>
      </c>
      <c r="D16" s="234"/>
      <c r="E16" s="221" t="s">
        <v>407</v>
      </c>
      <c r="F16" s="19"/>
      <c r="G16" s="221" t="s">
        <v>408</v>
      </c>
      <c r="H16" s="19"/>
      <c r="I16" s="326" t="s">
        <v>388</v>
      </c>
      <c r="J16" s="221" t="s">
        <v>385</v>
      </c>
      <c r="K16" s="327" t="s">
        <v>383</v>
      </c>
      <c r="L16" s="221" t="s">
        <v>42</v>
      </c>
      <c r="M16" s="19"/>
      <c r="N16" s="19"/>
      <c r="O16" s="19"/>
      <c r="P16" s="215" t="s">
        <v>412</v>
      </c>
      <c r="Q16" s="19"/>
      <c r="R16" s="19"/>
      <c r="S16" s="19"/>
      <c r="T16" s="19"/>
      <c r="U16" s="19"/>
    </row>
    <row r="17" spans="1:24" ht="15" thickBot="1" x14ac:dyDescent="0.4">
      <c r="A17" s="19"/>
      <c r="B17" s="19"/>
      <c r="C17" s="229">
        <f>B11-D14</f>
        <v>3.2061673003718614</v>
      </c>
      <c r="D17" s="19"/>
      <c r="E17" s="229">
        <f>C17*F11</f>
        <v>4.3461827344247892</v>
      </c>
      <c r="F17" s="19"/>
      <c r="G17" s="235">
        <f>'Unit Economics'!C24</f>
        <v>0.4657582757847693</v>
      </c>
      <c r="H17" s="19"/>
      <c r="I17" s="326"/>
      <c r="J17" s="242">
        <f>SUM(Dashboard!C27:E27)</f>
        <v>1288.2711676106567</v>
      </c>
      <c r="K17" s="327"/>
      <c r="L17" s="242">
        <f>L14-J17</f>
        <v>5669.3236452300507</v>
      </c>
      <c r="M17" s="19"/>
      <c r="N17" s="19"/>
      <c r="O17" s="19"/>
      <c r="P17" s="216">
        <f>Vaciado!D28</f>
        <v>0.1</v>
      </c>
      <c r="Q17" s="19"/>
      <c r="R17" s="19"/>
      <c r="S17" s="19"/>
      <c r="T17" s="19"/>
      <c r="U17" s="19"/>
      <c r="X17" s="112"/>
    </row>
    <row r="18" spans="1:24" ht="15" thickBot="1" x14ac:dyDescent="0.4">
      <c r="A18" s="19"/>
      <c r="B18" s="19"/>
      <c r="C18" s="19"/>
      <c r="D18" s="19"/>
      <c r="E18" s="19"/>
      <c r="F18" s="19"/>
      <c r="G18" s="19"/>
      <c r="H18" s="19"/>
      <c r="I18" s="19"/>
      <c r="J18" s="241"/>
      <c r="K18" s="243"/>
      <c r="L18" s="244"/>
      <c r="M18" s="19"/>
      <c r="N18" s="19"/>
      <c r="O18" s="19"/>
      <c r="P18" s="19"/>
      <c r="Q18" s="19"/>
      <c r="R18" s="19"/>
      <c r="S18" s="19"/>
      <c r="T18" s="19"/>
      <c r="U18" s="19"/>
    </row>
    <row r="19" spans="1:24" ht="43.5" x14ac:dyDescent="0.35">
      <c r="A19" s="19"/>
      <c r="B19" s="232"/>
      <c r="C19" s="19"/>
      <c r="D19" s="19"/>
      <c r="E19" s="19"/>
      <c r="F19" s="19"/>
      <c r="G19" s="19"/>
      <c r="H19" s="19"/>
      <c r="I19" s="326" t="s">
        <v>389</v>
      </c>
      <c r="J19" s="221" t="s">
        <v>440</v>
      </c>
      <c r="K19" s="327" t="s">
        <v>393</v>
      </c>
      <c r="L19" s="221" t="s">
        <v>398</v>
      </c>
      <c r="M19" s="19"/>
      <c r="N19" s="215" t="s">
        <v>400</v>
      </c>
      <c r="O19" s="19"/>
      <c r="P19" s="19"/>
      <c r="Q19" s="19"/>
      <c r="R19" s="19"/>
      <c r="S19" s="19"/>
      <c r="T19" s="19"/>
      <c r="U19" s="19"/>
    </row>
    <row r="20" spans="1:24" ht="15" thickBot="1" x14ac:dyDescent="0.4">
      <c r="A20" s="19"/>
      <c r="B20" s="236"/>
      <c r="C20" s="40"/>
      <c r="D20" s="19"/>
      <c r="E20" s="19"/>
      <c r="F20" s="19"/>
      <c r="G20" s="19"/>
      <c r="H20" s="19"/>
      <c r="I20" s="326"/>
      <c r="J20" s="228">
        <f>'Para reporte'!O65</f>
        <v>0.11459869211711081</v>
      </c>
      <c r="K20" s="327"/>
      <c r="L20" s="242">
        <f>L17*(1-J20)</f>
        <v>5019.6265702980754</v>
      </c>
      <c r="M20" s="19"/>
      <c r="N20" s="217">
        <f>P14+P17</f>
        <v>0.35442399999999996</v>
      </c>
      <c r="O20" s="19"/>
      <c r="P20" s="19"/>
      <c r="Q20" s="19"/>
      <c r="R20" s="19"/>
      <c r="S20" s="19"/>
      <c r="T20" s="19"/>
      <c r="U20" s="19"/>
    </row>
    <row r="21" spans="1:24" ht="15" thickBot="1" x14ac:dyDescent="0.4">
      <c r="A21" s="19"/>
      <c r="B21" s="236"/>
      <c r="C21" s="40"/>
      <c r="D21" s="19"/>
      <c r="E21" s="19"/>
      <c r="F21" s="19"/>
      <c r="G21" s="19"/>
      <c r="H21" s="19"/>
      <c r="I21" s="19"/>
      <c r="J21" s="241"/>
      <c r="K21" s="243"/>
      <c r="L21" s="244"/>
      <c r="M21" s="19"/>
      <c r="N21" s="19"/>
      <c r="O21" s="19"/>
      <c r="P21" s="19"/>
      <c r="Q21" s="19"/>
      <c r="R21" s="19"/>
      <c r="S21" s="19"/>
      <c r="T21" s="19"/>
      <c r="U21" s="19"/>
    </row>
    <row r="22" spans="1:24" ht="43.5" x14ac:dyDescent="0.35">
      <c r="A22" s="19"/>
      <c r="B22" s="237"/>
      <c r="C22" s="238"/>
      <c r="D22" s="19"/>
      <c r="E22" s="19"/>
      <c r="F22" s="19"/>
      <c r="G22" s="19"/>
      <c r="H22" s="19"/>
      <c r="I22" s="326" t="s">
        <v>388</v>
      </c>
      <c r="J22" s="221" t="s">
        <v>397</v>
      </c>
      <c r="K22" s="327" t="s">
        <v>387</v>
      </c>
      <c r="L22" s="221" t="s">
        <v>386</v>
      </c>
      <c r="M22" s="327" t="s">
        <v>382</v>
      </c>
      <c r="N22" s="218" t="s">
        <v>399</v>
      </c>
      <c r="O22" s="327" t="s">
        <v>383</v>
      </c>
      <c r="P22" s="221" t="s">
        <v>401</v>
      </c>
      <c r="Q22" s="327" t="s">
        <v>387</v>
      </c>
      <c r="R22" s="221" t="s">
        <v>380</v>
      </c>
      <c r="S22" s="19"/>
      <c r="T22" s="19"/>
      <c r="U22" s="19"/>
    </row>
    <row r="23" spans="1:24" ht="15" thickBot="1" x14ac:dyDescent="0.4">
      <c r="A23" s="19"/>
      <c r="B23" s="19"/>
      <c r="C23" s="19"/>
      <c r="D23" s="19"/>
      <c r="E23" s="19"/>
      <c r="F23" s="19"/>
      <c r="G23" s="19"/>
      <c r="H23" s="19"/>
      <c r="I23" s="326"/>
      <c r="J23" s="242">
        <f>-'Para reporte'!J63</f>
        <v>182.6392222222222</v>
      </c>
      <c r="K23" s="327"/>
      <c r="L23" s="242">
        <f>L20-J23</f>
        <v>4836.9873480758533</v>
      </c>
      <c r="M23" s="327"/>
      <c r="N23" s="219">
        <f>'Para reporte'!Q66</f>
        <v>0.47135031328000643</v>
      </c>
      <c r="O23" s="327"/>
      <c r="P23" s="242">
        <f>L23*N23</f>
        <v>2279.915501846981</v>
      </c>
      <c r="Q23" s="327"/>
      <c r="R23" s="242">
        <f>(Vaciado!D21+Vaciado!D22)</f>
        <v>70.222222222222229</v>
      </c>
      <c r="S23" s="19"/>
      <c r="T23" s="19"/>
      <c r="U23" s="19"/>
    </row>
    <row r="24" spans="1:24" ht="15" thickBot="1" x14ac:dyDescent="0.4">
      <c r="A24" s="19"/>
      <c r="B24" s="19"/>
      <c r="C24" s="19"/>
      <c r="D24" s="19"/>
      <c r="E24" s="19"/>
      <c r="F24" s="19"/>
      <c r="G24" s="19"/>
      <c r="H24" s="19"/>
      <c r="I24" s="19"/>
      <c r="J24" s="19"/>
      <c r="K24" s="19"/>
      <c r="L24" s="19"/>
      <c r="M24" s="19"/>
      <c r="N24" s="19"/>
      <c r="O24" s="19"/>
      <c r="P24" s="99"/>
      <c r="Q24" s="19"/>
      <c r="R24" s="19"/>
      <c r="S24" s="19"/>
      <c r="T24" s="19"/>
      <c r="U24" s="19"/>
    </row>
    <row r="25" spans="1:24" ht="43.5" x14ac:dyDescent="0.35">
      <c r="A25" s="19"/>
      <c r="B25" s="19"/>
      <c r="C25" s="19"/>
      <c r="D25" s="19"/>
      <c r="E25" s="19"/>
      <c r="F25" s="221" t="s">
        <v>377</v>
      </c>
      <c r="G25" s="327" t="s">
        <v>382</v>
      </c>
      <c r="H25" s="221" t="s">
        <v>376</v>
      </c>
      <c r="I25" s="327" t="s">
        <v>383</v>
      </c>
      <c r="J25" s="221" t="s">
        <v>402</v>
      </c>
      <c r="K25" s="328"/>
      <c r="L25" s="232"/>
      <c r="M25" s="19"/>
      <c r="N25" s="19"/>
      <c r="O25" s="322"/>
      <c r="P25" s="263"/>
      <c r="Q25" s="326" t="s">
        <v>387</v>
      </c>
      <c r="R25" s="221" t="s">
        <v>222</v>
      </c>
      <c r="S25" s="19"/>
      <c r="T25" s="218" t="s">
        <v>421</v>
      </c>
      <c r="U25" s="19"/>
      <c r="W25" s="8">
        <f>T26/R29</f>
        <v>0.1278694326308597</v>
      </c>
    </row>
    <row r="26" spans="1:24" ht="15" thickBot="1" x14ac:dyDescent="0.4">
      <c r="A26" s="19"/>
      <c r="B26" s="19"/>
      <c r="C26" s="19"/>
      <c r="D26" s="19"/>
      <c r="E26" s="19"/>
      <c r="F26" s="239">
        <f>'Unit Economics'!C18</f>
        <v>2.32182093496764</v>
      </c>
      <c r="G26" s="327"/>
      <c r="H26" s="233">
        <f>'Unit Economics'!C19</f>
        <v>90</v>
      </c>
      <c r="I26" s="327"/>
      <c r="J26" s="242">
        <f>F26*H26</f>
        <v>208.96388414708758</v>
      </c>
      <c r="K26" s="328"/>
      <c r="L26" s="99"/>
      <c r="M26" s="19"/>
      <c r="N26" s="19"/>
      <c r="O26" s="322"/>
      <c r="P26" s="99"/>
      <c r="Q26" s="326"/>
      <c r="R26" s="242">
        <f>J26-J23</f>
        <v>26.324661924865381</v>
      </c>
      <c r="S26" s="19"/>
      <c r="T26" s="220">
        <f>J26+R23</f>
        <v>279.18610636930981</v>
      </c>
      <c r="U26" s="19"/>
    </row>
    <row r="27" spans="1:24" ht="15" thickBot="1" x14ac:dyDescent="0.4">
      <c r="A27" s="19"/>
      <c r="B27" s="19"/>
      <c r="C27" s="240"/>
      <c r="D27" s="19"/>
      <c r="E27" s="19"/>
      <c r="F27" s="241"/>
      <c r="G27" s="19"/>
      <c r="H27" s="241"/>
      <c r="I27" s="19"/>
      <c r="J27" s="241"/>
      <c r="K27" s="19"/>
      <c r="L27" s="19"/>
      <c r="M27" s="19"/>
      <c r="N27" s="19"/>
      <c r="O27" s="19"/>
      <c r="P27" s="19"/>
      <c r="Q27" s="19"/>
      <c r="R27" s="19"/>
      <c r="S27" s="19"/>
      <c r="T27" s="251"/>
      <c r="U27" s="19"/>
      <c r="V27" s="19"/>
    </row>
    <row r="28" spans="1:24" x14ac:dyDescent="0.35">
      <c r="A28" s="19"/>
      <c r="B28" s="19"/>
      <c r="C28" s="19"/>
      <c r="D28" s="19"/>
      <c r="E28" s="19"/>
      <c r="F28" s="19"/>
      <c r="G28" s="19"/>
      <c r="H28" s="19"/>
      <c r="I28" s="19"/>
      <c r="J28" s="19"/>
      <c r="K28" s="19"/>
      <c r="L28" s="234"/>
      <c r="M28" s="19"/>
      <c r="N28" s="19"/>
      <c r="O28" s="19"/>
      <c r="P28" s="19"/>
      <c r="Q28" s="326" t="s">
        <v>383</v>
      </c>
      <c r="R28" s="210" t="s">
        <v>381</v>
      </c>
      <c r="S28" s="257">
        <f>R29/'Unit Economics'!C15</f>
        <v>1.3955122193464373</v>
      </c>
      <c r="T28" s="258" t="s">
        <v>434</v>
      </c>
      <c r="U28" s="19"/>
      <c r="V28" s="19"/>
    </row>
    <row r="29" spans="1:24" ht="15" thickBot="1" x14ac:dyDescent="0.4">
      <c r="A29" s="19"/>
      <c r="B29" s="19"/>
      <c r="C29" s="19"/>
      <c r="D29" s="19"/>
      <c r="E29" s="19"/>
      <c r="F29" s="19"/>
      <c r="G29" s="19"/>
      <c r="H29" s="19"/>
      <c r="I29" s="19"/>
      <c r="J29" s="19"/>
      <c r="K29" s="19"/>
      <c r="L29" s="234"/>
      <c r="M29" s="19"/>
      <c r="N29" s="19"/>
      <c r="O29" s="19"/>
      <c r="P29" s="19"/>
      <c r="Q29" s="326"/>
      <c r="R29" s="211">
        <f>P23-R23-R26</f>
        <v>2183.3686176998935</v>
      </c>
      <c r="S29" s="257">
        <f>R29/'Para reporte'!J51</f>
        <v>2.996215616341114</v>
      </c>
      <c r="T29" s="258" t="s">
        <v>433</v>
      </c>
      <c r="U29" s="19"/>
      <c r="V29" s="19"/>
    </row>
    <row r="30" spans="1:24" x14ac:dyDescent="0.35">
      <c r="A30" s="19"/>
      <c r="B30" s="19"/>
      <c r="C30" s="19"/>
      <c r="D30" s="19"/>
      <c r="E30" s="19"/>
      <c r="F30" s="19"/>
      <c r="G30" s="19"/>
      <c r="H30" s="19"/>
      <c r="I30" s="19"/>
      <c r="J30" s="19"/>
      <c r="K30" s="19"/>
      <c r="L30" s="19"/>
      <c r="M30" s="19"/>
      <c r="N30" s="19"/>
      <c r="O30" s="19"/>
      <c r="P30" s="19"/>
      <c r="Q30" s="19"/>
      <c r="R30" s="99"/>
      <c r="S30" s="19"/>
      <c r="T30" s="19"/>
      <c r="U30" s="19"/>
      <c r="V30" s="19"/>
    </row>
    <row r="31" spans="1:24" ht="15" thickBot="1" x14ac:dyDescent="0.4">
      <c r="A31" s="19"/>
      <c r="B31" s="19"/>
      <c r="C31" s="19"/>
      <c r="D31" s="19"/>
      <c r="E31" s="19"/>
      <c r="F31" s="19"/>
      <c r="G31" s="19"/>
      <c r="H31" s="19"/>
      <c r="I31" s="19"/>
      <c r="J31" s="19"/>
      <c r="K31" s="19"/>
      <c r="L31" s="19"/>
      <c r="M31" s="19"/>
      <c r="N31" s="19"/>
      <c r="O31" s="19"/>
      <c r="P31" s="19"/>
      <c r="Q31" s="19"/>
      <c r="R31" s="19"/>
      <c r="S31" s="19"/>
      <c r="T31" s="19"/>
      <c r="U31" s="19"/>
      <c r="V31" s="19"/>
    </row>
    <row r="32" spans="1:24" ht="43.5" x14ac:dyDescent="0.35">
      <c r="A32" s="19"/>
      <c r="B32" s="19"/>
      <c r="C32" s="19"/>
      <c r="D32" s="19"/>
      <c r="E32" s="19"/>
      <c r="F32" s="19"/>
      <c r="G32" s="19"/>
      <c r="H32" s="19"/>
      <c r="I32" s="19"/>
      <c r="J32" s="19"/>
      <c r="K32" s="19"/>
      <c r="L32" s="205" t="s">
        <v>243</v>
      </c>
      <c r="M32" s="206" t="s">
        <v>247</v>
      </c>
      <c r="N32" s="206" t="s">
        <v>246</v>
      </c>
      <c r="O32" s="207" t="s">
        <v>423</v>
      </c>
      <c r="P32" s="204" t="s">
        <v>417</v>
      </c>
      <c r="Q32" s="19"/>
      <c r="R32" s="204" t="s">
        <v>422</v>
      </c>
      <c r="S32" s="19"/>
      <c r="T32" s="212" t="s">
        <v>418</v>
      </c>
      <c r="U32" s="19"/>
      <c r="W32">
        <f>T33/R29</f>
        <v>4.1980121868283149</v>
      </c>
    </row>
    <row r="33" spans="1:21" x14ac:dyDescent="0.35">
      <c r="A33" s="19"/>
      <c r="B33" s="19"/>
      <c r="C33" s="19"/>
      <c r="D33" s="19"/>
      <c r="E33" s="19"/>
      <c r="F33" s="19"/>
      <c r="G33" s="19"/>
      <c r="H33" s="19"/>
      <c r="I33" s="19"/>
      <c r="J33" s="19"/>
      <c r="K33" s="19"/>
      <c r="L33" s="208" t="s">
        <v>244</v>
      </c>
      <c r="M33" s="245">
        <f>Vaciado!D75</f>
        <v>0.15</v>
      </c>
      <c r="N33" s="247">
        <f>Vaciado!E75</f>
        <v>1.5</v>
      </c>
      <c r="O33" s="248">
        <f>Vaciado!F75</f>
        <v>90</v>
      </c>
      <c r="P33" s="249">
        <f>Flujos!E106</f>
        <v>4881.6538553967002</v>
      </c>
      <c r="Q33" s="19"/>
      <c r="R33" s="252">
        <f>P33+P34</f>
        <v>6982.4394477427522</v>
      </c>
      <c r="S33" s="19"/>
      <c r="T33" s="213">
        <f>R29+P33+P34</f>
        <v>9165.8080654426449</v>
      </c>
      <c r="U33" s="19"/>
    </row>
    <row r="34" spans="1:21" ht="15" thickBot="1" x14ac:dyDescent="0.4">
      <c r="A34" s="19"/>
      <c r="B34" s="19"/>
      <c r="C34" s="19"/>
      <c r="D34" s="19"/>
      <c r="E34" s="19"/>
      <c r="F34" s="19"/>
      <c r="G34" s="19"/>
      <c r="H34" s="19"/>
      <c r="I34" s="19"/>
      <c r="J34" s="19"/>
      <c r="K34" s="19"/>
      <c r="L34" s="209" t="s">
        <v>245</v>
      </c>
      <c r="M34" s="246">
        <f>Vaciado!D76</f>
        <v>0.2</v>
      </c>
      <c r="N34" s="250">
        <f>Vaciado!E76</f>
        <v>0.7</v>
      </c>
      <c r="O34" s="135">
        <f>Vaciado!F76</f>
        <v>90</v>
      </c>
      <c r="P34" s="242">
        <f>Flujos!E112</f>
        <v>2100.7855923460515</v>
      </c>
      <c r="Q34" s="19"/>
      <c r="R34" s="253"/>
      <c r="S34" s="19"/>
      <c r="T34" s="214"/>
      <c r="U34" s="19"/>
    </row>
    <row r="35" spans="1:21" x14ac:dyDescent="0.35">
      <c r="A35" s="19"/>
      <c r="B35" s="19"/>
      <c r="C35" s="19"/>
      <c r="D35" s="19"/>
      <c r="E35" s="19"/>
      <c r="F35" s="19"/>
      <c r="G35" s="19"/>
      <c r="H35" s="19"/>
      <c r="I35" s="19"/>
      <c r="J35" s="19"/>
      <c r="K35" s="19"/>
      <c r="L35" s="19"/>
      <c r="M35" s="19"/>
      <c r="N35" s="19"/>
      <c r="O35" s="19"/>
      <c r="P35" s="19"/>
      <c r="Q35" s="19"/>
      <c r="R35" s="19"/>
      <c r="S35" s="19"/>
      <c r="T35" s="19"/>
      <c r="U35" s="19"/>
    </row>
    <row r="36" spans="1:21" x14ac:dyDescent="0.35">
      <c r="A36" s="19"/>
      <c r="B36" s="19"/>
      <c r="C36" s="19"/>
      <c r="D36" s="19"/>
      <c r="E36" s="19"/>
      <c r="F36" s="19"/>
      <c r="G36" s="19"/>
      <c r="H36" s="19"/>
      <c r="I36" s="19"/>
      <c r="J36" s="19"/>
      <c r="K36" s="19"/>
      <c r="L36" s="19"/>
      <c r="M36" s="19"/>
      <c r="N36" s="19"/>
      <c r="O36" s="19"/>
      <c r="P36" s="19"/>
      <c r="Q36" s="19"/>
      <c r="R36" s="19"/>
      <c r="S36" s="19"/>
      <c r="T36" s="254" t="s">
        <v>424</v>
      </c>
      <c r="U36" s="19"/>
    </row>
    <row r="37" spans="1:21" x14ac:dyDescent="0.35">
      <c r="A37" s="19"/>
      <c r="B37" s="19"/>
      <c r="C37" s="19"/>
      <c r="D37" s="19"/>
      <c r="E37" s="19"/>
      <c r="F37" s="19"/>
      <c r="G37" s="19"/>
      <c r="H37" s="19"/>
      <c r="I37" s="19"/>
      <c r="J37" s="19"/>
      <c r="K37" s="19"/>
      <c r="L37" s="19"/>
      <c r="M37" s="19"/>
      <c r="N37" s="19"/>
      <c r="O37" s="19"/>
      <c r="P37" s="19"/>
      <c r="Q37" s="19"/>
      <c r="R37" s="19"/>
      <c r="S37" s="19"/>
      <c r="T37" s="19"/>
      <c r="U37" s="19"/>
    </row>
  </sheetData>
  <mergeCells count="26">
    <mergeCell ref="Q25:Q26"/>
    <mergeCell ref="Q22:Q23"/>
    <mergeCell ref="I22:I23"/>
    <mergeCell ref="O25:O26"/>
    <mergeCell ref="K10:K11"/>
    <mergeCell ref="M10:M11"/>
    <mergeCell ref="K22:K23"/>
    <mergeCell ref="M22:M23"/>
    <mergeCell ref="O22:O23"/>
    <mergeCell ref="K19:K20"/>
    <mergeCell ref="Q28:Q29"/>
    <mergeCell ref="F6:F7"/>
    <mergeCell ref="I19:I20"/>
    <mergeCell ref="C13:C14"/>
    <mergeCell ref="I13:I14"/>
    <mergeCell ref="K13:K14"/>
    <mergeCell ref="I16:I17"/>
    <mergeCell ref="K16:K17"/>
    <mergeCell ref="D6:D7"/>
    <mergeCell ref="C10:C11"/>
    <mergeCell ref="E10:E11"/>
    <mergeCell ref="G10:G11"/>
    <mergeCell ref="I10:I11"/>
    <mergeCell ref="G25:G26"/>
    <mergeCell ref="I25:I26"/>
    <mergeCell ref="K25:K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CA4D-2CC5-4FC0-803E-19D6DDB60BC9}">
  <sheetPr>
    <tabColor theme="7"/>
  </sheetPr>
  <dimension ref="B3:L19"/>
  <sheetViews>
    <sheetView workbookViewId="0">
      <selection activeCell="B10" sqref="B10:J17"/>
    </sheetView>
  </sheetViews>
  <sheetFormatPr baseColWidth="10" defaultRowHeight="12.5" x14ac:dyDescent="0.25"/>
  <cols>
    <col min="1" max="1" width="10.90625" style="169"/>
    <col min="2" max="2" width="17.1796875" style="169" bestFit="1" customWidth="1"/>
    <col min="3" max="5" width="10.90625" style="169"/>
    <col min="6" max="6" width="0" style="169" hidden="1" customWidth="1"/>
    <col min="7" max="8" width="10.90625" style="169"/>
    <col min="9" max="9" width="12.08984375" style="169" bestFit="1" customWidth="1"/>
    <col min="10" max="16384" width="10.90625" style="169"/>
  </cols>
  <sheetData>
    <row r="3" spans="2:12" ht="14.5" x14ac:dyDescent="0.35">
      <c r="B3" s="192" t="s">
        <v>364</v>
      </c>
      <c r="C3" s="191" t="s">
        <v>363</v>
      </c>
      <c r="D3" s="191" t="s">
        <v>362</v>
      </c>
      <c r="E3" s="191" t="s">
        <v>357</v>
      </c>
      <c r="F3" s="191" t="s">
        <v>361</v>
      </c>
      <c r="G3" s="191" t="s">
        <v>360</v>
      </c>
      <c r="H3" s="191" t="s">
        <v>359</v>
      </c>
      <c r="I3" s="191" t="s">
        <v>355</v>
      </c>
      <c r="J3" s="191" t="s">
        <v>358</v>
      </c>
    </row>
    <row r="4" spans="2:12" ht="14.5" x14ac:dyDescent="0.35">
      <c r="B4" s="190" t="s">
        <v>365</v>
      </c>
      <c r="C4" s="189">
        <f>10000/Vaciado!D17</f>
        <v>11.111111111111111</v>
      </c>
      <c r="D4" s="189"/>
      <c r="E4" s="188"/>
      <c r="F4" s="188"/>
      <c r="G4" s="188"/>
      <c r="H4" s="188"/>
      <c r="I4" s="187">
        <f>SUM(C4:H4)</f>
        <v>11.111111111111111</v>
      </c>
      <c r="J4" s="186">
        <f>I4/$I$7</f>
        <v>0.33333333333333337</v>
      </c>
    </row>
    <row r="5" spans="2:12" ht="14.5" x14ac:dyDescent="0.35">
      <c r="B5" s="184" t="s">
        <v>366</v>
      </c>
      <c r="C5" s="183">
        <f>C4</f>
        <v>11.111111111111111</v>
      </c>
      <c r="D5" s="183"/>
      <c r="E5" s="182"/>
      <c r="F5" s="182"/>
      <c r="G5" s="182"/>
      <c r="H5" s="182"/>
      <c r="I5" s="181">
        <f>SUM(C5:H5)</f>
        <v>11.111111111111111</v>
      </c>
      <c r="J5" s="180">
        <f>I5/$I$7</f>
        <v>0.33333333333333337</v>
      </c>
    </row>
    <row r="6" spans="2:12" ht="14.5" x14ac:dyDescent="0.35">
      <c r="B6" s="179" t="s">
        <v>367</v>
      </c>
      <c r="C6" s="178">
        <f>C4</f>
        <v>11.111111111111111</v>
      </c>
      <c r="D6" s="178"/>
      <c r="E6" s="177"/>
      <c r="F6" s="177"/>
      <c r="G6" s="193"/>
      <c r="H6" s="177"/>
      <c r="I6" s="176">
        <f>SUM(C6:H6)</f>
        <v>11.111111111111111</v>
      </c>
      <c r="J6" s="175">
        <f>I6/$I$7</f>
        <v>0.33333333333333337</v>
      </c>
    </row>
    <row r="7" spans="2:12" ht="14.5" x14ac:dyDescent="0.35">
      <c r="B7" s="174" t="s">
        <v>355</v>
      </c>
      <c r="C7" s="173">
        <f t="shared" ref="C7:J7" si="0">SUM(C4:C6)</f>
        <v>33.333333333333329</v>
      </c>
      <c r="D7" s="173">
        <f t="shared" si="0"/>
        <v>0</v>
      </c>
      <c r="E7" s="173">
        <f t="shared" si="0"/>
        <v>0</v>
      </c>
      <c r="F7" s="173">
        <f t="shared" si="0"/>
        <v>0</v>
      </c>
      <c r="G7" s="173">
        <f t="shared" si="0"/>
        <v>0</v>
      </c>
      <c r="H7" s="173">
        <f t="shared" si="0"/>
        <v>0</v>
      </c>
      <c r="I7" s="173">
        <f t="shared" si="0"/>
        <v>33.333333333333329</v>
      </c>
      <c r="J7" s="172">
        <f t="shared" si="0"/>
        <v>1</v>
      </c>
    </row>
    <row r="10" spans="2:12" ht="14.5" x14ac:dyDescent="0.35">
      <c r="B10" s="192" t="s">
        <v>364</v>
      </c>
      <c r="C10" s="191" t="s">
        <v>363</v>
      </c>
      <c r="D10" s="191" t="s">
        <v>362</v>
      </c>
      <c r="E10" s="191" t="s">
        <v>357</v>
      </c>
      <c r="F10" s="191" t="s">
        <v>361</v>
      </c>
      <c r="G10" s="191" t="s">
        <v>360</v>
      </c>
      <c r="H10" s="191" t="s">
        <v>359</v>
      </c>
      <c r="I10" s="191" t="s">
        <v>355</v>
      </c>
      <c r="J10" s="191" t="s">
        <v>358</v>
      </c>
    </row>
    <row r="11" spans="2:12" ht="14.5" x14ac:dyDescent="0.35">
      <c r="B11" s="190" t="str">
        <f t="shared" ref="B11:C13" si="1">B4</f>
        <v>Bárbara Pantoja P.</v>
      </c>
      <c r="C11" s="189">
        <f t="shared" si="1"/>
        <v>11.111111111111111</v>
      </c>
      <c r="D11" s="189"/>
      <c r="E11" s="188"/>
      <c r="F11" s="188"/>
      <c r="G11" s="188"/>
      <c r="H11" s="188"/>
      <c r="I11" s="187">
        <f t="shared" ref="I11:I16" si="2">SUM(C11:H11)</f>
        <v>11.111111111111111</v>
      </c>
      <c r="J11" s="186">
        <f>L11</f>
        <v>0.29071018912304675</v>
      </c>
      <c r="L11" s="185">
        <f>(1/3)-(J16/3)</f>
        <v>0.29071018912304675</v>
      </c>
    </row>
    <row r="12" spans="2:12" ht="14.5" x14ac:dyDescent="0.35">
      <c r="B12" s="184" t="str">
        <f t="shared" si="1"/>
        <v>Rodrigo Hermosilla P.</v>
      </c>
      <c r="C12" s="183">
        <f t="shared" si="1"/>
        <v>11.111111111111111</v>
      </c>
      <c r="D12" s="183"/>
      <c r="E12" s="182"/>
      <c r="F12" s="182"/>
      <c r="G12" s="182"/>
      <c r="H12" s="182"/>
      <c r="I12" s="181">
        <f t="shared" si="2"/>
        <v>11.111111111111111</v>
      </c>
      <c r="J12" s="180">
        <f>L11</f>
        <v>0.29071018912304675</v>
      </c>
    </row>
    <row r="13" spans="2:12" ht="14.5" x14ac:dyDescent="0.35">
      <c r="B13" s="184" t="str">
        <f t="shared" si="1"/>
        <v>Lionel Valenzuela O.</v>
      </c>
      <c r="C13" s="183">
        <f t="shared" si="1"/>
        <v>11.111111111111111</v>
      </c>
      <c r="D13" s="183"/>
      <c r="E13" s="183"/>
      <c r="F13" s="182"/>
      <c r="G13" s="182"/>
      <c r="H13" s="182"/>
      <c r="I13" s="181">
        <f t="shared" si="2"/>
        <v>11.111111111111111</v>
      </c>
      <c r="J13" s="180">
        <f>L11</f>
        <v>0.29071018912304675</v>
      </c>
    </row>
    <row r="14" spans="2:12" ht="14.5" x14ac:dyDescent="0.35">
      <c r="B14" s="184" t="s">
        <v>368</v>
      </c>
      <c r="C14" s="183"/>
      <c r="D14" s="183"/>
      <c r="E14" s="183">
        <v>100</v>
      </c>
      <c r="F14" s="182"/>
      <c r="G14" s="182"/>
      <c r="H14" s="182"/>
      <c r="I14" s="181">
        <f t="shared" si="2"/>
        <v>100</v>
      </c>
      <c r="J14" s="180">
        <v>0</v>
      </c>
    </row>
    <row r="15" spans="2:12" ht="14.5" x14ac:dyDescent="0.35">
      <c r="B15" s="184" t="s">
        <v>369</v>
      </c>
      <c r="C15" s="183"/>
      <c r="D15" s="183"/>
      <c r="E15" s="183">
        <v>100</v>
      </c>
      <c r="F15" s="182"/>
      <c r="G15" s="182"/>
      <c r="H15" s="182"/>
      <c r="I15" s="181">
        <f t="shared" si="2"/>
        <v>100</v>
      </c>
      <c r="J15" s="180">
        <v>0</v>
      </c>
    </row>
    <row r="16" spans="2:12" ht="14.5" x14ac:dyDescent="0.35">
      <c r="B16" s="179" t="s">
        <v>356</v>
      </c>
      <c r="C16" s="178"/>
      <c r="D16" s="178"/>
      <c r="E16" s="177"/>
      <c r="F16" s="177"/>
      <c r="G16" s="178">
        <f>'MAP VALUE'!T26</f>
        <v>279.18610636930981</v>
      </c>
      <c r="H16" s="177"/>
      <c r="I16" s="176">
        <f t="shared" si="2"/>
        <v>279.18610636930981</v>
      </c>
      <c r="J16" s="175">
        <f>I16/I19</f>
        <v>0.1278694326308597</v>
      </c>
    </row>
    <row r="17" spans="2:10" ht="14.5" x14ac:dyDescent="0.35">
      <c r="B17" s="174" t="s">
        <v>355</v>
      </c>
      <c r="C17" s="173">
        <f t="shared" ref="C17:J17" si="3">SUM(C11:C16)</f>
        <v>33.333333333333329</v>
      </c>
      <c r="D17" s="173">
        <f t="shared" si="3"/>
        <v>0</v>
      </c>
      <c r="E17" s="173">
        <f t="shared" si="3"/>
        <v>200</v>
      </c>
      <c r="F17" s="173">
        <f t="shared" si="3"/>
        <v>0</v>
      </c>
      <c r="G17" s="173">
        <f t="shared" si="3"/>
        <v>279.18610636930981</v>
      </c>
      <c r="H17" s="173">
        <f t="shared" si="3"/>
        <v>0</v>
      </c>
      <c r="I17" s="173">
        <f t="shared" si="3"/>
        <v>512.51943970264313</v>
      </c>
      <c r="J17" s="172">
        <f t="shared" si="3"/>
        <v>0.99999999999999989</v>
      </c>
    </row>
    <row r="19" spans="2:10" x14ac:dyDescent="0.25">
      <c r="H19" s="171" t="s">
        <v>354</v>
      </c>
      <c r="I19" s="170">
        <f>Vaciado!E5</f>
        <v>2183.3686176998935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999E-E6A1-48C5-8AFA-87859542838F}">
  <dimension ref="B1:AA162"/>
  <sheetViews>
    <sheetView topLeftCell="F115" workbookViewId="0">
      <selection activeCell="I128" sqref="I128:L133"/>
    </sheetView>
  </sheetViews>
  <sheetFormatPr baseColWidth="10" defaultRowHeight="14.5" x14ac:dyDescent="0.35"/>
  <cols>
    <col min="6" max="6" width="10.90625" customWidth="1"/>
    <col min="9" max="9" width="24.6328125" bestFit="1" customWidth="1"/>
    <col min="12" max="13" width="11.54296875" bestFit="1" customWidth="1"/>
  </cols>
  <sheetData>
    <row r="1" spans="2:27" ht="15" thickBot="1" x14ac:dyDescent="0.4"/>
    <row r="2" spans="2:27" x14ac:dyDescent="0.35">
      <c r="B2" s="333" t="s">
        <v>70</v>
      </c>
      <c r="C2" s="310" t="s">
        <v>50</v>
      </c>
      <c r="D2" s="310"/>
      <c r="E2" s="310" t="s">
        <v>69</v>
      </c>
      <c r="F2" s="311"/>
      <c r="I2" s="28"/>
      <c r="J2" s="20">
        <v>2024</v>
      </c>
      <c r="K2" s="20">
        <v>2025</v>
      </c>
      <c r="L2" s="20">
        <v>2026</v>
      </c>
      <c r="P2" s="3">
        <v>2024</v>
      </c>
      <c r="Q2" s="3">
        <v>2025</v>
      </c>
      <c r="R2" s="3">
        <v>2026</v>
      </c>
    </row>
    <row r="3" spans="2:27" ht="15" thickBot="1" x14ac:dyDescent="0.4">
      <c r="B3" s="334"/>
      <c r="C3" s="312"/>
      <c r="D3" s="312"/>
      <c r="E3" s="45" t="s">
        <v>4</v>
      </c>
      <c r="F3" s="57" t="s">
        <v>26</v>
      </c>
      <c r="I3" s="29" t="s">
        <v>11</v>
      </c>
      <c r="J3" s="18">
        <f>SUM(P.Comercial!H10:S10)</f>
        <v>260</v>
      </c>
      <c r="K3" s="18">
        <f>SUM(P.Comercial!T10:AE10)</f>
        <v>515</v>
      </c>
      <c r="L3" s="18">
        <f>SUM(P.Comercial!AF10:AQ10)</f>
        <v>814</v>
      </c>
      <c r="M3" s="11">
        <f>SUM(J3:L3)</f>
        <v>1589</v>
      </c>
      <c r="O3" s="10" t="s">
        <v>343</v>
      </c>
      <c r="P3" s="99">
        <f t="shared" ref="P3:R4" si="0">J26</f>
        <v>1562.2222222222224</v>
      </c>
      <c r="Q3" s="99">
        <f t="shared" si="0"/>
        <v>2666.8777777777782</v>
      </c>
      <c r="R3" s="99">
        <f t="shared" si="0"/>
        <v>3214.0666666666671</v>
      </c>
      <c r="S3" s="99"/>
      <c r="T3" s="99"/>
      <c r="U3" s="99"/>
      <c r="V3" s="99"/>
      <c r="W3" s="99"/>
      <c r="X3" s="99"/>
      <c r="Y3" s="99"/>
      <c r="Z3" s="99"/>
      <c r="AA3" s="99"/>
    </row>
    <row r="4" spans="2:27" ht="15" thickBot="1" x14ac:dyDescent="0.4">
      <c r="B4" s="43" t="str">
        <f>Vaciado!B10</f>
        <v>A</v>
      </c>
      <c r="C4" s="44">
        <f>Vaciado!C10</f>
        <v>1</v>
      </c>
      <c r="D4" s="44">
        <f>Vaciado!D10</f>
        <v>25</v>
      </c>
      <c r="E4" s="44">
        <f>Vaciado!T18</f>
        <v>30</v>
      </c>
      <c r="F4" s="53">
        <f>((E4*Vaciado!$D$16)/Vaciado!$D$17)/1000</f>
        <v>1.2333333333333332</v>
      </c>
      <c r="I4" s="30" t="s">
        <v>85</v>
      </c>
      <c r="J4" s="24">
        <f>SUM(P.Comercial!H14:S14)</f>
        <v>0</v>
      </c>
      <c r="K4" s="24">
        <f>SUM(P.Comercial!T14:AE14)</f>
        <v>0</v>
      </c>
      <c r="L4" s="24">
        <f>SUM(P.Comercial!AF14:AQ14)</f>
        <v>0</v>
      </c>
      <c r="O4" s="10" t="s">
        <v>1</v>
      </c>
      <c r="P4" s="99">
        <f t="shared" si="0"/>
        <v>2.3420914621353859</v>
      </c>
      <c r="Q4" s="99">
        <f t="shared" si="0"/>
        <v>697.94325571638228</v>
      </c>
      <c r="R4" s="99">
        <f t="shared" si="0"/>
        <v>1946.2780050346123</v>
      </c>
      <c r="S4" s="99"/>
      <c r="T4" s="99"/>
      <c r="U4" s="99"/>
      <c r="V4" s="99"/>
      <c r="W4" s="99"/>
      <c r="X4" s="99"/>
      <c r="Y4" s="99"/>
      <c r="Z4" s="99"/>
      <c r="AA4" s="99"/>
    </row>
    <row r="5" spans="2:27" x14ac:dyDescent="0.35">
      <c r="B5" s="58" t="str">
        <f>Vaciado!B11</f>
        <v>B</v>
      </c>
      <c r="C5" s="42">
        <f>Vaciado!C11</f>
        <v>1</v>
      </c>
      <c r="D5" s="42">
        <f>Vaciado!D11</f>
        <v>500</v>
      </c>
      <c r="E5" s="42">
        <f>Vaciado!T19</f>
        <v>100</v>
      </c>
      <c r="F5" s="54">
        <f>((E5*Vaciado!$D$16)/Vaciado!$D$17)/1000</f>
        <v>4.1111111111111116</v>
      </c>
      <c r="I5" s="28" t="s">
        <v>86</v>
      </c>
      <c r="J5" s="25">
        <f>J3+J4</f>
        <v>260</v>
      </c>
      <c r="K5" s="25">
        <f>K3+K4</f>
        <v>515</v>
      </c>
      <c r="L5" s="25">
        <f>L3+L4</f>
        <v>814</v>
      </c>
      <c r="O5" s="10" t="s">
        <v>344</v>
      </c>
      <c r="P5" s="99">
        <f>-J42</f>
        <v>-385.07703789944759</v>
      </c>
      <c r="Q5" s="99">
        <f>-K42</f>
        <v>-783.32729403538201</v>
      </c>
      <c r="R5" s="99">
        <f>-L42</f>
        <v>-1180.1624944409482</v>
      </c>
      <c r="S5" s="99"/>
      <c r="T5" s="99"/>
      <c r="U5" s="99"/>
      <c r="V5" s="99"/>
      <c r="W5" s="99"/>
      <c r="X5" s="99"/>
      <c r="Y5" s="99"/>
      <c r="Z5" s="99"/>
      <c r="AA5" s="99"/>
    </row>
    <row r="6" spans="2:27" ht="15" thickBot="1" x14ac:dyDescent="0.4">
      <c r="B6" s="58" t="str">
        <f>Vaciado!B12</f>
        <v>C</v>
      </c>
      <c r="C6" s="42">
        <f>Vaciado!C12</f>
        <v>501</v>
      </c>
      <c r="D6" s="42">
        <f>Vaciado!D12</f>
        <v>1000</v>
      </c>
      <c r="E6" s="42">
        <f>Vaciado!T20</f>
        <v>350</v>
      </c>
      <c r="F6" s="54">
        <f>((E6*Vaciado!$D$16)/Vaciado!$D$17)/1000</f>
        <v>14.388888888888889</v>
      </c>
      <c r="I6" s="30" t="s">
        <v>87</v>
      </c>
      <c r="J6" s="24">
        <f>SUM(P.Comercial!H26:S26)</f>
        <v>-130</v>
      </c>
      <c r="K6" s="24">
        <f>SUM(P.Comercial!T26:AE26)</f>
        <v>-257.5</v>
      </c>
      <c r="L6" s="24">
        <f>SUM(P.Comercial!AF26:AQ26)</f>
        <v>-407</v>
      </c>
    </row>
    <row r="7" spans="2:27" x14ac:dyDescent="0.35">
      <c r="B7" s="58" t="str">
        <f>Vaciado!B13</f>
        <v>D</v>
      </c>
      <c r="C7" s="42">
        <f>Vaciado!C13</f>
        <v>1001</v>
      </c>
      <c r="D7" s="42" t="str">
        <f>Vaciado!D13</f>
        <v>+</v>
      </c>
      <c r="E7" s="42">
        <f>Vaciado!T21</f>
        <v>1000</v>
      </c>
      <c r="F7" s="54">
        <f>((E7*Vaciado!$D$16)/Vaciado!$D$17)/1000</f>
        <v>41.111111111111107</v>
      </c>
      <c r="I7" s="28" t="s">
        <v>88</v>
      </c>
      <c r="J7" s="25">
        <f>J5+J6</f>
        <v>130</v>
      </c>
      <c r="K7" s="25">
        <f>K5+K6+J7</f>
        <v>387.5</v>
      </c>
      <c r="L7" s="25">
        <f>L5+L6+K7</f>
        <v>794.5</v>
      </c>
    </row>
    <row r="8" spans="2:27" ht="15" thickBot="1" x14ac:dyDescent="0.4">
      <c r="B8" s="59" t="str">
        <f>Vaciado!B14</f>
        <v>E</v>
      </c>
      <c r="C8" s="24">
        <f>Vaciado!C14</f>
        <v>0</v>
      </c>
      <c r="D8" s="24">
        <f>Vaciado!D14</f>
        <v>0</v>
      </c>
      <c r="E8" s="24">
        <f>Vaciado!T22</f>
        <v>0</v>
      </c>
      <c r="F8" s="56">
        <f>((E8*Vaciado!$D$16)/Vaciado!$D$17)/1000</f>
        <v>0</v>
      </c>
      <c r="I8" s="19"/>
      <c r="J8" s="4"/>
      <c r="K8" s="4"/>
      <c r="L8" s="4"/>
    </row>
    <row r="9" spans="2:27" x14ac:dyDescent="0.35">
      <c r="I9" s="28"/>
      <c r="J9" s="20">
        <v>2024</v>
      </c>
      <c r="K9" s="20">
        <v>2025</v>
      </c>
      <c r="L9" s="20">
        <v>2026</v>
      </c>
    </row>
    <row r="10" spans="2:27" ht="15" thickBot="1" x14ac:dyDescent="0.4">
      <c r="I10" s="29" t="s">
        <v>94</v>
      </c>
      <c r="J10" s="18">
        <f>SUM(P.Comercial!H44:S44)</f>
        <v>260.5</v>
      </c>
      <c r="K10" s="18">
        <f>SUM(P.Comercial!T44:AE44)</f>
        <v>664</v>
      </c>
      <c r="L10" s="18">
        <f>SUM(P.Comercial!AF44:AQ44)</f>
        <v>1229.5</v>
      </c>
      <c r="M10" s="11">
        <f>SUM(J10:L10)</f>
        <v>2154</v>
      </c>
    </row>
    <row r="11" spans="2:27" x14ac:dyDescent="0.35">
      <c r="B11" s="317" t="s">
        <v>71</v>
      </c>
      <c r="C11" s="308" t="s">
        <v>65</v>
      </c>
      <c r="D11" s="308"/>
      <c r="E11" s="308"/>
      <c r="F11" s="317" t="s">
        <v>73</v>
      </c>
      <c r="G11" s="317" t="s">
        <v>74</v>
      </c>
      <c r="K11" s="11"/>
    </row>
    <row r="12" spans="2:27" ht="15" thickBot="1" x14ac:dyDescent="0.4">
      <c r="B12" s="318"/>
      <c r="C12" s="55">
        <v>2024</v>
      </c>
      <c r="D12" s="55">
        <v>2025</v>
      </c>
      <c r="E12" s="55">
        <v>2026</v>
      </c>
      <c r="F12" s="318"/>
      <c r="G12" s="318"/>
      <c r="I12" s="31" t="s">
        <v>13</v>
      </c>
      <c r="J12" s="20">
        <v>2024</v>
      </c>
      <c r="K12" s="20">
        <v>2025</v>
      </c>
      <c r="L12" s="20">
        <v>2026</v>
      </c>
    </row>
    <row r="13" spans="2:27" x14ac:dyDescent="0.35">
      <c r="B13" s="76" t="str">
        <f>Vaciado!B10</f>
        <v>A</v>
      </c>
      <c r="C13" s="40">
        <f>SUM(P.Comercial!H5:S5)</f>
        <v>125</v>
      </c>
      <c r="D13" s="40">
        <f>SUM(P.Comercial!T5:AE5)</f>
        <v>289</v>
      </c>
      <c r="E13" s="40">
        <f>SUM(P.Comercial!AF5:AQ5)</f>
        <v>526</v>
      </c>
      <c r="F13" s="60">
        <f>SUM(C13:E13)</f>
        <v>940</v>
      </c>
      <c r="G13" s="79">
        <f t="shared" ref="G13:G18" si="1">IF(F13=0,0,F13/$F$18)</f>
        <v>0.59156702328508493</v>
      </c>
      <c r="I13" s="29" t="s">
        <v>97</v>
      </c>
      <c r="J13" s="18">
        <f>SUM(P.Comercial!H52:S52)</f>
        <v>1564.5643136843578</v>
      </c>
      <c r="K13" s="18">
        <f>SUM(P.Comercial!T52:AE52)</f>
        <v>3364.8210334941605</v>
      </c>
      <c r="L13" s="18">
        <f>SUM(P.Comercial!AF52:AQ52)</f>
        <v>5160.3446717012785</v>
      </c>
      <c r="M13" s="11">
        <f>SUM(J13:L13)</f>
        <v>10089.730018879796</v>
      </c>
    </row>
    <row r="14" spans="2:27" x14ac:dyDescent="0.35">
      <c r="B14" s="76" t="str">
        <f>Vaciado!B11</f>
        <v>B</v>
      </c>
      <c r="C14" s="40">
        <f>SUM(P.Comercial!H6:S6)</f>
        <v>91</v>
      </c>
      <c r="D14" s="40">
        <f>SUM(P.Comercial!T6:AE6)</f>
        <v>154</v>
      </c>
      <c r="E14" s="40">
        <f>SUM(P.Comercial!AF6:AQ6)</f>
        <v>216</v>
      </c>
      <c r="F14" s="60">
        <f>SUM(C14:E14)</f>
        <v>461</v>
      </c>
      <c r="G14" s="79">
        <f t="shared" si="1"/>
        <v>0.29011957205789807</v>
      </c>
    </row>
    <row r="15" spans="2:27" x14ac:dyDescent="0.35">
      <c r="B15" s="76" t="str">
        <f>Vaciado!B12</f>
        <v>C</v>
      </c>
      <c r="C15" s="40">
        <f>SUM(P.Comercial!H7:S7)</f>
        <v>29</v>
      </c>
      <c r="D15" s="40">
        <f>SUM(P.Comercial!T7:AE7)</f>
        <v>48</v>
      </c>
      <c r="E15" s="40">
        <f>SUM(P.Comercial!AF7:AQ7)</f>
        <v>48</v>
      </c>
      <c r="F15" s="60">
        <f>SUM(C15:E15)</f>
        <v>125</v>
      </c>
      <c r="G15" s="79">
        <f t="shared" si="1"/>
        <v>7.8665827564505977E-2</v>
      </c>
      <c r="I15" s="31" t="s">
        <v>13</v>
      </c>
      <c r="J15" s="20">
        <v>2024</v>
      </c>
      <c r="K15" s="20">
        <v>2025</v>
      </c>
      <c r="L15" s="20">
        <v>2026</v>
      </c>
      <c r="M15" s="20" t="s">
        <v>428</v>
      </c>
      <c r="N15" s="3"/>
    </row>
    <row r="16" spans="2:27" x14ac:dyDescent="0.35">
      <c r="B16" s="76" t="str">
        <f>Vaciado!B13</f>
        <v>D</v>
      </c>
      <c r="C16" s="40">
        <f>SUM(P.Comercial!H8:S8)</f>
        <v>15</v>
      </c>
      <c r="D16" s="40">
        <f>SUM(P.Comercial!T8:AE8)</f>
        <v>24</v>
      </c>
      <c r="E16" s="40">
        <f>SUM(P.Comercial!AF8:AQ8)</f>
        <v>24</v>
      </c>
      <c r="F16" s="60">
        <f>SUM(C16:E16)</f>
        <v>63</v>
      </c>
      <c r="G16" s="79">
        <f t="shared" si="1"/>
        <v>3.9647577092511016E-2</v>
      </c>
      <c r="I16" s="29" t="s">
        <v>98</v>
      </c>
      <c r="J16" s="198">
        <f>IF(J10=0,0,J13/J10)</f>
        <v>6.0060050429341949</v>
      </c>
      <c r="K16" s="198">
        <f>IF(K10=0,0,K13/K10)</f>
        <v>5.0675015564671089</v>
      </c>
      <c r="L16" s="198">
        <f>IF(L10=0,0,L13/L10)</f>
        <v>4.1971083137057983</v>
      </c>
      <c r="M16" s="198">
        <f>IF(M10=0,0,M13/M10)</f>
        <v>4.6841829242710293</v>
      </c>
    </row>
    <row r="17" spans="2:13" ht="15" thickBot="1" x14ac:dyDescent="0.4">
      <c r="B17" s="76" t="str">
        <f>Vaciado!B14</f>
        <v>E</v>
      </c>
      <c r="C17" s="40">
        <f>SUM(P.Comercial!H9:S9)</f>
        <v>0</v>
      </c>
      <c r="D17" s="40">
        <f>SUM(P.Comercial!T9:AE9)</f>
        <v>0</v>
      </c>
      <c r="E17" s="40">
        <f>SUM(P.Comercial!AF9:AQ9)</f>
        <v>0</v>
      </c>
      <c r="F17" s="60">
        <f>SUM(C17:E17)</f>
        <v>0</v>
      </c>
      <c r="G17" s="79">
        <f t="shared" si="1"/>
        <v>0</v>
      </c>
      <c r="J17">
        <f>J13/J3</f>
        <v>6.0175550526321455</v>
      </c>
      <c r="K17">
        <f t="shared" ref="K17" si="2">K13/K3</f>
        <v>6.5336330747459428</v>
      </c>
      <c r="L17">
        <f>L13/L3</f>
        <v>6.3394897686747891</v>
      </c>
      <c r="M17">
        <f>M13/M3</f>
        <v>6.349735694700942</v>
      </c>
    </row>
    <row r="18" spans="2:13" ht="15" thickBot="1" x14ac:dyDescent="0.4">
      <c r="B18" s="77" t="s">
        <v>72</v>
      </c>
      <c r="C18" s="78">
        <f>SUM(C13:C17)</f>
        <v>260</v>
      </c>
      <c r="D18" s="78">
        <f>SUM(D13:D17)</f>
        <v>515</v>
      </c>
      <c r="E18" s="78">
        <f>SUM(E13:E17)</f>
        <v>814</v>
      </c>
      <c r="F18" s="77">
        <f>SUM(F13:F17)</f>
        <v>1589</v>
      </c>
      <c r="G18" s="80">
        <f t="shared" si="1"/>
        <v>1</v>
      </c>
    </row>
    <row r="19" spans="2:13" ht="15" thickBot="1" x14ac:dyDescent="0.4">
      <c r="I19" s="31" t="s">
        <v>13</v>
      </c>
      <c r="J19" s="20">
        <v>2024</v>
      </c>
      <c r="K19" s="20">
        <v>2025</v>
      </c>
      <c r="L19" s="20">
        <v>2026</v>
      </c>
      <c r="M19" s="20" t="s">
        <v>428</v>
      </c>
    </row>
    <row r="20" spans="2:13" x14ac:dyDescent="0.35">
      <c r="B20" s="306" t="s">
        <v>77</v>
      </c>
      <c r="C20" s="308" t="s">
        <v>79</v>
      </c>
      <c r="D20" s="308"/>
      <c r="E20" s="308"/>
      <c r="F20" s="317" t="s">
        <v>73</v>
      </c>
      <c r="I20" s="29" t="s">
        <v>109</v>
      </c>
      <c r="J20" s="18">
        <f>IF(P.Comercial!C57=0,0,P.Comercial!C57/'Para reporte'!J3)</f>
        <v>6.0085470085470094</v>
      </c>
      <c r="K20" s="18">
        <f>IF(P.Comercial!D57=0,0,P.Comercial!D57/'Para reporte'!K3)</f>
        <v>5.1784034519956856</v>
      </c>
      <c r="L20" s="18">
        <f>IF(P.Comercial!E57=0,0,P.Comercial!E57/'Para reporte'!L3)</f>
        <v>3.9484848484848492</v>
      </c>
      <c r="M20" s="18">
        <f>IF(P.Comercial!F57=0,0,P.Comercial!F57/'Para reporte'!M3)</f>
        <v>0</v>
      </c>
    </row>
    <row r="21" spans="2:13" ht="15" thickBot="1" x14ac:dyDescent="0.4">
      <c r="B21" s="307"/>
      <c r="C21" s="55">
        <v>2024</v>
      </c>
      <c r="D21" s="55">
        <v>2025</v>
      </c>
      <c r="E21" s="55">
        <v>2026</v>
      </c>
      <c r="F21" s="318"/>
      <c r="I21" s="19" t="s">
        <v>110</v>
      </c>
      <c r="J21" s="93">
        <f>IF(J4=0,0,P.Comercial!C65/'Para reporte'!J4)</f>
        <v>0</v>
      </c>
      <c r="K21" s="93">
        <f>IF(K4=0,0,P.Comercial!D65/'Para reporte'!K4)</f>
        <v>0</v>
      </c>
      <c r="L21" s="93">
        <f>IF(L4=0,0,P.Comercial!E65/'Para reporte'!L4)</f>
        <v>0</v>
      </c>
      <c r="M21" s="93">
        <f>IF(M4=0,0,P.Comercial!F65/'Para reporte'!M4)</f>
        <v>0</v>
      </c>
    </row>
    <row r="22" spans="2:13" ht="15" thickBot="1" x14ac:dyDescent="0.4">
      <c r="B22" s="86" t="s">
        <v>52</v>
      </c>
      <c r="C22" s="78">
        <f>SUM(P.Comercial!H14:S14)</f>
        <v>0</v>
      </c>
      <c r="D22" s="78">
        <f>SUM(P.Comercial!T14:AE14)</f>
        <v>0</v>
      </c>
      <c r="E22" s="78">
        <f>SUM(P.Comercial!AF14:AQ14)</f>
        <v>0</v>
      </c>
      <c r="F22" s="86">
        <f>SUM(C22:E22)</f>
        <v>0</v>
      </c>
      <c r="I22" s="30" t="s">
        <v>114</v>
      </c>
      <c r="J22" s="24">
        <f>IF((J10-J5)=0,0,P.Comercial!C73/(J10-J5))</f>
        <v>4.6841829242710302</v>
      </c>
      <c r="K22" s="24">
        <f>IF((K10-K5)=0,0,P.Comercial!D73/(K10-K5))</f>
        <v>4.6841829242710293</v>
      </c>
      <c r="L22" s="24">
        <f>IF((L10-L5)=0,0,P.Comercial!E73/(L10-L5))</f>
        <v>4.6841829242710293</v>
      </c>
      <c r="M22" s="24">
        <f>IF((M10-M5)=0,0,P.Comercial!F73/(M10-M5))</f>
        <v>0</v>
      </c>
    </row>
    <row r="23" spans="2:13" x14ac:dyDescent="0.35">
      <c r="I23" s="19" t="s">
        <v>111</v>
      </c>
      <c r="J23" s="42">
        <f>J16</f>
        <v>6.0060050429341949</v>
      </c>
      <c r="K23" s="42">
        <f>K16</f>
        <v>5.0675015564671089</v>
      </c>
      <c r="L23" s="42">
        <f>L16</f>
        <v>4.1971083137057983</v>
      </c>
      <c r="M23" s="42">
        <f>M16</f>
        <v>4.6841829242710293</v>
      </c>
    </row>
    <row r="24" spans="2:13" ht="15" thickBot="1" x14ac:dyDescent="0.4"/>
    <row r="25" spans="2:13" ht="14.5" customHeight="1" x14ac:dyDescent="0.35">
      <c r="B25" s="317" t="s">
        <v>71</v>
      </c>
      <c r="C25" s="317" t="s">
        <v>101</v>
      </c>
      <c r="D25" s="317" t="s">
        <v>74</v>
      </c>
      <c r="E25" s="317" t="s">
        <v>102</v>
      </c>
      <c r="I25" s="31" t="s">
        <v>13</v>
      </c>
      <c r="J25" s="20">
        <v>2024</v>
      </c>
      <c r="K25" s="20">
        <v>2025</v>
      </c>
      <c r="L25" s="20">
        <v>2026</v>
      </c>
    </row>
    <row r="26" spans="2:13" ht="15" thickBot="1" x14ac:dyDescent="0.4">
      <c r="B26" s="318"/>
      <c r="C26" s="318"/>
      <c r="D26" s="318"/>
      <c r="E26" s="318"/>
      <c r="I26" s="29" t="s">
        <v>0</v>
      </c>
      <c r="J26" s="18">
        <f t="shared" ref="J26:L26" si="3">J20*J3</f>
        <v>1562.2222222222224</v>
      </c>
      <c r="K26" s="18">
        <f t="shared" si="3"/>
        <v>2666.8777777777782</v>
      </c>
      <c r="L26" s="18">
        <f t="shared" si="3"/>
        <v>3214.0666666666671</v>
      </c>
    </row>
    <row r="27" spans="2:13" ht="15" thickBot="1" x14ac:dyDescent="0.4">
      <c r="B27" s="90" t="str">
        <f>Vaciado!B10</f>
        <v>A</v>
      </c>
      <c r="C27" s="53">
        <f>F4</f>
        <v>1.2333333333333332</v>
      </c>
      <c r="D27" s="79">
        <f>G13</f>
        <v>0.59156702328508493</v>
      </c>
      <c r="E27" s="91">
        <f>C27*D27</f>
        <v>0.72959932871827127</v>
      </c>
      <c r="I27" s="30" t="s">
        <v>67</v>
      </c>
      <c r="J27" s="24">
        <f>(J10*J16)-J26</f>
        <v>2.3420914621353859</v>
      </c>
      <c r="K27" s="24">
        <f>(K10*K16)-K26</f>
        <v>697.94325571638228</v>
      </c>
      <c r="L27" s="24">
        <f>(L10*L16)-L26</f>
        <v>1946.2780050346123</v>
      </c>
    </row>
    <row r="28" spans="2:13" x14ac:dyDescent="0.35">
      <c r="B28" s="76" t="str">
        <f>Vaciado!B11</f>
        <v>B</v>
      </c>
      <c r="C28" s="54">
        <f>F5</f>
        <v>4.1111111111111116</v>
      </c>
      <c r="D28" s="79">
        <f>G14</f>
        <v>0.29011957205789807</v>
      </c>
      <c r="E28" s="91">
        <f>C28*D28</f>
        <v>1.1927137962380254</v>
      </c>
      <c r="I28" s="28" t="s">
        <v>2</v>
      </c>
      <c r="J28" s="25">
        <f>J26+J27</f>
        <v>1564.5643136843578</v>
      </c>
      <c r="K28" s="25">
        <f>K26+K27</f>
        <v>3364.8210334941605</v>
      </c>
      <c r="L28" s="25">
        <f>L26+L27</f>
        <v>5160.3446717012794</v>
      </c>
    </row>
    <row r="29" spans="2:13" x14ac:dyDescent="0.35">
      <c r="B29" s="76" t="str">
        <f>Vaciado!B12</f>
        <v>C</v>
      </c>
      <c r="C29" s="54">
        <f>F6</f>
        <v>14.388888888888889</v>
      </c>
      <c r="D29" s="79">
        <f>G15</f>
        <v>7.8665827564505977E-2</v>
      </c>
      <c r="E29" s="91">
        <f>C29*D29</f>
        <v>1.1319138521781693</v>
      </c>
    </row>
    <row r="30" spans="2:13" x14ac:dyDescent="0.35">
      <c r="B30" s="76" t="str">
        <f>Vaciado!B13</f>
        <v>D</v>
      </c>
      <c r="C30" s="54">
        <f>F7</f>
        <v>41.111111111111107</v>
      </c>
      <c r="D30" s="79">
        <f>G16</f>
        <v>3.9647577092511016E-2</v>
      </c>
      <c r="E30" s="91">
        <f>C30*D30</f>
        <v>1.6299559471365639</v>
      </c>
    </row>
    <row r="31" spans="2:13" ht="15" thickBot="1" x14ac:dyDescent="0.4">
      <c r="B31" s="76" t="str">
        <f>Vaciado!B14</f>
        <v>E</v>
      </c>
      <c r="C31" s="54">
        <f>F8</f>
        <v>0</v>
      </c>
      <c r="D31" s="79">
        <f>G17</f>
        <v>0</v>
      </c>
      <c r="E31" s="91">
        <f>C31*D31</f>
        <v>0</v>
      </c>
      <c r="I31" s="31" t="s">
        <v>104</v>
      </c>
      <c r="J31" s="20">
        <v>2024</v>
      </c>
      <c r="K31" s="20">
        <v>2025</v>
      </c>
      <c r="L31" s="20">
        <v>2026</v>
      </c>
    </row>
    <row r="32" spans="2:13" ht="15" thickBot="1" x14ac:dyDescent="0.4">
      <c r="B32" s="330" t="s">
        <v>103</v>
      </c>
      <c r="C32" s="331"/>
      <c r="D32" s="332"/>
      <c r="E32" s="92">
        <f>SUM(E27:E31)</f>
        <v>4.6841829242710302</v>
      </c>
      <c r="I32" s="29" t="s">
        <v>1</v>
      </c>
      <c r="J32" s="301">
        <f>IF(J28=0,0,J27/J28)</f>
        <v>1.496960809888375E-3</v>
      </c>
      <c r="K32" s="22">
        <f>IF(K28=0,0,K27/K28)</f>
        <v>0.2074235891801981</v>
      </c>
      <c r="L32" s="22">
        <f>IF(L28=0,0,L27/L28)</f>
        <v>0.37716046676257325</v>
      </c>
    </row>
    <row r="34" spans="2:14" x14ac:dyDescent="0.35">
      <c r="I34" s="31" t="s">
        <v>13</v>
      </c>
      <c r="J34" s="20">
        <v>2024</v>
      </c>
      <c r="K34" s="20">
        <v>2025</v>
      </c>
      <c r="L34" s="20">
        <v>2026</v>
      </c>
    </row>
    <row r="35" spans="2:14" x14ac:dyDescent="0.35">
      <c r="D35" s="3" t="s">
        <v>26</v>
      </c>
      <c r="I35" s="29" t="s">
        <v>2</v>
      </c>
      <c r="J35" s="32">
        <f>Flujos!B12</f>
        <v>1564.5643136843578</v>
      </c>
      <c r="K35" s="32">
        <f>Flujos!C12</f>
        <v>3364.8210334941605</v>
      </c>
      <c r="L35" s="32">
        <f>Flujos!D12</f>
        <v>5160.3446717012785</v>
      </c>
    </row>
    <row r="36" spans="2:14" ht="15" thickBot="1" x14ac:dyDescent="0.4">
      <c r="B36" s="329" t="s">
        <v>207</v>
      </c>
      <c r="C36" s="329"/>
      <c r="D36" s="2">
        <f>Vaciado!E39+Vaciado!E40+Vaciado!E41+Vaciado!E42+Vaciado!E43+Vaciado!E44+Vaciado!E45+Vaciado!E47+Vaciado!E50+Vaciado!E56+Vaciado!E57+Vaciado!E58+Vaciado!E59+Vaciado!E60+Vaciado!E61+Vaciado!E62+Vaciado!E63+Vaciado!E64+Vaciado!E65</f>
        <v>28.507444444444445</v>
      </c>
      <c r="I36" s="30" t="s">
        <v>132</v>
      </c>
      <c r="J36" s="37">
        <f>Flujos!B20</f>
        <v>121.79428300468498</v>
      </c>
      <c r="K36" s="37">
        <f>Flujos!C20</f>
        <v>268.29194650723724</v>
      </c>
      <c r="L36" s="37">
        <f>Flujos!D20</f>
        <v>389.09051022655757</v>
      </c>
      <c r="N36">
        <f>J36/J35</f>
        <v>7.7845494710201038E-2</v>
      </c>
    </row>
    <row r="37" spans="2:14" x14ac:dyDescent="0.35">
      <c r="B37" s="329" t="s">
        <v>206</v>
      </c>
      <c r="C37" s="329"/>
      <c r="D37" s="6">
        <f>D36*12</f>
        <v>342.08933333333334</v>
      </c>
      <c r="I37" s="21" t="s">
        <v>133</v>
      </c>
      <c r="J37" s="34">
        <f>J35-J36</f>
        <v>1442.7700306796728</v>
      </c>
      <c r="K37" s="34">
        <f>K35-K36</f>
        <v>3096.5290869869232</v>
      </c>
      <c r="L37" s="34">
        <f>L35-L36</f>
        <v>4771.2541614747206</v>
      </c>
    </row>
    <row r="38" spans="2:14" x14ac:dyDescent="0.35">
      <c r="I38" s="26" t="s">
        <v>134</v>
      </c>
      <c r="J38" s="38">
        <f>IF(J35=0,0,J37/J35)</f>
        <v>0.92215450528979892</v>
      </c>
      <c r="K38" s="38">
        <f>IF(K35=0,0,K37/K35)</f>
        <v>0.92026561180027078</v>
      </c>
      <c r="L38" s="38">
        <f>IF(L35=0,0,L37/L35)</f>
        <v>0.92459989884778737</v>
      </c>
    </row>
    <row r="39" spans="2:14" x14ac:dyDescent="0.35">
      <c r="C39" s="10" t="s">
        <v>208</v>
      </c>
      <c r="D39" s="2">
        <f>'Unit Economics'!C3</f>
        <v>6.0060050429341949</v>
      </c>
    </row>
    <row r="40" spans="2:14" x14ac:dyDescent="0.35">
      <c r="C40" s="10" t="s">
        <v>209</v>
      </c>
      <c r="D40" s="5">
        <f>Vaciado!D68+Vaciado!D69+Vaciado!D70+Vaciado!D71+Vaciado!D72+Vaciado!D51</f>
        <v>0.315</v>
      </c>
      <c r="I40" s="31" t="s">
        <v>13</v>
      </c>
      <c r="J40" s="20">
        <v>2024</v>
      </c>
      <c r="K40" s="20">
        <v>2025</v>
      </c>
      <c r="L40" s="20">
        <v>2026</v>
      </c>
      <c r="M40" t="s">
        <v>355</v>
      </c>
    </row>
    <row r="41" spans="2:14" x14ac:dyDescent="0.35">
      <c r="C41" s="10" t="s">
        <v>210</v>
      </c>
      <c r="D41" s="113">
        <f>Vaciado!D36/1000</f>
        <v>0.125</v>
      </c>
      <c r="I41" s="29" t="s">
        <v>2</v>
      </c>
      <c r="J41" s="32">
        <f>Flujos!B12</f>
        <v>1564.5643136843578</v>
      </c>
      <c r="K41" s="32">
        <f>Flujos!C12</f>
        <v>3364.8210334941605</v>
      </c>
      <c r="L41" s="32">
        <f>Flujos!D12</f>
        <v>5160.3446717012785</v>
      </c>
      <c r="M41" s="1">
        <f>J41+K41+L41</f>
        <v>10089.730018879796</v>
      </c>
    </row>
    <row r="42" spans="2:14" ht="15" thickBot="1" x14ac:dyDescent="0.4">
      <c r="C42" s="10" t="s">
        <v>211</v>
      </c>
      <c r="D42" s="6">
        <f>D39*D40+D41</f>
        <v>2.0168915885242713</v>
      </c>
      <c r="I42" s="30" t="s">
        <v>37</v>
      </c>
      <c r="J42" s="37">
        <f>Flujos!B28</f>
        <v>385.07703789944759</v>
      </c>
      <c r="K42" s="37">
        <f>Flujos!C28</f>
        <v>783.32729403538201</v>
      </c>
      <c r="L42" s="37">
        <f>Flujos!D28</f>
        <v>1180.1624944409482</v>
      </c>
      <c r="M42" s="1">
        <f>J42+K42+L42</f>
        <v>2348.566826375778</v>
      </c>
    </row>
    <row r="43" spans="2:14" x14ac:dyDescent="0.35">
      <c r="I43" s="21" t="s">
        <v>135</v>
      </c>
      <c r="J43" s="34">
        <f>J41-J42</f>
        <v>1179.4872757849103</v>
      </c>
      <c r="K43" s="34">
        <f>K41-K42</f>
        <v>2581.4937394587787</v>
      </c>
      <c r="L43" s="34">
        <f>L41-L42</f>
        <v>3980.1821772603303</v>
      </c>
      <c r="M43" s="1">
        <f>M41-M42</f>
        <v>7741.1631925040183</v>
      </c>
    </row>
    <row r="44" spans="2:14" x14ac:dyDescent="0.35">
      <c r="C44" s="10" t="s">
        <v>213</v>
      </c>
      <c r="D44" s="3">
        <f>Vaciado!G37</f>
        <v>3</v>
      </c>
      <c r="E44" t="s">
        <v>83</v>
      </c>
      <c r="I44" s="26" t="s">
        <v>136</v>
      </c>
      <c r="J44" s="38">
        <f>IF(J41=0,0,J42/J41)</f>
        <v>0.2461241347072772</v>
      </c>
      <c r="K44" s="38">
        <f t="shared" ref="K44:L44" si="4">IF(K41=0,0,K42/K41)</f>
        <v>0.23279909577299113</v>
      </c>
      <c r="L44" s="38">
        <f t="shared" si="4"/>
        <v>0.22869838538360046</v>
      </c>
    </row>
    <row r="45" spans="2:14" x14ac:dyDescent="0.35">
      <c r="D45" s="1"/>
      <c r="E45" s="112"/>
    </row>
    <row r="46" spans="2:14" x14ac:dyDescent="0.35">
      <c r="C46" s="3" t="s">
        <v>214</v>
      </c>
      <c r="D46" s="3" t="s">
        <v>205</v>
      </c>
      <c r="E46" s="3" t="s">
        <v>205</v>
      </c>
      <c r="F46" s="3" t="s">
        <v>212</v>
      </c>
      <c r="I46" s="31" t="s">
        <v>13</v>
      </c>
      <c r="J46" s="20">
        <v>2024</v>
      </c>
      <c r="K46" s="20">
        <v>2025</v>
      </c>
      <c r="L46" s="20">
        <v>2026</v>
      </c>
    </row>
    <row r="47" spans="2:14" x14ac:dyDescent="0.35">
      <c r="C47" s="27">
        <v>7.5034085649539009</v>
      </c>
      <c r="D47" s="2">
        <f>E47-F47</f>
        <v>55.59038527294107</v>
      </c>
      <c r="E47" s="2">
        <f>((D44*D36)+(C47*D42))</f>
        <v>100.65589495324983</v>
      </c>
      <c r="F47" s="2">
        <f>C47*D39</f>
        <v>45.065509680308757</v>
      </c>
      <c r="I47" s="29" t="s">
        <v>2</v>
      </c>
      <c r="J47" s="32">
        <f>Flujos!B12</f>
        <v>1564.5643136843578</v>
      </c>
      <c r="K47" s="32">
        <f>Flujos!C12</f>
        <v>3364.8210334941605</v>
      </c>
      <c r="L47" s="32">
        <f>Flujos!D12</f>
        <v>5160.3446717012785</v>
      </c>
    </row>
    <row r="48" spans="2:14" x14ac:dyDescent="0.35">
      <c r="I48" s="19" t="s">
        <v>132</v>
      </c>
      <c r="J48" s="99">
        <f>Flujos!B20</f>
        <v>121.79428300468498</v>
      </c>
      <c r="K48" s="99">
        <f>Flujos!C20</f>
        <v>268.29194650723724</v>
      </c>
      <c r="L48" s="99">
        <f>Flujos!D20</f>
        <v>389.09051022655757</v>
      </c>
    </row>
    <row r="49" spans="2:14" x14ac:dyDescent="0.35">
      <c r="I49" s="19" t="s">
        <v>37</v>
      </c>
      <c r="J49" s="99">
        <f>Flujos!B28</f>
        <v>385.07703789944759</v>
      </c>
      <c r="K49" s="99">
        <f>Flujos!C28</f>
        <v>783.32729403538201</v>
      </c>
      <c r="L49" s="99">
        <f>Flujos!D28</f>
        <v>1180.1624944409482</v>
      </c>
    </row>
    <row r="50" spans="2:14" ht="15" thickBot="1" x14ac:dyDescent="0.4">
      <c r="B50" s="293" t="s">
        <v>37</v>
      </c>
      <c r="C50" s="19"/>
      <c r="D50" s="19"/>
      <c r="I50" s="30" t="s">
        <v>137</v>
      </c>
      <c r="J50" s="37">
        <f>Flujos!B44</f>
        <v>328.98421568421787</v>
      </c>
      <c r="K50" s="37">
        <f>Flujos!C44</f>
        <v>429.33038500804139</v>
      </c>
      <c r="L50" s="37">
        <f>Flujos!D44</f>
        <v>529.95656691839736</v>
      </c>
      <c r="M50" s="1">
        <f>J50+K50+L50</f>
        <v>1288.2711676106567</v>
      </c>
    </row>
    <row r="51" spans="2:14" x14ac:dyDescent="0.35">
      <c r="B51" s="341" t="s">
        <v>456</v>
      </c>
      <c r="C51" s="341"/>
      <c r="D51" s="294">
        <f>Vaciado!E50</f>
        <v>0.55555555555555558</v>
      </c>
      <c r="I51" s="21" t="s">
        <v>42</v>
      </c>
      <c r="J51" s="34">
        <f>J47-J48-J49-J50</f>
        <v>728.70877709600745</v>
      </c>
      <c r="K51" s="34">
        <f>K47-K48-K49-K50</f>
        <v>1883.8714079434999</v>
      </c>
      <c r="L51" s="34">
        <f>L47-L48-L49-L50</f>
        <v>3061.1351001153753</v>
      </c>
      <c r="M51" s="1">
        <f>J51+K51+L51</f>
        <v>5673.7152851548826</v>
      </c>
    </row>
    <row r="52" spans="2:14" x14ac:dyDescent="0.35">
      <c r="B52" s="335" t="s">
        <v>457</v>
      </c>
      <c r="C52" s="335"/>
      <c r="D52" s="296">
        <f>Vaciado!E56</f>
        <v>1.5555555555555556</v>
      </c>
      <c r="I52" s="26" t="s">
        <v>138</v>
      </c>
      <c r="J52" s="38">
        <f>IF(J47=0,0,J51/J47)</f>
        <v>0.4657582757847693</v>
      </c>
      <c r="K52" s="38">
        <f>IF(K47=0,0,K51/K47)</f>
        <v>0.55987269135298257</v>
      </c>
      <c r="L52" s="38">
        <f>IF(L47=0,0,L51/L47)</f>
        <v>0.59320361232889718</v>
      </c>
    </row>
    <row r="53" spans="2:14" x14ac:dyDescent="0.35">
      <c r="B53" s="335" t="s">
        <v>458</v>
      </c>
      <c r="C53" s="335"/>
      <c r="D53" s="296">
        <f>Vaciado!E57</f>
        <v>1.3333333333333333</v>
      </c>
      <c r="I53" s="19"/>
      <c r="J53" s="19"/>
      <c r="K53" s="19"/>
      <c r="L53" s="19"/>
      <c r="M53" s="19"/>
    </row>
    <row r="54" spans="2:14" x14ac:dyDescent="0.35">
      <c r="B54" s="335" t="s">
        <v>459</v>
      </c>
      <c r="C54" s="335"/>
      <c r="D54" s="297">
        <f>Vaciado!D51</f>
        <v>0.15</v>
      </c>
      <c r="I54" s="31" t="s">
        <v>13</v>
      </c>
      <c r="J54" s="20" t="s">
        <v>139</v>
      </c>
      <c r="K54" s="20">
        <v>2024</v>
      </c>
      <c r="L54" s="20">
        <v>2025</v>
      </c>
      <c r="M54" s="20">
        <v>2026</v>
      </c>
    </row>
    <row r="55" spans="2:14" x14ac:dyDescent="0.35">
      <c r="B55" s="335" t="s">
        <v>460</v>
      </c>
      <c r="C55" s="335"/>
      <c r="D55" s="298">
        <f>Vaciado!D71</f>
        <v>3.5000000000000003E-2</v>
      </c>
      <c r="I55" s="29" t="s">
        <v>2</v>
      </c>
      <c r="J55" s="29"/>
      <c r="K55" s="32">
        <f t="shared" ref="K55:M58" si="5">J47</f>
        <v>1564.5643136843578</v>
      </c>
      <c r="L55" s="32">
        <f t="shared" si="5"/>
        <v>3364.8210334941605</v>
      </c>
      <c r="M55" s="32">
        <f t="shared" si="5"/>
        <v>5160.3446717012785</v>
      </c>
    </row>
    <row r="56" spans="2:14" x14ac:dyDescent="0.35">
      <c r="B56" s="342" t="s">
        <v>461</v>
      </c>
      <c r="C56" s="342"/>
      <c r="D56" s="300">
        <f>Vaciado!D72</f>
        <v>3.5000000000000003E-2</v>
      </c>
      <c r="I56" s="19" t="s">
        <v>132</v>
      </c>
      <c r="J56" s="19"/>
      <c r="K56" s="99">
        <f t="shared" si="5"/>
        <v>121.79428300468498</v>
      </c>
      <c r="L56" s="99">
        <f t="shared" si="5"/>
        <v>268.29194650723724</v>
      </c>
      <c r="M56" s="99">
        <f t="shared" si="5"/>
        <v>389.09051022655757</v>
      </c>
    </row>
    <row r="57" spans="2:14" x14ac:dyDescent="0.35">
      <c r="I57" s="19" t="s">
        <v>37</v>
      </c>
      <c r="J57" s="19"/>
      <c r="K57" s="99">
        <f t="shared" si="5"/>
        <v>385.07703789944759</v>
      </c>
      <c r="L57" s="99">
        <f t="shared" si="5"/>
        <v>783.32729403538201</v>
      </c>
      <c r="M57" s="99">
        <f t="shared" si="5"/>
        <v>1180.1624944409482</v>
      </c>
    </row>
    <row r="58" spans="2:14" x14ac:dyDescent="0.35">
      <c r="B58" s="293" t="s">
        <v>474</v>
      </c>
      <c r="C58" s="19"/>
      <c r="D58" s="19"/>
      <c r="I58" s="19" t="s">
        <v>137</v>
      </c>
      <c r="J58" s="19"/>
      <c r="K58" s="99">
        <f t="shared" si="5"/>
        <v>328.98421568421787</v>
      </c>
      <c r="L58" s="99">
        <f t="shared" si="5"/>
        <v>429.33038500804139</v>
      </c>
      <c r="M58" s="99">
        <f t="shared" si="5"/>
        <v>529.95656691839736</v>
      </c>
    </row>
    <row r="59" spans="2:14" x14ac:dyDescent="0.35">
      <c r="B59" s="341" t="s">
        <v>462</v>
      </c>
      <c r="C59" s="341"/>
      <c r="D59" s="294">
        <f>Vaciado!E63</f>
        <v>5.5555555555555554</v>
      </c>
      <c r="I59" s="35" t="s">
        <v>42</v>
      </c>
      <c r="J59" s="14"/>
      <c r="K59" s="36">
        <f>K55-K56-K57-K58</f>
        <v>728.70877709600745</v>
      </c>
      <c r="L59" s="36">
        <f>L55-L56-L57-L58</f>
        <v>1883.8714079434999</v>
      </c>
      <c r="M59" s="36">
        <f>M55-M56-M57-M58</f>
        <v>3061.1351001153753</v>
      </c>
      <c r="N59" s="1">
        <f>K59+L59+M59</f>
        <v>5673.7152851548826</v>
      </c>
    </row>
    <row r="60" spans="2:14" x14ac:dyDescent="0.35">
      <c r="B60" s="335" t="s">
        <v>463</v>
      </c>
      <c r="C60" s="335"/>
      <c r="D60" s="296">
        <f>Vaciado!E64</f>
        <v>3.3333333333333335</v>
      </c>
      <c r="I60" s="23" t="s">
        <v>140</v>
      </c>
      <c r="J60" s="99">
        <f>'Unit Economics'!C21</f>
        <v>-182.6392222222222</v>
      </c>
      <c r="K60" s="19"/>
      <c r="L60" s="19"/>
      <c r="M60" s="99">
        <f>-J60</f>
        <v>182.6392222222222</v>
      </c>
    </row>
    <row r="61" spans="2:14" x14ac:dyDescent="0.35">
      <c r="B61" s="335" t="s">
        <v>464</v>
      </c>
      <c r="C61" s="335"/>
      <c r="D61" s="296">
        <f>Vaciado!E56</f>
        <v>1.5555555555555556</v>
      </c>
      <c r="I61" s="23" t="s">
        <v>141</v>
      </c>
      <c r="J61" s="19"/>
      <c r="K61" s="19"/>
      <c r="L61" s="19"/>
      <c r="M61" s="19"/>
    </row>
    <row r="62" spans="2:14" ht="15" thickBot="1" x14ac:dyDescent="0.4">
      <c r="B62" s="335" t="s">
        <v>465</v>
      </c>
      <c r="C62" s="335"/>
      <c r="D62" s="296">
        <f>Vaciado!E58</f>
        <v>5</v>
      </c>
      <c r="I62" s="100" t="s">
        <v>142</v>
      </c>
      <c r="J62" s="30"/>
      <c r="K62" s="37">
        <f>IF(K59&lt;0,0,K59*Vaciado!I44)</f>
        <v>91.088597137000932</v>
      </c>
      <c r="L62" s="37">
        <f>IF(L59&lt;0,0,L59*Vaciado!J44)</f>
        <v>282.58071119152498</v>
      </c>
      <c r="M62" s="37">
        <f>IF(M59&lt;0,0,M59*Vaciado!K44)</f>
        <v>459.17026501730629</v>
      </c>
    </row>
    <row r="63" spans="2:14" x14ac:dyDescent="0.35">
      <c r="B63" s="335" t="s">
        <v>473</v>
      </c>
      <c r="C63" s="335"/>
      <c r="D63" s="296">
        <f>Vaciado!E57</f>
        <v>1.3333333333333333</v>
      </c>
      <c r="I63" s="21" t="s">
        <v>248</v>
      </c>
      <c r="J63" s="34">
        <f>SUM(J60:J60)</f>
        <v>-182.6392222222222</v>
      </c>
      <c r="K63" s="34">
        <f>K59-K62</f>
        <v>637.62017995900646</v>
      </c>
      <c r="L63" s="34">
        <f>L59-L62</f>
        <v>1601.2906967519748</v>
      </c>
      <c r="M63" s="34">
        <f>M59-M62+M60+M61</f>
        <v>2784.6040573202908</v>
      </c>
    </row>
    <row r="64" spans="2:14" x14ac:dyDescent="0.35">
      <c r="B64" s="335" t="s">
        <v>466</v>
      </c>
      <c r="C64" s="335"/>
      <c r="D64" s="296">
        <f>Vaciado!E59</f>
        <v>2.2222222222222223</v>
      </c>
    </row>
    <row r="65" spans="2:19" x14ac:dyDescent="0.35">
      <c r="B65" s="295" t="s">
        <v>467</v>
      </c>
      <c r="C65" s="295"/>
      <c r="D65" s="296">
        <f>Vaciado!E60</f>
        <v>1.6666666666666667</v>
      </c>
      <c r="I65" s="19" t="s">
        <v>148</v>
      </c>
      <c r="J65" s="20">
        <v>2024</v>
      </c>
      <c r="K65" s="20">
        <v>2025</v>
      </c>
      <c r="L65" s="20">
        <v>2026</v>
      </c>
      <c r="N65" s="1">
        <f>K62+L62+M62-M60</f>
        <v>650.20035112360995</v>
      </c>
      <c r="O65">
        <f>N65/N59</f>
        <v>0.11459869211711081</v>
      </c>
      <c r="Q65" t="s">
        <v>399</v>
      </c>
    </row>
    <row r="66" spans="2:19" x14ac:dyDescent="0.35">
      <c r="B66" s="295" t="s">
        <v>468</v>
      </c>
      <c r="C66" s="295"/>
      <c r="D66" s="296">
        <f>Vaciado!E61</f>
        <v>1.1111111111111112</v>
      </c>
      <c r="I66" s="29" t="s">
        <v>149</v>
      </c>
      <c r="J66" s="32">
        <f>SUM(Flujos!E38:P38)</f>
        <v>66.666666666666671</v>
      </c>
      <c r="K66" s="32">
        <f>SUM(Flujos!Q38:AB38)</f>
        <v>70</v>
      </c>
      <c r="L66" s="32">
        <f>SUM(Flujos!AC38:AN38)</f>
        <v>73.5</v>
      </c>
      <c r="M66" s="1"/>
      <c r="O66" s="1">
        <f>SUM(J63:M63)</f>
        <v>4840.8757118090498</v>
      </c>
      <c r="P66" s="200">
        <f>NPV(Vaciado!D29,'Para reporte'!K63:M63)+J63</f>
        <v>2281.7482833107697</v>
      </c>
      <c r="Q66" s="264">
        <f>P66/O66</f>
        <v>0.47135031328000643</v>
      </c>
      <c r="S66" s="200"/>
    </row>
    <row r="67" spans="2:19" x14ac:dyDescent="0.35">
      <c r="B67" s="295" t="s">
        <v>469</v>
      </c>
      <c r="C67" s="295"/>
      <c r="D67" s="296">
        <f>Vaciado!E62</f>
        <v>1.3888888888888888</v>
      </c>
      <c r="I67" s="19" t="s">
        <v>150</v>
      </c>
      <c r="J67" s="99">
        <f>SUM(Flujos!E43:P43)</f>
        <v>78.228215684217886</v>
      </c>
      <c r="K67" s="99">
        <f>SUM(Flujos!Q43:AB43)</f>
        <v>168.24105167470807</v>
      </c>
      <c r="L67" s="99">
        <f>SUM(Flujos!AC43:AN43)</f>
        <v>258.01723358506399</v>
      </c>
      <c r="M67" s="1"/>
    </row>
    <row r="68" spans="2:19" x14ac:dyDescent="0.35">
      <c r="B68" s="295" t="s">
        <v>33</v>
      </c>
      <c r="C68" s="295"/>
      <c r="D68" s="296">
        <f>Vaciado!E65</f>
        <v>1.1111111111111112</v>
      </c>
      <c r="I68" s="102" t="s">
        <v>151</v>
      </c>
      <c r="J68" s="103">
        <f>J66+J67</f>
        <v>144.89488235088456</v>
      </c>
      <c r="K68" s="103">
        <f>K66+K67</f>
        <v>238.24105167470807</v>
      </c>
      <c r="L68" s="103">
        <f>L66+L67</f>
        <v>331.51723358506399</v>
      </c>
    </row>
    <row r="69" spans="2:19" x14ac:dyDescent="0.35">
      <c r="B69" s="295" t="s">
        <v>470</v>
      </c>
      <c r="C69" s="295"/>
      <c r="D69" s="298">
        <f>Vaciado!D68</f>
        <v>0.05</v>
      </c>
      <c r="I69" s="39" t="s">
        <v>43</v>
      </c>
      <c r="J69" s="104">
        <f>IF(J47=0,0,J68/J47)</f>
        <v>9.2610371515936485E-2</v>
      </c>
      <c r="K69" s="104">
        <f>IF(K47=0,0,K68/K47)</f>
        <v>7.0803483841549025E-2</v>
      </c>
      <c r="L69" s="104">
        <f>IF(L47=0,0,L68/L47)</f>
        <v>6.42432346434271E-2</v>
      </c>
    </row>
    <row r="70" spans="2:19" x14ac:dyDescent="0.35">
      <c r="B70" s="295" t="s">
        <v>472</v>
      </c>
      <c r="C70" s="295"/>
      <c r="D70" s="298">
        <f>Vaciado!D70</f>
        <v>3.5000000000000003E-2</v>
      </c>
      <c r="I70" s="29" t="s">
        <v>152</v>
      </c>
      <c r="J70" s="99">
        <f>SUM(Flujos!E39:P39)</f>
        <v>60</v>
      </c>
      <c r="K70" s="99">
        <f>SUM(Flujos!Q39:AB39)</f>
        <v>63</v>
      </c>
      <c r="L70" s="99">
        <f>SUM(Flujos!AC39:AN39)</f>
        <v>66.15000000000002</v>
      </c>
    </row>
    <row r="71" spans="2:19" x14ac:dyDescent="0.35">
      <c r="B71" s="299" t="s">
        <v>471</v>
      </c>
      <c r="C71" s="299"/>
      <c r="D71" s="300">
        <f>Vaciado!D69</f>
        <v>0.01</v>
      </c>
      <c r="I71" s="19" t="s">
        <v>153</v>
      </c>
      <c r="J71" s="99">
        <f>SUM(Flujos!E19:P19)</f>
        <v>54.759750978952525</v>
      </c>
      <c r="K71" s="99">
        <f>SUM(Flujos!Q19:AB19)</f>
        <v>117.76873617229563</v>
      </c>
      <c r="L71" s="99">
        <f>SUM(Flujos!AC19:AN19)</f>
        <v>180.61206350954478</v>
      </c>
    </row>
    <row r="72" spans="2:19" x14ac:dyDescent="0.35">
      <c r="I72" s="102" t="s">
        <v>154</v>
      </c>
      <c r="J72" s="103">
        <f>J70+J71</f>
        <v>114.75975097895252</v>
      </c>
      <c r="K72" s="103">
        <f>K70+K71</f>
        <v>180.76873617229563</v>
      </c>
      <c r="L72" s="103">
        <f>L70+L71</f>
        <v>246.76206350954482</v>
      </c>
      <c r="M72" s="1"/>
    </row>
    <row r="73" spans="2:19" x14ac:dyDescent="0.35">
      <c r="I73" s="39" t="s">
        <v>43</v>
      </c>
      <c r="J73" s="104">
        <f>IF(J47=0,0,J72/$J$47)</f>
        <v>7.3349334364342836E-2</v>
      </c>
      <c r="K73" s="104">
        <f>IF(K47=0,0,K72/$K$47)</f>
        <v>5.3723135457394114E-2</v>
      </c>
      <c r="L73" s="104">
        <f>IF(L47=0,0,L72/$L$47)</f>
        <v>4.7818911179084385E-2</v>
      </c>
      <c r="N73" s="99">
        <f>SUM(Flujos!E40:P40)</f>
        <v>26.666666666666661</v>
      </c>
      <c r="O73" s="99">
        <f>SUM(Flujos!Q40:AB40)</f>
        <v>27.999999999999996</v>
      </c>
      <c r="P73" s="99">
        <f>SUM(Flujos!AC40:AN40)</f>
        <v>29.399999999999995</v>
      </c>
      <c r="Q73" s="1" t="str">
        <f>Flujos!A40</f>
        <v>Desarrollador</v>
      </c>
    </row>
    <row r="74" spans="2:19" x14ac:dyDescent="0.35">
      <c r="I74" s="29" t="s">
        <v>155</v>
      </c>
      <c r="J74" s="99">
        <f>SUM(Flujos!E23:P23)</f>
        <v>18.666666666666668</v>
      </c>
      <c r="K74" s="99">
        <f>SUM(Flujos!Q23:AB23)</f>
        <v>19.599999999999998</v>
      </c>
      <c r="L74" s="99">
        <f>SUM(Flujos!AC23:AN23)</f>
        <v>20.580000000000002</v>
      </c>
      <c r="Q74" s="1"/>
    </row>
    <row r="75" spans="2:19" x14ac:dyDescent="0.35">
      <c r="I75" s="19" t="s">
        <v>156</v>
      </c>
      <c r="J75" s="99">
        <f>SUM(Flujos!E25:P25)</f>
        <v>54.529528756730301</v>
      </c>
      <c r="K75" s="99">
        <f>SUM(Flujos!Q25:AB25)</f>
        <v>117.76873617229563</v>
      </c>
      <c r="L75" s="99">
        <f>SUM(Flujos!AC25:AN25)</f>
        <v>180.61206350954478</v>
      </c>
      <c r="N75" s="99">
        <f>SUM(Flujos!E42:P42)</f>
        <v>13.33333333333333</v>
      </c>
      <c r="O75" s="99">
        <f>SUM(Flujos!Q42:AB42)</f>
        <v>13.999999999999998</v>
      </c>
      <c r="P75" s="99">
        <f>SUM(Flujos!AC42:AN42)</f>
        <v>14.699999999999998</v>
      </c>
      <c r="Q75" s="1" t="str">
        <f>Flujos!A42</f>
        <v>Contadora</v>
      </c>
    </row>
    <row r="76" spans="2:19" x14ac:dyDescent="0.35">
      <c r="I76" s="102" t="s">
        <v>157</v>
      </c>
      <c r="J76" s="103">
        <f>J74+J75</f>
        <v>73.196195423396972</v>
      </c>
      <c r="K76" s="103">
        <f>K74+K75</f>
        <v>137.36873617229563</v>
      </c>
      <c r="L76" s="103">
        <f>L74+L75</f>
        <v>201.19206350954479</v>
      </c>
    </row>
    <row r="77" spans="2:19" x14ac:dyDescent="0.35">
      <c r="I77" s="39" t="s">
        <v>43</v>
      </c>
      <c r="J77" s="104">
        <f>IF(J47=0,0,J76/J47)</f>
        <v>4.6783756208160519E-2</v>
      </c>
      <c r="K77" s="104">
        <f>IF(K47=0,0,K76/K47)</f>
        <v>4.0824975475633726E-2</v>
      </c>
      <c r="L77" s="104">
        <f>IF(L47=0,0,L76/L47)</f>
        <v>3.8988105700159592E-2</v>
      </c>
    </row>
    <row r="78" spans="2:19" x14ac:dyDescent="0.35">
      <c r="I78" s="29" t="s">
        <v>158</v>
      </c>
      <c r="J78" s="99">
        <f>SUM(Flujos!E41:P41)</f>
        <v>40</v>
      </c>
      <c r="K78" s="99">
        <f>SUM(Flujos!Q41:AB41)</f>
        <v>42.000000000000007</v>
      </c>
      <c r="L78" s="99">
        <f>SUM(Flujos!AC41:AN41)</f>
        <v>44.099999999999994</v>
      </c>
    </row>
    <row r="79" spans="2:19" x14ac:dyDescent="0.35">
      <c r="I79" s="39" t="s">
        <v>43</v>
      </c>
      <c r="J79" s="104">
        <f>IF(J47=0,0,J78/J47)</f>
        <v>2.5566222909561887E-2</v>
      </c>
      <c r="K79" s="104">
        <f>IF(K47=0,0,K78/K47)</f>
        <v>1.2482090304929408E-2</v>
      </c>
      <c r="L79" s="104">
        <f>IF(L47=0,0,L78/L47)</f>
        <v>8.545940786056248E-3</v>
      </c>
    </row>
    <row r="80" spans="2:19" x14ac:dyDescent="0.35">
      <c r="I80" t="s">
        <v>159</v>
      </c>
      <c r="J80" s="6">
        <f>J66+J70+J74+J78</f>
        <v>185.33333333333334</v>
      </c>
      <c r="K80" s="6">
        <f>K66+K70+K74+K78</f>
        <v>194.6</v>
      </c>
      <c r="L80" s="6">
        <f>L66+L70+L74+L78</f>
        <v>204.33000000000004</v>
      </c>
    </row>
    <row r="81" spans="6:13" x14ac:dyDescent="0.35">
      <c r="I81" s="19" t="s">
        <v>160</v>
      </c>
      <c r="J81" s="99">
        <f>J67+J71+J75</f>
        <v>187.51749541990074</v>
      </c>
      <c r="K81" s="99">
        <f>K67+K71+K75</f>
        <v>403.77852401929937</v>
      </c>
      <c r="L81" s="99">
        <f>L67+L71+L75</f>
        <v>619.24136060415356</v>
      </c>
    </row>
    <row r="82" spans="6:13" x14ac:dyDescent="0.35">
      <c r="I82" s="102" t="s">
        <v>161</v>
      </c>
      <c r="J82" s="103">
        <f>J80+J81</f>
        <v>372.85082875323405</v>
      </c>
      <c r="K82" s="103">
        <f>K80+K81</f>
        <v>598.37852401929933</v>
      </c>
      <c r="L82" s="103">
        <f>L80+L81</f>
        <v>823.5713606041536</v>
      </c>
    </row>
    <row r="83" spans="6:13" x14ac:dyDescent="0.35">
      <c r="I83" s="39" t="s">
        <v>43</v>
      </c>
      <c r="J83" s="104">
        <f>IF(J47=0,0,J82/J47)</f>
        <v>0.23830968499800173</v>
      </c>
      <c r="K83" s="104">
        <f>IF(K47=0,0,K82/K47)</f>
        <v>0.17783368507950625</v>
      </c>
      <c r="L83" s="104">
        <f>IF(L47=0,0,L82/L47)</f>
        <v>0.15959619230872732</v>
      </c>
    </row>
    <row r="85" spans="6:13" x14ac:dyDescent="0.35">
      <c r="I85" s="31" t="s">
        <v>13</v>
      </c>
      <c r="J85" s="97" t="s">
        <v>139</v>
      </c>
      <c r="K85" s="20">
        <v>2024</v>
      </c>
      <c r="L85" s="20">
        <v>2025</v>
      </c>
      <c r="M85" s="20">
        <v>2026</v>
      </c>
    </row>
    <row r="86" spans="6:13" x14ac:dyDescent="0.35">
      <c r="I86" t="s">
        <v>180</v>
      </c>
      <c r="K86" s="6">
        <f>Flujos!B50</f>
        <v>555.09889767469633</v>
      </c>
      <c r="L86" s="6">
        <f>Flujos!C50</f>
        <v>936.42491231576639</v>
      </c>
      <c r="M86" s="6">
        <f>Flujos!D50</f>
        <v>501.28331594672858</v>
      </c>
    </row>
    <row r="87" spans="6:13" x14ac:dyDescent="0.35">
      <c r="I87" t="s">
        <v>181</v>
      </c>
      <c r="J87" s="6">
        <f>SUM(J60:J61)</f>
        <v>-182.6392222222222</v>
      </c>
      <c r="K87" s="6">
        <f>SUM(K60:K61)</f>
        <v>0</v>
      </c>
      <c r="L87" s="6">
        <f>SUM(L60:L61)</f>
        <v>0</v>
      </c>
      <c r="M87" s="6">
        <f>SUM(M60:M61)</f>
        <v>182.6392222222222</v>
      </c>
    </row>
    <row r="88" spans="6:13" x14ac:dyDescent="0.35">
      <c r="I88" t="s">
        <v>182</v>
      </c>
      <c r="J88" s="6"/>
      <c r="K88" s="6">
        <f>-K62</f>
        <v>-91.088597137000932</v>
      </c>
      <c r="L88" s="6">
        <f>-L62</f>
        <v>-282.58071119152498</v>
      </c>
      <c r="M88" s="6">
        <f>-M62</f>
        <v>-459.17026501730629</v>
      </c>
    </row>
    <row r="89" spans="6:13" x14ac:dyDescent="0.35">
      <c r="I89" t="s">
        <v>183</v>
      </c>
      <c r="J89" s="6">
        <f>J87</f>
        <v>-182.6392222222222</v>
      </c>
      <c r="K89" s="6">
        <f>K86+K87+K88</f>
        <v>464.0103005376954</v>
      </c>
      <c r="L89" s="6">
        <f>L86+L87+L88</f>
        <v>653.84420112424141</v>
      </c>
      <c r="M89" s="6">
        <f>M86+M87+M88</f>
        <v>224.75227315164443</v>
      </c>
    </row>
    <row r="92" spans="6:13" x14ac:dyDescent="0.35">
      <c r="F92" s="3" t="s">
        <v>184</v>
      </c>
      <c r="G92" s="6">
        <f>NPV((Vaciado!D29-Vaciado!D28),'Para reporte'!K89:M89)+'Para reporte'!J89</f>
        <v>716.63374237110691</v>
      </c>
      <c r="I92" s="31" t="s">
        <v>13</v>
      </c>
      <c r="J92" s="20" t="s">
        <v>139</v>
      </c>
      <c r="K92" s="20">
        <v>2024</v>
      </c>
      <c r="L92" s="20">
        <v>2025</v>
      </c>
      <c r="M92" s="20">
        <v>2026</v>
      </c>
    </row>
    <row r="93" spans="6:13" x14ac:dyDescent="0.35">
      <c r="I93" s="29" t="s">
        <v>2</v>
      </c>
      <c r="J93" s="29"/>
      <c r="K93" s="32">
        <f>K55+J136</f>
        <v>4146.0954312635477</v>
      </c>
      <c r="L93" s="32">
        <f>L55+K136</f>
        <v>9777.2861112859209</v>
      </c>
      <c r="M93" s="32">
        <f>M55+L136</f>
        <v>15525.564948430176</v>
      </c>
    </row>
    <row r="94" spans="6:13" x14ac:dyDescent="0.35">
      <c r="I94" s="19" t="s">
        <v>132</v>
      </c>
      <c r="J94" s="19"/>
      <c r="K94" s="99">
        <f>K56</f>
        <v>121.79428300468498</v>
      </c>
      <c r="L94" s="99">
        <f>L56</f>
        <v>268.29194650723724</v>
      </c>
      <c r="M94" s="99">
        <f>M56</f>
        <v>389.09051022655757</v>
      </c>
    </row>
    <row r="95" spans="6:13" x14ac:dyDescent="0.35">
      <c r="I95" s="19" t="s">
        <v>37</v>
      </c>
      <c r="J95" s="19"/>
      <c r="K95" s="99">
        <f>K57+J137</f>
        <v>956.14301239423821</v>
      </c>
      <c r="L95" s="99">
        <f>L57+K137</f>
        <v>2011.4869712607504</v>
      </c>
      <c r="M95" s="99">
        <f>M57+L137</f>
        <v>3063.6882996119148</v>
      </c>
    </row>
    <row r="96" spans="6:13" x14ac:dyDescent="0.35">
      <c r="I96" s="19" t="s">
        <v>137</v>
      </c>
      <c r="J96" s="19"/>
      <c r="K96" s="99">
        <f>K58</f>
        <v>328.98421568421787</v>
      </c>
      <c r="L96" s="99">
        <f>L58</f>
        <v>429.33038500804139</v>
      </c>
      <c r="M96" s="99">
        <f>M58</f>
        <v>529.95656691839736</v>
      </c>
    </row>
    <row r="97" spans="9:13" x14ac:dyDescent="0.35">
      <c r="I97" s="35" t="s">
        <v>42</v>
      </c>
      <c r="J97" s="29"/>
      <c r="K97" s="36">
        <f>K93-K94-K95-K96</f>
        <v>2739.1739201804066</v>
      </c>
      <c r="L97" s="36">
        <f>L93-L94-L95-L96</f>
        <v>7068.176808509892</v>
      </c>
      <c r="M97" s="36">
        <f>M93-M94-M95-M96</f>
        <v>11542.829571673306</v>
      </c>
    </row>
    <row r="98" spans="9:13" x14ac:dyDescent="0.35">
      <c r="I98" s="23" t="s">
        <v>116</v>
      </c>
      <c r="J98" s="99">
        <f>-Vaciado!D20</f>
        <v>0</v>
      </c>
      <c r="K98" s="19"/>
      <c r="L98" s="19"/>
      <c r="M98" s="19"/>
    </row>
    <row r="99" spans="9:13" x14ac:dyDescent="0.35">
      <c r="I99" s="23" t="s">
        <v>124</v>
      </c>
      <c r="J99" s="99">
        <f>-Vaciado!D21</f>
        <v>-70.222222222222229</v>
      </c>
      <c r="K99" s="19"/>
      <c r="L99" s="19"/>
      <c r="M99" s="19"/>
    </row>
    <row r="100" spans="9:13" x14ac:dyDescent="0.35">
      <c r="I100" s="23" t="s">
        <v>117</v>
      </c>
      <c r="J100" s="99">
        <f>-Vaciado!D22</f>
        <v>0</v>
      </c>
      <c r="K100" s="19"/>
      <c r="L100" s="19"/>
      <c r="M100" s="19"/>
    </row>
    <row r="101" spans="9:13" x14ac:dyDescent="0.35">
      <c r="I101" s="23" t="s">
        <v>140</v>
      </c>
      <c r="J101" s="99">
        <f>-Dashboard!C32</f>
        <v>-524.80239289647579</v>
      </c>
      <c r="K101" s="19"/>
      <c r="L101" s="19"/>
      <c r="M101" s="99">
        <f>-J101</f>
        <v>524.80239289647579</v>
      </c>
    </row>
    <row r="102" spans="9:13" x14ac:dyDescent="0.35">
      <c r="I102" s="23" t="s">
        <v>141</v>
      </c>
      <c r="J102" s="19"/>
      <c r="K102" s="19"/>
      <c r="L102" s="19"/>
      <c r="M102" s="19"/>
    </row>
    <row r="103" spans="9:13" ht="15" thickBot="1" x14ac:dyDescent="0.4">
      <c r="I103" s="100" t="s">
        <v>142</v>
      </c>
      <c r="J103" s="30"/>
      <c r="K103" s="37">
        <f>IF(K97&lt;0,0,K97*Vaciado!I44)</f>
        <v>342.39674002255083</v>
      </c>
      <c r="L103" s="37">
        <f>IF(L97&lt;0,0,L97*Vaciado!J44)</f>
        <v>1060.2265212764837</v>
      </c>
      <c r="M103" s="37">
        <f>IF(M97&lt;0,0,M97*Vaciado!K44)</f>
        <v>1731.4244357509958</v>
      </c>
    </row>
    <row r="104" spans="9:13" x14ac:dyDescent="0.35">
      <c r="I104" s="21" t="s">
        <v>396</v>
      </c>
      <c r="J104" s="34">
        <f>SUM(J98:J101)</f>
        <v>-595.02461511869797</v>
      </c>
      <c r="K104" s="34">
        <f>K97-K103</f>
        <v>2396.7771801578556</v>
      </c>
      <c r="L104" s="34">
        <f>L97-L103</f>
        <v>6007.9502872334087</v>
      </c>
      <c r="M104" s="34">
        <f>M97-M103+M101+M102</f>
        <v>10336.207528818786</v>
      </c>
    </row>
    <row r="106" spans="9:13" x14ac:dyDescent="0.35">
      <c r="J106" s="97"/>
    </row>
    <row r="107" spans="9:13" x14ac:dyDescent="0.35">
      <c r="I107" s="31" t="s">
        <v>13</v>
      </c>
      <c r="J107" s="20">
        <v>2024</v>
      </c>
      <c r="K107" s="20" t="s">
        <v>342</v>
      </c>
    </row>
    <row r="108" spans="9:13" x14ac:dyDescent="0.35">
      <c r="I108" s="29" t="s">
        <v>132</v>
      </c>
      <c r="J108" s="32">
        <f>J48</f>
        <v>121.79428300468498</v>
      </c>
      <c r="K108" s="22">
        <f>J108/$J$112</f>
        <v>0.14571212090285801</v>
      </c>
    </row>
    <row r="109" spans="9:13" x14ac:dyDescent="0.35">
      <c r="I109" s="19" t="s">
        <v>137</v>
      </c>
      <c r="J109" s="99">
        <f>J50</f>
        <v>328.98421568421787</v>
      </c>
      <c r="K109" s="159">
        <f t="shared" ref="K109:K112" si="6">J109/$J$112</f>
        <v>0.39358980264341892</v>
      </c>
    </row>
    <row r="110" spans="9:13" x14ac:dyDescent="0.35">
      <c r="I110" s="160" t="s">
        <v>340</v>
      </c>
      <c r="J110" s="36">
        <f>J108+J109</f>
        <v>450.77849868890286</v>
      </c>
      <c r="K110" s="161">
        <f t="shared" si="6"/>
        <v>0.53930192354627693</v>
      </c>
    </row>
    <row r="111" spans="9:13" ht="15" thickBot="1" x14ac:dyDescent="0.4">
      <c r="I111" s="30" t="s">
        <v>37</v>
      </c>
      <c r="J111" s="37">
        <f>J49</f>
        <v>385.07703789944759</v>
      </c>
      <c r="K111" s="157">
        <f t="shared" si="6"/>
        <v>0.46069807645372307</v>
      </c>
    </row>
    <row r="112" spans="9:13" x14ac:dyDescent="0.35">
      <c r="I112" s="28" t="s">
        <v>341</v>
      </c>
      <c r="J112" s="34">
        <f>J110+J111</f>
        <v>835.85553658835045</v>
      </c>
      <c r="K112" s="158">
        <f t="shared" si="6"/>
        <v>1</v>
      </c>
    </row>
    <row r="115" spans="9:12" x14ac:dyDescent="0.35">
      <c r="I115" s="28"/>
      <c r="J115" s="20">
        <v>2024</v>
      </c>
      <c r="K115" s="20">
        <v>2025</v>
      </c>
      <c r="L115" s="20">
        <v>2026</v>
      </c>
    </row>
    <row r="116" spans="9:12" x14ac:dyDescent="0.35">
      <c r="I116" s="29" t="s">
        <v>11</v>
      </c>
      <c r="J116" s="18">
        <f>J3</f>
        <v>260</v>
      </c>
      <c r="K116" s="18">
        <f>K3</f>
        <v>515</v>
      </c>
      <c r="L116" s="18">
        <f>L3</f>
        <v>814</v>
      </c>
    </row>
    <row r="117" spans="9:12" ht="15" thickBot="1" x14ac:dyDescent="0.4">
      <c r="I117" s="30" t="s">
        <v>345</v>
      </c>
      <c r="J117" s="24">
        <f>Flujos!B9</f>
        <v>0.5</v>
      </c>
      <c r="K117" s="24">
        <f>Flujos!C9</f>
        <v>149</v>
      </c>
      <c r="L117" s="24">
        <f>Flujos!D9</f>
        <v>415.5</v>
      </c>
    </row>
    <row r="118" spans="9:12" x14ac:dyDescent="0.35">
      <c r="I118" s="28" t="s">
        <v>266</v>
      </c>
      <c r="J118" s="25">
        <f>J116+J117</f>
        <v>260.5</v>
      </c>
      <c r="K118" s="25">
        <f t="shared" ref="K118:L118" si="7">K116+K117</f>
        <v>664</v>
      </c>
      <c r="L118" s="25">
        <f t="shared" si="7"/>
        <v>1229.5</v>
      </c>
    </row>
    <row r="121" spans="9:12" x14ac:dyDescent="0.35">
      <c r="I121" s="31" t="s">
        <v>13</v>
      </c>
      <c r="J121" s="20">
        <v>2024</v>
      </c>
      <c r="K121" s="20">
        <v>2025</v>
      </c>
      <c r="L121" s="20">
        <v>2026</v>
      </c>
    </row>
    <row r="122" spans="9:12" x14ac:dyDescent="0.35">
      <c r="I122" s="29" t="s">
        <v>317</v>
      </c>
      <c r="J122" s="32">
        <f>Flujos!B95</f>
        <v>1760.1348528949027</v>
      </c>
      <c r="K122" s="32">
        <f>Flujos!C95</f>
        <v>4372.1352803125646</v>
      </c>
      <c r="L122" s="32">
        <f>Flujos!D95</f>
        <v>7067.1956432242487</v>
      </c>
    </row>
    <row r="123" spans="9:12" x14ac:dyDescent="0.35">
      <c r="I123" s="19" t="s">
        <v>132</v>
      </c>
      <c r="J123" s="99">
        <f>Flujos!B104</f>
        <v>137.01856838027069</v>
      </c>
      <c r="K123" s="99">
        <f>Flujos!C104</f>
        <v>348.60953170217397</v>
      </c>
      <c r="L123" s="99">
        <f>Flujos!D104</f>
        <v>532.86726636158471</v>
      </c>
    </row>
    <row r="124" spans="9:12" ht="15" thickBot="1" x14ac:dyDescent="0.4">
      <c r="I124" s="30" t="s">
        <v>347</v>
      </c>
      <c r="J124" s="37">
        <f>Flujos!B76</f>
        <v>352.02697057898052</v>
      </c>
      <c r="K124" s="37">
        <f>Flujos!C76</f>
        <v>757.08473253618604</v>
      </c>
      <c r="L124" s="37">
        <f>Flujos!D76</f>
        <v>1161.0775511327877</v>
      </c>
    </row>
    <row r="125" spans="9:12" x14ac:dyDescent="0.35">
      <c r="I125" s="28" t="s">
        <v>346</v>
      </c>
      <c r="J125" s="34">
        <f>J122-J124-J123</f>
        <v>1271.0893139356515</v>
      </c>
      <c r="K125" s="34">
        <f t="shared" ref="K125:L125" si="8">K122-K124-K123</f>
        <v>3266.4410160742045</v>
      </c>
      <c r="L125" s="34">
        <f t="shared" si="8"/>
        <v>5373.2508257298769</v>
      </c>
    </row>
    <row r="126" spans="9:12" x14ac:dyDescent="0.35">
      <c r="I126" s="26" t="s">
        <v>349</v>
      </c>
      <c r="J126" s="38">
        <f>J125/J122</f>
        <v>0.72215450528979896</v>
      </c>
      <c r="K126" s="38">
        <f t="shared" ref="K126:L126" si="9">K125/K122</f>
        <v>0.74710428809986096</v>
      </c>
      <c r="L126" s="38">
        <f t="shared" si="9"/>
        <v>0.76030876984161888</v>
      </c>
    </row>
    <row r="128" spans="9:12" x14ac:dyDescent="0.35">
      <c r="I128" s="31" t="s">
        <v>13</v>
      </c>
      <c r="J128" s="20">
        <v>2024</v>
      </c>
      <c r="K128" s="20">
        <v>2025</v>
      </c>
      <c r="L128" s="20">
        <v>2026</v>
      </c>
    </row>
    <row r="129" spans="9:13" x14ac:dyDescent="0.35">
      <c r="I129" s="29" t="s">
        <v>325</v>
      </c>
      <c r="J129" s="32">
        <f>Flujos!B96</f>
        <v>821.39626468428764</v>
      </c>
      <c r="K129" s="32">
        <f>Flujos!C96</f>
        <v>2040.3297974791967</v>
      </c>
      <c r="L129" s="32">
        <f>Flujos!D96</f>
        <v>3298.0246335046495</v>
      </c>
    </row>
    <row r="130" spans="9:13" x14ac:dyDescent="0.35">
      <c r="I130" s="19" t="s">
        <v>132</v>
      </c>
      <c r="J130" s="99">
        <f>Flujos!B110</f>
        <v>63.941998577459643</v>
      </c>
      <c r="K130" s="99">
        <f>Flujos!C110</f>
        <v>162.68444812768118</v>
      </c>
      <c r="L130" s="99">
        <f>Flujos!D110</f>
        <v>248.67139096873956</v>
      </c>
    </row>
    <row r="131" spans="9:13" ht="15" thickBot="1" x14ac:dyDescent="0.4">
      <c r="I131" s="30" t="s">
        <v>348</v>
      </c>
      <c r="J131" s="37">
        <f>Flujos!B81</f>
        <v>219.03900391581007</v>
      </c>
      <c r="K131" s="37">
        <f>Flujos!C81</f>
        <v>471.07494468918242</v>
      </c>
      <c r="L131" s="37">
        <f>Flujos!D81</f>
        <v>722.44825403817902</v>
      </c>
    </row>
    <row r="132" spans="9:13" x14ac:dyDescent="0.35">
      <c r="I132" s="28" t="s">
        <v>475</v>
      </c>
      <c r="J132" s="34">
        <f>J129-J131-J130</f>
        <v>538.41526219101786</v>
      </c>
      <c r="K132" s="34">
        <f t="shared" ref="K132:L132" si="10">K129-K131-K130</f>
        <v>1406.5704046623332</v>
      </c>
      <c r="L132" s="34">
        <f t="shared" si="10"/>
        <v>2326.9049884977308</v>
      </c>
    </row>
    <row r="133" spans="9:13" x14ac:dyDescent="0.35">
      <c r="I133" s="26" t="s">
        <v>349</v>
      </c>
      <c r="J133" s="38">
        <f>J132/J129</f>
        <v>0.65548783862313209</v>
      </c>
      <c r="K133" s="38">
        <f t="shared" ref="K133" si="11">K132/K129</f>
        <v>0.68938384686639109</v>
      </c>
      <c r="L133" s="38">
        <f t="shared" ref="L133" si="12">L132/L129</f>
        <v>0.70554506017289587</v>
      </c>
    </row>
    <row r="135" spans="9:13" x14ac:dyDescent="0.35">
      <c r="I135" s="31" t="s">
        <v>13</v>
      </c>
      <c r="J135" s="20">
        <v>2024</v>
      </c>
      <c r="K135" s="20">
        <v>2025</v>
      </c>
      <c r="L135" s="20">
        <v>2026</v>
      </c>
    </row>
    <row r="136" spans="9:13" x14ac:dyDescent="0.35">
      <c r="I136" s="29" t="s">
        <v>350</v>
      </c>
      <c r="J136" s="32">
        <f>J129+J122</f>
        <v>2581.5311175791903</v>
      </c>
      <c r="K136" s="32">
        <f t="shared" ref="K136:L136" si="13">K129+K122</f>
        <v>6412.4650777917614</v>
      </c>
      <c r="L136" s="32">
        <f t="shared" si="13"/>
        <v>10365.220276728898</v>
      </c>
    </row>
    <row r="137" spans="9:13" ht="15" thickBot="1" x14ac:dyDescent="0.4">
      <c r="I137" s="30" t="s">
        <v>351</v>
      </c>
      <c r="J137" s="37">
        <f>J124+J131</f>
        <v>571.06597449479057</v>
      </c>
      <c r="K137" s="37">
        <f t="shared" ref="K137:L137" si="14">K124+K131</f>
        <v>1228.1596772253683</v>
      </c>
      <c r="L137" s="37">
        <f t="shared" si="14"/>
        <v>1883.5258051709666</v>
      </c>
    </row>
    <row r="138" spans="9:13" x14ac:dyDescent="0.35">
      <c r="I138" s="28" t="s">
        <v>346</v>
      </c>
      <c r="J138" s="34">
        <f>J136-J137</f>
        <v>2010.4651430843996</v>
      </c>
      <c r="K138" s="34">
        <f t="shared" ref="K138" si="15">K136-K137</f>
        <v>5184.3054005663926</v>
      </c>
      <c r="L138" s="34">
        <f t="shared" ref="L138" si="16">L136-L137</f>
        <v>8481.694471557932</v>
      </c>
    </row>
    <row r="139" spans="9:13" x14ac:dyDescent="0.35">
      <c r="I139" s="26" t="s">
        <v>349</v>
      </c>
      <c r="J139" s="38">
        <f>J138/J136</f>
        <v>0.77878787878787881</v>
      </c>
      <c r="K139" s="38">
        <f t="shared" ref="K139" si="17">K138/K136</f>
        <v>0.80847308136166784</v>
      </c>
      <c r="L139" s="38">
        <f t="shared" ref="L139" si="18">L138/L136</f>
        <v>0.81828405428105599</v>
      </c>
    </row>
    <row r="141" spans="9:13" x14ac:dyDescent="0.35">
      <c r="I141" s="19"/>
      <c r="J141" s="19"/>
      <c r="K141" s="19"/>
      <c r="L141" s="19"/>
      <c r="M141" s="19"/>
    </row>
    <row r="142" spans="9:13" x14ac:dyDescent="0.35">
      <c r="I142" s="31" t="s">
        <v>13</v>
      </c>
      <c r="J142" s="20" t="s">
        <v>139</v>
      </c>
      <c r="K142" s="20">
        <v>2024</v>
      </c>
      <c r="L142" s="20">
        <v>2025</v>
      </c>
      <c r="M142" s="20">
        <v>2026</v>
      </c>
    </row>
    <row r="143" spans="9:13" x14ac:dyDescent="0.35">
      <c r="I143" s="29" t="s">
        <v>2</v>
      </c>
      <c r="J143" s="29"/>
      <c r="K143" s="32">
        <f t="shared" ref="K143:M143" si="19">K55</f>
        <v>1564.5643136843578</v>
      </c>
      <c r="L143" s="32">
        <f t="shared" si="19"/>
        <v>3364.8210334941605</v>
      </c>
      <c r="M143" s="32">
        <f t="shared" si="19"/>
        <v>5160.3446717012785</v>
      </c>
    </row>
    <row r="144" spans="9:13" x14ac:dyDescent="0.35">
      <c r="I144" s="19" t="s">
        <v>430</v>
      </c>
      <c r="J144" s="19"/>
      <c r="K144" s="99">
        <f>K56+K57+K58</f>
        <v>835.85553658835045</v>
      </c>
      <c r="L144" s="99">
        <f t="shared" ref="L144:M144" si="20">L56+L57+L58</f>
        <v>1480.9496255506606</v>
      </c>
      <c r="M144" s="99">
        <f t="shared" si="20"/>
        <v>2099.2095715859032</v>
      </c>
    </row>
    <row r="145" spans="2:13" x14ac:dyDescent="0.35">
      <c r="I145" s="35" t="s">
        <v>42</v>
      </c>
      <c r="J145" s="29"/>
      <c r="K145" s="36">
        <f>K143-K144</f>
        <v>728.70877709600734</v>
      </c>
      <c r="L145" s="36">
        <f>L143-L144</f>
        <v>1883.8714079434999</v>
      </c>
      <c r="M145" s="36">
        <f>M143-M144</f>
        <v>3061.1351001153753</v>
      </c>
    </row>
    <row r="146" spans="2:13" x14ac:dyDescent="0.35">
      <c r="I146" s="23" t="s">
        <v>140</v>
      </c>
      <c r="J146" s="99">
        <f>J60</f>
        <v>-182.6392222222222</v>
      </c>
      <c r="K146" s="19"/>
      <c r="L146" s="19"/>
      <c r="M146" s="99">
        <f>M60</f>
        <v>182.6392222222222</v>
      </c>
    </row>
    <row r="147" spans="2:13" x14ac:dyDescent="0.35">
      <c r="I147" s="23" t="s">
        <v>141</v>
      </c>
      <c r="J147" s="19"/>
      <c r="K147" s="19"/>
      <c r="L147" s="19"/>
      <c r="M147" s="19"/>
    </row>
    <row r="148" spans="2:13" ht="15" thickBot="1" x14ac:dyDescent="0.4">
      <c r="I148" s="100" t="s">
        <v>142</v>
      </c>
      <c r="J148" s="30"/>
      <c r="K148" s="37">
        <f>K62</f>
        <v>91.088597137000932</v>
      </c>
      <c r="L148" s="37">
        <f>L62</f>
        <v>282.58071119152498</v>
      </c>
      <c r="M148" s="37">
        <f>M62</f>
        <v>459.17026501730629</v>
      </c>
    </row>
    <row r="149" spans="2:13" x14ac:dyDescent="0.35">
      <c r="I149" s="21" t="s">
        <v>248</v>
      </c>
      <c r="J149" s="34">
        <f t="shared" ref="J149:M149" si="21">J63</f>
        <v>-182.6392222222222</v>
      </c>
      <c r="K149" s="34">
        <f t="shared" si="21"/>
        <v>637.62017995900646</v>
      </c>
      <c r="L149" s="34">
        <f t="shared" si="21"/>
        <v>1601.2906967519748</v>
      </c>
      <c r="M149" s="34">
        <f t="shared" si="21"/>
        <v>2784.6040573202908</v>
      </c>
    </row>
    <row r="150" spans="2:13" x14ac:dyDescent="0.35">
      <c r="I150" s="19"/>
      <c r="J150" s="19"/>
      <c r="K150" s="19"/>
      <c r="L150" s="19"/>
      <c r="M150" s="19"/>
    </row>
    <row r="151" spans="2:13" x14ac:dyDescent="0.35">
      <c r="I151" s="19" t="s">
        <v>401</v>
      </c>
      <c r="J151" s="234">
        <f>'MAP VALUE'!P23</f>
        <v>2279.915501846981</v>
      </c>
      <c r="K151" s="19"/>
      <c r="L151" s="19"/>
      <c r="M151" s="19"/>
    </row>
    <row r="152" spans="2:13" x14ac:dyDescent="0.35">
      <c r="I152" s="19" t="s">
        <v>431</v>
      </c>
      <c r="J152" s="234">
        <f>-'MAP VALUE'!R26</f>
        <v>-26.324661924865381</v>
      </c>
      <c r="K152" s="19"/>
      <c r="L152" s="19"/>
      <c r="M152" s="19"/>
    </row>
    <row r="153" spans="2:13" ht="15" thickBot="1" x14ac:dyDescent="0.4">
      <c r="I153" s="30" t="s">
        <v>380</v>
      </c>
      <c r="J153" s="261">
        <f>-'MAP VALUE'!R23</f>
        <v>-70.222222222222229</v>
      </c>
      <c r="K153" s="19"/>
      <c r="L153" s="19"/>
      <c r="M153" s="19"/>
    </row>
    <row r="154" spans="2:13" x14ac:dyDescent="0.35">
      <c r="I154" s="28" t="s">
        <v>432</v>
      </c>
      <c r="J154" s="262">
        <f>SUM(J151:J153)</f>
        <v>2183.3686176998935</v>
      </c>
      <c r="K154" s="19"/>
      <c r="L154" s="19"/>
      <c r="M154" s="19"/>
    </row>
    <row r="157" spans="2:13" ht="15" thickBot="1" x14ac:dyDescent="0.4"/>
    <row r="158" spans="2:13" ht="29.5" thickBot="1" x14ac:dyDescent="0.4">
      <c r="B158" s="287" t="s">
        <v>452</v>
      </c>
      <c r="C158" s="288" t="s">
        <v>70</v>
      </c>
      <c r="D158" s="336" t="s">
        <v>453</v>
      </c>
      <c r="E158" s="337"/>
    </row>
    <row r="159" spans="2:13" ht="15" thickBot="1" x14ac:dyDescent="0.4">
      <c r="B159" s="289" t="s">
        <v>454</v>
      </c>
      <c r="C159" s="78" t="s">
        <v>7</v>
      </c>
      <c r="D159" s="290">
        <f>C4</f>
        <v>1</v>
      </c>
      <c r="E159" s="291">
        <f>D4</f>
        <v>25</v>
      </c>
    </row>
    <row r="160" spans="2:13" x14ac:dyDescent="0.35">
      <c r="B160" s="338" t="s">
        <v>455</v>
      </c>
      <c r="C160" s="278" t="s">
        <v>8</v>
      </c>
      <c r="D160" s="44">
        <f t="shared" ref="D160:E160" si="22">C5</f>
        <v>1</v>
      </c>
      <c r="E160" s="292">
        <f t="shared" si="22"/>
        <v>500</v>
      </c>
    </row>
    <row r="161" spans="2:5" x14ac:dyDescent="0.35">
      <c r="B161" s="339"/>
      <c r="C161" s="40" t="s">
        <v>9</v>
      </c>
      <c r="D161" s="42">
        <f t="shared" ref="D161:E161" si="23">C6</f>
        <v>501</v>
      </c>
      <c r="E161" s="248">
        <f t="shared" si="23"/>
        <v>1000</v>
      </c>
    </row>
    <row r="162" spans="2:5" ht="15" thickBot="1" x14ac:dyDescent="0.4">
      <c r="B162" s="340"/>
      <c r="C162" s="55" t="s">
        <v>51</v>
      </c>
      <c r="D162" s="24">
        <f t="shared" ref="D162:E162" si="24">C7</f>
        <v>1001</v>
      </c>
      <c r="E162" s="135" t="str">
        <f t="shared" si="24"/>
        <v>+</v>
      </c>
    </row>
  </sheetData>
  <mergeCells count="31">
    <mergeCell ref="B63:C63"/>
    <mergeCell ref="D158:E158"/>
    <mergeCell ref="B160:B162"/>
    <mergeCell ref="B51:C51"/>
    <mergeCell ref="B52:C52"/>
    <mergeCell ref="B53:C53"/>
    <mergeCell ref="B54:C54"/>
    <mergeCell ref="B55:C55"/>
    <mergeCell ref="B56:C56"/>
    <mergeCell ref="B59:C59"/>
    <mergeCell ref="B60:C60"/>
    <mergeCell ref="B61:C61"/>
    <mergeCell ref="B62:C62"/>
    <mergeCell ref="B64:C64"/>
    <mergeCell ref="C2:D3"/>
    <mergeCell ref="E2:F2"/>
    <mergeCell ref="B2:B3"/>
    <mergeCell ref="B11:B12"/>
    <mergeCell ref="C11:E11"/>
    <mergeCell ref="F11:F12"/>
    <mergeCell ref="B36:C36"/>
    <mergeCell ref="B37:C37"/>
    <mergeCell ref="G11:G12"/>
    <mergeCell ref="B20:B21"/>
    <mergeCell ref="C20:E20"/>
    <mergeCell ref="F20:F21"/>
    <mergeCell ref="E25:E26"/>
    <mergeCell ref="B32:D32"/>
    <mergeCell ref="B25:B26"/>
    <mergeCell ref="D25:D26"/>
    <mergeCell ref="C25:C26"/>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0452-3F24-459D-AB9E-8E46CFE2801C}">
  <dimension ref="A1:AN115"/>
  <sheetViews>
    <sheetView topLeftCell="A75" workbookViewId="0">
      <selection activeCell="C26" sqref="C26"/>
    </sheetView>
  </sheetViews>
  <sheetFormatPr baseColWidth="10" defaultRowHeight="14.5" x14ac:dyDescent="0.35"/>
  <cols>
    <col min="1" max="1" width="25.08984375" bestFit="1" customWidth="1"/>
    <col min="5" max="5" width="8.81640625" bestFit="1" customWidth="1"/>
    <col min="6" max="6" width="5.81640625" customWidth="1"/>
    <col min="7" max="12" width="7.81640625" bestFit="1" customWidth="1"/>
    <col min="13" max="13" width="10.36328125" bestFit="1" customWidth="1"/>
    <col min="14" max="14" width="7.81640625" bestFit="1" customWidth="1"/>
    <col min="15" max="15" width="10" bestFit="1" customWidth="1"/>
    <col min="16" max="16" width="9.26953125" bestFit="1" customWidth="1"/>
    <col min="17" max="17" width="7.81640625" bestFit="1" customWidth="1"/>
    <col min="18" max="18" width="7.36328125" bestFit="1" customWidth="1"/>
    <col min="19" max="24" width="7" bestFit="1" customWidth="1"/>
    <col min="25" max="25" width="10.36328125" bestFit="1" customWidth="1"/>
    <col min="26" max="26" width="7.54296875" bestFit="1" customWidth="1"/>
    <col min="27" max="27" width="10" bestFit="1" customWidth="1"/>
    <col min="28" max="28" width="9.26953125" bestFit="1" customWidth="1"/>
    <col min="29" max="29" width="7" bestFit="1" customWidth="1"/>
    <col min="30" max="30" width="7.36328125" bestFit="1" customWidth="1"/>
    <col min="31" max="36" width="7" bestFit="1" customWidth="1"/>
    <col min="37" max="37" width="10.36328125" bestFit="1" customWidth="1"/>
    <col min="38" max="38" width="7.54296875" bestFit="1" customWidth="1"/>
    <col min="39" max="39" width="10" bestFit="1" customWidth="1"/>
    <col min="40" max="40" width="9.26953125" bestFit="1" customWidth="1"/>
  </cols>
  <sheetData>
    <row r="1" spans="1:40" x14ac:dyDescent="0.35">
      <c r="E1" s="3">
        <v>1</v>
      </c>
      <c r="F1" s="3">
        <v>2</v>
      </c>
      <c r="G1" s="3">
        <v>3</v>
      </c>
      <c r="H1" s="3">
        <v>4</v>
      </c>
      <c r="I1" s="3">
        <v>5</v>
      </c>
      <c r="J1" s="3">
        <v>6</v>
      </c>
      <c r="K1" s="3">
        <v>7</v>
      </c>
      <c r="L1" s="3">
        <v>8</v>
      </c>
      <c r="M1" s="3">
        <v>9</v>
      </c>
      <c r="N1" s="3">
        <v>10</v>
      </c>
      <c r="O1" s="3">
        <v>11</v>
      </c>
      <c r="P1" s="3">
        <v>12</v>
      </c>
      <c r="Q1" s="3">
        <v>13</v>
      </c>
      <c r="R1" s="3">
        <v>14</v>
      </c>
      <c r="S1" s="3">
        <v>15</v>
      </c>
      <c r="T1" s="3">
        <v>16</v>
      </c>
      <c r="U1" s="3">
        <v>17</v>
      </c>
      <c r="V1" s="3">
        <v>18</v>
      </c>
      <c r="W1" s="3">
        <v>19</v>
      </c>
      <c r="X1" s="3">
        <v>20</v>
      </c>
      <c r="Y1" s="3">
        <v>21</v>
      </c>
      <c r="Z1" s="3">
        <v>22</v>
      </c>
      <c r="AA1" s="3">
        <v>23</v>
      </c>
      <c r="AB1" s="3">
        <v>24</v>
      </c>
      <c r="AC1" s="3">
        <v>25</v>
      </c>
      <c r="AD1" s="3">
        <v>26</v>
      </c>
      <c r="AE1" s="3">
        <v>27</v>
      </c>
      <c r="AF1" s="3">
        <v>28</v>
      </c>
      <c r="AG1" s="3">
        <v>29</v>
      </c>
      <c r="AH1" s="3">
        <v>30</v>
      </c>
      <c r="AI1" s="3">
        <v>31</v>
      </c>
      <c r="AJ1" s="3">
        <v>32</v>
      </c>
      <c r="AK1" s="3">
        <v>33</v>
      </c>
      <c r="AL1" s="3">
        <v>34</v>
      </c>
      <c r="AM1" s="3">
        <v>35</v>
      </c>
      <c r="AN1" s="3">
        <v>36</v>
      </c>
    </row>
    <row r="2" spans="1:40" x14ac:dyDescent="0.35">
      <c r="E2" s="321">
        <v>2024</v>
      </c>
      <c r="F2" s="321"/>
      <c r="G2" s="321"/>
      <c r="H2" s="321"/>
      <c r="I2" s="321"/>
      <c r="J2" s="321"/>
      <c r="K2" s="321"/>
      <c r="L2" s="321"/>
      <c r="M2" s="321"/>
      <c r="N2" s="321"/>
      <c r="O2" s="321"/>
      <c r="P2" s="321"/>
      <c r="Q2" s="321">
        <v>2025</v>
      </c>
      <c r="R2" s="321"/>
      <c r="S2" s="321"/>
      <c r="T2" s="321"/>
      <c r="U2" s="321"/>
      <c r="V2" s="321"/>
      <c r="W2" s="321"/>
      <c r="X2" s="321"/>
      <c r="Y2" s="321"/>
      <c r="Z2" s="321"/>
      <c r="AA2" s="321"/>
      <c r="AB2" s="321"/>
      <c r="AC2" s="321">
        <v>2026</v>
      </c>
      <c r="AD2" s="321"/>
      <c r="AE2" s="321"/>
      <c r="AF2" s="321"/>
      <c r="AG2" s="321"/>
      <c r="AH2" s="321"/>
      <c r="AI2" s="321"/>
      <c r="AJ2" s="321"/>
      <c r="AK2" s="321"/>
      <c r="AL2" s="321"/>
      <c r="AM2" s="321"/>
      <c r="AN2" s="321"/>
    </row>
    <row r="3" spans="1:40" x14ac:dyDescent="0.35">
      <c r="B3" s="3">
        <v>2024</v>
      </c>
      <c r="C3" s="3">
        <v>2025</v>
      </c>
      <c r="D3" s="3">
        <v>2026</v>
      </c>
      <c r="E3" s="3" t="s">
        <v>53</v>
      </c>
      <c r="F3" s="3" t="s">
        <v>54</v>
      </c>
      <c r="G3" s="3" t="s">
        <v>55</v>
      </c>
      <c r="H3" s="3" t="s">
        <v>56</v>
      </c>
      <c r="I3" s="3" t="s">
        <v>57</v>
      </c>
      <c r="J3" s="3" t="s">
        <v>58</v>
      </c>
      <c r="K3" s="3" t="s">
        <v>59</v>
      </c>
      <c r="L3" s="3" t="s">
        <v>60</v>
      </c>
      <c r="M3" s="3" t="s">
        <v>61</v>
      </c>
      <c r="N3" s="3" t="s">
        <v>62</v>
      </c>
      <c r="O3" s="3" t="s">
        <v>63</v>
      </c>
      <c r="P3" s="3" t="s">
        <v>64</v>
      </c>
      <c r="Q3" s="3" t="s">
        <v>53</v>
      </c>
      <c r="R3" s="3" t="s">
        <v>54</v>
      </c>
      <c r="S3" s="3" t="s">
        <v>55</v>
      </c>
      <c r="T3" s="3" t="s">
        <v>56</v>
      </c>
      <c r="U3" s="3" t="s">
        <v>57</v>
      </c>
      <c r="V3" s="3" t="s">
        <v>58</v>
      </c>
      <c r="W3" s="3" t="s">
        <v>59</v>
      </c>
      <c r="X3" s="3" t="s">
        <v>60</v>
      </c>
      <c r="Y3" s="3" t="s">
        <v>61</v>
      </c>
      <c r="Z3" s="3" t="s">
        <v>62</v>
      </c>
      <c r="AA3" s="3" t="s">
        <v>63</v>
      </c>
      <c r="AB3" s="3" t="s">
        <v>64</v>
      </c>
      <c r="AC3" s="3" t="s">
        <v>53</v>
      </c>
      <c r="AD3" s="3" t="s">
        <v>54</v>
      </c>
      <c r="AE3" s="3" t="s">
        <v>55</v>
      </c>
      <c r="AF3" s="3" t="s">
        <v>56</v>
      </c>
      <c r="AG3" s="3" t="s">
        <v>57</v>
      </c>
      <c r="AH3" s="3" t="s">
        <v>58</v>
      </c>
      <c r="AI3" s="3" t="s">
        <v>59</v>
      </c>
      <c r="AJ3" s="3" t="s">
        <v>60</v>
      </c>
      <c r="AK3" s="3" t="s">
        <v>61</v>
      </c>
      <c r="AL3" s="3" t="s">
        <v>62</v>
      </c>
      <c r="AM3" s="3" t="s">
        <v>63</v>
      </c>
      <c r="AN3" s="3" t="s">
        <v>64</v>
      </c>
    </row>
    <row r="4" spans="1:40" x14ac:dyDescent="0.35">
      <c r="A4" s="10" t="s">
        <v>11</v>
      </c>
      <c r="B4" s="4">
        <f>SUM(E4:P4)</f>
        <v>260</v>
      </c>
      <c r="C4" s="4">
        <f>SUM(Q4:AB4)</f>
        <v>515</v>
      </c>
      <c r="D4" s="4">
        <f>SUM(AC4:AN4)</f>
        <v>814</v>
      </c>
      <c r="E4" s="9">
        <f>P.Comercial!H10</f>
        <v>1</v>
      </c>
      <c r="F4" s="9">
        <f>P.Comercial!I10</f>
        <v>0</v>
      </c>
      <c r="G4" s="9">
        <f>P.Comercial!J10</f>
        <v>2</v>
      </c>
      <c r="H4" s="9">
        <f>P.Comercial!K10</f>
        <v>7</v>
      </c>
      <c r="I4" s="9">
        <f>P.Comercial!L10</f>
        <v>19</v>
      </c>
      <c r="J4" s="9">
        <f>P.Comercial!M10</f>
        <v>19</v>
      </c>
      <c r="K4" s="9">
        <f>P.Comercial!N10</f>
        <v>30</v>
      </c>
      <c r="L4" s="9">
        <f>P.Comercial!O10</f>
        <v>34</v>
      </c>
      <c r="M4" s="9">
        <f>P.Comercial!P10</f>
        <v>34</v>
      </c>
      <c r="N4" s="9">
        <f>P.Comercial!Q10</f>
        <v>38</v>
      </c>
      <c r="O4" s="9">
        <f>P.Comercial!R10</f>
        <v>38</v>
      </c>
      <c r="P4" s="9">
        <f>P.Comercial!S10</f>
        <v>38</v>
      </c>
      <c r="Q4" s="9">
        <f>P.Comercial!T10</f>
        <v>38</v>
      </c>
      <c r="R4" s="9">
        <f>P.Comercial!U10</f>
        <v>38</v>
      </c>
      <c r="S4" s="9">
        <f>P.Comercial!V10</f>
        <v>38</v>
      </c>
      <c r="T4" s="9">
        <f>P.Comercial!W10</f>
        <v>38</v>
      </c>
      <c r="U4" s="9">
        <f>P.Comercial!X10</f>
        <v>39</v>
      </c>
      <c r="V4" s="9">
        <f>P.Comercial!Y10</f>
        <v>40</v>
      </c>
      <c r="W4" s="9">
        <f>P.Comercial!Z10</f>
        <v>41</v>
      </c>
      <c r="X4" s="9">
        <f>P.Comercial!AA10</f>
        <v>42</v>
      </c>
      <c r="Y4" s="9">
        <f>P.Comercial!AB10</f>
        <v>45</v>
      </c>
      <c r="Z4" s="9">
        <f>P.Comercial!AC10</f>
        <v>48</v>
      </c>
      <c r="AA4" s="9">
        <f>P.Comercial!AD10</f>
        <v>52</v>
      </c>
      <c r="AB4" s="9">
        <f>P.Comercial!AE10</f>
        <v>56</v>
      </c>
      <c r="AC4" s="9">
        <f>P.Comercial!AF10</f>
        <v>56</v>
      </c>
      <c r="AD4" s="9">
        <f>P.Comercial!AG10</f>
        <v>56</v>
      </c>
      <c r="AE4" s="9">
        <f>P.Comercial!AH10</f>
        <v>57</v>
      </c>
      <c r="AF4" s="9">
        <f>P.Comercial!AI10</f>
        <v>58</v>
      </c>
      <c r="AG4" s="9">
        <f>P.Comercial!AJ10</f>
        <v>59</v>
      </c>
      <c r="AH4" s="9">
        <f>P.Comercial!AK10</f>
        <v>61</v>
      </c>
      <c r="AI4" s="9">
        <f>P.Comercial!AL10</f>
        <v>64</v>
      </c>
      <c r="AJ4" s="9">
        <f>P.Comercial!AM10</f>
        <v>68</v>
      </c>
      <c r="AK4" s="9">
        <f>P.Comercial!AN10</f>
        <v>73</v>
      </c>
      <c r="AL4" s="9">
        <f>P.Comercial!AO10</f>
        <v>79</v>
      </c>
      <c r="AM4" s="9">
        <f>P.Comercial!AP10</f>
        <v>87</v>
      </c>
      <c r="AN4" s="9">
        <f>P.Comercial!AQ10</f>
        <v>96</v>
      </c>
    </row>
    <row r="5" spans="1:40" x14ac:dyDescent="0.35">
      <c r="A5" s="10" t="s">
        <v>112</v>
      </c>
      <c r="B5" s="4">
        <f t="shared" ref="B5:B14" si="0">SUM(E5:P5)</f>
        <v>0</v>
      </c>
      <c r="C5" s="4">
        <f t="shared" ref="C5:C14" si="1">SUM(Q5:AB5)</f>
        <v>0</v>
      </c>
      <c r="D5" s="4">
        <f t="shared" ref="D5:D14" si="2">SUM(AC5:AN5)</f>
        <v>0</v>
      </c>
      <c r="E5" s="9">
        <f>P.Comercial!H24</f>
        <v>0</v>
      </c>
      <c r="F5" s="9">
        <f>P.Comercial!I24</f>
        <v>0</v>
      </c>
      <c r="G5" s="9">
        <f>P.Comercial!J24</f>
        <v>0</v>
      </c>
      <c r="H5" s="9">
        <f>P.Comercial!K24</f>
        <v>0</v>
      </c>
      <c r="I5" s="9">
        <f>P.Comercial!L24</f>
        <v>0</v>
      </c>
      <c r="J5" s="9">
        <f>P.Comercial!M24</f>
        <v>0</v>
      </c>
      <c r="K5" s="9">
        <f>P.Comercial!N24</f>
        <v>0</v>
      </c>
      <c r="L5" s="9">
        <f>P.Comercial!O24</f>
        <v>0</v>
      </c>
      <c r="M5" s="9">
        <f>P.Comercial!P24</f>
        <v>0</v>
      </c>
      <c r="N5" s="9">
        <f>P.Comercial!Q24</f>
        <v>0</v>
      </c>
      <c r="O5" s="9">
        <f>P.Comercial!R24</f>
        <v>0</v>
      </c>
      <c r="P5" s="9">
        <f>P.Comercial!S24</f>
        <v>0</v>
      </c>
      <c r="Q5" s="9">
        <f>P.Comercial!T24</f>
        <v>0</v>
      </c>
      <c r="R5" s="9">
        <f>P.Comercial!U24</f>
        <v>0</v>
      </c>
      <c r="S5" s="9">
        <f>P.Comercial!V24</f>
        <v>0</v>
      </c>
      <c r="T5" s="9">
        <f>P.Comercial!W24</f>
        <v>0</v>
      </c>
      <c r="U5" s="9">
        <f>P.Comercial!X24</f>
        <v>0</v>
      </c>
      <c r="V5" s="9">
        <f>P.Comercial!Y24</f>
        <v>0</v>
      </c>
      <c r="W5" s="9">
        <f>P.Comercial!Z24</f>
        <v>0</v>
      </c>
      <c r="X5" s="9">
        <f>P.Comercial!AA24</f>
        <v>0</v>
      </c>
      <c r="Y5" s="9">
        <f>P.Comercial!AB24</f>
        <v>0</v>
      </c>
      <c r="Z5" s="9">
        <f>P.Comercial!AC24</f>
        <v>0</v>
      </c>
      <c r="AA5" s="9">
        <f>P.Comercial!AD24</f>
        <v>0</v>
      </c>
      <c r="AB5" s="9">
        <f>P.Comercial!AE24</f>
        <v>0</v>
      </c>
      <c r="AC5" s="9">
        <f>P.Comercial!AF24</f>
        <v>0</v>
      </c>
      <c r="AD5" s="9">
        <f>P.Comercial!AG24</f>
        <v>0</v>
      </c>
      <c r="AE5" s="9">
        <f>P.Comercial!AH24</f>
        <v>0</v>
      </c>
      <c r="AF5" s="9">
        <f>P.Comercial!AI24</f>
        <v>0</v>
      </c>
      <c r="AG5" s="9">
        <f>P.Comercial!AJ24</f>
        <v>0</v>
      </c>
      <c r="AH5" s="9">
        <f>P.Comercial!AK24</f>
        <v>0</v>
      </c>
      <c r="AI5" s="9">
        <f>P.Comercial!AL24</f>
        <v>0</v>
      </c>
      <c r="AJ5" s="9">
        <f>P.Comercial!AM24</f>
        <v>0</v>
      </c>
      <c r="AK5" s="9">
        <f>P.Comercial!AN24</f>
        <v>0</v>
      </c>
      <c r="AL5" s="9">
        <f>P.Comercial!AO24</f>
        <v>0</v>
      </c>
      <c r="AM5" s="9">
        <f>P.Comercial!AP24</f>
        <v>0</v>
      </c>
      <c r="AN5" s="9">
        <f>P.Comercial!AQ24</f>
        <v>0</v>
      </c>
    </row>
    <row r="6" spans="1:40" x14ac:dyDescent="0.35">
      <c r="A6" s="10" t="s">
        <v>66</v>
      </c>
      <c r="B6" s="4">
        <f t="shared" si="0"/>
        <v>-130</v>
      </c>
      <c r="C6" s="4">
        <f t="shared" si="1"/>
        <v>-257.5</v>
      </c>
      <c r="D6" s="4">
        <f t="shared" si="2"/>
        <v>-407</v>
      </c>
      <c r="E6" s="9">
        <f>P.Comercial!H26</f>
        <v>-0.5</v>
      </c>
      <c r="F6" s="9">
        <f>P.Comercial!I26</f>
        <v>0</v>
      </c>
      <c r="G6" s="9">
        <f>P.Comercial!J26</f>
        <v>-1</v>
      </c>
      <c r="H6" s="9">
        <f>P.Comercial!K26</f>
        <v>-3.5</v>
      </c>
      <c r="I6" s="9">
        <f>P.Comercial!L26</f>
        <v>-9.5</v>
      </c>
      <c r="J6" s="9">
        <f>P.Comercial!M26</f>
        <v>-9.5</v>
      </c>
      <c r="K6" s="9">
        <f>P.Comercial!N26</f>
        <v>-15</v>
      </c>
      <c r="L6" s="9">
        <f>P.Comercial!O26</f>
        <v>-17</v>
      </c>
      <c r="M6" s="9">
        <f>P.Comercial!P26</f>
        <v>-17</v>
      </c>
      <c r="N6" s="9">
        <f>P.Comercial!Q26</f>
        <v>-19</v>
      </c>
      <c r="O6" s="9">
        <f>P.Comercial!R26</f>
        <v>-19</v>
      </c>
      <c r="P6" s="9">
        <f>P.Comercial!S26</f>
        <v>-19</v>
      </c>
      <c r="Q6" s="9">
        <f>P.Comercial!T26</f>
        <v>-19</v>
      </c>
      <c r="R6" s="9">
        <f>P.Comercial!U26</f>
        <v>-19</v>
      </c>
      <c r="S6" s="9">
        <f>P.Comercial!V26</f>
        <v>-19</v>
      </c>
      <c r="T6" s="9">
        <f>P.Comercial!W26</f>
        <v>-19</v>
      </c>
      <c r="U6" s="9">
        <f>P.Comercial!X26</f>
        <v>-19.5</v>
      </c>
      <c r="V6" s="9">
        <f>P.Comercial!Y26</f>
        <v>-20</v>
      </c>
      <c r="W6" s="9">
        <f>P.Comercial!Z26</f>
        <v>-20.5</v>
      </c>
      <c r="X6" s="9">
        <f>P.Comercial!AA26</f>
        <v>-21</v>
      </c>
      <c r="Y6" s="9">
        <f>P.Comercial!AB26</f>
        <v>-22.5</v>
      </c>
      <c r="Z6" s="9">
        <f>P.Comercial!AC26</f>
        <v>-24</v>
      </c>
      <c r="AA6" s="9">
        <f>P.Comercial!AD26</f>
        <v>-26</v>
      </c>
      <c r="AB6" s="9">
        <f>P.Comercial!AE26</f>
        <v>-28</v>
      </c>
      <c r="AC6" s="9">
        <f>P.Comercial!AF26</f>
        <v>-28</v>
      </c>
      <c r="AD6" s="9">
        <f>P.Comercial!AG26</f>
        <v>-28</v>
      </c>
      <c r="AE6" s="9">
        <f>P.Comercial!AH26</f>
        <v>-28.5</v>
      </c>
      <c r="AF6" s="9">
        <f>P.Comercial!AI26</f>
        <v>-29</v>
      </c>
      <c r="AG6" s="9">
        <f>P.Comercial!AJ26</f>
        <v>-29.5</v>
      </c>
      <c r="AH6" s="9">
        <f>P.Comercial!AK26</f>
        <v>-30.5</v>
      </c>
      <c r="AI6" s="9">
        <f>P.Comercial!AL26</f>
        <v>-32</v>
      </c>
      <c r="AJ6" s="9">
        <f>P.Comercial!AM26</f>
        <v>-34</v>
      </c>
      <c r="AK6" s="9">
        <f>P.Comercial!AN26</f>
        <v>-36.5</v>
      </c>
      <c r="AL6" s="9">
        <f>P.Comercial!AO26</f>
        <v>-39.5</v>
      </c>
      <c r="AM6" s="9">
        <f>P.Comercial!AP26</f>
        <v>-43.5</v>
      </c>
      <c r="AN6" s="9">
        <f>P.Comercial!AQ26</f>
        <v>-48</v>
      </c>
    </row>
    <row r="7" spans="1:40" x14ac:dyDescent="0.35">
      <c r="A7" s="10" t="s">
        <v>14</v>
      </c>
      <c r="B7" s="4">
        <f t="shared" si="0"/>
        <v>130</v>
      </c>
      <c r="C7" s="4">
        <f t="shared" si="1"/>
        <v>257.5</v>
      </c>
      <c r="D7" s="4">
        <f t="shared" si="2"/>
        <v>407</v>
      </c>
      <c r="E7" s="9">
        <f>E4+E5+E6</f>
        <v>0.5</v>
      </c>
      <c r="F7" s="9">
        <f t="shared" ref="F7:AN7" si="3">F4+F5+F6</f>
        <v>0</v>
      </c>
      <c r="G7" s="9">
        <f t="shared" si="3"/>
        <v>1</v>
      </c>
      <c r="H7" s="9">
        <f t="shared" si="3"/>
        <v>3.5</v>
      </c>
      <c r="I7" s="9">
        <f t="shared" si="3"/>
        <v>9.5</v>
      </c>
      <c r="J7" s="9">
        <f t="shared" si="3"/>
        <v>9.5</v>
      </c>
      <c r="K7" s="9">
        <f t="shared" si="3"/>
        <v>15</v>
      </c>
      <c r="L7" s="9">
        <f t="shared" si="3"/>
        <v>17</v>
      </c>
      <c r="M7" s="9">
        <f t="shared" si="3"/>
        <v>17</v>
      </c>
      <c r="N7" s="9">
        <f t="shared" si="3"/>
        <v>19</v>
      </c>
      <c r="O7" s="9">
        <f t="shared" si="3"/>
        <v>19</v>
      </c>
      <c r="P7" s="9">
        <f t="shared" si="3"/>
        <v>19</v>
      </c>
      <c r="Q7" s="9">
        <f t="shared" si="3"/>
        <v>19</v>
      </c>
      <c r="R7" s="9">
        <f t="shared" si="3"/>
        <v>19</v>
      </c>
      <c r="S7" s="9">
        <f t="shared" si="3"/>
        <v>19</v>
      </c>
      <c r="T7" s="9">
        <f t="shared" si="3"/>
        <v>19</v>
      </c>
      <c r="U7" s="9">
        <f t="shared" si="3"/>
        <v>19.5</v>
      </c>
      <c r="V7" s="9">
        <f t="shared" si="3"/>
        <v>20</v>
      </c>
      <c r="W7" s="9">
        <f t="shared" si="3"/>
        <v>20.5</v>
      </c>
      <c r="X7" s="9">
        <f t="shared" si="3"/>
        <v>21</v>
      </c>
      <c r="Y7" s="9">
        <f t="shared" si="3"/>
        <v>22.5</v>
      </c>
      <c r="Z7" s="9">
        <f t="shared" si="3"/>
        <v>24</v>
      </c>
      <c r="AA7" s="9">
        <f t="shared" si="3"/>
        <v>26</v>
      </c>
      <c r="AB7" s="9">
        <f t="shared" si="3"/>
        <v>28</v>
      </c>
      <c r="AC7" s="9">
        <f t="shared" si="3"/>
        <v>28</v>
      </c>
      <c r="AD7" s="9">
        <f t="shared" si="3"/>
        <v>28</v>
      </c>
      <c r="AE7" s="9">
        <f t="shared" si="3"/>
        <v>28.5</v>
      </c>
      <c r="AF7" s="9">
        <f t="shared" si="3"/>
        <v>29</v>
      </c>
      <c r="AG7" s="9">
        <f t="shared" si="3"/>
        <v>29.5</v>
      </c>
      <c r="AH7" s="9">
        <f t="shared" si="3"/>
        <v>30.5</v>
      </c>
      <c r="AI7" s="9">
        <f t="shared" si="3"/>
        <v>32</v>
      </c>
      <c r="AJ7" s="9">
        <f t="shared" si="3"/>
        <v>34</v>
      </c>
      <c r="AK7" s="9">
        <f t="shared" si="3"/>
        <v>36.5</v>
      </c>
      <c r="AL7" s="9">
        <f t="shared" si="3"/>
        <v>39.5</v>
      </c>
      <c r="AM7" s="9">
        <f t="shared" si="3"/>
        <v>43.5</v>
      </c>
      <c r="AN7" s="9">
        <f t="shared" si="3"/>
        <v>48</v>
      </c>
    </row>
    <row r="8" spans="1:40" x14ac:dyDescent="0.35">
      <c r="A8" s="10" t="s">
        <v>88</v>
      </c>
      <c r="B8" s="9">
        <f>P8</f>
        <v>130</v>
      </c>
      <c r="C8" s="9">
        <f>AB8</f>
        <v>387.5</v>
      </c>
      <c r="D8" s="9">
        <f>AN8</f>
        <v>794.5</v>
      </c>
      <c r="E8" s="9">
        <f>E7</f>
        <v>0.5</v>
      </c>
      <c r="F8" s="9">
        <f t="shared" ref="F8:AN8" si="4">E8+F7</f>
        <v>0.5</v>
      </c>
      <c r="G8" s="9">
        <f t="shared" si="4"/>
        <v>1.5</v>
      </c>
      <c r="H8" s="9">
        <f t="shared" si="4"/>
        <v>5</v>
      </c>
      <c r="I8" s="9">
        <f t="shared" si="4"/>
        <v>14.5</v>
      </c>
      <c r="J8" s="9">
        <f t="shared" si="4"/>
        <v>24</v>
      </c>
      <c r="K8" s="9">
        <f t="shared" si="4"/>
        <v>39</v>
      </c>
      <c r="L8" s="9">
        <f t="shared" si="4"/>
        <v>56</v>
      </c>
      <c r="M8" s="9">
        <f t="shared" si="4"/>
        <v>73</v>
      </c>
      <c r="N8" s="9">
        <f t="shared" si="4"/>
        <v>92</v>
      </c>
      <c r="O8" s="9">
        <f t="shared" si="4"/>
        <v>111</v>
      </c>
      <c r="P8" s="9">
        <f t="shared" si="4"/>
        <v>130</v>
      </c>
      <c r="Q8" s="9">
        <f t="shared" si="4"/>
        <v>149</v>
      </c>
      <c r="R8" s="9">
        <f t="shared" si="4"/>
        <v>168</v>
      </c>
      <c r="S8" s="9">
        <f t="shared" si="4"/>
        <v>187</v>
      </c>
      <c r="T8" s="9">
        <f t="shared" si="4"/>
        <v>206</v>
      </c>
      <c r="U8" s="9">
        <f t="shared" si="4"/>
        <v>225.5</v>
      </c>
      <c r="V8" s="9">
        <f t="shared" si="4"/>
        <v>245.5</v>
      </c>
      <c r="W8" s="9">
        <f t="shared" si="4"/>
        <v>266</v>
      </c>
      <c r="X8" s="9">
        <f t="shared" si="4"/>
        <v>287</v>
      </c>
      <c r="Y8" s="9">
        <f t="shared" si="4"/>
        <v>309.5</v>
      </c>
      <c r="Z8" s="9">
        <f t="shared" si="4"/>
        <v>333.5</v>
      </c>
      <c r="AA8" s="9">
        <f t="shared" si="4"/>
        <v>359.5</v>
      </c>
      <c r="AB8" s="9">
        <f t="shared" si="4"/>
        <v>387.5</v>
      </c>
      <c r="AC8" s="9">
        <f t="shared" si="4"/>
        <v>415.5</v>
      </c>
      <c r="AD8" s="9">
        <f t="shared" si="4"/>
        <v>443.5</v>
      </c>
      <c r="AE8" s="9">
        <f t="shared" si="4"/>
        <v>472</v>
      </c>
      <c r="AF8" s="9">
        <f t="shared" si="4"/>
        <v>501</v>
      </c>
      <c r="AG8" s="9">
        <f t="shared" si="4"/>
        <v>530.5</v>
      </c>
      <c r="AH8" s="9">
        <f t="shared" si="4"/>
        <v>561</v>
      </c>
      <c r="AI8" s="9">
        <f t="shared" si="4"/>
        <v>593</v>
      </c>
      <c r="AJ8" s="9">
        <f t="shared" si="4"/>
        <v>627</v>
      </c>
      <c r="AK8" s="9">
        <f t="shared" si="4"/>
        <v>663.5</v>
      </c>
      <c r="AL8" s="9">
        <f t="shared" si="4"/>
        <v>703</v>
      </c>
      <c r="AM8" s="9">
        <f t="shared" si="4"/>
        <v>746.5</v>
      </c>
      <c r="AN8" s="9">
        <f t="shared" si="4"/>
        <v>794.5</v>
      </c>
    </row>
    <row r="9" spans="1:40" x14ac:dyDescent="0.35">
      <c r="A9" s="10" t="s">
        <v>113</v>
      </c>
      <c r="B9" s="4">
        <f t="shared" si="0"/>
        <v>0.5</v>
      </c>
      <c r="C9" s="4">
        <f t="shared" si="1"/>
        <v>149</v>
      </c>
      <c r="D9" s="4">
        <f t="shared" si="2"/>
        <v>415.5</v>
      </c>
      <c r="E9" s="9">
        <f>P.Comercial!H30</f>
        <v>0</v>
      </c>
      <c r="F9" s="9">
        <f>P.Comercial!I30</f>
        <v>0</v>
      </c>
      <c r="G9" s="9">
        <f>P.Comercial!J30</f>
        <v>0</v>
      </c>
      <c r="H9" s="9">
        <f>P.Comercial!K30</f>
        <v>0</v>
      </c>
      <c r="I9" s="9">
        <f>P.Comercial!L30</f>
        <v>0</v>
      </c>
      <c r="J9" s="9">
        <f>P.Comercial!M30</f>
        <v>0</v>
      </c>
      <c r="K9" s="9">
        <f>P.Comercial!N30</f>
        <v>0</v>
      </c>
      <c r="L9" s="9">
        <f>P.Comercial!O30</f>
        <v>0</v>
      </c>
      <c r="M9" s="9">
        <f>P.Comercial!P30</f>
        <v>0</v>
      </c>
      <c r="N9" s="9">
        <f>P.Comercial!Q30</f>
        <v>0</v>
      </c>
      <c r="O9" s="9">
        <f>P.Comercial!R30</f>
        <v>0</v>
      </c>
      <c r="P9" s="9">
        <f>P.Comercial!S30</f>
        <v>0.5</v>
      </c>
      <c r="Q9" s="9">
        <f>P.Comercial!T30</f>
        <v>0</v>
      </c>
      <c r="R9" s="9">
        <f>P.Comercial!U30</f>
        <v>1</v>
      </c>
      <c r="S9" s="9">
        <f>P.Comercial!V30</f>
        <v>3.5</v>
      </c>
      <c r="T9" s="9">
        <f>P.Comercial!W30</f>
        <v>9.5</v>
      </c>
      <c r="U9" s="9">
        <f>P.Comercial!X30</f>
        <v>9.5</v>
      </c>
      <c r="V9" s="9">
        <f>P.Comercial!Y30</f>
        <v>15</v>
      </c>
      <c r="W9" s="9">
        <f>P.Comercial!Z30</f>
        <v>17</v>
      </c>
      <c r="X9" s="9">
        <f>P.Comercial!AA30</f>
        <v>17</v>
      </c>
      <c r="Y9" s="9">
        <f>P.Comercial!AB30</f>
        <v>19</v>
      </c>
      <c r="Z9" s="9">
        <f>P.Comercial!AC30</f>
        <v>19</v>
      </c>
      <c r="AA9" s="9">
        <f>P.Comercial!AD30</f>
        <v>19</v>
      </c>
      <c r="AB9" s="9">
        <f>P.Comercial!AE30</f>
        <v>19.5</v>
      </c>
      <c r="AC9" s="9">
        <f>P.Comercial!AF30</f>
        <v>19</v>
      </c>
      <c r="AD9" s="9">
        <f>P.Comercial!AG30</f>
        <v>20</v>
      </c>
      <c r="AE9" s="9">
        <f>P.Comercial!AH30</f>
        <v>22.5</v>
      </c>
      <c r="AF9" s="9">
        <f>P.Comercial!AI30</f>
        <v>29</v>
      </c>
      <c r="AG9" s="9">
        <f>P.Comercial!AJ30</f>
        <v>29.5</v>
      </c>
      <c r="AH9" s="9">
        <f>P.Comercial!AK30</f>
        <v>35.5</v>
      </c>
      <c r="AI9" s="9">
        <f>P.Comercial!AL30</f>
        <v>38</v>
      </c>
      <c r="AJ9" s="9">
        <f>P.Comercial!AM30</f>
        <v>39.5</v>
      </c>
      <c r="AK9" s="9">
        <f>P.Comercial!AN30</f>
        <v>43</v>
      </c>
      <c r="AL9" s="9">
        <f>P.Comercial!AO30</f>
        <v>45</v>
      </c>
      <c r="AM9" s="9">
        <f>P.Comercial!AP30</f>
        <v>47</v>
      </c>
      <c r="AN9" s="9">
        <f>P.Comercial!AQ30</f>
        <v>47.5</v>
      </c>
    </row>
    <row r="10" spans="1:40" x14ac:dyDescent="0.35">
      <c r="A10" s="10" t="s">
        <v>94</v>
      </c>
      <c r="B10" s="4">
        <f t="shared" si="0"/>
        <v>260.5</v>
      </c>
      <c r="C10" s="4">
        <f t="shared" si="1"/>
        <v>664</v>
      </c>
      <c r="D10" s="4">
        <f t="shared" si="2"/>
        <v>1229.5</v>
      </c>
      <c r="E10" s="9">
        <f>E4+E5+E9</f>
        <v>1</v>
      </c>
      <c r="F10" s="9">
        <f t="shared" ref="F10:AN10" si="5">F4+F5+F9</f>
        <v>0</v>
      </c>
      <c r="G10" s="9">
        <f t="shared" si="5"/>
        <v>2</v>
      </c>
      <c r="H10" s="9">
        <f t="shared" si="5"/>
        <v>7</v>
      </c>
      <c r="I10" s="9">
        <f t="shared" si="5"/>
        <v>19</v>
      </c>
      <c r="J10" s="9">
        <f t="shared" si="5"/>
        <v>19</v>
      </c>
      <c r="K10" s="9">
        <f t="shared" si="5"/>
        <v>30</v>
      </c>
      <c r="L10" s="9">
        <f t="shared" si="5"/>
        <v>34</v>
      </c>
      <c r="M10" s="9">
        <f t="shared" si="5"/>
        <v>34</v>
      </c>
      <c r="N10" s="9">
        <f t="shared" si="5"/>
        <v>38</v>
      </c>
      <c r="O10" s="9">
        <f t="shared" si="5"/>
        <v>38</v>
      </c>
      <c r="P10" s="9">
        <f t="shared" si="5"/>
        <v>38.5</v>
      </c>
      <c r="Q10" s="9">
        <f t="shared" si="5"/>
        <v>38</v>
      </c>
      <c r="R10" s="9">
        <f t="shared" si="5"/>
        <v>39</v>
      </c>
      <c r="S10" s="9">
        <f t="shared" si="5"/>
        <v>41.5</v>
      </c>
      <c r="T10" s="9">
        <f t="shared" si="5"/>
        <v>47.5</v>
      </c>
      <c r="U10" s="9">
        <f t="shared" si="5"/>
        <v>48.5</v>
      </c>
      <c r="V10" s="9">
        <f t="shared" si="5"/>
        <v>55</v>
      </c>
      <c r="W10" s="9">
        <f t="shared" si="5"/>
        <v>58</v>
      </c>
      <c r="X10" s="9">
        <f t="shared" si="5"/>
        <v>59</v>
      </c>
      <c r="Y10" s="9">
        <f t="shared" si="5"/>
        <v>64</v>
      </c>
      <c r="Z10" s="9">
        <f t="shared" si="5"/>
        <v>67</v>
      </c>
      <c r="AA10" s="9">
        <f t="shared" si="5"/>
        <v>71</v>
      </c>
      <c r="AB10" s="9">
        <f t="shared" si="5"/>
        <v>75.5</v>
      </c>
      <c r="AC10" s="9">
        <f t="shared" si="5"/>
        <v>75</v>
      </c>
      <c r="AD10" s="9">
        <f t="shared" si="5"/>
        <v>76</v>
      </c>
      <c r="AE10" s="9">
        <f t="shared" si="5"/>
        <v>79.5</v>
      </c>
      <c r="AF10" s="9">
        <f t="shared" si="5"/>
        <v>87</v>
      </c>
      <c r="AG10" s="9">
        <f t="shared" si="5"/>
        <v>88.5</v>
      </c>
      <c r="AH10" s="9">
        <f t="shared" si="5"/>
        <v>96.5</v>
      </c>
      <c r="AI10" s="9">
        <f t="shared" si="5"/>
        <v>102</v>
      </c>
      <c r="AJ10" s="9">
        <f t="shared" si="5"/>
        <v>107.5</v>
      </c>
      <c r="AK10" s="9">
        <f t="shared" si="5"/>
        <v>116</v>
      </c>
      <c r="AL10" s="9">
        <f t="shared" si="5"/>
        <v>124</v>
      </c>
      <c r="AM10" s="9">
        <f t="shared" si="5"/>
        <v>134</v>
      </c>
      <c r="AN10" s="9">
        <f t="shared" si="5"/>
        <v>143.5</v>
      </c>
    </row>
    <row r="11" spans="1:40" ht="3.5" customHeight="1" x14ac:dyDescent="0.35">
      <c r="A11" s="10"/>
      <c r="B11" s="4"/>
      <c r="C11" s="4"/>
      <c r="D11" s="4"/>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2" spans="1:40" x14ac:dyDescent="0.35">
      <c r="A12" s="13" t="s">
        <v>2</v>
      </c>
      <c r="B12" s="96">
        <f>SUM(E12:P12)</f>
        <v>1564.5643136843578</v>
      </c>
      <c r="C12" s="96">
        <f>SUM(Q12:AB12)</f>
        <v>3364.8210334941605</v>
      </c>
      <c r="D12" s="96">
        <f>SUM(AC12:AN12)</f>
        <v>5160.3446717012785</v>
      </c>
      <c r="E12" s="6">
        <f>P.Comercial!H52</f>
        <v>1.2333333333333332</v>
      </c>
      <c r="F12" s="6">
        <f>P.Comercial!I52</f>
        <v>0</v>
      </c>
      <c r="G12" s="6">
        <f>P.Comercial!J52</f>
        <v>5.344444444444445</v>
      </c>
      <c r="H12" s="6">
        <f>P.Comercial!K52</f>
        <v>67.422222222222217</v>
      </c>
      <c r="I12" s="6">
        <f>P.Comercial!L52</f>
        <v>112.64444444444445</v>
      </c>
      <c r="J12" s="6">
        <f>P.Comercial!M52</f>
        <v>112.64444444444445</v>
      </c>
      <c r="K12" s="6">
        <f>P.Comercial!N52</f>
        <v>203.9111111111111</v>
      </c>
      <c r="L12" s="6">
        <f>P.Comercial!O52</f>
        <v>208.84444444444443</v>
      </c>
      <c r="M12" s="6">
        <f>P.Comercial!P52</f>
        <v>208.84444444444443</v>
      </c>
      <c r="N12" s="6">
        <f>P.Comercial!Q52</f>
        <v>213.77777777777777</v>
      </c>
      <c r="O12" s="6">
        <f>P.Comercial!R52</f>
        <v>213.77777777777777</v>
      </c>
      <c r="P12" s="6">
        <f>P.Comercial!S52</f>
        <v>216.11986923991333</v>
      </c>
      <c r="Q12" s="6">
        <f>P.Comercial!T52</f>
        <v>213.77777777777777</v>
      </c>
      <c r="R12" s="6">
        <f>P.Comercial!U52</f>
        <v>218.4619607020488</v>
      </c>
      <c r="S12" s="6">
        <f>P.Comercial!V52</f>
        <v>230.17241801272638</v>
      </c>
      <c r="T12" s="6">
        <f>P.Comercial!W52</f>
        <v>258.27751555835255</v>
      </c>
      <c r="U12" s="6">
        <f>P.Comercial!X52</f>
        <v>259.5108488916859</v>
      </c>
      <c r="V12" s="6">
        <f>P.Comercial!Y52</f>
        <v>286.50718830850985</v>
      </c>
      <c r="W12" s="6">
        <f>P.Comercial!Z52</f>
        <v>297.10888749038526</v>
      </c>
      <c r="X12" s="6">
        <f>P.Comercial!AA52</f>
        <v>298.34222082371861</v>
      </c>
      <c r="Y12" s="6">
        <f>P.Comercial!AB52</f>
        <v>314.28836445003844</v>
      </c>
      <c r="Z12" s="6">
        <f>P.Comercial!AC52</f>
        <v>320.86614222781617</v>
      </c>
      <c r="AA12" s="6">
        <f>P.Comercial!AD52</f>
        <v>328.6772533389273</v>
      </c>
      <c r="AB12" s="6">
        <f>P.Comercial!AE52</f>
        <v>338.83045591217399</v>
      </c>
      <c r="AC12" s="6">
        <f>P.Comercial!AF52</f>
        <v>336.48836445003843</v>
      </c>
      <c r="AD12" s="6">
        <f>P.Comercial!AG52</f>
        <v>341.17254737430949</v>
      </c>
      <c r="AE12" s="6">
        <f>P.Comercial!AH52</f>
        <v>354.11633801832039</v>
      </c>
      <c r="AF12" s="6">
        <f>P.Comercial!AI52</f>
        <v>385.7968603594154</v>
      </c>
      <c r="AG12" s="6">
        <f>P.Comercial!AJ52</f>
        <v>389.37228515488425</v>
      </c>
      <c r="AH12" s="6">
        <f>P.Comercial!AK52</f>
        <v>419.94404936717706</v>
      </c>
      <c r="AI12" s="6">
        <f>P.Comercial!AL52</f>
        <v>438.23228445563245</v>
      </c>
      <c r="AJ12" s="6">
        <f>P.Comercial!AM52</f>
        <v>453.06966995315008</v>
      </c>
      <c r="AK12" s="6">
        <f>P.Comercial!AN52</f>
        <v>478.50875463254317</v>
      </c>
      <c r="AL12" s="6">
        <f>P.Comercial!AO52</f>
        <v>498.154898258863</v>
      </c>
      <c r="AM12" s="6">
        <f>P.Comercial!AP52</f>
        <v>523.14548632962726</v>
      </c>
      <c r="AN12" s="6">
        <f>P.Comercial!AQ52</f>
        <v>542.34313334731837</v>
      </c>
    </row>
    <row r="13" spans="1:40" ht="5.5" customHeight="1" x14ac:dyDescent="0.35">
      <c r="B13" s="4"/>
      <c r="C13" s="4"/>
      <c r="D13" s="4"/>
    </row>
    <row r="14" spans="1:40" x14ac:dyDescent="0.35">
      <c r="A14" s="10" t="str">
        <f>Vaciado!C36</f>
        <v>Servidor por cliente:</v>
      </c>
      <c r="B14" s="6">
        <f t="shared" si="0"/>
        <v>32.5</v>
      </c>
      <c r="C14" s="6">
        <f t="shared" si="1"/>
        <v>64.375</v>
      </c>
      <c r="D14" s="6">
        <f t="shared" si="2"/>
        <v>101.75</v>
      </c>
      <c r="E14" s="6">
        <f>(E4+E5)*(Vaciado!$D$36/1000)</f>
        <v>0.125</v>
      </c>
      <c r="F14" s="6">
        <f>(F4+F5)*(Vaciado!$D$36/1000)</f>
        <v>0</v>
      </c>
      <c r="G14" s="6">
        <f>(G4+G5)*(Vaciado!$D$36/1000)</f>
        <v>0.25</v>
      </c>
      <c r="H14" s="6">
        <f>(H4+H5)*(Vaciado!$D$36/1000)</f>
        <v>0.875</v>
      </c>
      <c r="I14" s="6">
        <f>(I4+I5)*(Vaciado!$D$36/1000)</f>
        <v>2.375</v>
      </c>
      <c r="J14" s="6">
        <f>(J4+J5)*(Vaciado!$D$36/1000)</f>
        <v>2.375</v>
      </c>
      <c r="K14" s="6">
        <f>(K4+K5)*(Vaciado!$D$36/1000)</f>
        <v>3.75</v>
      </c>
      <c r="L14" s="6">
        <f>(L4+L5)*(Vaciado!$D$36/1000)</f>
        <v>4.25</v>
      </c>
      <c r="M14" s="6">
        <f>(M4+M5)*(Vaciado!$D$36/1000)</f>
        <v>4.25</v>
      </c>
      <c r="N14" s="6">
        <f>(N4+N5)*(Vaciado!$D$36/1000)</f>
        <v>4.75</v>
      </c>
      <c r="O14" s="6">
        <f>(O4+O5)*(Vaciado!$D$36/1000)</f>
        <v>4.75</v>
      </c>
      <c r="P14" s="6">
        <f>(P4+P5)*(Vaciado!$D$36/1000)</f>
        <v>4.75</v>
      </c>
      <c r="Q14" s="6">
        <f>(Q4+Q5)*(Vaciado!$D$36/1000)</f>
        <v>4.75</v>
      </c>
      <c r="R14" s="6">
        <f>(R4+R5)*(Vaciado!$D$36/1000)</f>
        <v>4.75</v>
      </c>
      <c r="S14" s="6">
        <f>(S4+S5)*(Vaciado!$D$36/1000)</f>
        <v>4.75</v>
      </c>
      <c r="T14" s="6">
        <f>(T4+T5)*(Vaciado!$D$36/1000)</f>
        <v>4.75</v>
      </c>
      <c r="U14" s="6">
        <f>(U4+U5)*(Vaciado!$D$36/1000)</f>
        <v>4.875</v>
      </c>
      <c r="V14" s="6">
        <f>(V4+V5)*(Vaciado!$D$36/1000)</f>
        <v>5</v>
      </c>
      <c r="W14" s="6">
        <f>(W4+W5)*(Vaciado!$D$36/1000)</f>
        <v>5.125</v>
      </c>
      <c r="X14" s="6">
        <f>(X4+X5)*(Vaciado!$D$36/1000)</f>
        <v>5.25</v>
      </c>
      <c r="Y14" s="6">
        <f>(Y4+Y5)*(Vaciado!$D$36/1000)</f>
        <v>5.625</v>
      </c>
      <c r="Z14" s="6">
        <f>(Z4+Z5)*(Vaciado!$D$36/1000)</f>
        <v>6</v>
      </c>
      <c r="AA14" s="6">
        <f>(AA4+AA5)*(Vaciado!$D$36/1000)</f>
        <v>6.5</v>
      </c>
      <c r="AB14" s="6">
        <f>(AB4+AB5)*(Vaciado!$D$36/1000)</f>
        <v>7</v>
      </c>
      <c r="AC14" s="6">
        <f>(AC4+AC5)*(Vaciado!$D$36/1000)</f>
        <v>7</v>
      </c>
      <c r="AD14" s="6">
        <f>(AD4+AD5)*(Vaciado!$D$36/1000)</f>
        <v>7</v>
      </c>
      <c r="AE14" s="6">
        <f>(AE4+AE5)*(Vaciado!$D$36/1000)</f>
        <v>7.125</v>
      </c>
      <c r="AF14" s="6">
        <f>(AF4+AF5)*(Vaciado!$D$36/1000)</f>
        <v>7.25</v>
      </c>
      <c r="AG14" s="6">
        <f>(AG4+AG5)*(Vaciado!$D$36/1000)</f>
        <v>7.375</v>
      </c>
      <c r="AH14" s="6">
        <f>(AH4+AH5)*(Vaciado!$D$36/1000)</f>
        <v>7.625</v>
      </c>
      <c r="AI14" s="6">
        <f>(AI4+AI5)*(Vaciado!$D$36/1000)</f>
        <v>8</v>
      </c>
      <c r="AJ14" s="6">
        <f>(AJ4+AJ5)*(Vaciado!$D$36/1000)</f>
        <v>8.5</v>
      </c>
      <c r="AK14" s="6">
        <f>(AK4+AK5)*(Vaciado!$D$36/1000)</f>
        <v>9.125</v>
      </c>
      <c r="AL14" s="6">
        <f>(AL4+AL5)*(Vaciado!$D$36/1000)</f>
        <v>9.875</v>
      </c>
      <c r="AM14" s="6">
        <f>(AM4+AM5)*(Vaciado!$D$36/1000)</f>
        <v>10.875</v>
      </c>
      <c r="AN14" s="6">
        <f>(AN4+AN5)*(Vaciado!$D$36/1000)</f>
        <v>12</v>
      </c>
    </row>
    <row r="15" spans="1:40" x14ac:dyDescent="0.35">
      <c r="A15" s="10" t="str">
        <f>Vaciado!C60</f>
        <v>Soporte</v>
      </c>
      <c r="B15" s="6">
        <f>SUM(E15:P15)</f>
        <v>0</v>
      </c>
      <c r="C15" s="6">
        <f>SUM(Q15:AB15)</f>
        <v>21.000000000000004</v>
      </c>
      <c r="D15" s="6">
        <f>SUM(AC15:AN15)</f>
        <v>22.049999999999997</v>
      </c>
      <c r="E15" s="6">
        <f>(INT(E8/Vaciado!$I$60)+1)*(IF(Vaciado!$F$60&gt;Flujos!E1,0,Vaciado!$E$60))</f>
        <v>0</v>
      </c>
      <c r="F15" s="6">
        <f>(INT(F8/Vaciado!$I$60)+1)*(IF(Vaciado!$F$60&gt;Flujos!F1,0,Vaciado!$E$60))</f>
        <v>0</v>
      </c>
      <c r="G15" s="6">
        <f>(INT(G8/Vaciado!$I$60)+1)*(IF(Vaciado!$F$60&gt;Flujos!G1,0,Vaciado!$E$60))</f>
        <v>0</v>
      </c>
      <c r="H15" s="6">
        <f>(INT(H8/Vaciado!$I$60)+1)*(IF(Vaciado!$F$60&gt;Flujos!H1,0,Vaciado!$E$60))</f>
        <v>0</v>
      </c>
      <c r="I15" s="6">
        <f>(INT(I8/Vaciado!$I$60)+1)*(IF(Vaciado!$F$60&gt;Flujos!I1,0,Vaciado!$E$60))</f>
        <v>0</v>
      </c>
      <c r="J15" s="6">
        <f>(INT(J8/Vaciado!$I$60)+1)*(IF(Vaciado!$F$60&gt;Flujos!J1,0,Vaciado!$E$60))</f>
        <v>0</v>
      </c>
      <c r="K15" s="6">
        <f>(INT(K8/Vaciado!$I$60)+1)*(IF(Vaciado!$F$60&gt;Flujos!K1,0,Vaciado!$E$60))</f>
        <v>0</v>
      </c>
      <c r="L15" s="6">
        <f>(INT(L8/Vaciado!$I$60)+1)*(IF(Vaciado!$F$60&gt;Flujos!L1,0,Vaciado!$E$60))</f>
        <v>0</v>
      </c>
      <c r="M15" s="6">
        <f>(INT(M8/Vaciado!$I$60)+1)*(IF(Vaciado!$F$60&gt;Flujos!M1,0,Vaciado!$E$60))</f>
        <v>0</v>
      </c>
      <c r="N15" s="6">
        <f>(INT(N8/Vaciado!$I$60)+1)*(IF(Vaciado!$F$60&gt;Flujos!N1,0,Vaciado!$E$60))</f>
        <v>0</v>
      </c>
      <c r="O15" s="6">
        <f>(INT(O8/Vaciado!$I$60)+1)*(IF(Vaciado!$F$60&gt;Flujos!O1,0,Vaciado!$E$60))</f>
        <v>0</v>
      </c>
      <c r="P15" s="6">
        <f>(INT(P8/Vaciado!$I$60)+1)*(IF(Vaciado!$F$60&gt;Flujos!P1,0,Vaciado!$E$60))</f>
        <v>0</v>
      </c>
      <c r="Q15" s="6">
        <f>(INT(Q8/Vaciado!$I$60)+1)*(IF(Vaciado!$F$60&gt;Flujos!Q1,0,(Vaciado!$E$60*(1+Vaciado!$G$60))))</f>
        <v>1.7500000000000002</v>
      </c>
      <c r="R15" s="6">
        <f>(INT(R8/Vaciado!$I$60)+1)*(IF(Vaciado!$F$60&gt;Flujos!R1,0,(Vaciado!$E$60*(1+Vaciado!$G$60))))</f>
        <v>1.7500000000000002</v>
      </c>
      <c r="S15" s="6">
        <f>(INT(S8/Vaciado!$I$60)+1)*(IF(Vaciado!$F$60&gt;Flujos!S1,0,(Vaciado!$E$60*(1+Vaciado!$G$60))))</f>
        <v>1.7500000000000002</v>
      </c>
      <c r="T15" s="6">
        <f>(INT(T8/Vaciado!$I$60)+1)*(IF(Vaciado!$F$60&gt;Flujos!T1,0,(Vaciado!$E$60*(1+Vaciado!$G$60))))</f>
        <v>1.7500000000000002</v>
      </c>
      <c r="U15" s="6">
        <f>(INT(U8/Vaciado!$I$60)+1)*(IF(Vaciado!$F$60&gt;Flujos!U1,0,(Vaciado!$E$60*(1+Vaciado!$G$60))))</f>
        <v>1.7500000000000002</v>
      </c>
      <c r="V15" s="6">
        <f>(INT(V8/Vaciado!$I$60)+1)*(IF(Vaciado!$F$60&gt;Flujos!V1,0,(Vaciado!$E$60*(1+Vaciado!$G$60))))</f>
        <v>1.7500000000000002</v>
      </c>
      <c r="W15" s="6">
        <f>(INT(W8/Vaciado!$I$60)+1)*(IF(Vaciado!$F$60&gt;Flujos!W1,0,(Vaciado!$E$60*(1+Vaciado!$G$60))))</f>
        <v>1.7500000000000002</v>
      </c>
      <c r="X15" s="6">
        <f>(INT(X8/Vaciado!$I$60)+1)*(IF(Vaciado!$F$60&gt;Flujos!X1,0,(Vaciado!$E$60*(1+Vaciado!$G$60))))</f>
        <v>1.7500000000000002</v>
      </c>
      <c r="Y15" s="6">
        <f>(INT(Y8/Vaciado!$I$60)+1)*(IF(Vaciado!$F$60&gt;Flujos!Y1,0,(Vaciado!$E$60*(1+Vaciado!$G$60))))</f>
        <v>1.7500000000000002</v>
      </c>
      <c r="Z15" s="6">
        <f>(INT(Z8/Vaciado!$I$60)+1)*(IF(Vaciado!$F$60&gt;Flujos!Z1,0,(Vaciado!$E$60*(1+Vaciado!$G$60))))</f>
        <v>1.7500000000000002</v>
      </c>
      <c r="AA15" s="6">
        <f>(INT(AA8/Vaciado!$I$60)+1)*(IF(Vaciado!$F$60&gt;Flujos!AA1,0,(Vaciado!$E$60*(1+Vaciado!$G$60))))</f>
        <v>1.7500000000000002</v>
      </c>
      <c r="AB15" s="6">
        <f>(INT(AB8/Vaciado!$I$60)+1)*(IF(Vaciado!$F$60&gt;Flujos!AB1,0,(Vaciado!$E$60*(1+Vaciado!$G$60))))</f>
        <v>1.7500000000000002</v>
      </c>
      <c r="AC15" s="6">
        <f>(INT(AC8/Vaciado!$I$60)+1)*(IF(Vaciado!$F$60&gt;Flujos!AC1,0,(Vaciado!$E$60*((1+Vaciado!$G$60)^2))))</f>
        <v>1.8375000000000001</v>
      </c>
      <c r="AD15" s="6">
        <f>(INT(AD8/Vaciado!$I$60)+1)*(IF(Vaciado!$F$60&gt;Flujos!AD1,0,(Vaciado!$E$60*((1+Vaciado!$G$60)^2))))</f>
        <v>1.8375000000000001</v>
      </c>
      <c r="AE15" s="6">
        <f>(INT(AE8/Vaciado!$I$60)+1)*(IF(Vaciado!$F$60&gt;Flujos!AE1,0,(Vaciado!$E$60*((1+Vaciado!$G$60)^2))))</f>
        <v>1.8375000000000001</v>
      </c>
      <c r="AF15" s="6">
        <f>(INT(AF8/Vaciado!$I$60)+1)*(IF(Vaciado!$F$60&gt;Flujos!AF1,0,(Vaciado!$E$60*((1+Vaciado!$G$60)^2))))</f>
        <v>1.8375000000000001</v>
      </c>
      <c r="AG15" s="6">
        <f>(INT(AG8/Vaciado!$I$60)+1)*(IF(Vaciado!$F$60&gt;Flujos!AG1,0,(Vaciado!$E$60*((1+Vaciado!$G$60)^2))))</f>
        <v>1.8375000000000001</v>
      </c>
      <c r="AH15" s="6">
        <f>(INT(AH8/Vaciado!$I$60)+1)*(IF(Vaciado!$F$60&gt;Flujos!AH1,0,(Vaciado!$E$60*((1+Vaciado!$G$60)^2))))</f>
        <v>1.8375000000000001</v>
      </c>
      <c r="AI15" s="6">
        <f>(INT(AI8/Vaciado!$I$60)+1)*(IF(Vaciado!$F$60&gt;Flujos!AI1,0,(Vaciado!$E$60*((1+Vaciado!$G$60)^2))))</f>
        <v>1.8375000000000001</v>
      </c>
      <c r="AJ15" s="6">
        <f>(INT(AJ8/Vaciado!$I$60)+1)*(IF(Vaciado!$F$60&gt;Flujos!AJ1,0,(Vaciado!$E$60*((1+Vaciado!$G$60)^2))))</f>
        <v>1.8375000000000001</v>
      </c>
      <c r="AK15" s="6">
        <f>(INT(AK8/Vaciado!$I$60)+1)*(IF(Vaciado!$F$60&gt;Flujos!AK1,0,(Vaciado!$E$60*((1+Vaciado!$G$60)^2))))</f>
        <v>1.8375000000000001</v>
      </c>
      <c r="AL15" s="6">
        <f>(INT(AL8/Vaciado!$I$60)+1)*(IF(Vaciado!$F$60&gt;Flujos!AL1,0,(Vaciado!$E$60*((1+Vaciado!$G$60)^2))))</f>
        <v>1.8375000000000001</v>
      </c>
      <c r="AM15" s="6">
        <f>(INT(AM8/Vaciado!$I$60)+1)*(IF(Vaciado!$F$60&gt;Flujos!AM1,0,(Vaciado!$E$60*((1+Vaciado!$G$60)^2))))</f>
        <v>1.8375000000000001</v>
      </c>
      <c r="AN15" s="6">
        <f>(INT(AN8/Vaciado!$I$60)+1)*(IF(Vaciado!$F$60&gt;Flujos!AN1,0,(Vaciado!$E$60*((1+Vaciado!$G$60)^2))))</f>
        <v>1.8375000000000001</v>
      </c>
    </row>
    <row r="16" spans="1:40" x14ac:dyDescent="0.35">
      <c r="A16" s="10" t="str">
        <f>Vaciado!C61</f>
        <v>Operador</v>
      </c>
      <c r="B16" s="6">
        <f>SUM(E16:P16)</f>
        <v>13.33333333333333</v>
      </c>
      <c r="C16" s="6">
        <f>SUM(Q16:AB16)</f>
        <v>13.999999999999998</v>
      </c>
      <c r="D16" s="6">
        <f>SUM(AC16:AN16)</f>
        <v>14.699999999999998</v>
      </c>
      <c r="E16" s="6">
        <f>(INT(E8/Vaciado!$I$61)+1)*(IF(Vaciado!$F$61&gt;Flujos!E1,0,Vaciado!$E$61))</f>
        <v>1.1111111111111112</v>
      </c>
      <c r="F16" s="6">
        <f>(INT(F8/Vaciado!$I$61)+1)*(IF(Vaciado!$F$61&gt;Flujos!F1,0,Vaciado!$E$61))</f>
        <v>1.1111111111111112</v>
      </c>
      <c r="G16" s="6">
        <f>(INT(G8/Vaciado!$I$61)+1)*(IF(Vaciado!$F$61&gt;Flujos!G1,0,Vaciado!$E$61))</f>
        <v>1.1111111111111112</v>
      </c>
      <c r="H16" s="6">
        <f>(INT(H8/Vaciado!$I$61)+1)*(IF(Vaciado!$F$61&gt;Flujos!H1,0,Vaciado!$E$61))</f>
        <v>1.1111111111111112</v>
      </c>
      <c r="I16" s="6">
        <f>(INT(I8/Vaciado!$I$61)+1)*(IF(Vaciado!$F$61&gt;Flujos!I1,0,Vaciado!$E$61))</f>
        <v>1.1111111111111112</v>
      </c>
      <c r="J16" s="6">
        <f>(INT(J8/Vaciado!$I$61)+1)*(IF(Vaciado!$F$61&gt;Flujos!J1,0,Vaciado!$E$61))</f>
        <v>1.1111111111111112</v>
      </c>
      <c r="K16" s="6">
        <f>(INT(K8/Vaciado!$I$61)+1)*(IF(Vaciado!$F$61&gt;Flujos!K1,0,Vaciado!$E$61))</f>
        <v>1.1111111111111112</v>
      </c>
      <c r="L16" s="6">
        <f>(INT(L8/Vaciado!$I$61)+1)*(IF(Vaciado!$F$61&gt;Flujos!L1,0,Vaciado!$E$61))</f>
        <v>1.1111111111111112</v>
      </c>
      <c r="M16" s="6">
        <f>(INT(M8/Vaciado!$I$61)+1)*(IF(Vaciado!$F$61&gt;Flujos!M1,0,Vaciado!$E$61))</f>
        <v>1.1111111111111112</v>
      </c>
      <c r="N16" s="6">
        <f>(INT(N8/Vaciado!$I$61)+1)*(IF(Vaciado!$F$61&gt;Flujos!N1,0,Vaciado!$E$61))</f>
        <v>1.1111111111111112</v>
      </c>
      <c r="O16" s="6">
        <f>(INT(O8/Vaciado!$I$61)+1)*(IF(Vaciado!$F$61&gt;Flujos!O1,0,Vaciado!$E$61))</f>
        <v>1.1111111111111112</v>
      </c>
      <c r="P16" s="6">
        <f>(INT(P8/Vaciado!$I$61)+1)*(IF(Vaciado!$F$61&gt;Flujos!P1,0,Vaciado!$E$61))</f>
        <v>1.1111111111111112</v>
      </c>
      <c r="Q16" s="6">
        <f>(INT(Q8/Vaciado!$I$61)+1)*(IF(Vaciado!$F$61&gt;Flujos!Q1,0,(Vaciado!$E$61*(1+Vaciado!$G$61))))</f>
        <v>1.1666666666666667</v>
      </c>
      <c r="R16" s="6">
        <f>(INT(R8/Vaciado!$I$61)+1)*(IF(Vaciado!$F$61&gt;Flujos!R1,0,(Vaciado!$E$61*(1+Vaciado!$G$61))))</f>
        <v>1.1666666666666667</v>
      </c>
      <c r="S16" s="6">
        <f>(INT(S8/Vaciado!$I$61)+1)*(IF(Vaciado!$F$61&gt;Flujos!S1,0,(Vaciado!$E$61*(1+Vaciado!$G$61))))</f>
        <v>1.1666666666666667</v>
      </c>
      <c r="T16" s="6">
        <f>(INT(T8/Vaciado!$I$61)+1)*(IF(Vaciado!$F$61&gt;Flujos!T1,0,(Vaciado!$E$61*(1+Vaciado!$G$61))))</f>
        <v>1.1666666666666667</v>
      </c>
      <c r="U16" s="6">
        <f>(INT(U8/Vaciado!$I$61)+1)*(IF(Vaciado!$F$61&gt;Flujos!U1,0,(Vaciado!$E$61*(1+Vaciado!$G$61))))</f>
        <v>1.1666666666666667</v>
      </c>
      <c r="V16" s="6">
        <f>(INT(V8/Vaciado!$I$61)+1)*(IF(Vaciado!$F$61&gt;Flujos!V1,0,(Vaciado!$E$61*(1+Vaciado!$G$61))))</f>
        <v>1.1666666666666667</v>
      </c>
      <c r="W16" s="6">
        <f>(INT(W8/Vaciado!$I$61)+1)*(IF(Vaciado!$F$61&gt;Flujos!W1,0,(Vaciado!$E$61*(1+Vaciado!$G$61))))</f>
        <v>1.1666666666666667</v>
      </c>
      <c r="X16" s="6">
        <f>(INT(X8/Vaciado!$I$61)+1)*(IF(Vaciado!$F$61&gt;Flujos!X1,0,(Vaciado!$E$61*(1+Vaciado!$G$61))))</f>
        <v>1.1666666666666667</v>
      </c>
      <c r="Y16" s="6">
        <f>(INT(Y8/Vaciado!$I$61)+1)*(IF(Vaciado!$F$61&gt;Flujos!Y1,0,(Vaciado!$E$61*(1+Vaciado!$G$61))))</f>
        <v>1.1666666666666667</v>
      </c>
      <c r="Z16" s="6">
        <f>(INT(Z8/Vaciado!$I$61)+1)*(IF(Vaciado!$F$61&gt;Flujos!Z1,0,(Vaciado!$E$61*(1+Vaciado!$G$61))))</f>
        <v>1.1666666666666667</v>
      </c>
      <c r="AA16" s="6">
        <f>(INT(AA8/Vaciado!$I$61)+1)*(IF(Vaciado!$F$61&gt;Flujos!AA1,0,(Vaciado!$E$61*(1+Vaciado!$G$61))))</f>
        <v>1.1666666666666667</v>
      </c>
      <c r="AB16" s="6">
        <f>(INT(AB8/Vaciado!$I$61)+1)*(IF(Vaciado!$F$61&gt;Flujos!AB1,0,(Vaciado!$E$61*(1+Vaciado!$G$61))))</f>
        <v>1.1666666666666667</v>
      </c>
      <c r="AC16" s="6">
        <f>(INT(AC8/Vaciado!$I$61)+1)*(IF(Vaciado!$F$61&gt;Flujos!AC1,0,(Vaciado!$E$61*((1+Vaciado!$G$61)^2))))</f>
        <v>1.2250000000000001</v>
      </c>
      <c r="AD16" s="6">
        <f>(INT(AD8/Vaciado!$I$61)+1)*(IF(Vaciado!$F$61&gt;Flujos!AD1,0,(Vaciado!$E$61*((1+Vaciado!$G$61)^2))))</f>
        <v>1.2250000000000001</v>
      </c>
      <c r="AE16" s="6">
        <f>(INT(AE8/Vaciado!$I$61)+1)*(IF(Vaciado!$F$61&gt;Flujos!AE1,0,(Vaciado!$E$61*((1+Vaciado!$G$61)^2))))</f>
        <v>1.2250000000000001</v>
      </c>
      <c r="AF16" s="6">
        <f>(INT(AF8/Vaciado!$I$61)+1)*(IF(Vaciado!$F$61&gt;Flujos!AF1,0,(Vaciado!$E$61*((1+Vaciado!$G$61)^2))))</f>
        <v>1.2250000000000001</v>
      </c>
      <c r="AG16" s="6">
        <f>(INT(AG8/Vaciado!$I$61)+1)*(IF(Vaciado!$F$61&gt;Flujos!AG1,0,(Vaciado!$E$61*((1+Vaciado!$G$61)^2))))</f>
        <v>1.2250000000000001</v>
      </c>
      <c r="AH16" s="6">
        <f>(INT(AH8/Vaciado!$I$61)+1)*(IF(Vaciado!$F$61&gt;Flujos!AH1,0,(Vaciado!$E$61*((1+Vaciado!$G$61)^2))))</f>
        <v>1.2250000000000001</v>
      </c>
      <c r="AI16" s="6">
        <f>(INT(AI8/Vaciado!$I$61)+1)*(IF(Vaciado!$F$61&gt;Flujos!AI1,0,(Vaciado!$E$61*((1+Vaciado!$G$61)^2))))</f>
        <v>1.2250000000000001</v>
      </c>
      <c r="AJ16" s="6">
        <f>(INT(AJ8/Vaciado!$I$61)+1)*(IF(Vaciado!$F$61&gt;Flujos!AJ1,0,(Vaciado!$E$61*((1+Vaciado!$G$61)^2))))</f>
        <v>1.2250000000000001</v>
      </c>
      <c r="AK16" s="6">
        <f>(INT(AK8/Vaciado!$I$61)+1)*(IF(Vaciado!$F$61&gt;Flujos!AK1,0,(Vaciado!$E$61*((1+Vaciado!$G$61)^2))))</f>
        <v>1.2250000000000001</v>
      </c>
      <c r="AL16" s="6">
        <f>(INT(AL8/Vaciado!$I$61)+1)*(IF(Vaciado!$F$61&gt;Flujos!AL1,0,(Vaciado!$E$61*((1+Vaciado!$G$61)^2))))</f>
        <v>1.2250000000000001</v>
      </c>
      <c r="AM16" s="6">
        <f>(INT(AM8/Vaciado!$I$61)+1)*(IF(Vaciado!$F$61&gt;Flujos!AM1,0,(Vaciado!$E$61*((1+Vaciado!$G$61)^2))))</f>
        <v>1.2250000000000001</v>
      </c>
      <c r="AN16" s="6">
        <f>(INT(AN8/Vaciado!$I$61)+1)*(IF(Vaciado!$F$61&gt;Flujos!AN1,0,(Vaciado!$E$61*((1+Vaciado!$G$61)^2))))</f>
        <v>1.2250000000000001</v>
      </c>
    </row>
    <row r="17" spans="1:40" x14ac:dyDescent="0.35">
      <c r="A17" s="10" t="str">
        <f>Vaciado!C62</f>
        <v>Expertos Revisión</v>
      </c>
      <c r="B17" s="6">
        <f>SUM(E17:P17)</f>
        <v>5.5555555555555554</v>
      </c>
      <c r="C17" s="6">
        <f>SUM(Q17:AB17)</f>
        <v>17.5</v>
      </c>
      <c r="D17" s="6">
        <f>SUM(AC17:AN17)</f>
        <v>18.375</v>
      </c>
      <c r="E17" s="6">
        <f>IF(Vaciado!$F$62&gt;Flujos!E1,0,Vaciado!$E$62)</f>
        <v>0</v>
      </c>
      <c r="F17" s="6">
        <f>IF(Vaciado!$F$62&gt;Flujos!F1,0,Vaciado!$E$62)</f>
        <v>0</v>
      </c>
      <c r="G17" s="6">
        <f>IF(Vaciado!$F$62&gt;Flujos!G1,0,Vaciado!$E$62)</f>
        <v>0</v>
      </c>
      <c r="H17" s="6">
        <f>IF(Vaciado!$F$62&gt;Flujos!H1,0,Vaciado!$E$62)</f>
        <v>0</v>
      </c>
      <c r="I17" s="6">
        <f>IF(Vaciado!$F$62&gt;Flujos!I1,0,Vaciado!$E$62)</f>
        <v>0</v>
      </c>
      <c r="J17" s="6">
        <f>IF(Vaciado!$F$62&gt;Flujos!J1,0,Vaciado!$E$62)</f>
        <v>0</v>
      </c>
      <c r="K17" s="6">
        <f>IF(Vaciado!$F$62&gt;Flujos!K1,0,Vaciado!$E$62)</f>
        <v>0</v>
      </c>
      <c r="L17" s="6">
        <f>IF(Vaciado!$F$62&gt;Flujos!L1,0,Vaciado!$E$62)</f>
        <v>0</v>
      </c>
      <c r="M17" s="6">
        <f>IF(Vaciado!$F$62&gt;Flujos!M1,0,Vaciado!$E$62)</f>
        <v>1.3888888888888888</v>
      </c>
      <c r="N17" s="6">
        <f>IF(Vaciado!$F$62&gt;Flujos!N1,0,Vaciado!$E$62)</f>
        <v>1.3888888888888888</v>
      </c>
      <c r="O17" s="6">
        <f>IF(Vaciado!$F$62&gt;Flujos!O1,0,Vaciado!$E$62)</f>
        <v>1.3888888888888888</v>
      </c>
      <c r="P17" s="6">
        <f>IF(Vaciado!$F$62&gt;Flujos!P1,0,Vaciado!$E$62)</f>
        <v>1.3888888888888888</v>
      </c>
      <c r="Q17" s="6">
        <f>IF(Vaciado!$F$62&gt;Flujos!Q1,0,(Vaciado!$E$62*(1+Vaciado!$G$62)))</f>
        <v>1.4583333333333333</v>
      </c>
      <c r="R17" s="6">
        <f>IF(Vaciado!$F$62&gt;Flujos!R1,0,(Vaciado!$E$62*(1+Vaciado!$G$62)))</f>
        <v>1.4583333333333333</v>
      </c>
      <c r="S17" s="6">
        <f>IF(Vaciado!$F$62&gt;Flujos!S1,0,(Vaciado!$E$62*(1+Vaciado!$G$62)))</f>
        <v>1.4583333333333333</v>
      </c>
      <c r="T17" s="6">
        <f>IF(Vaciado!$F$62&gt;Flujos!T1,0,(Vaciado!$E$62*(1+Vaciado!$G$62)))</f>
        <v>1.4583333333333333</v>
      </c>
      <c r="U17" s="6">
        <f>IF(Vaciado!$F$62&gt;Flujos!U1,0,(Vaciado!$E$62*(1+Vaciado!$G$62)))</f>
        <v>1.4583333333333333</v>
      </c>
      <c r="V17" s="6">
        <f>IF(Vaciado!$F$62&gt;Flujos!V1,0,(Vaciado!$E$62*(1+Vaciado!$G$62)))</f>
        <v>1.4583333333333333</v>
      </c>
      <c r="W17" s="6">
        <f>IF(Vaciado!$F$62&gt;Flujos!W1,0,(Vaciado!$E$62*(1+Vaciado!$G$62)))</f>
        <v>1.4583333333333333</v>
      </c>
      <c r="X17" s="6">
        <f>IF(Vaciado!$F$62&gt;Flujos!X1,0,(Vaciado!$E$62*(1+Vaciado!$G$62)))</f>
        <v>1.4583333333333333</v>
      </c>
      <c r="Y17" s="6">
        <f>IF(Vaciado!$F$62&gt;Flujos!Y1,0,(Vaciado!$E$62*(1+Vaciado!$G$62)))</f>
        <v>1.4583333333333333</v>
      </c>
      <c r="Z17" s="6">
        <f>IF(Vaciado!$F$62&gt;Flujos!Z1,0,(Vaciado!$E$62*(1+Vaciado!$G$62)))</f>
        <v>1.4583333333333333</v>
      </c>
      <c r="AA17" s="6">
        <f>IF(Vaciado!$F$62&gt;Flujos!AA1,0,(Vaciado!$E$62*(1+Vaciado!$G$62)))</f>
        <v>1.4583333333333333</v>
      </c>
      <c r="AB17" s="6">
        <f>IF(Vaciado!$F$62&gt;Flujos!AB1,0,(Vaciado!$E$62*(1+Vaciado!$G$62)))</f>
        <v>1.4583333333333333</v>
      </c>
      <c r="AC17" s="6">
        <f>IF(Vaciado!$F$62&gt;Flujos!AC1,0,(Vaciado!$E$62*((1+Vaciado!$G$62)^2)))</f>
        <v>1.53125</v>
      </c>
      <c r="AD17" s="6">
        <f>IF(Vaciado!$F$62&gt;Flujos!AD1,0,(Vaciado!$E$62*((1+Vaciado!$G$62)^2)))</f>
        <v>1.53125</v>
      </c>
      <c r="AE17" s="6">
        <f>IF(Vaciado!$F$62&gt;Flujos!AE1,0,(Vaciado!$E$62*((1+Vaciado!$G$62)^2)))</f>
        <v>1.53125</v>
      </c>
      <c r="AF17" s="6">
        <f>IF(Vaciado!$F$62&gt;Flujos!AF1,0,(Vaciado!$E$62*((1+Vaciado!$G$62)^2)))</f>
        <v>1.53125</v>
      </c>
      <c r="AG17" s="6">
        <f>IF(Vaciado!$F$62&gt;Flujos!AG1,0,(Vaciado!$E$62*((1+Vaciado!$G$62)^2)))</f>
        <v>1.53125</v>
      </c>
      <c r="AH17" s="6">
        <f>IF(Vaciado!$F$62&gt;Flujos!AH1,0,(Vaciado!$E$62*((1+Vaciado!$G$62)^2)))</f>
        <v>1.53125</v>
      </c>
      <c r="AI17" s="6">
        <f>IF(Vaciado!$F$62&gt;Flujos!AI1,0,(Vaciado!$E$62*((1+Vaciado!$G$62)^2)))</f>
        <v>1.53125</v>
      </c>
      <c r="AJ17" s="6">
        <f>IF(Vaciado!$F$62&gt;Flujos!AJ1,0,(Vaciado!$E$62*((1+Vaciado!$G$62)^2)))</f>
        <v>1.53125</v>
      </c>
      <c r="AK17" s="6">
        <f>IF(Vaciado!$F$62&gt;Flujos!AK1,0,(Vaciado!$E$62*((1+Vaciado!$G$62)^2)))</f>
        <v>1.53125</v>
      </c>
      <c r="AL17" s="6">
        <f>IF(Vaciado!$F$62&gt;Flujos!AL1,0,(Vaciado!$E$62*((1+Vaciado!$G$62)^2)))</f>
        <v>1.53125</v>
      </c>
      <c r="AM17" s="6">
        <f>IF(Vaciado!$F$62&gt;Flujos!AM1,0,(Vaciado!$E$62*((1+Vaciado!$G$62)^2)))</f>
        <v>1.53125</v>
      </c>
      <c r="AN17" s="6">
        <f>IF(Vaciado!$F$62&gt;Flujos!AN1,0,(Vaciado!$E$62*((1+Vaciado!$G$62)^2)))</f>
        <v>1.53125</v>
      </c>
    </row>
    <row r="18" spans="1:40" x14ac:dyDescent="0.35">
      <c r="A18" s="10" t="str">
        <f>Vaciado!C69</f>
        <v>Comisión Operador</v>
      </c>
      <c r="B18" s="6">
        <f>SUM(E18:P18)</f>
        <v>15.645643136843578</v>
      </c>
      <c r="C18" s="6">
        <f>SUM(Q18:AB18)</f>
        <v>33.648210334941609</v>
      </c>
      <c r="D18" s="6">
        <f>SUM(AC18:AN18)</f>
        <v>51.603446717012794</v>
      </c>
      <c r="E18" s="6">
        <f>IF(Vaciado!$F$61&gt;Flujos!E1,0,P.Comercial!H52*Vaciado!$D$69)</f>
        <v>1.2333333333333332E-2</v>
      </c>
      <c r="F18" s="6">
        <f>IF(Vaciado!$F$61&gt;Flujos!F1,0,P.Comercial!I52*Vaciado!$D$69)</f>
        <v>0</v>
      </c>
      <c r="G18" s="6">
        <f>IF(Vaciado!$F$61&gt;Flujos!G1,0,P.Comercial!J52*Vaciado!$D$69)</f>
        <v>5.3444444444444454E-2</v>
      </c>
      <c r="H18" s="6">
        <f>IF(Vaciado!$F$61&gt;Flujos!H1,0,P.Comercial!K52*Vaciado!$D$69)</f>
        <v>0.67422222222222217</v>
      </c>
      <c r="I18" s="6">
        <f>IF(Vaciado!$F$61&gt;Flujos!I1,0,P.Comercial!L52*Vaciado!$D$69)</f>
        <v>1.1264444444444446</v>
      </c>
      <c r="J18" s="6">
        <f>IF(Vaciado!$F$61&gt;Flujos!J1,0,P.Comercial!M52*Vaciado!$D$69)</f>
        <v>1.1264444444444446</v>
      </c>
      <c r="K18" s="6">
        <f>IF(Vaciado!$F$61&gt;Flujos!K1,0,P.Comercial!N52*Vaciado!$D$69)</f>
        <v>2.0391111111111111</v>
      </c>
      <c r="L18" s="6">
        <f>IF(Vaciado!$F$61&gt;Flujos!L1,0,P.Comercial!O52*Vaciado!$D$69)</f>
        <v>2.0884444444444443</v>
      </c>
      <c r="M18" s="6">
        <f>IF(Vaciado!$F$61&gt;Flujos!M1,0,P.Comercial!P52*Vaciado!$D$69)</f>
        <v>2.0884444444444443</v>
      </c>
      <c r="N18" s="6">
        <f>IF(Vaciado!$F$61&gt;Flujos!N1,0,P.Comercial!Q52*Vaciado!$D$69)</f>
        <v>2.1377777777777776</v>
      </c>
      <c r="O18" s="6">
        <f>IF(Vaciado!$F$61&gt;Flujos!O1,0,P.Comercial!R52*Vaciado!$D$69)</f>
        <v>2.1377777777777776</v>
      </c>
      <c r="P18" s="6">
        <f>IF(Vaciado!$F$61&gt;Flujos!P1,0,P.Comercial!S52*Vaciado!$D$69)</f>
        <v>2.1611986923991333</v>
      </c>
      <c r="Q18" s="6">
        <f>IF(Vaciado!$F$61&gt;Flujos!Q1,0,P.Comercial!T52*Vaciado!$D$69)</f>
        <v>2.1377777777777776</v>
      </c>
      <c r="R18" s="6">
        <f>IF(Vaciado!$F$61&gt;Flujos!R1,0,P.Comercial!U52*Vaciado!$D$69)</f>
        <v>2.1846196070204882</v>
      </c>
      <c r="S18" s="6">
        <f>IF(Vaciado!$F$61&gt;Flujos!S1,0,P.Comercial!V52*Vaciado!$D$69)</f>
        <v>2.3017241801272639</v>
      </c>
      <c r="T18" s="6">
        <f>IF(Vaciado!$F$61&gt;Flujos!T1,0,P.Comercial!W52*Vaciado!$D$69)</f>
        <v>2.5827751555835254</v>
      </c>
      <c r="U18" s="6">
        <f>IF(Vaciado!$F$61&gt;Flujos!U1,0,P.Comercial!X52*Vaciado!$D$69)</f>
        <v>2.5951084889168592</v>
      </c>
      <c r="V18" s="6">
        <f>IF(Vaciado!$F$61&gt;Flujos!V1,0,P.Comercial!Y52*Vaciado!$D$69)</f>
        <v>2.8650718830850987</v>
      </c>
      <c r="W18" s="6">
        <f>IF(Vaciado!$F$61&gt;Flujos!W1,0,P.Comercial!Z52*Vaciado!$D$69)</f>
        <v>2.9710888749038524</v>
      </c>
      <c r="X18" s="6">
        <f>IF(Vaciado!$F$61&gt;Flujos!X1,0,P.Comercial!AA52*Vaciado!$D$69)</f>
        <v>2.9834222082371862</v>
      </c>
      <c r="Y18" s="6">
        <f>IF(Vaciado!$F$61&gt;Flujos!Y1,0,P.Comercial!AB52*Vaciado!$D$69)</f>
        <v>3.1428836445003845</v>
      </c>
      <c r="Z18" s="6">
        <f>IF(Vaciado!$F$61&gt;Flujos!Z1,0,P.Comercial!AC52*Vaciado!$D$69)</f>
        <v>3.208661422278162</v>
      </c>
      <c r="AA18" s="6">
        <f>IF(Vaciado!$F$61&gt;Flujos!AA1,0,P.Comercial!AD52*Vaciado!$D$69)</f>
        <v>3.2867725333892732</v>
      </c>
      <c r="AB18" s="6">
        <f>IF(Vaciado!$F$61&gt;Flujos!AB1,0,P.Comercial!AE52*Vaciado!$D$69)</f>
        <v>3.3883045591217398</v>
      </c>
      <c r="AC18" s="6">
        <f>IF(Vaciado!$F$61&gt;Flujos!AC1,0,P.Comercial!AF52*Vaciado!$D$69)</f>
        <v>3.3648836445003845</v>
      </c>
      <c r="AD18" s="6">
        <f>IF(Vaciado!$F$61&gt;Flujos!AD1,0,P.Comercial!AG52*Vaciado!$D$69)</f>
        <v>3.4117254737430951</v>
      </c>
      <c r="AE18" s="6">
        <f>IF(Vaciado!$F$61&gt;Flujos!AE1,0,P.Comercial!AH52*Vaciado!$D$69)</f>
        <v>3.5411633801832041</v>
      </c>
      <c r="AF18" s="6">
        <f>IF(Vaciado!$F$61&gt;Flujos!AF1,0,P.Comercial!AI52*Vaciado!$D$69)</f>
        <v>3.8579686035941543</v>
      </c>
      <c r="AG18" s="6">
        <f>IF(Vaciado!$F$61&gt;Flujos!AG1,0,P.Comercial!AJ52*Vaciado!$D$69)</f>
        <v>3.8937228515488425</v>
      </c>
      <c r="AH18" s="6">
        <f>IF(Vaciado!$F$61&gt;Flujos!AH1,0,P.Comercial!AK52*Vaciado!$D$69)</f>
        <v>4.1994404936717711</v>
      </c>
      <c r="AI18" s="6">
        <f>IF(Vaciado!$F$61&gt;Flujos!AI1,0,P.Comercial!AL52*Vaciado!$D$69)</f>
        <v>4.3823228445563247</v>
      </c>
      <c r="AJ18" s="6">
        <f>IF(Vaciado!$F$61&gt;Flujos!AJ1,0,P.Comercial!AM52*Vaciado!$D$69)</f>
        <v>4.530696699531501</v>
      </c>
      <c r="AK18" s="6">
        <f>IF(Vaciado!$F$61&gt;Flujos!AK1,0,P.Comercial!AN52*Vaciado!$D$69)</f>
        <v>4.7850875463254319</v>
      </c>
      <c r="AL18" s="6">
        <f>IF(Vaciado!$F$61&gt;Flujos!AL1,0,P.Comercial!AO52*Vaciado!$D$69)</f>
        <v>4.9815489825886301</v>
      </c>
      <c r="AM18" s="6">
        <f>IF(Vaciado!$F$61&gt;Flujos!AM1,0,P.Comercial!AP52*Vaciado!$D$69)</f>
        <v>5.231454863296273</v>
      </c>
      <c r="AN18" s="6">
        <f>IF(Vaciado!$F$61&gt;Flujos!AN1,0,P.Comercial!AQ52*Vaciado!$D$69)</f>
        <v>5.4234313334731841</v>
      </c>
    </row>
    <row r="19" spans="1:40" x14ac:dyDescent="0.35">
      <c r="A19" s="10" t="str">
        <f>Vaciado!C70</f>
        <v>Comisión CTO</v>
      </c>
      <c r="B19" s="6">
        <f>SUM(E19:P19)</f>
        <v>54.759750978952525</v>
      </c>
      <c r="C19" s="6">
        <f>SUM(Q19:AB19)</f>
        <v>117.76873617229563</v>
      </c>
      <c r="D19" s="6">
        <f>SUM(AC19:AN19)</f>
        <v>180.61206350954478</v>
      </c>
      <c r="E19" s="6">
        <f>IF(Vaciado!$F$58&gt;Flujos!E1,0,P.Comercial!H52*Vaciado!$D$70)</f>
        <v>4.3166666666666666E-2</v>
      </c>
      <c r="F19" s="6">
        <f>IF(Vaciado!$F$58&gt;Flujos!F1,0,P.Comercial!I52*Vaciado!$D$70)</f>
        <v>0</v>
      </c>
      <c r="G19" s="6">
        <f>IF(Vaciado!$F$58&gt;Flujos!G1,0,P.Comercial!J52*Vaciado!$D$70)</f>
        <v>0.18705555555555559</v>
      </c>
      <c r="H19" s="6">
        <f>IF(Vaciado!$F$58&gt;Flujos!H1,0,P.Comercial!K52*Vaciado!$D$70)</f>
        <v>2.359777777777778</v>
      </c>
      <c r="I19" s="6">
        <f>IF(Vaciado!$F$58&gt;Flujos!I1,0,P.Comercial!L52*Vaciado!$D$70)</f>
        <v>3.9425555555555558</v>
      </c>
      <c r="J19" s="6">
        <f>IF(Vaciado!$F$58&gt;Flujos!J1,0,P.Comercial!M52*Vaciado!$D$70)</f>
        <v>3.9425555555555558</v>
      </c>
      <c r="K19" s="6">
        <f>IF(Vaciado!$F$58&gt;Flujos!K1,0,P.Comercial!N52*Vaciado!$D$70)</f>
        <v>7.1368888888888895</v>
      </c>
      <c r="L19" s="6">
        <f>IF(Vaciado!$F$58&gt;Flujos!L1,0,P.Comercial!O52*Vaciado!$D$70)</f>
        <v>7.3095555555555558</v>
      </c>
      <c r="M19" s="6">
        <f>IF(Vaciado!$F$58&gt;Flujos!M1,0,P.Comercial!P52*Vaciado!$D$70)</f>
        <v>7.3095555555555558</v>
      </c>
      <c r="N19" s="6">
        <f>IF(Vaciado!$F$58&gt;Flujos!N1,0,P.Comercial!Q52*Vaciado!$D$70)</f>
        <v>7.482222222222223</v>
      </c>
      <c r="O19" s="6">
        <f>IF(Vaciado!$F$58&gt;Flujos!O1,0,P.Comercial!R52*Vaciado!$D$70)</f>
        <v>7.482222222222223</v>
      </c>
      <c r="P19" s="6">
        <f>IF(Vaciado!$F$58&gt;Flujos!P1,0,P.Comercial!S52*Vaciado!$D$70)</f>
        <v>7.564195423396967</v>
      </c>
      <c r="Q19" s="6">
        <f>IF(Vaciado!$F$58&gt;Flujos!Q1,0,P.Comercial!T52*Vaciado!$D$70)</f>
        <v>7.482222222222223</v>
      </c>
      <c r="R19" s="6">
        <f>IF(Vaciado!$F$58&gt;Flujos!R1,0,P.Comercial!U52*Vaciado!$D$70)</f>
        <v>7.6461686245717084</v>
      </c>
      <c r="S19" s="6">
        <f>IF(Vaciado!$F$58&gt;Flujos!S1,0,P.Comercial!V52*Vaciado!$D$70)</f>
        <v>8.0560346304454242</v>
      </c>
      <c r="T19" s="6">
        <f>IF(Vaciado!$F$58&gt;Flujos!T1,0,P.Comercial!W52*Vaciado!$D$70)</f>
        <v>9.0397130445423404</v>
      </c>
      <c r="U19" s="6">
        <f>IF(Vaciado!$F$58&gt;Flujos!U1,0,P.Comercial!X52*Vaciado!$D$70)</f>
        <v>9.0828797112090065</v>
      </c>
      <c r="V19" s="6">
        <f>IF(Vaciado!$F$58&gt;Flujos!V1,0,P.Comercial!Y52*Vaciado!$D$70)</f>
        <v>10.027751590797847</v>
      </c>
      <c r="W19" s="6">
        <f>IF(Vaciado!$F$58&gt;Flujos!W1,0,P.Comercial!Z52*Vaciado!$D$70)</f>
        <v>10.398811062163485</v>
      </c>
      <c r="X19" s="6">
        <f>IF(Vaciado!$F$58&gt;Flujos!X1,0,P.Comercial!AA52*Vaciado!$D$70)</f>
        <v>10.441977728830151</v>
      </c>
      <c r="Y19" s="6">
        <f>IF(Vaciado!$F$58&gt;Flujos!Y1,0,P.Comercial!AB52*Vaciado!$D$70)</f>
        <v>11.000092755751346</v>
      </c>
      <c r="Z19" s="6">
        <f>IF(Vaciado!$F$58&gt;Flujos!Z1,0,P.Comercial!AC52*Vaciado!$D$70)</f>
        <v>11.230314977973567</v>
      </c>
      <c r="AA19" s="6">
        <f>IF(Vaciado!$F$58&gt;Flujos!AA1,0,P.Comercial!AD52*Vaciado!$D$70)</f>
        <v>11.503703866862457</v>
      </c>
      <c r="AB19" s="6">
        <f>IF(Vaciado!$F$58&gt;Flujos!AB1,0,P.Comercial!AE52*Vaciado!$D$70)</f>
        <v>11.859065956926091</v>
      </c>
      <c r="AC19" s="6">
        <f>IF(Vaciado!$F$58&gt;Flujos!AC1,0,P.Comercial!AF52*Vaciado!$D$70)</f>
        <v>11.777092755751346</v>
      </c>
      <c r="AD19" s="6">
        <f>IF(Vaciado!$F$58&gt;Flujos!AD1,0,P.Comercial!AG52*Vaciado!$D$70)</f>
        <v>11.941039158100834</v>
      </c>
      <c r="AE19" s="6">
        <f>IF(Vaciado!$F$58&gt;Flujos!AE1,0,P.Comercial!AH52*Vaciado!$D$70)</f>
        <v>12.394071830641215</v>
      </c>
      <c r="AF19" s="6">
        <f>IF(Vaciado!$F$58&gt;Flujos!AF1,0,P.Comercial!AI52*Vaciado!$D$70)</f>
        <v>13.502890112579541</v>
      </c>
      <c r="AG19" s="6">
        <f>IF(Vaciado!$F$58&gt;Flujos!AG1,0,P.Comercial!AJ52*Vaciado!$D$70)</f>
        <v>13.628029980420949</v>
      </c>
      <c r="AH19" s="6">
        <f>IF(Vaciado!$F$58&gt;Flujos!AH1,0,P.Comercial!AK52*Vaciado!$D$70)</f>
        <v>14.698041727851198</v>
      </c>
      <c r="AI19" s="6">
        <f>IF(Vaciado!$F$58&gt;Flujos!AI1,0,P.Comercial!AL52*Vaciado!$D$70)</f>
        <v>15.338129955947137</v>
      </c>
      <c r="AJ19" s="6">
        <f>IF(Vaciado!$F$58&gt;Flujos!AJ1,0,P.Comercial!AM52*Vaciado!$D$70)</f>
        <v>15.857438448360254</v>
      </c>
      <c r="AK19" s="6">
        <f>IF(Vaciado!$F$58&gt;Flujos!AK1,0,P.Comercial!AN52*Vaciado!$D$70)</f>
        <v>16.747806412139013</v>
      </c>
      <c r="AL19" s="6">
        <f>IF(Vaciado!$F$58&gt;Flujos!AL1,0,P.Comercial!AO52*Vaciado!$D$70)</f>
        <v>17.435421439060207</v>
      </c>
      <c r="AM19" s="6">
        <f>IF(Vaciado!$F$58&gt;Flujos!AM1,0,P.Comercial!AP52*Vaciado!$D$70)</f>
        <v>18.310092021536956</v>
      </c>
      <c r="AN19" s="6">
        <f>IF(Vaciado!$F$58&gt;Flujos!AN1,0,P.Comercial!AQ52*Vaciado!$D$70)</f>
        <v>18.982009667156145</v>
      </c>
    </row>
    <row r="20" spans="1:40" x14ac:dyDescent="0.35">
      <c r="A20" s="17" t="s">
        <v>126</v>
      </c>
      <c r="B20" s="96">
        <f>SUM(B14:B19)</f>
        <v>121.79428300468498</v>
      </c>
      <c r="C20" s="96">
        <f t="shared" ref="C20:AN20" si="6">SUM(C14:C19)</f>
        <v>268.29194650723724</v>
      </c>
      <c r="D20" s="96">
        <f t="shared" si="6"/>
        <v>389.09051022655757</v>
      </c>
      <c r="E20" s="6">
        <f t="shared" si="6"/>
        <v>1.291611111111111</v>
      </c>
      <c r="F20" s="6">
        <f t="shared" si="6"/>
        <v>1.1111111111111112</v>
      </c>
      <c r="G20" s="6">
        <f t="shared" si="6"/>
        <v>1.6016111111111111</v>
      </c>
      <c r="H20" s="6">
        <f t="shared" si="6"/>
        <v>5.0201111111111114</v>
      </c>
      <c r="I20" s="6">
        <f t="shared" si="6"/>
        <v>8.5551111111111116</v>
      </c>
      <c r="J20" s="6">
        <f t="shared" si="6"/>
        <v>8.5551111111111116</v>
      </c>
      <c r="K20" s="6">
        <f t="shared" si="6"/>
        <v>14.037111111111113</v>
      </c>
      <c r="L20" s="6">
        <f t="shared" si="6"/>
        <v>14.75911111111111</v>
      </c>
      <c r="M20" s="6">
        <f t="shared" si="6"/>
        <v>16.148</v>
      </c>
      <c r="N20" s="6">
        <f t="shared" si="6"/>
        <v>16.87</v>
      </c>
      <c r="O20" s="6">
        <f t="shared" si="6"/>
        <v>16.87</v>
      </c>
      <c r="P20" s="6">
        <f t="shared" si="6"/>
        <v>16.975394115796099</v>
      </c>
      <c r="Q20" s="6">
        <f t="shared" si="6"/>
        <v>18.745000000000001</v>
      </c>
      <c r="R20" s="6">
        <f t="shared" si="6"/>
        <v>18.955788231592198</v>
      </c>
      <c r="S20" s="6">
        <f t="shared" si="6"/>
        <v>19.48275881057269</v>
      </c>
      <c r="T20" s="6">
        <f t="shared" si="6"/>
        <v>20.747488200125865</v>
      </c>
      <c r="U20" s="6">
        <f t="shared" si="6"/>
        <v>20.927988200125867</v>
      </c>
      <c r="V20" s="6">
        <f t="shared" si="6"/>
        <v>22.267823473882945</v>
      </c>
      <c r="W20" s="6">
        <f t="shared" si="6"/>
        <v>22.869899937067338</v>
      </c>
      <c r="X20" s="6">
        <f t="shared" si="6"/>
        <v>23.05039993706734</v>
      </c>
      <c r="Y20" s="6">
        <f t="shared" si="6"/>
        <v>24.142976400251733</v>
      </c>
      <c r="Z20" s="6">
        <f t="shared" si="6"/>
        <v>24.813976400251729</v>
      </c>
      <c r="AA20" s="6">
        <f t="shared" si="6"/>
        <v>25.66547640025173</v>
      </c>
      <c r="AB20" s="6">
        <f t="shared" si="6"/>
        <v>26.62237051604783</v>
      </c>
      <c r="AC20" s="6">
        <f t="shared" si="6"/>
        <v>26.735726400251728</v>
      </c>
      <c r="AD20" s="6">
        <f t="shared" si="6"/>
        <v>26.946514631843929</v>
      </c>
      <c r="AE20" s="6">
        <f t="shared" si="6"/>
        <v>27.653985210824416</v>
      </c>
      <c r="AF20" s="6">
        <f t="shared" si="6"/>
        <v>29.204608716173695</v>
      </c>
      <c r="AG20" s="6">
        <f t="shared" si="6"/>
        <v>29.490502831969792</v>
      </c>
      <c r="AH20" s="6">
        <f t="shared" si="6"/>
        <v>31.116232221522971</v>
      </c>
      <c r="AI20" s="6">
        <f t="shared" si="6"/>
        <v>32.314202800503459</v>
      </c>
      <c r="AJ20" s="6">
        <f t="shared" si="6"/>
        <v>33.481885147891752</v>
      </c>
      <c r="AK20" s="6">
        <f t="shared" si="6"/>
        <v>35.251643958464442</v>
      </c>
      <c r="AL20" s="6">
        <f t="shared" si="6"/>
        <v>36.885720421648841</v>
      </c>
      <c r="AM20" s="6">
        <f t="shared" si="6"/>
        <v>39.010296884833224</v>
      </c>
      <c r="AN20" s="6">
        <f t="shared" si="6"/>
        <v>40.999191000629324</v>
      </c>
    </row>
    <row r="21" spans="1:40" x14ac:dyDescent="0.35">
      <c r="A21" s="10"/>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row>
    <row r="22" spans="1:40" x14ac:dyDescent="0.35">
      <c r="A22" s="10" t="str">
        <f>Vaciado!C50</f>
        <v>Viaticos y viajes:</v>
      </c>
      <c r="B22" s="6">
        <f t="shared" ref="B22:B27" si="7">SUM(E22:P22)</f>
        <v>6.6666666666666652</v>
      </c>
      <c r="C22" s="6">
        <f t="shared" ref="C22:C27" si="8">SUM(Q22:AB22)</f>
        <v>6.6666666666666652</v>
      </c>
      <c r="D22" s="6">
        <f t="shared" ref="D22:D27" si="9">SUM(AC22:AN22)</f>
        <v>6.6666666666666652</v>
      </c>
      <c r="E22" s="6">
        <f>Vaciado!$E$50</f>
        <v>0.55555555555555558</v>
      </c>
      <c r="F22" s="6">
        <f>Vaciado!$E$50</f>
        <v>0.55555555555555558</v>
      </c>
      <c r="G22" s="6">
        <f>Vaciado!$E$50</f>
        <v>0.55555555555555558</v>
      </c>
      <c r="H22" s="6">
        <f>Vaciado!$E$50</f>
        <v>0.55555555555555558</v>
      </c>
      <c r="I22" s="6">
        <f>Vaciado!$E$50</f>
        <v>0.55555555555555558</v>
      </c>
      <c r="J22" s="6">
        <f>Vaciado!$E$50</f>
        <v>0.55555555555555558</v>
      </c>
      <c r="K22" s="6">
        <f>Vaciado!$E$50</f>
        <v>0.55555555555555558</v>
      </c>
      <c r="L22" s="6">
        <f>Vaciado!$E$50</f>
        <v>0.55555555555555558</v>
      </c>
      <c r="M22" s="6">
        <f>Vaciado!$E$50</f>
        <v>0.55555555555555558</v>
      </c>
      <c r="N22" s="6">
        <f>Vaciado!$E$50</f>
        <v>0.55555555555555558</v>
      </c>
      <c r="O22" s="6">
        <f>Vaciado!$E$50</f>
        <v>0.55555555555555558</v>
      </c>
      <c r="P22" s="6">
        <f>Vaciado!$E$50</f>
        <v>0.55555555555555558</v>
      </c>
      <c r="Q22" s="6">
        <f>Vaciado!$E$50</f>
        <v>0.55555555555555558</v>
      </c>
      <c r="R22" s="6">
        <f>Vaciado!$E$50</f>
        <v>0.55555555555555558</v>
      </c>
      <c r="S22" s="6">
        <f>Vaciado!$E$50</f>
        <v>0.55555555555555558</v>
      </c>
      <c r="T22" s="6">
        <f>Vaciado!$E$50</f>
        <v>0.55555555555555558</v>
      </c>
      <c r="U22" s="6">
        <f>Vaciado!$E$50</f>
        <v>0.55555555555555558</v>
      </c>
      <c r="V22" s="6">
        <f>Vaciado!$E$50</f>
        <v>0.55555555555555558</v>
      </c>
      <c r="W22" s="6">
        <f>Vaciado!$E$50</f>
        <v>0.55555555555555558</v>
      </c>
      <c r="X22" s="6">
        <f>Vaciado!$E$50</f>
        <v>0.55555555555555558</v>
      </c>
      <c r="Y22" s="6">
        <f>Vaciado!$E$50</f>
        <v>0.55555555555555558</v>
      </c>
      <c r="Z22" s="6">
        <f>Vaciado!$E$50</f>
        <v>0.55555555555555558</v>
      </c>
      <c r="AA22" s="6">
        <f>Vaciado!$E$50</f>
        <v>0.55555555555555558</v>
      </c>
      <c r="AB22" s="6">
        <f>Vaciado!$E$50</f>
        <v>0.55555555555555558</v>
      </c>
      <c r="AC22" s="6">
        <f>Vaciado!$E$50</f>
        <v>0.55555555555555558</v>
      </c>
      <c r="AD22" s="6">
        <f>Vaciado!$E$50</f>
        <v>0.55555555555555558</v>
      </c>
      <c r="AE22" s="6">
        <f>Vaciado!$E$50</f>
        <v>0.55555555555555558</v>
      </c>
      <c r="AF22" s="6">
        <f>Vaciado!$E$50</f>
        <v>0.55555555555555558</v>
      </c>
      <c r="AG22" s="6">
        <f>Vaciado!$E$50</f>
        <v>0.55555555555555558</v>
      </c>
      <c r="AH22" s="6">
        <f>Vaciado!$E$50</f>
        <v>0.55555555555555558</v>
      </c>
      <c r="AI22" s="6">
        <f>Vaciado!$E$50</f>
        <v>0.55555555555555558</v>
      </c>
      <c r="AJ22" s="6">
        <f>Vaciado!$E$50</f>
        <v>0.55555555555555558</v>
      </c>
      <c r="AK22" s="6">
        <f>Vaciado!$E$50</f>
        <v>0.55555555555555558</v>
      </c>
      <c r="AL22" s="6">
        <f>Vaciado!$E$50</f>
        <v>0.55555555555555558</v>
      </c>
      <c r="AM22" s="6">
        <f>Vaciado!$E$50</f>
        <v>0.55555555555555558</v>
      </c>
      <c r="AN22" s="6">
        <f>Vaciado!$E$50</f>
        <v>0.55555555555555558</v>
      </c>
    </row>
    <row r="23" spans="1:40" x14ac:dyDescent="0.35">
      <c r="A23" s="10" t="str">
        <f>Vaciado!C56</f>
        <v>CCO</v>
      </c>
      <c r="B23" s="6">
        <f t="shared" si="7"/>
        <v>18.666666666666668</v>
      </c>
      <c r="C23" s="6">
        <f t="shared" si="8"/>
        <v>19.599999999999998</v>
      </c>
      <c r="D23" s="6">
        <f t="shared" si="9"/>
        <v>20.580000000000002</v>
      </c>
      <c r="E23" s="6">
        <f>IF(Vaciado!$F$56&gt;Flujos!E1,0,Vaciado!$E$56)</f>
        <v>1.5555555555555556</v>
      </c>
      <c r="F23" s="6">
        <f>IF(Vaciado!$F$56&gt;Flujos!F1,0,Vaciado!$E$56)</f>
        <v>1.5555555555555556</v>
      </c>
      <c r="G23" s="6">
        <f>IF(Vaciado!$F$56&gt;Flujos!G1,0,Vaciado!$E$56)</f>
        <v>1.5555555555555556</v>
      </c>
      <c r="H23" s="6">
        <f>IF(Vaciado!$F$56&gt;Flujos!H1,0,Vaciado!$E$56)</f>
        <v>1.5555555555555556</v>
      </c>
      <c r="I23" s="6">
        <f>IF(Vaciado!$F$56&gt;Flujos!I1,0,Vaciado!$E$56)</f>
        <v>1.5555555555555556</v>
      </c>
      <c r="J23" s="6">
        <f>IF(Vaciado!$F$56&gt;Flujos!J1,0,Vaciado!$E$56)</f>
        <v>1.5555555555555556</v>
      </c>
      <c r="K23" s="6">
        <f>IF(Vaciado!$F$56&gt;Flujos!K1,0,Vaciado!$E$56)</f>
        <v>1.5555555555555556</v>
      </c>
      <c r="L23" s="6">
        <f>IF(Vaciado!$F$56&gt;Flujos!L1,0,Vaciado!$E$56)</f>
        <v>1.5555555555555556</v>
      </c>
      <c r="M23" s="6">
        <f>IF(Vaciado!$F$56&gt;Flujos!M1,0,Vaciado!$E$56)</f>
        <v>1.5555555555555556</v>
      </c>
      <c r="N23" s="6">
        <f>IF(Vaciado!$F$56&gt;Flujos!N1,0,Vaciado!$E$56)</f>
        <v>1.5555555555555556</v>
      </c>
      <c r="O23" s="6">
        <f>IF(Vaciado!$F$56&gt;Flujos!O1,0,Vaciado!$E$56)</f>
        <v>1.5555555555555556</v>
      </c>
      <c r="P23" s="6">
        <f>IF(Vaciado!$F$56&gt;Flujos!P1,0,Vaciado!$E$56)</f>
        <v>1.5555555555555556</v>
      </c>
      <c r="Q23" s="6">
        <f>IF(Vaciado!$F$56&gt;Flujos!Q1,0,(Vaciado!$E$56*(1+Vaciado!$G$56)))</f>
        <v>1.6333333333333335</v>
      </c>
      <c r="R23" s="6">
        <f>IF(Vaciado!$F$56&gt;Flujos!R1,0,(Vaciado!$E$56*(1+Vaciado!$G$56)))</f>
        <v>1.6333333333333335</v>
      </c>
      <c r="S23" s="6">
        <f>IF(Vaciado!$F$56&gt;Flujos!S1,0,(Vaciado!$E$56*(1+Vaciado!$G$56)))</f>
        <v>1.6333333333333335</v>
      </c>
      <c r="T23" s="6">
        <f>IF(Vaciado!$F$56&gt;Flujos!T1,0,(Vaciado!$E$56*(1+Vaciado!$G$56)))</f>
        <v>1.6333333333333335</v>
      </c>
      <c r="U23" s="6">
        <f>IF(Vaciado!$F$56&gt;Flujos!U1,0,(Vaciado!$E$56*(1+Vaciado!$G$56)))</f>
        <v>1.6333333333333335</v>
      </c>
      <c r="V23" s="6">
        <f>IF(Vaciado!$F$56&gt;Flujos!V1,0,(Vaciado!$E$56*(1+Vaciado!$G$56)))</f>
        <v>1.6333333333333335</v>
      </c>
      <c r="W23" s="6">
        <f>IF(Vaciado!$F$56&gt;Flujos!W1,0,(Vaciado!$E$56*(1+Vaciado!$G$56)))</f>
        <v>1.6333333333333335</v>
      </c>
      <c r="X23" s="6">
        <f>IF(Vaciado!$F$56&gt;Flujos!X1,0,(Vaciado!$E$56*(1+Vaciado!$G$56)))</f>
        <v>1.6333333333333335</v>
      </c>
      <c r="Y23" s="6">
        <f>IF(Vaciado!$F$56&gt;Flujos!Y1,0,(Vaciado!$E$56*(1+Vaciado!$G$56)))</f>
        <v>1.6333333333333335</v>
      </c>
      <c r="Z23" s="6">
        <f>IF(Vaciado!$F$56&gt;Flujos!Z1,0,(Vaciado!$E$56*(1+Vaciado!$G$56)))</f>
        <v>1.6333333333333335</v>
      </c>
      <c r="AA23" s="6">
        <f>IF(Vaciado!$F$56&gt;Flujos!AA1,0,(Vaciado!$E$56*(1+Vaciado!$G$56)))</f>
        <v>1.6333333333333335</v>
      </c>
      <c r="AB23" s="6">
        <f>IF(Vaciado!$F$56&gt;Flujos!AB1,0,(Vaciado!$E$56*(1+Vaciado!$G$56)))</f>
        <v>1.6333333333333335</v>
      </c>
      <c r="AC23" s="6">
        <f>IF(Vaciado!$F$56&gt;Flujos!AC1,0,(Vaciado!$E$56*((1+Vaciado!$G$56)^2)))</f>
        <v>1.7150000000000001</v>
      </c>
      <c r="AD23" s="6">
        <f>IF(Vaciado!$F$56&gt;Flujos!AD1,0,(Vaciado!$E$56*((1+Vaciado!$G$56)^2)))</f>
        <v>1.7150000000000001</v>
      </c>
      <c r="AE23" s="6">
        <f>IF(Vaciado!$F$56&gt;Flujos!AE1,0,(Vaciado!$E$56*((1+Vaciado!$G$56)^2)))</f>
        <v>1.7150000000000001</v>
      </c>
      <c r="AF23" s="6">
        <f>IF(Vaciado!$F$56&gt;Flujos!AF1,0,(Vaciado!$E$56*((1+Vaciado!$G$56)^2)))</f>
        <v>1.7150000000000001</v>
      </c>
      <c r="AG23" s="6">
        <f>IF(Vaciado!$F$56&gt;Flujos!AG1,0,(Vaciado!$E$56*((1+Vaciado!$G$56)^2)))</f>
        <v>1.7150000000000001</v>
      </c>
      <c r="AH23" s="6">
        <f>IF(Vaciado!$F$56&gt;Flujos!AH1,0,(Vaciado!$E$56*((1+Vaciado!$G$56)^2)))</f>
        <v>1.7150000000000001</v>
      </c>
      <c r="AI23" s="6">
        <f>IF(Vaciado!$F$56&gt;Flujos!AI1,0,(Vaciado!$E$56*((1+Vaciado!$G$56)^2)))</f>
        <v>1.7150000000000001</v>
      </c>
      <c r="AJ23" s="6">
        <f>IF(Vaciado!$F$56&gt;Flujos!AJ1,0,(Vaciado!$E$56*((1+Vaciado!$G$56)^2)))</f>
        <v>1.7150000000000001</v>
      </c>
      <c r="AK23" s="6">
        <f>IF(Vaciado!$F$56&gt;Flujos!AK1,0,(Vaciado!$E$56*((1+Vaciado!$G$56)^2)))</f>
        <v>1.7150000000000001</v>
      </c>
      <c r="AL23" s="6">
        <f>IF(Vaciado!$F$56&gt;Flujos!AL1,0,(Vaciado!$E$56*((1+Vaciado!$G$56)^2)))</f>
        <v>1.7150000000000001</v>
      </c>
      <c r="AM23" s="6">
        <f>IF(Vaciado!$F$56&gt;Flujos!AM1,0,(Vaciado!$E$56*((1+Vaciado!$G$56)^2)))</f>
        <v>1.7150000000000001</v>
      </c>
      <c r="AN23" s="6">
        <f>IF(Vaciado!$F$56&gt;Flujos!AN1,0,(Vaciado!$E$56*((1+Vaciado!$G$56)^2)))</f>
        <v>1.7150000000000001</v>
      </c>
    </row>
    <row r="24" spans="1:40" x14ac:dyDescent="0.35">
      <c r="A24" s="10" t="str">
        <f>Vaciado!C57</f>
        <v>KAM</v>
      </c>
      <c r="B24" s="6">
        <f t="shared" si="7"/>
        <v>16</v>
      </c>
      <c r="C24" s="6">
        <f t="shared" si="8"/>
        <v>16.8</v>
      </c>
      <c r="D24" s="6">
        <f t="shared" si="9"/>
        <v>17.64</v>
      </c>
      <c r="E24" s="6">
        <f>(INT(E8/Vaciado!$I$57)+1)*(IF(Vaciado!$F$57&gt;Flujos!E1,0,Vaciado!$E$57))</f>
        <v>1.3333333333333333</v>
      </c>
      <c r="F24" s="6">
        <f>(INT(F8/Vaciado!$I$57)+1)*(IF(Vaciado!$F$57&gt;Flujos!F1,0,Vaciado!$E$57))</f>
        <v>1.3333333333333333</v>
      </c>
      <c r="G24" s="6">
        <f>(INT(G8/Vaciado!$I$57)+1)*(IF(Vaciado!$F$57&gt;Flujos!G1,0,Vaciado!$E$57))</f>
        <v>1.3333333333333333</v>
      </c>
      <c r="H24" s="6">
        <f>(INT(H8/Vaciado!$I$57)+1)*(IF(Vaciado!$F$57&gt;Flujos!H1,0,Vaciado!$E$57))</f>
        <v>1.3333333333333333</v>
      </c>
      <c r="I24" s="6">
        <f>(INT(I8/Vaciado!$I$57)+1)*(IF(Vaciado!$F$57&gt;Flujos!I1,0,Vaciado!$E$57))</f>
        <v>1.3333333333333333</v>
      </c>
      <c r="J24" s="6">
        <f>(INT(J8/Vaciado!$I$57)+1)*(IF(Vaciado!$F$57&gt;Flujos!J1,0,Vaciado!$E$57))</f>
        <v>1.3333333333333333</v>
      </c>
      <c r="K24" s="6">
        <f>(INT(K8/Vaciado!$I$57)+1)*(IF(Vaciado!$F$57&gt;Flujos!K1,0,Vaciado!$E$57))</f>
        <v>1.3333333333333333</v>
      </c>
      <c r="L24" s="6">
        <f>(INT(L8/Vaciado!$I$57)+1)*(IF(Vaciado!$F$57&gt;Flujos!L1,0,Vaciado!$E$57))</f>
        <v>1.3333333333333333</v>
      </c>
      <c r="M24" s="6">
        <f>(INT(M8/Vaciado!$I$57)+1)*(IF(Vaciado!$F$57&gt;Flujos!M1,0,Vaciado!$E$57))</f>
        <v>1.3333333333333333</v>
      </c>
      <c r="N24" s="6">
        <f>(INT(N8/Vaciado!$I$57)+1)*(IF(Vaciado!$F$57&gt;Flujos!N1,0,Vaciado!$E$57))</f>
        <v>1.3333333333333333</v>
      </c>
      <c r="O24" s="6">
        <f>(INT(O8/Vaciado!$I$57)+1)*(IF(Vaciado!$F$57&gt;Flujos!O1,0,Vaciado!$E$57))</f>
        <v>1.3333333333333333</v>
      </c>
      <c r="P24" s="6">
        <f>(INT(P8/Vaciado!$I$57)+1)*(IF(Vaciado!$F$57&gt;Flujos!P1,0,Vaciado!$E$57))</f>
        <v>1.3333333333333333</v>
      </c>
      <c r="Q24" s="6">
        <f>(INT(Q8/Vaciado!$I$57)+1)*(IF(Vaciado!$F$57&gt;Flujos!Q1,0,(Vaciado!$E$57*(1+Vaciado!$G$57))))</f>
        <v>1.4</v>
      </c>
      <c r="R24" s="6">
        <f>(INT(R8/Vaciado!$I$57)+1)*(IF(Vaciado!$F$57&gt;Flujos!R1,0,(Vaciado!$E$57*(1+Vaciado!$G$57))))</f>
        <v>1.4</v>
      </c>
      <c r="S24" s="6">
        <f>(INT(S8/Vaciado!$I$57)+1)*(IF(Vaciado!$F$57&gt;Flujos!S1,0,(Vaciado!$E$57*(1+Vaciado!$G$57))))</f>
        <v>1.4</v>
      </c>
      <c r="T24" s="6">
        <f>(INT(T8/Vaciado!$I$57)+1)*(IF(Vaciado!$F$57&gt;Flujos!T1,0,(Vaciado!$E$57*(1+Vaciado!$G$57))))</f>
        <v>1.4</v>
      </c>
      <c r="U24" s="6">
        <f>(INT(U8/Vaciado!$I$57)+1)*(IF(Vaciado!$F$57&gt;Flujos!U1,0,(Vaciado!$E$57*(1+Vaciado!$G$57))))</f>
        <v>1.4</v>
      </c>
      <c r="V24" s="6">
        <f>(INT(V8/Vaciado!$I$57)+1)*(IF(Vaciado!$F$57&gt;Flujos!V1,0,(Vaciado!$E$57*(1+Vaciado!$G$57))))</f>
        <v>1.4</v>
      </c>
      <c r="W24" s="6">
        <f>(INT(W8/Vaciado!$I$57)+1)*(IF(Vaciado!$F$57&gt;Flujos!W1,0,(Vaciado!$E$57*(1+Vaciado!$G$57))))</f>
        <v>1.4</v>
      </c>
      <c r="X24" s="6">
        <f>(INT(X8/Vaciado!$I$57)+1)*(IF(Vaciado!$F$57&gt;Flujos!X1,0,(Vaciado!$E$57*(1+Vaciado!$G$57))))</f>
        <v>1.4</v>
      </c>
      <c r="Y24" s="6">
        <f>(INT(Y8/Vaciado!$I$57)+1)*(IF(Vaciado!$F$57&gt;Flujos!Y1,0,(Vaciado!$E$57*(1+Vaciado!$G$57))))</f>
        <v>1.4</v>
      </c>
      <c r="Z24" s="6">
        <f>(INT(Z8/Vaciado!$I$57)+1)*(IF(Vaciado!$F$57&gt;Flujos!Z1,0,(Vaciado!$E$57*(1+Vaciado!$G$57))))</f>
        <v>1.4</v>
      </c>
      <c r="AA24" s="6">
        <f>(INT(AA8/Vaciado!$I$57)+1)*(IF(Vaciado!$F$57&gt;Flujos!AA1,0,(Vaciado!$E$57*(1+Vaciado!$G$57))))</f>
        <v>1.4</v>
      </c>
      <c r="AB24" s="6">
        <f>(INT(AB8/Vaciado!$I$57)+1)*(IF(Vaciado!$F$57&gt;Flujos!AB1,0,(Vaciado!$E$57*(1+Vaciado!$G$57))))</f>
        <v>1.4</v>
      </c>
      <c r="AC24" s="6">
        <f>(INT(AC8/Vaciado!$I$57)+1)*(IF(Vaciado!$F$57&gt;Flujos!AC1,0,(Vaciado!$E$57*((1+Vaciado!$G$57)^2))))</f>
        <v>1.47</v>
      </c>
      <c r="AD24" s="6">
        <f>(INT(AD8/Vaciado!$I$57)+1)*(IF(Vaciado!$F$57&gt;Flujos!AD1,0,(Vaciado!$E$57*((1+Vaciado!$G$57)^2))))</f>
        <v>1.47</v>
      </c>
      <c r="AE24" s="6">
        <f>(INT(AE8/Vaciado!$I$57)+1)*(IF(Vaciado!$F$57&gt;Flujos!AE1,0,(Vaciado!$E$57*((1+Vaciado!$G$57)^2))))</f>
        <v>1.47</v>
      </c>
      <c r="AF24" s="6">
        <f>(INT(AF8/Vaciado!$I$57)+1)*(IF(Vaciado!$F$57&gt;Flujos!AF1,0,(Vaciado!$E$57*((1+Vaciado!$G$57)^2))))</f>
        <v>1.47</v>
      </c>
      <c r="AG24" s="6">
        <f>(INT(AG8/Vaciado!$I$57)+1)*(IF(Vaciado!$F$57&gt;Flujos!AG1,0,(Vaciado!$E$57*((1+Vaciado!$G$57)^2))))</f>
        <v>1.47</v>
      </c>
      <c r="AH24" s="6">
        <f>(INT(AH8/Vaciado!$I$57)+1)*(IF(Vaciado!$F$57&gt;Flujos!AH1,0,(Vaciado!$E$57*((1+Vaciado!$G$57)^2))))</f>
        <v>1.47</v>
      </c>
      <c r="AI24" s="6">
        <f>(INT(AI8/Vaciado!$I$57)+1)*(IF(Vaciado!$F$57&gt;Flujos!AI1,0,(Vaciado!$E$57*((1+Vaciado!$G$57)^2))))</f>
        <v>1.47</v>
      </c>
      <c r="AJ24" s="6">
        <f>(INT(AJ8/Vaciado!$I$57)+1)*(IF(Vaciado!$F$57&gt;Flujos!AJ1,0,(Vaciado!$E$57*((1+Vaciado!$G$57)^2))))</f>
        <v>1.47</v>
      </c>
      <c r="AK24" s="6">
        <f>(INT(AK8/Vaciado!$I$57)+1)*(IF(Vaciado!$F$57&gt;Flujos!AK1,0,(Vaciado!$E$57*((1+Vaciado!$G$57)^2))))</f>
        <v>1.47</v>
      </c>
      <c r="AL24" s="6">
        <f>(INT(AL8/Vaciado!$I$57)+1)*(IF(Vaciado!$F$57&gt;Flujos!AL1,0,(Vaciado!$E$57*((1+Vaciado!$G$57)^2))))</f>
        <v>1.47</v>
      </c>
      <c r="AM24" s="6">
        <f>(INT(AM8/Vaciado!$I$57)+1)*(IF(Vaciado!$F$57&gt;Flujos!AM1,0,(Vaciado!$E$57*((1+Vaciado!$G$57)^2))))</f>
        <v>1.47</v>
      </c>
      <c r="AN24" s="6">
        <f>(INT(AN8/Vaciado!$I$57)+1)*(IF(Vaciado!$F$57&gt;Flujos!AN1,0,(Vaciado!$E$57*((1+Vaciado!$G$57)^2))))</f>
        <v>1.47</v>
      </c>
    </row>
    <row r="25" spans="1:40" x14ac:dyDescent="0.35">
      <c r="A25" s="10" t="str">
        <f>Vaciado!C72</f>
        <v>Comisión CCO</v>
      </c>
      <c r="B25" s="6">
        <f t="shared" si="7"/>
        <v>54.529528756730301</v>
      </c>
      <c r="C25" s="6">
        <f t="shared" si="8"/>
        <v>117.76873617229563</v>
      </c>
      <c r="D25" s="6">
        <f t="shared" si="9"/>
        <v>180.61206350954478</v>
      </c>
      <c r="E25" s="6">
        <f>IF(E26=0,IF(IF(Vaciado!$F$57&gt;Flujos!E1,0,(IF(Flujos!E12&lt;Vaciado!$H$68,0,P.Comercial!H52*Vaciado!$F$72)))&gt;E12*Vaciado!$G$69,Flujos!E12*Vaciado!$G$69,IF(Vaciado!$F$57&gt;Flujos!E1,0,(IF(Flujos!E12&lt;Vaciado!$H$68,0,P.Comercial!H52*Vaciado!$F$72)))),IF(IF(Vaciado!$F$57&gt;Flujos!E1,0,(IF(Flujos!E12&lt;Vaciado!$H$68,0,P.Comercial!H52*Vaciado!$D$72)))&gt;E12*Vaciado!$G$69,Flujos!E12*Vaciado!$G$69,IF(Vaciado!$F$57&gt;Flujos!E1,0,(IF(Flujos!E12&lt;Vaciado!$H$68,0,P.Comercial!H52*Vaciado!$D$72)))))</f>
        <v>0</v>
      </c>
      <c r="F25" s="6">
        <f>IF(F26=0,IF(IF(Vaciado!$F$57&gt;Flujos!F1,0,(IF(Flujos!F12&lt;Vaciado!$H$68,0,P.Comercial!I52*Vaciado!$F$72)))&gt;F12*Vaciado!$G$69,Flujos!F12*Vaciado!$G$69,IF(Vaciado!$F$57&gt;Flujos!F1,0,(IF(Flujos!F12&lt;Vaciado!$H$68,0,P.Comercial!I52*Vaciado!$F$72)))),IF(IF(Vaciado!$F$57&gt;Flujos!F1,0,(IF(Flujos!F12&lt;Vaciado!$H$68,0,P.Comercial!I52*Vaciado!$D$72)))&gt;F12*Vaciado!$G$69,Flujos!F12*Vaciado!$G$69,IF(Vaciado!$F$57&gt;Flujos!F1,0,(IF(Flujos!F12&lt;Vaciado!$H$68,0,P.Comercial!I52*Vaciado!$D$72)))))</f>
        <v>0</v>
      </c>
      <c r="G25" s="6">
        <f>IF(G26=0,IF(IF(Vaciado!$F$57&gt;Flujos!G1,0,(IF(Flujos!G12&lt;Vaciado!$H$68,0,P.Comercial!J52*Vaciado!$F$72)))&gt;G12*Vaciado!$G$69,Flujos!G12*Vaciado!$G$69,IF(Vaciado!$F$57&gt;Flujos!G1,0,(IF(Flujos!G12&lt;Vaciado!$H$68,0,P.Comercial!J52*Vaciado!$F$72)))),IF(IF(Vaciado!$F$57&gt;Flujos!G1,0,(IF(Flujos!G12&lt;Vaciado!$H$68,0,P.Comercial!J52*Vaciado!$D$72)))&gt;G12*Vaciado!$G$69,Flujos!G12*Vaciado!$G$69,IF(Vaciado!$F$57&gt;Flujos!G1,0,(IF(Flujos!G12&lt;Vaciado!$H$68,0,P.Comercial!J52*Vaciado!$D$72)))))</f>
        <v>0</v>
      </c>
      <c r="H25" s="6">
        <f>IF(H26=0,IF(IF(Vaciado!$F$57&gt;Flujos!H1,0,(IF(Flujos!H12&lt;Vaciado!$H$68,0,P.Comercial!K52*Vaciado!$F$72)))&gt;H12*Vaciado!$G$69,Flujos!H12*Vaciado!$G$69,IF(Vaciado!$F$57&gt;Flujos!H1,0,(IF(Flujos!H12&lt;Vaciado!$H$68,0,P.Comercial!K52*Vaciado!$F$72)))),IF(IF(Vaciado!$F$57&gt;Flujos!H1,0,(IF(Flujos!H12&lt;Vaciado!$H$68,0,P.Comercial!K52*Vaciado!$D$72)))&gt;H12*Vaciado!$G$69,Flujos!H12*Vaciado!$G$69,IF(Vaciado!$F$57&gt;Flujos!H1,0,(IF(Flujos!H12&lt;Vaciado!$H$68,0,P.Comercial!K52*Vaciado!$D$72)))))</f>
        <v>2.359777777777778</v>
      </c>
      <c r="I25" s="6">
        <f>IF(I26=0,IF(IF(Vaciado!$F$57&gt;Flujos!I1,0,(IF(Flujos!I12&lt;Vaciado!$H$68,0,P.Comercial!L52*Vaciado!$F$72)))&gt;I12*Vaciado!$G$69,Flujos!I12*Vaciado!$G$69,IF(Vaciado!$F$57&gt;Flujos!I1,0,(IF(Flujos!I12&lt;Vaciado!$H$68,0,P.Comercial!L52*Vaciado!$F$72)))),IF(IF(Vaciado!$F$57&gt;Flujos!I1,0,(IF(Flujos!I12&lt;Vaciado!$H$68,0,P.Comercial!L52*Vaciado!$D$72)))&gt;I12*Vaciado!$G$69,Flujos!I12*Vaciado!$G$69,IF(Vaciado!$F$57&gt;Flujos!I1,0,(IF(Flujos!I12&lt;Vaciado!$H$68,0,P.Comercial!L52*Vaciado!$D$72)))))</f>
        <v>3.9425555555555558</v>
      </c>
      <c r="J25" s="6">
        <f>IF(J26=0,IF(IF(Vaciado!$F$57&gt;Flujos!J1,0,(IF(Flujos!J12&lt;Vaciado!$H$68,0,P.Comercial!M52*Vaciado!$F$72)))&gt;J12*Vaciado!$G$69,Flujos!J12*Vaciado!$G$69,IF(Vaciado!$F$57&gt;Flujos!J1,0,(IF(Flujos!J12&lt;Vaciado!$H$68,0,P.Comercial!M52*Vaciado!$F$72)))),IF(IF(Vaciado!$F$57&gt;Flujos!J1,0,(IF(Flujos!J12&lt;Vaciado!$H$68,0,P.Comercial!M52*Vaciado!$D$72)))&gt;J12*Vaciado!$G$69,Flujos!J12*Vaciado!$G$69,IF(Vaciado!$F$57&gt;Flujos!J1,0,(IF(Flujos!J12&lt;Vaciado!$H$68,0,P.Comercial!M52*Vaciado!$D$72)))))</f>
        <v>3.9425555555555558</v>
      </c>
      <c r="K25" s="6">
        <f>IF(K26=0,IF(IF(Vaciado!$F$57&gt;Flujos!K1,0,(IF(Flujos!K12&lt;Vaciado!$H$68,0,P.Comercial!N52*Vaciado!$F$72)))&gt;K12*Vaciado!$G$69,Flujos!K12*Vaciado!$G$69,IF(Vaciado!$F$57&gt;Flujos!K1,0,(IF(Flujos!K12&lt;Vaciado!$H$68,0,P.Comercial!N52*Vaciado!$F$72)))),IF(IF(Vaciado!$F$57&gt;Flujos!K1,0,(IF(Flujos!K12&lt;Vaciado!$H$68,0,P.Comercial!N52*Vaciado!$D$72)))&gt;K12*Vaciado!$G$69,Flujos!K12*Vaciado!$G$69,IF(Vaciado!$F$57&gt;Flujos!K1,0,(IF(Flujos!K12&lt;Vaciado!$H$68,0,P.Comercial!N52*Vaciado!$D$72)))))</f>
        <v>7.1368888888888895</v>
      </c>
      <c r="L25" s="6">
        <f>IF(L26=0,IF(IF(Vaciado!$F$57&gt;Flujos!L1,0,(IF(Flujos!L12&lt;Vaciado!$H$68,0,P.Comercial!O52*Vaciado!$F$72)))&gt;L12*Vaciado!$G$69,Flujos!L12*Vaciado!$G$69,IF(Vaciado!$F$57&gt;Flujos!L1,0,(IF(Flujos!L12&lt;Vaciado!$H$68,0,P.Comercial!O52*Vaciado!$F$72)))),IF(IF(Vaciado!$F$57&gt;Flujos!L1,0,(IF(Flujos!L12&lt;Vaciado!$H$68,0,P.Comercial!O52*Vaciado!$D$72)))&gt;L12*Vaciado!$G$69,Flujos!L12*Vaciado!$G$69,IF(Vaciado!$F$57&gt;Flujos!L1,0,(IF(Flujos!L12&lt;Vaciado!$H$68,0,P.Comercial!O52*Vaciado!$D$72)))))</f>
        <v>7.3095555555555558</v>
      </c>
      <c r="M25" s="6">
        <f>IF(M26=0,IF(IF(Vaciado!$F$57&gt;Flujos!M1,0,(IF(Flujos!M12&lt;Vaciado!$H$68,0,P.Comercial!P52*Vaciado!$F$72)))&gt;M12*Vaciado!$G$69,Flujos!M12*Vaciado!$G$69,IF(Vaciado!$F$57&gt;Flujos!M1,0,(IF(Flujos!M12&lt;Vaciado!$H$68,0,P.Comercial!P52*Vaciado!$F$72)))),IF(IF(Vaciado!$F$57&gt;Flujos!M1,0,(IF(Flujos!M12&lt;Vaciado!$H$68,0,P.Comercial!P52*Vaciado!$D$72)))&gt;M12*Vaciado!$G$69,Flujos!M12*Vaciado!$G$69,IF(Vaciado!$F$57&gt;Flujos!M1,0,(IF(Flujos!M12&lt;Vaciado!$H$68,0,P.Comercial!P52*Vaciado!$D$72)))))</f>
        <v>7.3095555555555558</v>
      </c>
      <c r="N25" s="6">
        <f>IF(N26=0,IF(IF(Vaciado!$F$57&gt;Flujos!N1,0,(IF(Flujos!N12&lt;Vaciado!$H$68,0,P.Comercial!Q52*Vaciado!$F$72)))&gt;N12*Vaciado!$G$69,Flujos!N12*Vaciado!$G$69,IF(Vaciado!$F$57&gt;Flujos!N1,0,(IF(Flujos!N12&lt;Vaciado!$H$68,0,P.Comercial!Q52*Vaciado!$F$72)))),IF(IF(Vaciado!$F$57&gt;Flujos!N1,0,(IF(Flujos!N12&lt;Vaciado!$H$68,0,P.Comercial!Q52*Vaciado!$D$72)))&gt;N12*Vaciado!$G$69,Flujos!N12*Vaciado!$G$69,IF(Vaciado!$F$57&gt;Flujos!N1,0,(IF(Flujos!N12&lt;Vaciado!$H$68,0,P.Comercial!Q52*Vaciado!$D$72)))))</f>
        <v>7.482222222222223</v>
      </c>
      <c r="O25" s="6">
        <f>IF(O26=0,IF(IF(Vaciado!$F$57&gt;Flujos!O1,0,(IF(Flujos!O12&lt;Vaciado!$H$68,0,P.Comercial!R52*Vaciado!$F$72)))&gt;O12*Vaciado!$G$69,Flujos!O12*Vaciado!$G$69,IF(Vaciado!$F$57&gt;Flujos!O1,0,(IF(Flujos!O12&lt;Vaciado!$H$68,0,P.Comercial!R52*Vaciado!$F$72)))),IF(IF(Vaciado!$F$57&gt;Flujos!O1,0,(IF(Flujos!O12&lt;Vaciado!$H$68,0,P.Comercial!R52*Vaciado!$D$72)))&gt;O12*Vaciado!$G$69,Flujos!O12*Vaciado!$G$69,IF(Vaciado!$F$57&gt;Flujos!O1,0,(IF(Flujos!O12&lt;Vaciado!$H$68,0,P.Comercial!R52*Vaciado!$D$72)))))</f>
        <v>7.482222222222223</v>
      </c>
      <c r="P25" s="6">
        <f>IF(P26=0,IF(IF(Vaciado!$F$57&gt;Flujos!P1,0,(IF(Flujos!P12&lt;Vaciado!$H$68,0,P.Comercial!S52*Vaciado!$F$72)))&gt;P12*Vaciado!$G$69,Flujos!P12*Vaciado!$G$69,IF(Vaciado!$F$57&gt;Flujos!P1,0,(IF(Flujos!P12&lt;Vaciado!$H$68,0,P.Comercial!S52*Vaciado!$F$72)))),IF(IF(Vaciado!$F$57&gt;Flujos!P1,0,(IF(Flujos!P12&lt;Vaciado!$H$68,0,P.Comercial!S52*Vaciado!$D$72)))&gt;P12*Vaciado!$G$69,Flujos!P12*Vaciado!$G$69,IF(Vaciado!$F$57&gt;Flujos!P1,0,(IF(Flujos!P12&lt;Vaciado!$H$68,0,P.Comercial!S52*Vaciado!$D$72)))))</f>
        <v>7.564195423396967</v>
      </c>
      <c r="Q25" s="6">
        <f>IF(Q26=0,IF(IF(Vaciado!$F$57&gt;Flujos!Q1,0,(IF(Flujos!Q12&lt;Vaciado!$H$68,0,P.Comercial!T52*Vaciado!$F$72)))&gt;Q12*Vaciado!$G$69,Flujos!Q12*Vaciado!$G$69,IF(Vaciado!$F$57&gt;Flujos!Q1,0,(IF(Flujos!Q12&lt;Vaciado!$H$68,0,P.Comercial!T52*Vaciado!$F$72)))),IF(IF(Vaciado!$F$57&gt;Flujos!Q1,0,(IF(Flujos!Q12&lt;Vaciado!$H$68,0,P.Comercial!T52*Vaciado!$D$72)))&gt;Q12*Vaciado!$G$69,Flujos!Q12*Vaciado!$G$69,IF(Vaciado!$F$57&gt;Flujos!Q1,0,(IF(Flujos!Q12&lt;Vaciado!$H$68,0,P.Comercial!T52*Vaciado!$D$72)))))</f>
        <v>7.482222222222223</v>
      </c>
      <c r="R25" s="6">
        <f>IF(R26=0,IF(IF(Vaciado!$F$57&gt;Flujos!R1,0,(IF(Flujos!R12&lt;Vaciado!$H$68,0,P.Comercial!U52*Vaciado!$F$72)))&gt;R12*Vaciado!$G$69,Flujos!R12*Vaciado!$G$69,IF(Vaciado!$F$57&gt;Flujos!R1,0,(IF(Flujos!R12&lt;Vaciado!$H$68,0,P.Comercial!U52*Vaciado!$F$72)))),IF(IF(Vaciado!$F$57&gt;Flujos!R1,0,(IF(Flujos!R12&lt;Vaciado!$H$68,0,P.Comercial!U52*Vaciado!$D$72)))&gt;R12*Vaciado!$G$69,Flujos!R12*Vaciado!$G$69,IF(Vaciado!$F$57&gt;Flujos!R1,0,(IF(Flujos!R12&lt;Vaciado!$H$68,0,P.Comercial!U52*Vaciado!$D$72)))))</f>
        <v>7.6461686245717084</v>
      </c>
      <c r="S25" s="6">
        <f>IF(S26=0,IF(IF(Vaciado!$F$57&gt;Flujos!S1,0,(IF(Flujos!S12&lt;Vaciado!$H$68,0,P.Comercial!V52*Vaciado!$F$72)))&gt;S12*Vaciado!$G$69,Flujos!S12*Vaciado!$G$69,IF(Vaciado!$F$57&gt;Flujos!S1,0,(IF(Flujos!S12&lt;Vaciado!$H$68,0,P.Comercial!V52*Vaciado!$F$72)))),IF(IF(Vaciado!$F$57&gt;Flujos!S1,0,(IF(Flujos!S12&lt;Vaciado!$H$68,0,P.Comercial!V52*Vaciado!$D$72)))&gt;S12*Vaciado!$G$69,Flujos!S12*Vaciado!$G$69,IF(Vaciado!$F$57&gt;Flujos!S1,0,(IF(Flujos!S12&lt;Vaciado!$H$68,0,P.Comercial!V52*Vaciado!$D$72)))))</f>
        <v>8.0560346304454242</v>
      </c>
      <c r="T25" s="6">
        <f>IF(T26=0,IF(IF(Vaciado!$F$57&gt;Flujos!T1,0,(IF(Flujos!T12&lt;Vaciado!$H$68,0,P.Comercial!W52*Vaciado!$F$72)))&gt;T12*Vaciado!$G$69,Flujos!T12*Vaciado!$G$69,IF(Vaciado!$F$57&gt;Flujos!T1,0,(IF(Flujos!T12&lt;Vaciado!$H$68,0,P.Comercial!W52*Vaciado!$F$72)))),IF(IF(Vaciado!$F$57&gt;Flujos!T1,0,(IF(Flujos!T12&lt;Vaciado!$H$68,0,P.Comercial!W52*Vaciado!$D$72)))&gt;T12*Vaciado!$G$69,Flujos!T12*Vaciado!$G$69,IF(Vaciado!$F$57&gt;Flujos!T1,0,(IF(Flujos!T12&lt;Vaciado!$H$68,0,P.Comercial!W52*Vaciado!$D$72)))))</f>
        <v>9.0397130445423404</v>
      </c>
      <c r="U25" s="6">
        <f>IF(U26=0,IF(IF(Vaciado!$F$57&gt;Flujos!U1,0,(IF(Flujos!U12&lt;Vaciado!$H$68,0,P.Comercial!X52*Vaciado!$F$72)))&gt;U12*Vaciado!$G$69,Flujos!U12*Vaciado!$G$69,IF(Vaciado!$F$57&gt;Flujos!U1,0,(IF(Flujos!U12&lt;Vaciado!$H$68,0,P.Comercial!X52*Vaciado!$F$72)))),IF(IF(Vaciado!$F$57&gt;Flujos!U1,0,(IF(Flujos!U12&lt;Vaciado!$H$68,0,P.Comercial!X52*Vaciado!$D$72)))&gt;U12*Vaciado!$G$69,Flujos!U12*Vaciado!$G$69,IF(Vaciado!$F$57&gt;Flujos!U1,0,(IF(Flujos!U12&lt;Vaciado!$H$68,0,P.Comercial!X52*Vaciado!$D$72)))))</f>
        <v>9.0828797112090065</v>
      </c>
      <c r="V25" s="6">
        <f>IF(V26=0,IF(IF(Vaciado!$F$57&gt;Flujos!V1,0,(IF(Flujos!V12&lt;Vaciado!$H$68,0,P.Comercial!Y52*Vaciado!$F$72)))&gt;V12*Vaciado!$G$69,Flujos!V12*Vaciado!$G$69,IF(Vaciado!$F$57&gt;Flujos!V1,0,(IF(Flujos!V12&lt;Vaciado!$H$68,0,P.Comercial!Y52*Vaciado!$F$72)))),IF(IF(Vaciado!$F$57&gt;Flujos!V1,0,(IF(Flujos!V12&lt;Vaciado!$H$68,0,P.Comercial!Y52*Vaciado!$D$72)))&gt;V12*Vaciado!$G$69,Flujos!V12*Vaciado!$G$69,IF(Vaciado!$F$57&gt;Flujos!V1,0,(IF(Flujos!V12&lt;Vaciado!$H$68,0,P.Comercial!Y52*Vaciado!$D$72)))))</f>
        <v>10.027751590797847</v>
      </c>
      <c r="W25" s="6">
        <f>IF(W26=0,IF(IF(Vaciado!$F$57&gt;Flujos!W1,0,(IF(Flujos!W12&lt;Vaciado!$H$68,0,P.Comercial!Z52*Vaciado!$F$72)))&gt;W12*Vaciado!$G$69,Flujos!W12*Vaciado!$G$69,IF(Vaciado!$F$57&gt;Flujos!W1,0,(IF(Flujos!W12&lt;Vaciado!$H$68,0,P.Comercial!Z52*Vaciado!$F$72)))),IF(IF(Vaciado!$F$57&gt;Flujos!W1,0,(IF(Flujos!W12&lt;Vaciado!$H$68,0,P.Comercial!Z52*Vaciado!$D$72)))&gt;W12*Vaciado!$G$69,Flujos!W12*Vaciado!$G$69,IF(Vaciado!$F$57&gt;Flujos!W1,0,(IF(Flujos!W12&lt;Vaciado!$H$68,0,P.Comercial!Z52*Vaciado!$D$72)))))</f>
        <v>10.398811062163485</v>
      </c>
      <c r="X25" s="6">
        <f>IF(X26=0,IF(IF(Vaciado!$F$57&gt;Flujos!X1,0,(IF(Flujos!X12&lt;Vaciado!$H$68,0,P.Comercial!AA52*Vaciado!$F$72)))&gt;X12*Vaciado!$G$69,Flujos!X12*Vaciado!$G$69,IF(Vaciado!$F$57&gt;Flujos!X1,0,(IF(Flujos!X12&lt;Vaciado!$H$68,0,P.Comercial!AA52*Vaciado!$F$72)))),IF(IF(Vaciado!$F$57&gt;Flujos!X1,0,(IF(Flujos!X12&lt;Vaciado!$H$68,0,P.Comercial!AA52*Vaciado!$D$72)))&gt;X12*Vaciado!$G$69,Flujos!X12*Vaciado!$G$69,IF(Vaciado!$F$57&gt;Flujos!X1,0,(IF(Flujos!X12&lt;Vaciado!$H$68,0,P.Comercial!AA52*Vaciado!$D$72)))))</f>
        <v>10.441977728830151</v>
      </c>
      <c r="Y25" s="6">
        <f>IF(Y26=0,IF(IF(Vaciado!$F$57&gt;Flujos!Y1,0,(IF(Flujos!Y12&lt;Vaciado!$H$68,0,P.Comercial!AB52*Vaciado!$F$72)))&gt;Y12*Vaciado!$G$69,Flujos!Y12*Vaciado!$G$69,IF(Vaciado!$F$57&gt;Flujos!Y1,0,(IF(Flujos!Y12&lt;Vaciado!$H$68,0,P.Comercial!AB52*Vaciado!$F$72)))),IF(IF(Vaciado!$F$57&gt;Flujos!Y1,0,(IF(Flujos!Y12&lt;Vaciado!$H$68,0,P.Comercial!AB52*Vaciado!$D$72)))&gt;Y12*Vaciado!$G$69,Flujos!Y12*Vaciado!$G$69,IF(Vaciado!$F$57&gt;Flujos!Y1,0,(IF(Flujos!Y12&lt;Vaciado!$H$68,0,P.Comercial!AB52*Vaciado!$D$72)))))</f>
        <v>11.000092755751346</v>
      </c>
      <c r="Z25" s="6">
        <f>IF(Z26=0,IF(IF(Vaciado!$F$57&gt;Flujos!Z1,0,(IF(Flujos!Z12&lt;Vaciado!$H$68,0,P.Comercial!AC52*Vaciado!$F$72)))&gt;Z12*Vaciado!$G$69,Flujos!Z12*Vaciado!$G$69,IF(Vaciado!$F$57&gt;Flujos!Z1,0,(IF(Flujos!Z12&lt;Vaciado!$H$68,0,P.Comercial!AC52*Vaciado!$F$72)))),IF(IF(Vaciado!$F$57&gt;Flujos!Z1,0,(IF(Flujos!Z12&lt;Vaciado!$H$68,0,P.Comercial!AC52*Vaciado!$D$72)))&gt;Z12*Vaciado!$G$69,Flujos!Z12*Vaciado!$G$69,IF(Vaciado!$F$57&gt;Flujos!Z1,0,(IF(Flujos!Z12&lt;Vaciado!$H$68,0,P.Comercial!AC52*Vaciado!$D$72)))))</f>
        <v>11.230314977973567</v>
      </c>
      <c r="AA25" s="6">
        <f>IF(AA26=0,IF(IF(Vaciado!$F$57&gt;Flujos!AA1,0,(IF(Flujos!AA12&lt;Vaciado!$H$68,0,P.Comercial!AD52*Vaciado!$F$72)))&gt;AA12*Vaciado!$G$69,Flujos!AA12*Vaciado!$G$69,IF(Vaciado!$F$57&gt;Flujos!AA1,0,(IF(Flujos!AA12&lt;Vaciado!$H$68,0,P.Comercial!AD52*Vaciado!$F$72)))),IF(IF(Vaciado!$F$57&gt;Flujos!AA1,0,(IF(Flujos!AA12&lt;Vaciado!$H$68,0,P.Comercial!AD52*Vaciado!$D$72)))&gt;AA12*Vaciado!$G$69,Flujos!AA12*Vaciado!$G$69,IF(Vaciado!$F$57&gt;Flujos!AA1,0,(IF(Flujos!AA12&lt;Vaciado!$H$68,0,P.Comercial!AD52*Vaciado!$D$72)))))</f>
        <v>11.503703866862457</v>
      </c>
      <c r="AB25" s="6">
        <f>IF(AB26=0,IF(IF(Vaciado!$F$57&gt;Flujos!AB1,0,(IF(Flujos!AB12&lt;Vaciado!$H$68,0,P.Comercial!AE52*Vaciado!$F$72)))&gt;AB12*Vaciado!$G$69,Flujos!AB12*Vaciado!$G$69,IF(Vaciado!$F$57&gt;Flujos!AB1,0,(IF(Flujos!AB12&lt;Vaciado!$H$68,0,P.Comercial!AE52*Vaciado!$F$72)))),IF(IF(Vaciado!$F$57&gt;Flujos!AB1,0,(IF(Flujos!AB12&lt;Vaciado!$H$68,0,P.Comercial!AE52*Vaciado!$D$72)))&gt;AB12*Vaciado!$G$69,Flujos!AB12*Vaciado!$G$69,IF(Vaciado!$F$57&gt;Flujos!AB1,0,(IF(Flujos!AB12&lt;Vaciado!$H$68,0,P.Comercial!AE52*Vaciado!$D$72)))))</f>
        <v>11.859065956926091</v>
      </c>
      <c r="AC25" s="6">
        <f>IF(AC26=0,IF(IF(Vaciado!$F$57&gt;Flujos!AC1,0,(IF(Flujos!AC12&lt;Vaciado!$H$68,0,P.Comercial!AF52*Vaciado!$F$72)))&gt;AC12*Vaciado!$G$69,Flujos!AC12*Vaciado!$G$69,IF(Vaciado!$F$57&gt;Flujos!AC1,0,(IF(Flujos!AC12&lt;Vaciado!$H$68,0,P.Comercial!AF52*Vaciado!$F$72)))),IF(IF(Vaciado!$F$57&gt;Flujos!AC1,0,(IF(Flujos!AC12&lt;Vaciado!$H$68,0,P.Comercial!AF52*Vaciado!$D$72)))&gt;AC12*Vaciado!$G$69,Flujos!AC12*Vaciado!$G$69,IF(Vaciado!$F$57&gt;Flujos!AC1,0,(IF(Flujos!AC12&lt;Vaciado!$H$68,0,P.Comercial!AF52*Vaciado!$D$72)))))</f>
        <v>11.777092755751346</v>
      </c>
      <c r="AD25" s="6">
        <f>IF(AD26=0,IF(IF(Vaciado!$F$57&gt;Flujos!AD1,0,(IF(Flujos!AD12&lt;Vaciado!$H$68,0,P.Comercial!AG52*Vaciado!$F$72)))&gt;AD12*Vaciado!$G$69,Flujos!AD12*Vaciado!$G$69,IF(Vaciado!$F$57&gt;Flujos!AD1,0,(IF(Flujos!AD12&lt;Vaciado!$H$68,0,P.Comercial!AG52*Vaciado!$F$72)))),IF(IF(Vaciado!$F$57&gt;Flujos!AD1,0,(IF(Flujos!AD12&lt;Vaciado!$H$68,0,P.Comercial!AG52*Vaciado!$D$72)))&gt;AD12*Vaciado!$G$69,Flujos!AD12*Vaciado!$G$69,IF(Vaciado!$F$57&gt;Flujos!AD1,0,(IF(Flujos!AD12&lt;Vaciado!$H$68,0,P.Comercial!AG52*Vaciado!$D$72)))))</f>
        <v>11.941039158100834</v>
      </c>
      <c r="AE25" s="6">
        <f>IF(AE26=0,IF(IF(Vaciado!$F$57&gt;Flujos!AE1,0,(IF(Flujos!AE12&lt;Vaciado!$H$68,0,P.Comercial!AH52*Vaciado!$F$72)))&gt;AE12*Vaciado!$G$69,Flujos!AE12*Vaciado!$G$69,IF(Vaciado!$F$57&gt;Flujos!AE1,0,(IF(Flujos!AE12&lt;Vaciado!$H$68,0,P.Comercial!AH52*Vaciado!$F$72)))),IF(IF(Vaciado!$F$57&gt;Flujos!AE1,0,(IF(Flujos!AE12&lt;Vaciado!$H$68,0,P.Comercial!AH52*Vaciado!$D$72)))&gt;AE12*Vaciado!$G$69,Flujos!AE12*Vaciado!$G$69,IF(Vaciado!$F$57&gt;Flujos!AE1,0,(IF(Flujos!AE12&lt;Vaciado!$H$68,0,P.Comercial!AH52*Vaciado!$D$72)))))</f>
        <v>12.394071830641215</v>
      </c>
      <c r="AF25" s="6">
        <f>IF(AF26=0,IF(IF(Vaciado!$F$57&gt;Flujos!AF1,0,(IF(Flujos!AF12&lt;Vaciado!$H$68,0,P.Comercial!AI52*Vaciado!$F$72)))&gt;AF12*Vaciado!$G$69,Flujos!AF12*Vaciado!$G$69,IF(Vaciado!$F$57&gt;Flujos!AF1,0,(IF(Flujos!AF12&lt;Vaciado!$H$68,0,P.Comercial!AI52*Vaciado!$F$72)))),IF(IF(Vaciado!$F$57&gt;Flujos!AF1,0,(IF(Flujos!AF12&lt;Vaciado!$H$68,0,P.Comercial!AI52*Vaciado!$D$72)))&gt;AF12*Vaciado!$G$69,Flujos!AF12*Vaciado!$G$69,IF(Vaciado!$F$57&gt;Flujos!AF1,0,(IF(Flujos!AF12&lt;Vaciado!$H$68,0,P.Comercial!AI52*Vaciado!$D$72)))))</f>
        <v>13.502890112579541</v>
      </c>
      <c r="AG25" s="6">
        <f>IF(AG26=0,IF(IF(Vaciado!$F$57&gt;Flujos!AG1,0,(IF(Flujos!AG12&lt;Vaciado!$H$68,0,P.Comercial!AJ52*Vaciado!$F$72)))&gt;AG12*Vaciado!$G$69,Flujos!AG12*Vaciado!$G$69,IF(Vaciado!$F$57&gt;Flujos!AG1,0,(IF(Flujos!AG12&lt;Vaciado!$H$68,0,P.Comercial!AJ52*Vaciado!$F$72)))),IF(IF(Vaciado!$F$57&gt;Flujos!AG1,0,(IF(Flujos!AG12&lt;Vaciado!$H$68,0,P.Comercial!AJ52*Vaciado!$D$72)))&gt;AG12*Vaciado!$G$69,Flujos!AG12*Vaciado!$G$69,IF(Vaciado!$F$57&gt;Flujos!AG1,0,(IF(Flujos!AG12&lt;Vaciado!$H$68,0,P.Comercial!AJ52*Vaciado!$D$72)))))</f>
        <v>13.628029980420949</v>
      </c>
      <c r="AH25" s="6">
        <f>IF(AH26=0,IF(IF(Vaciado!$F$57&gt;Flujos!AH1,0,(IF(Flujos!AH12&lt;Vaciado!$H$68,0,P.Comercial!AK52*Vaciado!$F$72)))&gt;AH12*Vaciado!$G$69,Flujos!AH12*Vaciado!$G$69,IF(Vaciado!$F$57&gt;Flujos!AH1,0,(IF(Flujos!AH12&lt;Vaciado!$H$68,0,P.Comercial!AK52*Vaciado!$F$72)))),IF(IF(Vaciado!$F$57&gt;Flujos!AH1,0,(IF(Flujos!AH12&lt;Vaciado!$H$68,0,P.Comercial!AK52*Vaciado!$D$72)))&gt;AH12*Vaciado!$G$69,Flujos!AH12*Vaciado!$G$69,IF(Vaciado!$F$57&gt;Flujos!AH1,0,(IF(Flujos!AH12&lt;Vaciado!$H$68,0,P.Comercial!AK52*Vaciado!$D$72)))))</f>
        <v>14.698041727851198</v>
      </c>
      <c r="AI25" s="6">
        <f>IF(AI26=0,IF(IF(Vaciado!$F$57&gt;Flujos!AI1,0,(IF(Flujos!AI12&lt;Vaciado!$H$68,0,P.Comercial!AL52*Vaciado!$F$72)))&gt;AI12*Vaciado!$G$69,Flujos!AI12*Vaciado!$G$69,IF(Vaciado!$F$57&gt;Flujos!AI1,0,(IF(Flujos!AI12&lt;Vaciado!$H$68,0,P.Comercial!AL52*Vaciado!$F$72)))),IF(IF(Vaciado!$F$57&gt;Flujos!AI1,0,(IF(Flujos!AI12&lt;Vaciado!$H$68,0,P.Comercial!AL52*Vaciado!$D$72)))&gt;AI12*Vaciado!$G$69,Flujos!AI12*Vaciado!$G$69,IF(Vaciado!$F$57&gt;Flujos!AI1,0,(IF(Flujos!AI12&lt;Vaciado!$H$68,0,P.Comercial!AL52*Vaciado!$D$72)))))</f>
        <v>15.338129955947137</v>
      </c>
      <c r="AJ25" s="6">
        <f>IF(AJ26=0,IF(IF(Vaciado!$F$57&gt;Flujos!AJ1,0,(IF(Flujos!AJ12&lt;Vaciado!$H$68,0,P.Comercial!AM52*Vaciado!$F$72)))&gt;AJ12*Vaciado!$G$69,Flujos!AJ12*Vaciado!$G$69,IF(Vaciado!$F$57&gt;Flujos!AJ1,0,(IF(Flujos!AJ12&lt;Vaciado!$H$68,0,P.Comercial!AM52*Vaciado!$F$72)))),IF(IF(Vaciado!$F$57&gt;Flujos!AJ1,0,(IF(Flujos!AJ12&lt;Vaciado!$H$68,0,P.Comercial!AM52*Vaciado!$D$72)))&gt;AJ12*Vaciado!$G$69,Flujos!AJ12*Vaciado!$G$69,IF(Vaciado!$F$57&gt;Flujos!AJ1,0,(IF(Flujos!AJ12&lt;Vaciado!$H$68,0,P.Comercial!AM52*Vaciado!$D$72)))))</f>
        <v>15.857438448360254</v>
      </c>
      <c r="AK25" s="6">
        <f>IF(AK26=0,IF(IF(Vaciado!$F$57&gt;Flujos!AK1,0,(IF(Flujos!AK12&lt;Vaciado!$H$68,0,P.Comercial!AN52*Vaciado!$F$72)))&gt;AK12*Vaciado!$G$69,Flujos!AK12*Vaciado!$G$69,IF(Vaciado!$F$57&gt;Flujos!AK1,0,(IF(Flujos!AK12&lt;Vaciado!$H$68,0,P.Comercial!AN52*Vaciado!$F$72)))),IF(IF(Vaciado!$F$57&gt;Flujos!AK1,0,(IF(Flujos!AK12&lt;Vaciado!$H$68,0,P.Comercial!AN52*Vaciado!$D$72)))&gt;AK12*Vaciado!$G$69,Flujos!AK12*Vaciado!$G$69,IF(Vaciado!$F$57&gt;Flujos!AK1,0,(IF(Flujos!AK12&lt;Vaciado!$H$68,0,P.Comercial!AN52*Vaciado!$D$72)))))</f>
        <v>16.747806412139013</v>
      </c>
      <c r="AL25" s="6">
        <f>IF(AL26=0,IF(IF(Vaciado!$F$57&gt;Flujos!AL1,0,(IF(Flujos!AL12&lt;Vaciado!$H$68,0,P.Comercial!AO52*Vaciado!$F$72)))&gt;AL12*Vaciado!$G$69,Flujos!AL12*Vaciado!$G$69,IF(Vaciado!$F$57&gt;Flujos!AL1,0,(IF(Flujos!AL12&lt;Vaciado!$H$68,0,P.Comercial!AO52*Vaciado!$F$72)))),IF(IF(Vaciado!$F$57&gt;Flujos!AL1,0,(IF(Flujos!AL12&lt;Vaciado!$H$68,0,P.Comercial!AO52*Vaciado!$D$72)))&gt;AL12*Vaciado!$G$69,Flujos!AL12*Vaciado!$G$69,IF(Vaciado!$F$57&gt;Flujos!AL1,0,(IF(Flujos!AL12&lt;Vaciado!$H$68,0,P.Comercial!AO52*Vaciado!$D$72)))))</f>
        <v>17.435421439060207</v>
      </c>
      <c r="AM25" s="6">
        <f>IF(AM26=0,IF(IF(Vaciado!$F$57&gt;Flujos!AM1,0,(IF(Flujos!AM12&lt;Vaciado!$H$68,0,P.Comercial!AP52*Vaciado!$F$72)))&gt;AM12*Vaciado!$G$69,Flujos!AM12*Vaciado!$G$69,IF(Vaciado!$F$57&gt;Flujos!AM1,0,(IF(Flujos!AM12&lt;Vaciado!$H$68,0,P.Comercial!AP52*Vaciado!$F$72)))),IF(IF(Vaciado!$F$57&gt;Flujos!AM1,0,(IF(Flujos!AM12&lt;Vaciado!$H$68,0,P.Comercial!AP52*Vaciado!$D$72)))&gt;AM12*Vaciado!$G$69,Flujos!AM12*Vaciado!$G$69,IF(Vaciado!$F$57&gt;Flujos!AM1,0,(IF(Flujos!AM12&lt;Vaciado!$H$68,0,P.Comercial!AP52*Vaciado!$D$72)))))</f>
        <v>18.310092021536956</v>
      </c>
      <c r="AN25" s="6">
        <f>IF(AN26=0,IF(IF(Vaciado!$F$57&gt;Flujos!AN1,0,(IF(Flujos!AN12&lt;Vaciado!$H$68,0,P.Comercial!AQ52*Vaciado!$F$72)))&gt;AN12*Vaciado!$G$69,Flujos!AN12*Vaciado!$G$69,IF(Vaciado!$F$57&gt;Flujos!AN1,0,(IF(Flujos!AN12&lt;Vaciado!$H$68,0,P.Comercial!AQ52*Vaciado!$F$72)))),IF(IF(Vaciado!$F$57&gt;Flujos!AN1,0,(IF(Flujos!AN12&lt;Vaciado!$H$68,0,P.Comercial!AQ52*Vaciado!$D$72)))&gt;AN12*Vaciado!$G$69,Flujos!AN12*Vaciado!$G$69,IF(Vaciado!$F$57&gt;Flujos!AN1,0,(IF(Flujos!AN12&lt;Vaciado!$H$68,0,P.Comercial!AQ52*Vaciado!$D$72)))))</f>
        <v>18.982009667156145</v>
      </c>
    </row>
    <row r="26" spans="1:40" x14ac:dyDescent="0.35">
      <c r="A26" s="10" t="str">
        <f>Vaciado!C71</f>
        <v>Comisión KAM</v>
      </c>
      <c r="B26" s="6">
        <f t="shared" si="7"/>
        <v>54.529528756730301</v>
      </c>
      <c r="C26" s="6">
        <f t="shared" si="8"/>
        <v>117.76873617229563</v>
      </c>
      <c r="D26" s="6">
        <f t="shared" si="9"/>
        <v>180.61206350954478</v>
      </c>
      <c r="E26" s="6">
        <f>IF(IF(Vaciado!$F$57&gt;Flujos!E1,0,(IF(Flujos!E12&lt;Vaciado!$H$68,0,P.Comercial!H52*Vaciado!$D$71)))&gt;E12*Vaciado!$G$69,Flujos!E12*Vaciado!$G$69,IF(Vaciado!$F$57&gt;Flujos!E1,0,(IF(Flujos!E12&lt;Vaciado!$H$68,0,P.Comercial!H52*Vaciado!$D$71))))</f>
        <v>0</v>
      </c>
      <c r="F26" s="6">
        <f>IF(IF(Vaciado!$F$57&gt;Flujos!F1,0,(IF(Flujos!F12&lt;Vaciado!$H$68,0,P.Comercial!I52*Vaciado!$D$71)))&gt;F12*Vaciado!$G$69,Flujos!F12*Vaciado!$G$69,IF(Vaciado!$F$57&gt;Flujos!F1,0,(IF(Flujos!F12&lt;Vaciado!$H$68,0,P.Comercial!I52*Vaciado!$D$71))))</f>
        <v>0</v>
      </c>
      <c r="G26" s="6">
        <f>IF(IF(Vaciado!$F$57&gt;Flujos!G1,0,(IF(Flujos!G12&lt;Vaciado!$H$68,0,P.Comercial!J52*Vaciado!$D$71)))&gt;G12*Vaciado!$G$69,Flujos!G12*Vaciado!$G$69,IF(Vaciado!$F$57&gt;Flujos!G1,0,(IF(Flujos!G12&lt;Vaciado!$H$68,0,P.Comercial!J52*Vaciado!$D$71))))</f>
        <v>0</v>
      </c>
      <c r="H26" s="6">
        <f>IF(IF(Vaciado!$F$57&gt;Flujos!H1,0,(IF(Flujos!H12&lt;Vaciado!$H$68,0,P.Comercial!K52*Vaciado!$D$71)))&gt;H12*Vaciado!$G$69,Flujos!H12*Vaciado!$G$69,IF(Vaciado!$F$57&gt;Flujos!H1,0,(IF(Flujos!H12&lt;Vaciado!$H$68,0,P.Comercial!K52*Vaciado!$D$71))))</f>
        <v>2.359777777777778</v>
      </c>
      <c r="I26" s="6">
        <f>IF(IF(Vaciado!$F$57&gt;Flujos!I1,0,(IF(Flujos!I12&lt;Vaciado!$H$68,0,P.Comercial!L52*Vaciado!$D$71)))&gt;I12*Vaciado!$G$69,Flujos!I12*Vaciado!$G$69,IF(Vaciado!$F$57&gt;Flujos!I1,0,(IF(Flujos!I12&lt;Vaciado!$H$68,0,P.Comercial!L52*Vaciado!$D$71))))</f>
        <v>3.9425555555555558</v>
      </c>
      <c r="J26" s="6">
        <f>IF(IF(Vaciado!$F$57&gt;Flujos!J1,0,(IF(Flujos!J12&lt;Vaciado!$H$68,0,P.Comercial!M52*Vaciado!$D$71)))&gt;J12*Vaciado!$G$69,Flujos!J12*Vaciado!$G$69,IF(Vaciado!$F$57&gt;Flujos!J1,0,(IF(Flujos!J12&lt;Vaciado!$H$68,0,P.Comercial!M52*Vaciado!$D$71))))</f>
        <v>3.9425555555555558</v>
      </c>
      <c r="K26" s="6">
        <f>IF(IF(Vaciado!$F$57&gt;Flujos!K1,0,(IF(Flujos!K12&lt;Vaciado!$H$68,0,P.Comercial!N52*Vaciado!$D$71)))&gt;K12*Vaciado!$G$69,Flujos!K12*Vaciado!$G$69,IF(Vaciado!$F$57&gt;Flujos!K1,0,(IF(Flujos!K12&lt;Vaciado!$H$68,0,P.Comercial!N52*Vaciado!$D$71))))</f>
        <v>7.1368888888888895</v>
      </c>
      <c r="L26" s="6">
        <f>IF(IF(Vaciado!$F$57&gt;Flujos!L1,0,(IF(Flujos!L12&lt;Vaciado!$H$68,0,P.Comercial!O52*Vaciado!$D$71)))&gt;L12*Vaciado!$G$69,Flujos!L12*Vaciado!$G$69,IF(Vaciado!$F$57&gt;Flujos!L1,0,(IF(Flujos!L12&lt;Vaciado!$H$68,0,P.Comercial!O52*Vaciado!$D$71))))</f>
        <v>7.3095555555555558</v>
      </c>
      <c r="M26" s="6">
        <f>IF(IF(Vaciado!$F$57&gt;Flujos!M1,0,(IF(Flujos!M12&lt;Vaciado!$H$68,0,P.Comercial!P52*Vaciado!$D$71)))&gt;M12*Vaciado!$G$69,Flujos!M12*Vaciado!$G$69,IF(Vaciado!$F$57&gt;Flujos!M1,0,(IF(Flujos!M12&lt;Vaciado!$H$68,0,P.Comercial!P52*Vaciado!$D$71))))</f>
        <v>7.3095555555555558</v>
      </c>
      <c r="N26" s="6">
        <f>IF(IF(Vaciado!$F$57&gt;Flujos!N1,0,(IF(Flujos!N12&lt;Vaciado!$H$68,0,P.Comercial!Q52*Vaciado!$D$71)))&gt;N12*Vaciado!$G$69,Flujos!N12*Vaciado!$G$69,IF(Vaciado!$F$57&gt;Flujos!N1,0,(IF(Flujos!N12&lt;Vaciado!$H$68,0,P.Comercial!Q52*Vaciado!$D$71))))</f>
        <v>7.482222222222223</v>
      </c>
      <c r="O26" s="6">
        <f>IF(IF(Vaciado!$F$57&gt;Flujos!O1,0,(IF(Flujos!O12&lt;Vaciado!$H$68,0,P.Comercial!R52*Vaciado!$D$71)))&gt;O12*Vaciado!$G$69,Flujos!O12*Vaciado!$G$69,IF(Vaciado!$F$57&gt;Flujos!O1,0,(IF(Flujos!O12&lt;Vaciado!$H$68,0,P.Comercial!R52*Vaciado!$D$71))))</f>
        <v>7.482222222222223</v>
      </c>
      <c r="P26" s="6">
        <f>IF(IF(Vaciado!$F$57&gt;Flujos!P1,0,(IF(Flujos!P12&lt;Vaciado!$H$68,0,P.Comercial!S52*Vaciado!$D$71)))&gt;P12*Vaciado!$G$69,Flujos!P12*Vaciado!$G$69,IF(Vaciado!$F$57&gt;Flujos!P1,0,(IF(Flujos!P12&lt;Vaciado!$H$68,0,P.Comercial!S52*Vaciado!$D$71))))</f>
        <v>7.564195423396967</v>
      </c>
      <c r="Q26" s="6">
        <f>IF(IF(Vaciado!$F$57&gt;Flujos!Q1,0,(IF(Flujos!Q12&lt;Vaciado!$H$68,0,P.Comercial!T52*Vaciado!$D$71)))&gt;Q12*Vaciado!$G$69,Flujos!Q12*Vaciado!$G$69,IF(Vaciado!$F$57&gt;Flujos!Q1,0,(IF(Flujos!Q12&lt;Vaciado!$H$68,0,P.Comercial!T52*Vaciado!$D$71))))</f>
        <v>7.482222222222223</v>
      </c>
      <c r="R26" s="6">
        <f>IF(IF(Vaciado!$F$57&gt;Flujos!R1,0,(IF(Flujos!R12&lt;Vaciado!$H$68,0,P.Comercial!U52*Vaciado!$D$71)))&gt;R12*Vaciado!$G$69,Flujos!R12*Vaciado!$G$69,IF(Vaciado!$F$57&gt;Flujos!R1,0,(IF(Flujos!R12&lt;Vaciado!$H$68,0,P.Comercial!U52*Vaciado!$D$71))))</f>
        <v>7.6461686245717084</v>
      </c>
      <c r="S26" s="6">
        <f>IF(IF(Vaciado!$F$57&gt;Flujos!S1,0,(IF(Flujos!S12&lt;Vaciado!$H$68,0,P.Comercial!V52*Vaciado!$D$71)))&gt;S12*Vaciado!$G$69,Flujos!S12*Vaciado!$G$69,IF(Vaciado!$F$57&gt;Flujos!S1,0,(IF(Flujos!S12&lt;Vaciado!$H$68,0,P.Comercial!V52*Vaciado!$D$71))))</f>
        <v>8.0560346304454242</v>
      </c>
      <c r="T26" s="6">
        <f>IF(IF(Vaciado!$F$57&gt;Flujos!T1,0,(IF(Flujos!T12&lt;Vaciado!$H$68,0,P.Comercial!W52*Vaciado!$D$71)))&gt;T12*Vaciado!$G$69,Flujos!T12*Vaciado!$G$69,IF(Vaciado!$F$57&gt;Flujos!T1,0,(IF(Flujos!T12&lt;Vaciado!$H$68,0,P.Comercial!W52*Vaciado!$D$71))))</f>
        <v>9.0397130445423404</v>
      </c>
      <c r="U26" s="6">
        <f>IF(IF(Vaciado!$F$57&gt;Flujos!U1,0,(IF(Flujos!U12&lt;Vaciado!$H$68,0,P.Comercial!X52*Vaciado!$D$71)))&gt;U12*Vaciado!$G$69,Flujos!U12*Vaciado!$G$69,IF(Vaciado!$F$57&gt;Flujos!U1,0,(IF(Flujos!U12&lt;Vaciado!$H$68,0,P.Comercial!X52*Vaciado!$D$71))))</f>
        <v>9.0828797112090065</v>
      </c>
      <c r="V26" s="6">
        <f>IF(IF(Vaciado!$F$57&gt;Flujos!V1,0,(IF(Flujos!V12&lt;Vaciado!$H$68,0,P.Comercial!Y52*Vaciado!$D$71)))&gt;V12*Vaciado!$G$69,Flujos!V12*Vaciado!$G$69,IF(Vaciado!$F$57&gt;Flujos!V1,0,(IF(Flujos!V12&lt;Vaciado!$H$68,0,P.Comercial!Y52*Vaciado!$D$71))))</f>
        <v>10.027751590797847</v>
      </c>
      <c r="W26" s="6">
        <f>IF(IF(Vaciado!$F$57&gt;Flujos!W1,0,(IF(Flujos!W12&lt;Vaciado!$H$68,0,P.Comercial!Z52*Vaciado!$D$71)))&gt;W12*Vaciado!$G$69,Flujos!W12*Vaciado!$G$69,IF(Vaciado!$F$57&gt;Flujos!W1,0,(IF(Flujos!W12&lt;Vaciado!$H$68,0,P.Comercial!Z52*Vaciado!$D$71))))</f>
        <v>10.398811062163485</v>
      </c>
      <c r="X26" s="6">
        <f>IF(IF(Vaciado!$F$57&gt;Flujos!X1,0,(IF(Flujos!X12&lt;Vaciado!$H$68,0,P.Comercial!AA52*Vaciado!$D$71)))&gt;X12*Vaciado!$G$69,Flujos!X12*Vaciado!$G$69,IF(Vaciado!$F$57&gt;Flujos!X1,0,(IF(Flujos!X12&lt;Vaciado!$H$68,0,P.Comercial!AA52*Vaciado!$D$71))))</f>
        <v>10.441977728830151</v>
      </c>
      <c r="Y26" s="6">
        <f>IF(IF(Vaciado!$F$57&gt;Flujos!Y1,0,(IF(Flujos!Y12&lt;Vaciado!$H$68,0,P.Comercial!AB52*Vaciado!$D$71)))&gt;Y12*Vaciado!$G$69,Flujos!Y12*Vaciado!$G$69,IF(Vaciado!$F$57&gt;Flujos!Y1,0,(IF(Flujos!Y12&lt;Vaciado!$H$68,0,P.Comercial!AB52*Vaciado!$D$71))))</f>
        <v>11.000092755751346</v>
      </c>
      <c r="Z26" s="6">
        <f>IF(IF(Vaciado!$F$57&gt;Flujos!Z1,0,(IF(Flujos!Z12&lt;Vaciado!$H$68,0,P.Comercial!AC52*Vaciado!$D$71)))&gt;Z12*Vaciado!$G$69,Flujos!Z12*Vaciado!$G$69,IF(Vaciado!$F$57&gt;Flujos!Z1,0,(IF(Flujos!Z12&lt;Vaciado!$H$68,0,P.Comercial!AC52*Vaciado!$D$71))))</f>
        <v>11.230314977973567</v>
      </c>
      <c r="AA26" s="6">
        <f>IF(IF(Vaciado!$F$57&gt;Flujos!AA1,0,(IF(Flujos!AA12&lt;Vaciado!$H$68,0,P.Comercial!AD52*Vaciado!$D$71)))&gt;AA12*Vaciado!$G$69,Flujos!AA12*Vaciado!$G$69,IF(Vaciado!$F$57&gt;Flujos!AA1,0,(IF(Flujos!AA12&lt;Vaciado!$H$68,0,P.Comercial!AD52*Vaciado!$D$71))))</f>
        <v>11.503703866862457</v>
      </c>
      <c r="AB26" s="6">
        <f>IF(IF(Vaciado!$F$57&gt;Flujos!AB1,0,(IF(Flujos!AB12&lt;Vaciado!$H$68,0,P.Comercial!AE52*Vaciado!$D$71)))&gt;AB12*Vaciado!$G$69,Flujos!AB12*Vaciado!$G$69,IF(Vaciado!$F$57&gt;Flujos!AB1,0,(IF(Flujos!AB12&lt;Vaciado!$H$68,0,P.Comercial!AE52*Vaciado!$D$71))))</f>
        <v>11.859065956926091</v>
      </c>
      <c r="AC26" s="6">
        <f>IF(IF(Vaciado!$F$57&gt;Flujos!AC1,0,(IF(Flujos!AC12&lt;Vaciado!$H$68,0,P.Comercial!AF52*Vaciado!$D$71)))&gt;AC12*Vaciado!$G$69,Flujos!AC12*Vaciado!$G$69,IF(Vaciado!$F$57&gt;Flujos!AC1,0,(IF(Flujos!AC12&lt;Vaciado!$H$68,0,P.Comercial!AF52*Vaciado!$D$71))))</f>
        <v>11.777092755751346</v>
      </c>
      <c r="AD26" s="6">
        <f>IF(IF(Vaciado!$F$57&gt;Flujos!AD1,0,(IF(Flujos!AD12&lt;Vaciado!$H$68,0,P.Comercial!AG52*Vaciado!$D$71)))&gt;AD12*Vaciado!$G$69,Flujos!AD12*Vaciado!$G$69,IF(Vaciado!$F$57&gt;Flujos!AD1,0,(IF(Flujos!AD12&lt;Vaciado!$H$68,0,P.Comercial!AG52*Vaciado!$D$71))))</f>
        <v>11.941039158100834</v>
      </c>
      <c r="AE26" s="6">
        <f>IF(IF(Vaciado!$F$57&gt;Flujos!AE1,0,(IF(Flujos!AE12&lt;Vaciado!$H$68,0,P.Comercial!AH52*Vaciado!$D$71)))&gt;AE12*Vaciado!$G$69,Flujos!AE12*Vaciado!$G$69,IF(Vaciado!$F$57&gt;Flujos!AE1,0,(IF(Flujos!AE12&lt;Vaciado!$H$68,0,P.Comercial!AH52*Vaciado!$D$71))))</f>
        <v>12.394071830641215</v>
      </c>
      <c r="AF26" s="6">
        <f>IF(IF(Vaciado!$F$57&gt;Flujos!AF1,0,(IF(Flujos!AF12&lt;Vaciado!$H$68,0,P.Comercial!AI52*Vaciado!$D$71)))&gt;AF12*Vaciado!$G$69,Flujos!AF12*Vaciado!$G$69,IF(Vaciado!$F$57&gt;Flujos!AF1,0,(IF(Flujos!AF12&lt;Vaciado!$H$68,0,P.Comercial!AI52*Vaciado!$D$71))))</f>
        <v>13.502890112579541</v>
      </c>
      <c r="AG26" s="6">
        <f>IF(IF(Vaciado!$F$57&gt;Flujos!AG1,0,(IF(Flujos!AG12&lt;Vaciado!$H$68,0,P.Comercial!AJ52*Vaciado!$D$71)))&gt;AG12*Vaciado!$G$69,Flujos!AG12*Vaciado!$G$69,IF(Vaciado!$F$57&gt;Flujos!AG1,0,(IF(Flujos!AG12&lt;Vaciado!$H$68,0,P.Comercial!AJ52*Vaciado!$D$71))))</f>
        <v>13.628029980420949</v>
      </c>
      <c r="AH26" s="6">
        <f>IF(IF(Vaciado!$F$57&gt;Flujos!AH1,0,(IF(Flujos!AH12&lt;Vaciado!$H$68,0,P.Comercial!AK52*Vaciado!$D$71)))&gt;AH12*Vaciado!$G$69,Flujos!AH12*Vaciado!$G$69,IF(Vaciado!$F$57&gt;Flujos!AH1,0,(IF(Flujos!AH12&lt;Vaciado!$H$68,0,P.Comercial!AK52*Vaciado!$D$71))))</f>
        <v>14.698041727851198</v>
      </c>
      <c r="AI26" s="6">
        <f>IF(IF(Vaciado!$F$57&gt;Flujos!AI1,0,(IF(Flujos!AI12&lt;Vaciado!$H$68,0,P.Comercial!AL52*Vaciado!$D$71)))&gt;AI12*Vaciado!$G$69,Flujos!AI12*Vaciado!$G$69,IF(Vaciado!$F$57&gt;Flujos!AI1,0,(IF(Flujos!AI12&lt;Vaciado!$H$68,0,P.Comercial!AL52*Vaciado!$D$71))))</f>
        <v>15.338129955947137</v>
      </c>
      <c r="AJ26" s="6">
        <f>IF(IF(Vaciado!$F$57&gt;Flujos!AJ1,0,(IF(Flujos!AJ12&lt;Vaciado!$H$68,0,P.Comercial!AM52*Vaciado!$D$71)))&gt;AJ12*Vaciado!$G$69,Flujos!AJ12*Vaciado!$G$69,IF(Vaciado!$F$57&gt;Flujos!AJ1,0,(IF(Flujos!AJ12&lt;Vaciado!$H$68,0,P.Comercial!AM52*Vaciado!$D$71))))</f>
        <v>15.857438448360254</v>
      </c>
      <c r="AK26" s="6">
        <f>IF(IF(Vaciado!$F$57&gt;Flujos!AK1,0,(IF(Flujos!AK12&lt;Vaciado!$H$68,0,P.Comercial!AN52*Vaciado!$D$71)))&gt;AK12*Vaciado!$G$69,Flujos!AK12*Vaciado!$G$69,IF(Vaciado!$F$57&gt;Flujos!AK1,0,(IF(Flujos!AK12&lt;Vaciado!$H$68,0,P.Comercial!AN52*Vaciado!$D$71))))</f>
        <v>16.747806412139013</v>
      </c>
      <c r="AL26" s="6">
        <f>IF(IF(Vaciado!$F$57&gt;Flujos!AL1,0,(IF(Flujos!AL12&lt;Vaciado!$H$68,0,P.Comercial!AO52*Vaciado!$D$71)))&gt;AL12*Vaciado!$G$69,Flujos!AL12*Vaciado!$G$69,IF(Vaciado!$F$57&gt;Flujos!AL1,0,(IF(Flujos!AL12&lt;Vaciado!$H$68,0,P.Comercial!AO52*Vaciado!$D$71))))</f>
        <v>17.435421439060207</v>
      </c>
      <c r="AM26" s="6">
        <f>IF(IF(Vaciado!$F$57&gt;Flujos!AM1,0,(IF(Flujos!AM12&lt;Vaciado!$H$68,0,P.Comercial!AP52*Vaciado!$D$71)))&gt;AM12*Vaciado!$G$69,Flujos!AM12*Vaciado!$G$69,IF(Vaciado!$F$57&gt;Flujos!AM1,0,(IF(Flujos!AM12&lt;Vaciado!$H$68,0,P.Comercial!AP52*Vaciado!$D$71))))</f>
        <v>18.310092021536956</v>
      </c>
      <c r="AN26" s="6">
        <f>IF(IF(Vaciado!$F$57&gt;Flujos!AN1,0,(IF(Flujos!AN12&lt;Vaciado!$H$68,0,P.Comercial!AQ52*Vaciado!$D$71)))&gt;AN12*Vaciado!$G$69,Flujos!AN12*Vaciado!$G$69,IF(Vaciado!$F$57&gt;Flujos!AN1,0,(IF(Flujos!AN12&lt;Vaciado!$H$68,0,P.Comercial!AQ52*Vaciado!$D$71))))</f>
        <v>18.982009667156145</v>
      </c>
    </row>
    <row r="27" spans="1:40" x14ac:dyDescent="0.35">
      <c r="A27" s="10" t="str">
        <f>Vaciado!C51</f>
        <v>Comisión Partner:</v>
      </c>
      <c r="B27" s="6">
        <f t="shared" si="7"/>
        <v>234.68464705265365</v>
      </c>
      <c r="C27" s="6">
        <f t="shared" si="8"/>
        <v>504.72315502412414</v>
      </c>
      <c r="D27" s="6">
        <f t="shared" si="9"/>
        <v>774.05170075519186</v>
      </c>
      <c r="E27" s="6">
        <f>E12*Vaciado!$D$51</f>
        <v>0.18499999999999997</v>
      </c>
      <c r="F27" s="6">
        <f>F12*Vaciado!$D$51</f>
        <v>0</v>
      </c>
      <c r="G27" s="6">
        <f>G12*Vaciado!$D$51</f>
        <v>0.80166666666666675</v>
      </c>
      <c r="H27" s="6">
        <f>H12*Vaciado!$D$51</f>
        <v>10.113333333333332</v>
      </c>
      <c r="I27" s="6">
        <f>I12*Vaciado!$D$51</f>
        <v>16.896666666666665</v>
      </c>
      <c r="J27" s="6">
        <f>J12*Vaciado!$D$51</f>
        <v>16.896666666666665</v>
      </c>
      <c r="K27" s="6">
        <f>K12*Vaciado!$D$51</f>
        <v>30.586666666666662</v>
      </c>
      <c r="L27" s="6">
        <f>L12*Vaciado!$D$51</f>
        <v>31.326666666666664</v>
      </c>
      <c r="M27" s="6">
        <f>M12*Vaciado!$D$51</f>
        <v>31.326666666666664</v>
      </c>
      <c r="N27" s="6">
        <f>N12*Vaciado!$D$51</f>
        <v>32.066666666666663</v>
      </c>
      <c r="O27" s="6">
        <f>O12*Vaciado!$D$51</f>
        <v>32.066666666666663</v>
      </c>
      <c r="P27" s="6">
        <f>P12*Vaciado!$D$51</f>
        <v>32.417980385987001</v>
      </c>
      <c r="Q27" s="6">
        <f>Q12*Vaciado!$D$51</f>
        <v>32.066666666666663</v>
      </c>
      <c r="R27" s="6">
        <f>R12*Vaciado!$D$51</f>
        <v>32.769294105307317</v>
      </c>
      <c r="S27" s="6">
        <f>S12*Vaciado!$D$51</f>
        <v>34.525862701908956</v>
      </c>
      <c r="T27" s="6">
        <f>T12*Vaciado!$D$51</f>
        <v>38.741627333752881</v>
      </c>
      <c r="U27" s="6">
        <f>U12*Vaciado!$D$51</f>
        <v>38.926627333752883</v>
      </c>
      <c r="V27" s="6">
        <f>V12*Vaciado!$D$51</f>
        <v>42.976078246276479</v>
      </c>
      <c r="W27" s="6">
        <f>W12*Vaciado!$D$51</f>
        <v>44.56633312355779</v>
      </c>
      <c r="X27" s="6">
        <f>X12*Vaciado!$D$51</f>
        <v>44.751333123557792</v>
      </c>
      <c r="Y27" s="6">
        <f>Y12*Vaciado!$D$51</f>
        <v>47.143254667505765</v>
      </c>
      <c r="Z27" s="6">
        <f>Z12*Vaciado!$D$51</f>
        <v>48.129921334172423</v>
      </c>
      <c r="AA27" s="6">
        <f>AA12*Vaciado!$D$51</f>
        <v>49.301588000839097</v>
      </c>
      <c r="AB27" s="6">
        <f>AB12*Vaciado!$D$51</f>
        <v>50.824568386826094</v>
      </c>
      <c r="AC27" s="6">
        <f>AC12*Vaciado!$D$51</f>
        <v>50.473254667505763</v>
      </c>
      <c r="AD27" s="6">
        <f>AD12*Vaciado!$D$51</f>
        <v>51.175882106146425</v>
      </c>
      <c r="AE27" s="6">
        <f>AE12*Vaciado!$D$51</f>
        <v>53.117450702748059</v>
      </c>
      <c r="AF27" s="6">
        <f>AF12*Vaciado!$D$51</f>
        <v>57.869529053912309</v>
      </c>
      <c r="AG27" s="6">
        <f>AG12*Vaciado!$D$51</f>
        <v>58.405842773232635</v>
      </c>
      <c r="AH27" s="6">
        <f>AH12*Vaciado!$D$51</f>
        <v>62.991607405076557</v>
      </c>
      <c r="AI27" s="6">
        <f>AI12*Vaciado!$D$51</f>
        <v>65.734842668344868</v>
      </c>
      <c r="AJ27" s="6">
        <f>AJ12*Vaciado!$D$51</f>
        <v>67.960450492972512</v>
      </c>
      <c r="AK27" s="6">
        <f>AK12*Vaciado!$D$51</f>
        <v>71.776313194881467</v>
      </c>
      <c r="AL27" s="6">
        <f>AL12*Vaciado!$D$51</f>
        <v>74.723234738829447</v>
      </c>
      <c r="AM27" s="6">
        <f>AM12*Vaciado!$D$51</f>
        <v>78.471822949444089</v>
      </c>
      <c r="AN27" s="6">
        <f>AN12*Vaciado!$D$51</f>
        <v>81.351470002097756</v>
      </c>
    </row>
    <row r="28" spans="1:40" x14ac:dyDescent="0.35">
      <c r="A28" s="13" t="s">
        <v>40</v>
      </c>
      <c r="B28" s="96">
        <f>SUM(B22:B27)</f>
        <v>385.07703789944759</v>
      </c>
      <c r="C28" s="96">
        <f t="shared" ref="C28:AN28" si="10">SUM(C22:C27)</f>
        <v>783.32729403538201</v>
      </c>
      <c r="D28" s="96">
        <f t="shared" si="10"/>
        <v>1180.1624944409482</v>
      </c>
      <c r="E28" s="6">
        <f t="shared" si="10"/>
        <v>3.6294444444444447</v>
      </c>
      <c r="F28" s="6">
        <f t="shared" si="10"/>
        <v>3.4444444444444446</v>
      </c>
      <c r="G28" s="6">
        <f t="shared" si="10"/>
        <v>4.2461111111111114</v>
      </c>
      <c r="H28" s="6">
        <f t="shared" si="10"/>
        <v>18.277333333333331</v>
      </c>
      <c r="I28" s="6">
        <f t="shared" si="10"/>
        <v>28.226222222222219</v>
      </c>
      <c r="J28" s="6">
        <f t="shared" si="10"/>
        <v>28.226222222222219</v>
      </c>
      <c r="K28" s="6">
        <f t="shared" si="10"/>
        <v>48.304888888888883</v>
      </c>
      <c r="L28" s="6">
        <f t="shared" si="10"/>
        <v>49.390222222222221</v>
      </c>
      <c r="M28" s="6">
        <f t="shared" si="10"/>
        <v>49.390222222222221</v>
      </c>
      <c r="N28" s="6">
        <f t="shared" si="10"/>
        <v>50.475555555555552</v>
      </c>
      <c r="O28" s="6">
        <f t="shared" si="10"/>
        <v>50.475555555555552</v>
      </c>
      <c r="P28" s="6">
        <f t="shared" si="10"/>
        <v>50.990815677225378</v>
      </c>
      <c r="Q28" s="6">
        <f t="shared" si="10"/>
        <v>50.62</v>
      </c>
      <c r="R28" s="6">
        <f t="shared" si="10"/>
        <v>51.650520243339628</v>
      </c>
      <c r="S28" s="6">
        <f t="shared" si="10"/>
        <v>54.226820851688693</v>
      </c>
      <c r="T28" s="6">
        <f t="shared" si="10"/>
        <v>60.409942311726454</v>
      </c>
      <c r="U28" s="6">
        <f t="shared" si="10"/>
        <v>60.681275645059785</v>
      </c>
      <c r="V28" s="6">
        <f t="shared" si="10"/>
        <v>66.620470316761057</v>
      </c>
      <c r="W28" s="6">
        <f t="shared" si="10"/>
        <v>68.952844136773649</v>
      </c>
      <c r="X28" s="6">
        <f t="shared" si="10"/>
        <v>69.22417747010698</v>
      </c>
      <c r="Y28" s="6">
        <f t="shared" si="10"/>
        <v>72.732329067897354</v>
      </c>
      <c r="Z28" s="6">
        <f t="shared" si="10"/>
        <v>74.179440179008452</v>
      </c>
      <c r="AA28" s="6">
        <f t="shared" si="10"/>
        <v>75.897884623452896</v>
      </c>
      <c r="AB28" s="6">
        <f t="shared" si="10"/>
        <v>78.131589189567165</v>
      </c>
      <c r="AC28" s="6">
        <f t="shared" si="10"/>
        <v>77.76799573456401</v>
      </c>
      <c r="AD28" s="6">
        <f t="shared" si="10"/>
        <v>78.798515977903648</v>
      </c>
      <c r="AE28" s="6">
        <f t="shared" si="10"/>
        <v>81.646149919586037</v>
      </c>
      <c r="AF28" s="6">
        <f t="shared" si="10"/>
        <v>88.615864834626947</v>
      </c>
      <c r="AG28" s="6">
        <f t="shared" si="10"/>
        <v>89.40245828963009</v>
      </c>
      <c r="AH28" s="6">
        <f t="shared" si="10"/>
        <v>96.12824641633452</v>
      </c>
      <c r="AI28" s="6">
        <f t="shared" si="10"/>
        <v>100.15165813579469</v>
      </c>
      <c r="AJ28" s="6">
        <f t="shared" si="10"/>
        <v>103.41588294524857</v>
      </c>
      <c r="AK28" s="6">
        <f t="shared" si="10"/>
        <v>109.01248157471505</v>
      </c>
      <c r="AL28" s="6">
        <f t="shared" si="10"/>
        <v>113.33463317250542</v>
      </c>
      <c r="AM28" s="6">
        <f t="shared" si="10"/>
        <v>118.83256254807355</v>
      </c>
      <c r="AN28" s="6">
        <f t="shared" si="10"/>
        <v>123.0560448919656</v>
      </c>
    </row>
    <row r="29" spans="1:40" x14ac:dyDescent="0.35">
      <c r="A29" s="10"/>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35">
      <c r="A30" s="23" t="str">
        <f>Vaciado!C39</f>
        <v>Costos de Cloud mensual:</v>
      </c>
      <c r="B30" s="2">
        <f t="shared" ref="B30:B43" si="11">SUM(E30:P30)</f>
        <v>1.5</v>
      </c>
      <c r="C30" s="2">
        <f t="shared" ref="C30:C43" si="12">SUM(Q30:AB30)</f>
        <v>1.5</v>
      </c>
      <c r="D30" s="2">
        <f t="shared" ref="D30:D43" si="13">SUM(AC30:AN30)</f>
        <v>1.5</v>
      </c>
      <c r="E30" s="6">
        <f>Vaciado!$D$39/1000</f>
        <v>0.125</v>
      </c>
      <c r="F30" s="6">
        <f>Vaciado!$D$39/1000</f>
        <v>0.125</v>
      </c>
      <c r="G30" s="6">
        <f>Vaciado!$D$39/1000</f>
        <v>0.125</v>
      </c>
      <c r="H30" s="6">
        <f>Vaciado!$D$39/1000</f>
        <v>0.125</v>
      </c>
      <c r="I30" s="6">
        <f>Vaciado!$D$39/1000</f>
        <v>0.125</v>
      </c>
      <c r="J30" s="6">
        <f>Vaciado!$D$39/1000</f>
        <v>0.125</v>
      </c>
      <c r="K30" s="6">
        <f>Vaciado!$D$39/1000</f>
        <v>0.125</v>
      </c>
      <c r="L30" s="6">
        <f>Vaciado!$D$39/1000</f>
        <v>0.125</v>
      </c>
      <c r="M30" s="6">
        <f>Vaciado!$D$39/1000</f>
        <v>0.125</v>
      </c>
      <c r="N30" s="6">
        <f>Vaciado!$D$39/1000</f>
        <v>0.125</v>
      </c>
      <c r="O30" s="6">
        <f>Vaciado!$D$39/1000</f>
        <v>0.125</v>
      </c>
      <c r="P30" s="6">
        <f>Vaciado!$D$39/1000</f>
        <v>0.125</v>
      </c>
      <c r="Q30" s="6">
        <f>Vaciado!$D$39/1000</f>
        <v>0.125</v>
      </c>
      <c r="R30" s="6">
        <f>Vaciado!$D$39/1000</f>
        <v>0.125</v>
      </c>
      <c r="S30" s="6">
        <f>Vaciado!$D$39/1000</f>
        <v>0.125</v>
      </c>
      <c r="T30" s="6">
        <f>Vaciado!$D$39/1000</f>
        <v>0.125</v>
      </c>
      <c r="U30" s="6">
        <f>Vaciado!$D$39/1000</f>
        <v>0.125</v>
      </c>
      <c r="V30" s="6">
        <f>Vaciado!$D$39/1000</f>
        <v>0.125</v>
      </c>
      <c r="W30" s="6">
        <f>Vaciado!$D$39/1000</f>
        <v>0.125</v>
      </c>
      <c r="X30" s="6">
        <f>Vaciado!$D$39/1000</f>
        <v>0.125</v>
      </c>
      <c r="Y30" s="6">
        <f>Vaciado!$D$39/1000</f>
        <v>0.125</v>
      </c>
      <c r="Z30" s="6">
        <f>Vaciado!$D$39/1000</f>
        <v>0.125</v>
      </c>
      <c r="AA30" s="6">
        <f>Vaciado!$D$39/1000</f>
        <v>0.125</v>
      </c>
      <c r="AB30" s="6">
        <f>Vaciado!$D$39/1000</f>
        <v>0.125</v>
      </c>
      <c r="AC30" s="6">
        <f>Vaciado!$D$39/1000</f>
        <v>0.125</v>
      </c>
      <c r="AD30" s="6">
        <f>Vaciado!$D$39/1000</f>
        <v>0.125</v>
      </c>
      <c r="AE30" s="6">
        <f>Vaciado!$D$39/1000</f>
        <v>0.125</v>
      </c>
      <c r="AF30" s="6">
        <f>Vaciado!$D$39/1000</f>
        <v>0.125</v>
      </c>
      <c r="AG30" s="6">
        <f>Vaciado!$D$39/1000</f>
        <v>0.125</v>
      </c>
      <c r="AH30" s="6">
        <f>Vaciado!$D$39/1000</f>
        <v>0.125</v>
      </c>
      <c r="AI30" s="6">
        <f>Vaciado!$D$39/1000</f>
        <v>0.125</v>
      </c>
      <c r="AJ30" s="6">
        <f>Vaciado!$D$39/1000</f>
        <v>0.125</v>
      </c>
      <c r="AK30" s="6">
        <f>Vaciado!$D$39/1000</f>
        <v>0.125</v>
      </c>
      <c r="AL30" s="6">
        <f>Vaciado!$D$39/1000</f>
        <v>0.125</v>
      </c>
      <c r="AM30" s="6">
        <f>Vaciado!$D$39/1000</f>
        <v>0.125</v>
      </c>
      <c r="AN30" s="6">
        <f>Vaciado!$D$39/1000</f>
        <v>0.125</v>
      </c>
    </row>
    <row r="31" spans="1:40" x14ac:dyDescent="0.35">
      <c r="A31" s="23" t="str">
        <f>Vaciado!C40</f>
        <v>Costos de Hosting mensual:</v>
      </c>
      <c r="B31" s="2">
        <f t="shared" si="11"/>
        <v>0.75599999999999978</v>
      </c>
      <c r="C31" s="2">
        <f t="shared" si="12"/>
        <v>0.75599999999999978</v>
      </c>
      <c r="D31" s="2">
        <f t="shared" si="13"/>
        <v>0.75599999999999978</v>
      </c>
      <c r="E31" s="6">
        <f>Vaciado!$D$40/1000</f>
        <v>6.3E-2</v>
      </c>
      <c r="F31" s="6">
        <f>Vaciado!$D$40/1000</f>
        <v>6.3E-2</v>
      </c>
      <c r="G31" s="6">
        <f>Vaciado!$D$40/1000</f>
        <v>6.3E-2</v>
      </c>
      <c r="H31" s="6">
        <f>Vaciado!$D$40/1000</f>
        <v>6.3E-2</v>
      </c>
      <c r="I31" s="6">
        <f>Vaciado!$D$40/1000</f>
        <v>6.3E-2</v>
      </c>
      <c r="J31" s="6">
        <f>Vaciado!$D$40/1000</f>
        <v>6.3E-2</v>
      </c>
      <c r="K31" s="6">
        <f>Vaciado!$D$40/1000</f>
        <v>6.3E-2</v>
      </c>
      <c r="L31" s="6">
        <f>Vaciado!$D$40/1000</f>
        <v>6.3E-2</v>
      </c>
      <c r="M31" s="6">
        <f>Vaciado!$D$40/1000</f>
        <v>6.3E-2</v>
      </c>
      <c r="N31" s="6">
        <f>Vaciado!$D$40/1000</f>
        <v>6.3E-2</v>
      </c>
      <c r="O31" s="6">
        <f>Vaciado!$D$40/1000</f>
        <v>6.3E-2</v>
      </c>
      <c r="P31" s="6">
        <f>Vaciado!$D$40/1000</f>
        <v>6.3E-2</v>
      </c>
      <c r="Q31" s="6">
        <f>Vaciado!$D$40/1000</f>
        <v>6.3E-2</v>
      </c>
      <c r="R31" s="6">
        <f>Vaciado!$D$40/1000</f>
        <v>6.3E-2</v>
      </c>
      <c r="S31" s="6">
        <f>Vaciado!$D$40/1000</f>
        <v>6.3E-2</v>
      </c>
      <c r="T31" s="6">
        <f>Vaciado!$D$40/1000</f>
        <v>6.3E-2</v>
      </c>
      <c r="U31" s="6">
        <f>Vaciado!$D$40/1000</f>
        <v>6.3E-2</v>
      </c>
      <c r="V31" s="6">
        <f>Vaciado!$D$40/1000</f>
        <v>6.3E-2</v>
      </c>
      <c r="W31" s="6">
        <f>Vaciado!$D$40/1000</f>
        <v>6.3E-2</v>
      </c>
      <c r="X31" s="6">
        <f>Vaciado!$D$40/1000</f>
        <v>6.3E-2</v>
      </c>
      <c r="Y31" s="6">
        <f>Vaciado!$D$40/1000</f>
        <v>6.3E-2</v>
      </c>
      <c r="Z31" s="6">
        <f>Vaciado!$D$40/1000</f>
        <v>6.3E-2</v>
      </c>
      <c r="AA31" s="6">
        <f>Vaciado!$D$40/1000</f>
        <v>6.3E-2</v>
      </c>
      <c r="AB31" s="6">
        <f>Vaciado!$D$40/1000</f>
        <v>6.3E-2</v>
      </c>
      <c r="AC31" s="6">
        <f>Vaciado!$D$40/1000</f>
        <v>6.3E-2</v>
      </c>
      <c r="AD31" s="6">
        <f>Vaciado!$D$40/1000</f>
        <v>6.3E-2</v>
      </c>
      <c r="AE31" s="6">
        <f>Vaciado!$D$40/1000</f>
        <v>6.3E-2</v>
      </c>
      <c r="AF31" s="6">
        <f>Vaciado!$D$40/1000</f>
        <v>6.3E-2</v>
      </c>
      <c r="AG31" s="6">
        <f>Vaciado!$D$40/1000</f>
        <v>6.3E-2</v>
      </c>
      <c r="AH31" s="6">
        <f>Vaciado!$D$40/1000</f>
        <v>6.3E-2</v>
      </c>
      <c r="AI31" s="6">
        <f>Vaciado!$D$40/1000</f>
        <v>6.3E-2</v>
      </c>
      <c r="AJ31" s="6">
        <f>Vaciado!$D$40/1000</f>
        <v>6.3E-2</v>
      </c>
      <c r="AK31" s="6">
        <f>Vaciado!$D$40/1000</f>
        <v>6.3E-2</v>
      </c>
      <c r="AL31" s="6">
        <f>Vaciado!$D$40/1000</f>
        <v>6.3E-2</v>
      </c>
      <c r="AM31" s="6">
        <f>Vaciado!$D$40/1000</f>
        <v>6.3E-2</v>
      </c>
      <c r="AN31" s="6">
        <f>Vaciado!$D$40/1000</f>
        <v>6.3E-2</v>
      </c>
    </row>
    <row r="32" spans="1:40" x14ac:dyDescent="0.35">
      <c r="A32" s="23" t="str">
        <f>Vaciado!C41</f>
        <v>Costos de correos mensual:</v>
      </c>
      <c r="B32" s="2">
        <f t="shared" si="11"/>
        <v>1.5</v>
      </c>
      <c r="C32" s="2">
        <f t="shared" si="12"/>
        <v>1.5</v>
      </c>
      <c r="D32" s="2">
        <f t="shared" si="13"/>
        <v>1.5</v>
      </c>
      <c r="E32" s="6">
        <f>Vaciado!$D$41/1000</f>
        <v>0.125</v>
      </c>
      <c r="F32" s="6">
        <f>Vaciado!$D$41/1000</f>
        <v>0.125</v>
      </c>
      <c r="G32" s="6">
        <f>Vaciado!$D$41/1000</f>
        <v>0.125</v>
      </c>
      <c r="H32" s="6">
        <f>Vaciado!$D$41/1000</f>
        <v>0.125</v>
      </c>
      <c r="I32" s="6">
        <f>Vaciado!$D$41/1000</f>
        <v>0.125</v>
      </c>
      <c r="J32" s="6">
        <f>Vaciado!$D$41/1000</f>
        <v>0.125</v>
      </c>
      <c r="K32" s="6">
        <f>Vaciado!$D$41/1000</f>
        <v>0.125</v>
      </c>
      <c r="L32" s="6">
        <f>Vaciado!$D$41/1000</f>
        <v>0.125</v>
      </c>
      <c r="M32" s="6">
        <f>Vaciado!$D$41/1000</f>
        <v>0.125</v>
      </c>
      <c r="N32" s="6">
        <f>Vaciado!$D$41/1000</f>
        <v>0.125</v>
      </c>
      <c r="O32" s="6">
        <f>Vaciado!$D$41/1000</f>
        <v>0.125</v>
      </c>
      <c r="P32" s="6">
        <f>Vaciado!$D$41/1000</f>
        <v>0.125</v>
      </c>
      <c r="Q32" s="6">
        <f>Vaciado!$D$41/1000</f>
        <v>0.125</v>
      </c>
      <c r="R32" s="6">
        <f>Vaciado!$D$41/1000</f>
        <v>0.125</v>
      </c>
      <c r="S32" s="6">
        <f>Vaciado!$D$41/1000</f>
        <v>0.125</v>
      </c>
      <c r="T32" s="6">
        <f>Vaciado!$D$41/1000</f>
        <v>0.125</v>
      </c>
      <c r="U32" s="6">
        <f>Vaciado!$D$41/1000</f>
        <v>0.125</v>
      </c>
      <c r="V32" s="6">
        <f>Vaciado!$D$41/1000</f>
        <v>0.125</v>
      </c>
      <c r="W32" s="6">
        <f>Vaciado!$D$41/1000</f>
        <v>0.125</v>
      </c>
      <c r="X32" s="6">
        <f>Vaciado!$D$41/1000</f>
        <v>0.125</v>
      </c>
      <c r="Y32" s="6">
        <f>Vaciado!$D$41/1000</f>
        <v>0.125</v>
      </c>
      <c r="Z32" s="6">
        <f>Vaciado!$D$41/1000</f>
        <v>0.125</v>
      </c>
      <c r="AA32" s="6">
        <f>Vaciado!$D$41/1000</f>
        <v>0.125</v>
      </c>
      <c r="AB32" s="6">
        <f>Vaciado!$D$41/1000</f>
        <v>0.125</v>
      </c>
      <c r="AC32" s="6">
        <f>Vaciado!$D$41/1000</f>
        <v>0.125</v>
      </c>
      <c r="AD32" s="6">
        <f>Vaciado!$D$41/1000</f>
        <v>0.125</v>
      </c>
      <c r="AE32" s="6">
        <f>Vaciado!$D$41/1000</f>
        <v>0.125</v>
      </c>
      <c r="AF32" s="6">
        <f>Vaciado!$D$41/1000</f>
        <v>0.125</v>
      </c>
      <c r="AG32" s="6">
        <f>Vaciado!$D$41/1000</f>
        <v>0.125</v>
      </c>
      <c r="AH32" s="6">
        <f>Vaciado!$D$41/1000</f>
        <v>0.125</v>
      </c>
      <c r="AI32" s="6">
        <f>Vaciado!$D$41/1000</f>
        <v>0.125</v>
      </c>
      <c r="AJ32" s="6">
        <f>Vaciado!$D$41/1000</f>
        <v>0.125</v>
      </c>
      <c r="AK32" s="6">
        <f>Vaciado!$D$41/1000</f>
        <v>0.125</v>
      </c>
      <c r="AL32" s="6">
        <f>Vaciado!$D$41/1000</f>
        <v>0.125</v>
      </c>
      <c r="AM32" s="6">
        <f>Vaciado!$D$41/1000</f>
        <v>0.125</v>
      </c>
      <c r="AN32" s="6">
        <f>Vaciado!$D$41/1000</f>
        <v>0.125</v>
      </c>
    </row>
    <row r="33" spans="1:40" x14ac:dyDescent="0.35">
      <c r="A33" s="23" t="str">
        <f>Vaciado!C42</f>
        <v>Costos de Herramientas mensual:</v>
      </c>
      <c r="B33" s="2">
        <f t="shared" si="11"/>
        <v>1.5</v>
      </c>
      <c r="C33" s="2">
        <f t="shared" si="12"/>
        <v>1.5</v>
      </c>
      <c r="D33" s="2">
        <f t="shared" si="13"/>
        <v>1.5</v>
      </c>
      <c r="E33" s="6">
        <f>Vaciado!$D$42/1000</f>
        <v>0.125</v>
      </c>
      <c r="F33" s="6">
        <f>Vaciado!$D$42/1000</f>
        <v>0.125</v>
      </c>
      <c r="G33" s="6">
        <f>Vaciado!$D$42/1000</f>
        <v>0.125</v>
      </c>
      <c r="H33" s="6">
        <f>Vaciado!$D$42/1000</f>
        <v>0.125</v>
      </c>
      <c r="I33" s="6">
        <f>Vaciado!$D$42/1000</f>
        <v>0.125</v>
      </c>
      <c r="J33" s="6">
        <f>Vaciado!$D$42/1000</f>
        <v>0.125</v>
      </c>
      <c r="K33" s="6">
        <f>Vaciado!$D$42/1000</f>
        <v>0.125</v>
      </c>
      <c r="L33" s="6">
        <f>Vaciado!$D$42/1000</f>
        <v>0.125</v>
      </c>
      <c r="M33" s="6">
        <f>Vaciado!$D$42/1000</f>
        <v>0.125</v>
      </c>
      <c r="N33" s="6">
        <f>Vaciado!$D$42/1000</f>
        <v>0.125</v>
      </c>
      <c r="O33" s="6">
        <f>Vaciado!$D$42/1000</f>
        <v>0.125</v>
      </c>
      <c r="P33" s="6">
        <f>Vaciado!$D$42/1000</f>
        <v>0.125</v>
      </c>
      <c r="Q33" s="6">
        <f>Vaciado!$D$42/1000</f>
        <v>0.125</v>
      </c>
      <c r="R33" s="6">
        <f>Vaciado!$D$42/1000</f>
        <v>0.125</v>
      </c>
      <c r="S33" s="6">
        <f>Vaciado!$D$42/1000</f>
        <v>0.125</v>
      </c>
      <c r="T33" s="6">
        <f>Vaciado!$D$42/1000</f>
        <v>0.125</v>
      </c>
      <c r="U33" s="6">
        <f>Vaciado!$D$42/1000</f>
        <v>0.125</v>
      </c>
      <c r="V33" s="6">
        <f>Vaciado!$D$42/1000</f>
        <v>0.125</v>
      </c>
      <c r="W33" s="6">
        <f>Vaciado!$D$42/1000</f>
        <v>0.125</v>
      </c>
      <c r="X33" s="6">
        <f>Vaciado!$D$42/1000</f>
        <v>0.125</v>
      </c>
      <c r="Y33" s="6">
        <f>Vaciado!$D$42/1000</f>
        <v>0.125</v>
      </c>
      <c r="Z33" s="6">
        <f>Vaciado!$D$42/1000</f>
        <v>0.125</v>
      </c>
      <c r="AA33" s="6">
        <f>Vaciado!$D$42/1000</f>
        <v>0.125</v>
      </c>
      <c r="AB33" s="6">
        <f>Vaciado!$D$42/1000</f>
        <v>0.125</v>
      </c>
      <c r="AC33" s="6">
        <f>Vaciado!$D$42/1000</f>
        <v>0.125</v>
      </c>
      <c r="AD33" s="6">
        <f>Vaciado!$D$42/1000</f>
        <v>0.125</v>
      </c>
      <c r="AE33" s="6">
        <f>Vaciado!$D$42/1000</f>
        <v>0.125</v>
      </c>
      <c r="AF33" s="6">
        <f>Vaciado!$D$42/1000</f>
        <v>0.125</v>
      </c>
      <c r="AG33" s="6">
        <f>Vaciado!$D$42/1000</f>
        <v>0.125</v>
      </c>
      <c r="AH33" s="6">
        <f>Vaciado!$D$42/1000</f>
        <v>0.125</v>
      </c>
      <c r="AI33" s="6">
        <f>Vaciado!$D$42/1000</f>
        <v>0.125</v>
      </c>
      <c r="AJ33" s="6">
        <f>Vaciado!$D$42/1000</f>
        <v>0.125</v>
      </c>
      <c r="AK33" s="6">
        <f>Vaciado!$D$42/1000</f>
        <v>0.125</v>
      </c>
      <c r="AL33" s="6">
        <f>Vaciado!$D$42/1000</f>
        <v>0.125</v>
      </c>
      <c r="AM33" s="6">
        <f>Vaciado!$D$42/1000</f>
        <v>0.125</v>
      </c>
      <c r="AN33" s="6">
        <f>Vaciado!$D$42/1000</f>
        <v>0.125</v>
      </c>
    </row>
    <row r="34" spans="1:40" x14ac:dyDescent="0.35">
      <c r="A34" s="23" t="str">
        <f>Vaciado!C43</f>
        <v>Costos de Licencias mensual:</v>
      </c>
      <c r="B34" s="2">
        <f t="shared" si="11"/>
        <v>1.5</v>
      </c>
      <c r="C34" s="2">
        <f t="shared" si="12"/>
        <v>1.5</v>
      </c>
      <c r="D34" s="2">
        <f t="shared" si="13"/>
        <v>1.5</v>
      </c>
      <c r="E34" s="6">
        <f>Vaciado!$D$43/1000</f>
        <v>0.125</v>
      </c>
      <c r="F34" s="6">
        <f>Vaciado!$D$43/1000</f>
        <v>0.125</v>
      </c>
      <c r="G34" s="6">
        <f>Vaciado!$D$43/1000</f>
        <v>0.125</v>
      </c>
      <c r="H34" s="6">
        <f>Vaciado!$D$43/1000</f>
        <v>0.125</v>
      </c>
      <c r="I34" s="6">
        <f>Vaciado!$D$43/1000</f>
        <v>0.125</v>
      </c>
      <c r="J34" s="6">
        <f>Vaciado!$D$43/1000</f>
        <v>0.125</v>
      </c>
      <c r="K34" s="6">
        <f>Vaciado!$D$43/1000</f>
        <v>0.125</v>
      </c>
      <c r="L34" s="6">
        <f>Vaciado!$D$43/1000</f>
        <v>0.125</v>
      </c>
      <c r="M34" s="6">
        <f>Vaciado!$D$43/1000</f>
        <v>0.125</v>
      </c>
      <c r="N34" s="6">
        <f>Vaciado!$D$43/1000</f>
        <v>0.125</v>
      </c>
      <c r="O34" s="6">
        <f>Vaciado!$D$43/1000</f>
        <v>0.125</v>
      </c>
      <c r="P34" s="6">
        <f>Vaciado!$D$43/1000</f>
        <v>0.125</v>
      </c>
      <c r="Q34" s="6">
        <f>Vaciado!$D$43/1000</f>
        <v>0.125</v>
      </c>
      <c r="R34" s="6">
        <f>Vaciado!$D$43/1000</f>
        <v>0.125</v>
      </c>
      <c r="S34" s="6">
        <f>Vaciado!$D$43/1000</f>
        <v>0.125</v>
      </c>
      <c r="T34" s="6">
        <f>Vaciado!$D$43/1000</f>
        <v>0.125</v>
      </c>
      <c r="U34" s="6">
        <f>Vaciado!$D$43/1000</f>
        <v>0.125</v>
      </c>
      <c r="V34" s="6">
        <f>Vaciado!$D$43/1000</f>
        <v>0.125</v>
      </c>
      <c r="W34" s="6">
        <f>Vaciado!$D$43/1000</f>
        <v>0.125</v>
      </c>
      <c r="X34" s="6">
        <f>Vaciado!$D$43/1000</f>
        <v>0.125</v>
      </c>
      <c r="Y34" s="6">
        <f>Vaciado!$D$43/1000</f>
        <v>0.125</v>
      </c>
      <c r="Z34" s="6">
        <f>Vaciado!$D$43/1000</f>
        <v>0.125</v>
      </c>
      <c r="AA34" s="6">
        <f>Vaciado!$D$43/1000</f>
        <v>0.125</v>
      </c>
      <c r="AB34" s="6">
        <f>Vaciado!$D$43/1000</f>
        <v>0.125</v>
      </c>
      <c r="AC34" s="6">
        <f>Vaciado!$D$43/1000</f>
        <v>0.125</v>
      </c>
      <c r="AD34" s="6">
        <f>Vaciado!$D$43/1000</f>
        <v>0.125</v>
      </c>
      <c r="AE34" s="6">
        <f>Vaciado!$D$43/1000</f>
        <v>0.125</v>
      </c>
      <c r="AF34" s="6">
        <f>Vaciado!$D$43/1000</f>
        <v>0.125</v>
      </c>
      <c r="AG34" s="6">
        <f>Vaciado!$D$43/1000</f>
        <v>0.125</v>
      </c>
      <c r="AH34" s="6">
        <f>Vaciado!$D$43/1000</f>
        <v>0.125</v>
      </c>
      <c r="AI34" s="6">
        <f>Vaciado!$D$43/1000</f>
        <v>0.125</v>
      </c>
      <c r="AJ34" s="6">
        <f>Vaciado!$D$43/1000</f>
        <v>0.125</v>
      </c>
      <c r="AK34" s="6">
        <f>Vaciado!$D$43/1000</f>
        <v>0.125</v>
      </c>
      <c r="AL34" s="6">
        <f>Vaciado!$D$43/1000</f>
        <v>0.125</v>
      </c>
      <c r="AM34" s="6">
        <f>Vaciado!$D$43/1000</f>
        <v>0.125</v>
      </c>
      <c r="AN34" s="6">
        <f>Vaciado!$D$43/1000</f>
        <v>0.125</v>
      </c>
    </row>
    <row r="35" spans="1:40" x14ac:dyDescent="0.35">
      <c r="A35" s="23" t="str">
        <f>Vaciado!C44</f>
        <v>Otros gastos I+D:</v>
      </c>
      <c r="B35" s="6">
        <f t="shared" si="11"/>
        <v>12</v>
      </c>
      <c r="C35" s="6">
        <f t="shared" si="12"/>
        <v>12</v>
      </c>
      <c r="D35" s="6">
        <f t="shared" si="13"/>
        <v>12</v>
      </c>
      <c r="E35" s="6">
        <f>Vaciado!$D$44/1000</f>
        <v>1</v>
      </c>
      <c r="F35" s="6">
        <f>Vaciado!$D$44/1000</f>
        <v>1</v>
      </c>
      <c r="G35" s="6">
        <f>Vaciado!$D$44/1000</f>
        <v>1</v>
      </c>
      <c r="H35" s="6">
        <f>Vaciado!$D$44/1000</f>
        <v>1</v>
      </c>
      <c r="I35" s="6">
        <f>Vaciado!$D$44/1000</f>
        <v>1</v>
      </c>
      <c r="J35" s="6">
        <f>Vaciado!$D$44/1000</f>
        <v>1</v>
      </c>
      <c r="K35" s="6">
        <f>Vaciado!$D$44/1000</f>
        <v>1</v>
      </c>
      <c r="L35" s="6">
        <f>Vaciado!$D$44/1000</f>
        <v>1</v>
      </c>
      <c r="M35" s="6">
        <f>Vaciado!$D$44/1000</f>
        <v>1</v>
      </c>
      <c r="N35" s="6">
        <f>Vaciado!$D$44/1000</f>
        <v>1</v>
      </c>
      <c r="O35" s="6">
        <f>Vaciado!$D$44/1000</f>
        <v>1</v>
      </c>
      <c r="P35" s="6">
        <f>Vaciado!$D$44/1000</f>
        <v>1</v>
      </c>
      <c r="Q35" s="6">
        <f>Vaciado!$D$44/1000</f>
        <v>1</v>
      </c>
      <c r="R35" s="6">
        <f>Vaciado!$D$44/1000</f>
        <v>1</v>
      </c>
      <c r="S35" s="6">
        <f>Vaciado!$D$44/1000</f>
        <v>1</v>
      </c>
      <c r="T35" s="6">
        <f>Vaciado!$D$44/1000</f>
        <v>1</v>
      </c>
      <c r="U35" s="6">
        <f>Vaciado!$D$44/1000</f>
        <v>1</v>
      </c>
      <c r="V35" s="6">
        <f>Vaciado!$D$44/1000</f>
        <v>1</v>
      </c>
      <c r="W35" s="6">
        <f>Vaciado!$D$44/1000</f>
        <v>1</v>
      </c>
      <c r="X35" s="6">
        <f>Vaciado!$D$44/1000</f>
        <v>1</v>
      </c>
      <c r="Y35" s="6">
        <f>Vaciado!$D$44/1000</f>
        <v>1</v>
      </c>
      <c r="Z35" s="6">
        <f>Vaciado!$D$44/1000</f>
        <v>1</v>
      </c>
      <c r="AA35" s="6">
        <f>Vaciado!$D$44/1000</f>
        <v>1</v>
      </c>
      <c r="AB35" s="6">
        <f>Vaciado!$D$44/1000</f>
        <v>1</v>
      </c>
      <c r="AC35" s="6">
        <f>Vaciado!$D$44/1000</f>
        <v>1</v>
      </c>
      <c r="AD35" s="6">
        <f>Vaciado!$D$44/1000</f>
        <v>1</v>
      </c>
      <c r="AE35" s="6">
        <f>Vaciado!$D$44/1000</f>
        <v>1</v>
      </c>
      <c r="AF35" s="6">
        <f>Vaciado!$D$44/1000</f>
        <v>1</v>
      </c>
      <c r="AG35" s="6">
        <f>Vaciado!$D$44/1000</f>
        <v>1</v>
      </c>
      <c r="AH35" s="6">
        <f>Vaciado!$D$44/1000</f>
        <v>1</v>
      </c>
      <c r="AI35" s="6">
        <f>Vaciado!$D$44/1000</f>
        <v>1</v>
      </c>
      <c r="AJ35" s="6">
        <f>Vaciado!$D$44/1000</f>
        <v>1</v>
      </c>
      <c r="AK35" s="6">
        <f>Vaciado!$D$44/1000</f>
        <v>1</v>
      </c>
      <c r="AL35" s="6">
        <f>Vaciado!$D$44/1000</f>
        <v>1</v>
      </c>
      <c r="AM35" s="6">
        <f>Vaciado!$D$44/1000</f>
        <v>1</v>
      </c>
      <c r="AN35" s="6">
        <f>Vaciado!$D$44/1000</f>
        <v>1</v>
      </c>
    </row>
    <row r="36" spans="1:40" x14ac:dyDescent="0.35">
      <c r="A36" s="23" t="str">
        <f>Vaciado!C45</f>
        <v>Compra de equipos</v>
      </c>
      <c r="B36" s="6">
        <f t="shared" si="11"/>
        <v>12</v>
      </c>
      <c r="C36" s="6">
        <f t="shared" si="12"/>
        <v>12</v>
      </c>
      <c r="D36" s="6">
        <f t="shared" si="13"/>
        <v>12</v>
      </c>
      <c r="E36" s="6">
        <f>Vaciado!$D$45/1000</f>
        <v>1</v>
      </c>
      <c r="F36" s="6">
        <f>Vaciado!$D$45/1000</f>
        <v>1</v>
      </c>
      <c r="G36" s="6">
        <f>Vaciado!$D$45/1000</f>
        <v>1</v>
      </c>
      <c r="H36" s="6">
        <f>Vaciado!$D$45/1000</f>
        <v>1</v>
      </c>
      <c r="I36" s="6">
        <f>Vaciado!$D$45/1000</f>
        <v>1</v>
      </c>
      <c r="J36" s="6">
        <f>Vaciado!$D$45/1000</f>
        <v>1</v>
      </c>
      <c r="K36" s="6">
        <f>Vaciado!$D$45/1000</f>
        <v>1</v>
      </c>
      <c r="L36" s="6">
        <f>Vaciado!$D$45/1000</f>
        <v>1</v>
      </c>
      <c r="M36" s="6">
        <f>Vaciado!$D$45/1000</f>
        <v>1</v>
      </c>
      <c r="N36" s="6">
        <f>Vaciado!$D$45/1000</f>
        <v>1</v>
      </c>
      <c r="O36" s="6">
        <f>Vaciado!$D$45/1000</f>
        <v>1</v>
      </c>
      <c r="P36" s="6">
        <f>Vaciado!$D$45/1000</f>
        <v>1</v>
      </c>
      <c r="Q36" s="6">
        <f>Vaciado!$D$45/1000</f>
        <v>1</v>
      </c>
      <c r="R36" s="6">
        <f>Vaciado!$D$45/1000</f>
        <v>1</v>
      </c>
      <c r="S36" s="6">
        <f>Vaciado!$D$45/1000</f>
        <v>1</v>
      </c>
      <c r="T36" s="6">
        <f>Vaciado!$D$45/1000</f>
        <v>1</v>
      </c>
      <c r="U36" s="6">
        <f>Vaciado!$D$45/1000</f>
        <v>1</v>
      </c>
      <c r="V36" s="6">
        <f>Vaciado!$D$45/1000</f>
        <v>1</v>
      </c>
      <c r="W36" s="6">
        <f>Vaciado!$D$45/1000</f>
        <v>1</v>
      </c>
      <c r="X36" s="6">
        <f>Vaciado!$D$45/1000</f>
        <v>1</v>
      </c>
      <c r="Y36" s="6">
        <f>Vaciado!$D$45/1000</f>
        <v>1</v>
      </c>
      <c r="Z36" s="6">
        <f>Vaciado!$D$45/1000</f>
        <v>1</v>
      </c>
      <c r="AA36" s="6">
        <f>Vaciado!$D$45/1000</f>
        <v>1</v>
      </c>
      <c r="AB36" s="6">
        <f>Vaciado!$D$45/1000</f>
        <v>1</v>
      </c>
      <c r="AC36" s="6">
        <f>Vaciado!$D$45/1000</f>
        <v>1</v>
      </c>
      <c r="AD36" s="6">
        <f>Vaciado!$D$45/1000</f>
        <v>1</v>
      </c>
      <c r="AE36" s="6">
        <f>Vaciado!$D$45/1000</f>
        <v>1</v>
      </c>
      <c r="AF36" s="6">
        <f>Vaciado!$D$45/1000</f>
        <v>1</v>
      </c>
      <c r="AG36" s="6">
        <f>Vaciado!$D$45/1000</f>
        <v>1</v>
      </c>
      <c r="AH36" s="6">
        <f>Vaciado!$D$45/1000</f>
        <v>1</v>
      </c>
      <c r="AI36" s="6">
        <f>Vaciado!$D$45/1000</f>
        <v>1</v>
      </c>
      <c r="AJ36" s="6">
        <f>Vaciado!$D$45/1000</f>
        <v>1</v>
      </c>
      <c r="AK36" s="6">
        <f>Vaciado!$D$45/1000</f>
        <v>1</v>
      </c>
      <c r="AL36" s="6">
        <f>Vaciado!$D$45/1000</f>
        <v>1</v>
      </c>
      <c r="AM36" s="6">
        <f>Vaciado!$D$45/1000</f>
        <v>1</v>
      </c>
      <c r="AN36" s="6">
        <f>Vaciado!$D$45/1000</f>
        <v>1</v>
      </c>
    </row>
    <row r="37" spans="1:40" x14ac:dyDescent="0.35">
      <c r="A37" t="str">
        <f>Vaciado!C47</f>
        <v>Gasto de Marketing y Difusión</v>
      </c>
      <c r="B37" s="6">
        <f t="shared" si="11"/>
        <v>13.33333333333333</v>
      </c>
      <c r="C37" s="6">
        <f t="shared" si="12"/>
        <v>13.33333333333333</v>
      </c>
      <c r="D37" s="6">
        <f t="shared" si="13"/>
        <v>13.33333333333333</v>
      </c>
      <c r="E37" s="2">
        <f>Vaciado!$E$47</f>
        <v>1.1111111111111112</v>
      </c>
      <c r="F37" s="2">
        <f>Vaciado!$E$47</f>
        <v>1.1111111111111112</v>
      </c>
      <c r="G37" s="2">
        <f>Vaciado!$E$47</f>
        <v>1.1111111111111112</v>
      </c>
      <c r="H37" s="2">
        <f>Vaciado!$E$47</f>
        <v>1.1111111111111112</v>
      </c>
      <c r="I37" s="2">
        <f>Vaciado!$E$47</f>
        <v>1.1111111111111112</v>
      </c>
      <c r="J37" s="2">
        <f>Vaciado!$E$47</f>
        <v>1.1111111111111112</v>
      </c>
      <c r="K37" s="2">
        <f>Vaciado!$E$47</f>
        <v>1.1111111111111112</v>
      </c>
      <c r="L37" s="2">
        <f>Vaciado!$E$47</f>
        <v>1.1111111111111112</v>
      </c>
      <c r="M37" s="2">
        <f>Vaciado!$E$47</f>
        <v>1.1111111111111112</v>
      </c>
      <c r="N37" s="2">
        <f>Vaciado!$E$47</f>
        <v>1.1111111111111112</v>
      </c>
      <c r="O37" s="2">
        <f>Vaciado!$E$47</f>
        <v>1.1111111111111112</v>
      </c>
      <c r="P37" s="2">
        <f>Vaciado!$E$47</f>
        <v>1.1111111111111112</v>
      </c>
      <c r="Q37" s="2">
        <f>Vaciado!$E$47</f>
        <v>1.1111111111111112</v>
      </c>
      <c r="R37" s="2">
        <f>Vaciado!$E$47</f>
        <v>1.1111111111111112</v>
      </c>
      <c r="S37" s="2">
        <f>Vaciado!$E$47</f>
        <v>1.1111111111111112</v>
      </c>
      <c r="T37" s="2">
        <f>Vaciado!$E$47</f>
        <v>1.1111111111111112</v>
      </c>
      <c r="U37" s="2">
        <f>Vaciado!$E$47</f>
        <v>1.1111111111111112</v>
      </c>
      <c r="V37" s="2">
        <f>Vaciado!$E$47</f>
        <v>1.1111111111111112</v>
      </c>
      <c r="W37" s="2">
        <f>Vaciado!$E$47</f>
        <v>1.1111111111111112</v>
      </c>
      <c r="X37" s="2">
        <f>Vaciado!$E$47</f>
        <v>1.1111111111111112</v>
      </c>
      <c r="Y37" s="2">
        <f>Vaciado!$E$47</f>
        <v>1.1111111111111112</v>
      </c>
      <c r="Z37" s="2">
        <f>Vaciado!$E$47</f>
        <v>1.1111111111111112</v>
      </c>
      <c r="AA37" s="2">
        <f>Vaciado!$E$47</f>
        <v>1.1111111111111112</v>
      </c>
      <c r="AB37" s="2">
        <f>Vaciado!$E$47</f>
        <v>1.1111111111111112</v>
      </c>
      <c r="AC37" s="2">
        <f>Vaciado!$E$47</f>
        <v>1.1111111111111112</v>
      </c>
      <c r="AD37" s="2">
        <f>Vaciado!$E$47</f>
        <v>1.1111111111111112</v>
      </c>
      <c r="AE37" s="2">
        <f>Vaciado!$E$47</f>
        <v>1.1111111111111112</v>
      </c>
      <c r="AF37" s="2">
        <f>Vaciado!$E$47</f>
        <v>1.1111111111111112</v>
      </c>
      <c r="AG37" s="2">
        <f>Vaciado!$E$47</f>
        <v>1.1111111111111112</v>
      </c>
      <c r="AH37" s="2">
        <f>Vaciado!$E$47</f>
        <v>1.1111111111111112</v>
      </c>
      <c r="AI37" s="2">
        <f>Vaciado!$E$47</f>
        <v>1.1111111111111112</v>
      </c>
      <c r="AJ37" s="2">
        <f>Vaciado!$E$47</f>
        <v>1.1111111111111112</v>
      </c>
      <c r="AK37" s="2">
        <f>Vaciado!$E$47</f>
        <v>1.1111111111111112</v>
      </c>
      <c r="AL37" s="2">
        <f>Vaciado!$E$47</f>
        <v>1.1111111111111112</v>
      </c>
      <c r="AM37" s="2">
        <f>Vaciado!$E$47</f>
        <v>1.1111111111111112</v>
      </c>
      <c r="AN37" s="2">
        <f>Vaciado!$E$47</f>
        <v>1.1111111111111112</v>
      </c>
    </row>
    <row r="38" spans="1:40" x14ac:dyDescent="0.35">
      <c r="A38" s="98" t="str">
        <f>Vaciado!C63</f>
        <v>CEO</v>
      </c>
      <c r="B38" s="6">
        <f t="shared" si="11"/>
        <v>66.666666666666671</v>
      </c>
      <c r="C38" s="6">
        <f t="shared" si="12"/>
        <v>70</v>
      </c>
      <c r="D38" s="6">
        <f t="shared" si="13"/>
        <v>73.5</v>
      </c>
      <c r="E38" s="2">
        <f>IF(Vaciado!$F$63&gt;Flujos!E1,0,Vaciado!$E$63)</f>
        <v>5.5555555555555554</v>
      </c>
      <c r="F38" s="2">
        <f>IF(Vaciado!$F$63&gt;Flujos!F1,0,Vaciado!$E$63)</f>
        <v>5.5555555555555554</v>
      </c>
      <c r="G38" s="2">
        <f>IF(Vaciado!$F$63&gt;Flujos!G1,0,Vaciado!$E$63)</f>
        <v>5.5555555555555554</v>
      </c>
      <c r="H38" s="2">
        <f>IF(Vaciado!$F$63&gt;Flujos!H1,0,Vaciado!$E$63)</f>
        <v>5.5555555555555554</v>
      </c>
      <c r="I38" s="2">
        <f>IF(Vaciado!$F$63&gt;Flujos!I1,0,Vaciado!$E$63)</f>
        <v>5.5555555555555554</v>
      </c>
      <c r="J38" s="2">
        <f>IF(Vaciado!$F$63&gt;Flujos!J1,0,Vaciado!$E$63)</f>
        <v>5.5555555555555554</v>
      </c>
      <c r="K38" s="2">
        <f>IF(Vaciado!$F$63&gt;Flujos!K1,0,Vaciado!$E$63)</f>
        <v>5.5555555555555554</v>
      </c>
      <c r="L38" s="2">
        <f>IF(Vaciado!$F$63&gt;Flujos!L1,0,Vaciado!$E$63)</f>
        <v>5.5555555555555554</v>
      </c>
      <c r="M38" s="2">
        <f>IF(Vaciado!$F$63&gt;Flujos!M1,0,Vaciado!$E$63)</f>
        <v>5.5555555555555554</v>
      </c>
      <c r="N38" s="2">
        <f>IF(Vaciado!$F$63&gt;Flujos!N1,0,Vaciado!$E$63)</f>
        <v>5.5555555555555554</v>
      </c>
      <c r="O38" s="2">
        <f>IF(Vaciado!$F$63&gt;Flujos!O1,0,Vaciado!$E$63)</f>
        <v>5.5555555555555554</v>
      </c>
      <c r="P38" s="2">
        <f>IF(Vaciado!$F$63&gt;Flujos!P1,0,Vaciado!$E$63)</f>
        <v>5.5555555555555554</v>
      </c>
      <c r="Q38" s="2">
        <f>IF(Vaciado!$F$63&gt;Flujos!Q1,0,(Vaciado!$E$63*(1+Vaciado!$G$63)))</f>
        <v>5.833333333333333</v>
      </c>
      <c r="R38" s="2">
        <f>IF(Vaciado!$F$63&gt;Flujos!R1,0,(Vaciado!$E$63*(1+Vaciado!$G$63)))</f>
        <v>5.833333333333333</v>
      </c>
      <c r="S38" s="2">
        <f>IF(Vaciado!$F$63&gt;Flujos!S1,0,(Vaciado!$E$63*(1+Vaciado!$G$63)))</f>
        <v>5.833333333333333</v>
      </c>
      <c r="T38" s="2">
        <f>IF(Vaciado!$F$63&gt;Flujos!T1,0,(Vaciado!$E$63*(1+Vaciado!$G$63)))</f>
        <v>5.833333333333333</v>
      </c>
      <c r="U38" s="2">
        <f>IF(Vaciado!$F$63&gt;Flujos!U1,0,(Vaciado!$E$63*(1+Vaciado!$G$63)))</f>
        <v>5.833333333333333</v>
      </c>
      <c r="V38" s="2">
        <f>IF(Vaciado!$F$63&gt;Flujos!V1,0,(Vaciado!$E$63*(1+Vaciado!$G$63)))</f>
        <v>5.833333333333333</v>
      </c>
      <c r="W38" s="2">
        <f>IF(Vaciado!$F$63&gt;Flujos!W1,0,(Vaciado!$E$63*(1+Vaciado!$G$63)))</f>
        <v>5.833333333333333</v>
      </c>
      <c r="X38" s="2">
        <f>IF(Vaciado!$F$63&gt;Flujos!X1,0,(Vaciado!$E$63*(1+Vaciado!$G$63)))</f>
        <v>5.833333333333333</v>
      </c>
      <c r="Y38" s="2">
        <f>IF(Vaciado!$F$63&gt;Flujos!Y1,0,(Vaciado!$E$63*(1+Vaciado!$G$63)))</f>
        <v>5.833333333333333</v>
      </c>
      <c r="Z38" s="2">
        <f>IF(Vaciado!$F$63&gt;Flujos!Z1,0,(Vaciado!$E$63*(1+Vaciado!$G$63)))</f>
        <v>5.833333333333333</v>
      </c>
      <c r="AA38" s="2">
        <f>IF(Vaciado!$F$63&gt;Flujos!AA1,0,(Vaciado!$E$63*(1+Vaciado!$G$63)))</f>
        <v>5.833333333333333</v>
      </c>
      <c r="AB38" s="2">
        <f>IF(Vaciado!$F$63&gt;Flujos!AB1,0,(Vaciado!$E$63*(1+Vaciado!$G$63)))</f>
        <v>5.833333333333333</v>
      </c>
      <c r="AC38" s="2">
        <f>IF(Vaciado!$F$63&gt;Flujos!AC1,0,(Vaciado!$E$63*((1+Vaciado!$G$63)^2)))</f>
        <v>6.125</v>
      </c>
      <c r="AD38" s="2">
        <f>IF(Vaciado!$F$63&gt;Flujos!AD1,0,(Vaciado!$E$63*((1+Vaciado!$G$63)^2)))</f>
        <v>6.125</v>
      </c>
      <c r="AE38" s="2">
        <f>IF(Vaciado!$F$63&gt;Flujos!AE1,0,(Vaciado!$E$63*((1+Vaciado!$G$63)^2)))</f>
        <v>6.125</v>
      </c>
      <c r="AF38" s="2">
        <f>IF(Vaciado!$F$63&gt;Flujos!AF1,0,(Vaciado!$E$63*((1+Vaciado!$G$63)^2)))</f>
        <v>6.125</v>
      </c>
      <c r="AG38" s="2">
        <f>IF(Vaciado!$F$63&gt;Flujos!AG1,0,(Vaciado!$E$63*((1+Vaciado!$G$63)^2)))</f>
        <v>6.125</v>
      </c>
      <c r="AH38" s="2">
        <f>IF(Vaciado!$F$63&gt;Flujos!AH1,0,(Vaciado!$E$63*((1+Vaciado!$G$63)^2)))</f>
        <v>6.125</v>
      </c>
      <c r="AI38" s="2">
        <f>IF(Vaciado!$F$63&gt;Flujos!AI1,0,(Vaciado!$E$63*((1+Vaciado!$G$63)^2)))</f>
        <v>6.125</v>
      </c>
      <c r="AJ38" s="2">
        <f>IF(Vaciado!$F$63&gt;Flujos!AJ1,0,(Vaciado!$E$63*((1+Vaciado!$G$63)^2)))</f>
        <v>6.125</v>
      </c>
      <c r="AK38" s="2">
        <f>IF(Vaciado!$F$63&gt;Flujos!AK1,0,(Vaciado!$E$63*((1+Vaciado!$G$63)^2)))</f>
        <v>6.125</v>
      </c>
      <c r="AL38" s="2">
        <f>IF(Vaciado!$F$63&gt;Flujos!AL1,0,(Vaciado!$E$63*((1+Vaciado!$G$63)^2)))</f>
        <v>6.125</v>
      </c>
      <c r="AM38" s="2">
        <f>IF(Vaciado!$F$63&gt;Flujos!AM1,0,(Vaciado!$E$63*((1+Vaciado!$G$63)^2)))</f>
        <v>6.125</v>
      </c>
      <c r="AN38" s="2">
        <f>IF(Vaciado!$F$63&gt;Flujos!AN1,0,(Vaciado!$E$63*((1+Vaciado!$G$63)^2)))</f>
        <v>6.125</v>
      </c>
    </row>
    <row r="39" spans="1:40" x14ac:dyDescent="0.35">
      <c r="A39" s="10" t="str">
        <f>Vaciado!C58</f>
        <v>CTO</v>
      </c>
      <c r="B39" s="6">
        <f t="shared" si="11"/>
        <v>60</v>
      </c>
      <c r="C39" s="6">
        <f t="shared" si="12"/>
        <v>63</v>
      </c>
      <c r="D39" s="6">
        <f t="shared" si="13"/>
        <v>66.15000000000002</v>
      </c>
      <c r="E39" s="2">
        <f>IF(Vaciado!$F$58&gt;Flujos!E1,0,Vaciado!$E$58)</f>
        <v>5</v>
      </c>
      <c r="F39" s="2">
        <f>IF(Vaciado!$F$58&gt;Flujos!F1,0,Vaciado!$E$58)</f>
        <v>5</v>
      </c>
      <c r="G39" s="2">
        <f>IF(Vaciado!$F$58&gt;Flujos!G1,0,Vaciado!$E$58)</f>
        <v>5</v>
      </c>
      <c r="H39" s="2">
        <f>IF(Vaciado!$F$58&gt;Flujos!H1,0,Vaciado!$E$58)</f>
        <v>5</v>
      </c>
      <c r="I39" s="2">
        <f>IF(Vaciado!$F$58&gt;Flujos!I1,0,Vaciado!$E$58)</f>
        <v>5</v>
      </c>
      <c r="J39" s="2">
        <f>IF(Vaciado!$F$58&gt;Flujos!J1,0,Vaciado!$E$58)</f>
        <v>5</v>
      </c>
      <c r="K39" s="2">
        <f>IF(Vaciado!$F$58&gt;Flujos!K1,0,Vaciado!$E$58)</f>
        <v>5</v>
      </c>
      <c r="L39" s="2">
        <f>IF(Vaciado!$F$58&gt;Flujos!L1,0,Vaciado!$E$58)</f>
        <v>5</v>
      </c>
      <c r="M39" s="2">
        <f>IF(Vaciado!$F$58&gt;Flujos!M1,0,Vaciado!$E$58)</f>
        <v>5</v>
      </c>
      <c r="N39" s="2">
        <f>IF(Vaciado!$F$58&gt;Flujos!N1,0,Vaciado!$E$58)</f>
        <v>5</v>
      </c>
      <c r="O39" s="2">
        <f>IF(Vaciado!$F$58&gt;Flujos!O1,0,Vaciado!$E$58)</f>
        <v>5</v>
      </c>
      <c r="P39" s="2">
        <f>IF(Vaciado!$F$58&gt;Flujos!P1,0,Vaciado!$E$58)</f>
        <v>5</v>
      </c>
      <c r="Q39" s="2">
        <f>IF(Vaciado!$F$58&gt;Flujos!Q1,0,(Vaciado!$E$58*(1+Vaciado!$G$58)))</f>
        <v>5.25</v>
      </c>
      <c r="R39" s="2">
        <f>IF(Vaciado!$F$58&gt;Flujos!R1,0,(Vaciado!$E$58*(1+Vaciado!$G$58)))</f>
        <v>5.25</v>
      </c>
      <c r="S39" s="2">
        <f>IF(Vaciado!$F$58&gt;Flujos!S1,0,(Vaciado!$E$58*(1+Vaciado!$G$58)))</f>
        <v>5.25</v>
      </c>
      <c r="T39" s="2">
        <f>IF(Vaciado!$F$58&gt;Flujos!T1,0,(Vaciado!$E$58*(1+Vaciado!$G$58)))</f>
        <v>5.25</v>
      </c>
      <c r="U39" s="2">
        <f>IF(Vaciado!$F$58&gt;Flujos!U1,0,(Vaciado!$E$58*(1+Vaciado!$G$58)))</f>
        <v>5.25</v>
      </c>
      <c r="V39" s="2">
        <f>IF(Vaciado!$F$58&gt;Flujos!V1,0,(Vaciado!$E$58*(1+Vaciado!$G$58)))</f>
        <v>5.25</v>
      </c>
      <c r="W39" s="2">
        <f>IF(Vaciado!$F$58&gt;Flujos!W1,0,(Vaciado!$E$58*(1+Vaciado!$G$58)))</f>
        <v>5.25</v>
      </c>
      <c r="X39" s="2">
        <f>IF(Vaciado!$F$58&gt;Flujos!X1,0,(Vaciado!$E$58*(1+Vaciado!$G$58)))</f>
        <v>5.25</v>
      </c>
      <c r="Y39" s="2">
        <f>IF(Vaciado!$F$58&gt;Flujos!Y1,0,(Vaciado!$E$58*(1+Vaciado!$G$58)))</f>
        <v>5.25</v>
      </c>
      <c r="Z39" s="2">
        <f>IF(Vaciado!$F$58&gt;Flujos!Z1,0,(Vaciado!$E$58*(1+Vaciado!$G$58)))</f>
        <v>5.25</v>
      </c>
      <c r="AA39" s="2">
        <f>IF(Vaciado!$F$58&gt;Flujos!AA1,0,(Vaciado!$E$58*(1+Vaciado!$G$58)))</f>
        <v>5.25</v>
      </c>
      <c r="AB39" s="2">
        <f>IF(Vaciado!$F$58&gt;Flujos!AB1,0,(Vaciado!$E$58*(1+Vaciado!$G$58)))</f>
        <v>5.25</v>
      </c>
      <c r="AC39" s="2">
        <f>IF(Vaciado!$F$58&gt;Flujos!AC1,0,(Vaciado!$E$58*((1+Vaciado!$G$58)^2)))</f>
        <v>5.5125000000000002</v>
      </c>
      <c r="AD39" s="2">
        <f>IF(Vaciado!$F$58&gt;Flujos!AD1,0,(Vaciado!$E$58*((1+Vaciado!$G$58)^2)))</f>
        <v>5.5125000000000002</v>
      </c>
      <c r="AE39" s="2">
        <f>IF(Vaciado!$F$58&gt;Flujos!AE1,0,(Vaciado!$E$58*((1+Vaciado!$G$58)^2)))</f>
        <v>5.5125000000000002</v>
      </c>
      <c r="AF39" s="2">
        <f>IF(Vaciado!$F$58&gt;Flujos!AF1,0,(Vaciado!$E$58*((1+Vaciado!$G$58)^2)))</f>
        <v>5.5125000000000002</v>
      </c>
      <c r="AG39" s="2">
        <f>IF(Vaciado!$F$58&gt;Flujos!AG1,0,(Vaciado!$E$58*((1+Vaciado!$G$58)^2)))</f>
        <v>5.5125000000000002</v>
      </c>
      <c r="AH39" s="2">
        <f>IF(Vaciado!$F$58&gt;Flujos!AH1,0,(Vaciado!$E$58*((1+Vaciado!$G$58)^2)))</f>
        <v>5.5125000000000002</v>
      </c>
      <c r="AI39" s="2">
        <f>IF(Vaciado!$F$58&gt;Flujos!AI1,0,(Vaciado!$E$58*((1+Vaciado!$G$58)^2)))</f>
        <v>5.5125000000000002</v>
      </c>
      <c r="AJ39" s="2">
        <f>IF(Vaciado!$F$58&gt;Flujos!AJ1,0,(Vaciado!$E$58*((1+Vaciado!$G$58)^2)))</f>
        <v>5.5125000000000002</v>
      </c>
      <c r="AK39" s="2">
        <f>IF(Vaciado!$F$58&gt;Flujos!AK1,0,(Vaciado!$E$58*((1+Vaciado!$G$58)^2)))</f>
        <v>5.5125000000000002</v>
      </c>
      <c r="AL39" s="2">
        <f>IF(Vaciado!$F$58&gt;Flujos!AL1,0,(Vaciado!$E$58*((1+Vaciado!$G$58)^2)))</f>
        <v>5.5125000000000002</v>
      </c>
      <c r="AM39" s="2">
        <f>IF(Vaciado!$F$58&gt;Flujos!AM1,0,(Vaciado!$E$58*((1+Vaciado!$G$58)^2)))</f>
        <v>5.5125000000000002</v>
      </c>
      <c r="AN39" s="2">
        <f>IF(Vaciado!$F$58&gt;Flujos!AN1,0,(Vaciado!$E$58*((1+Vaciado!$G$58)^2)))</f>
        <v>5.5125000000000002</v>
      </c>
    </row>
    <row r="40" spans="1:40" x14ac:dyDescent="0.35">
      <c r="A40" s="10" t="str">
        <f>Vaciado!C59</f>
        <v>Desarrollador</v>
      </c>
      <c r="B40" s="6">
        <f t="shared" si="11"/>
        <v>26.666666666666661</v>
      </c>
      <c r="C40" s="6">
        <f t="shared" si="12"/>
        <v>27.999999999999996</v>
      </c>
      <c r="D40" s="6">
        <f t="shared" si="13"/>
        <v>29.399999999999995</v>
      </c>
      <c r="E40" s="2">
        <f>IF(Vaciado!$F$59&gt;Flujos!E1,0,Vaciado!$E$59)</f>
        <v>2.2222222222222223</v>
      </c>
      <c r="F40" s="2">
        <f>IF(Vaciado!$F$59&gt;Flujos!F1,0,Vaciado!$E$59)</f>
        <v>2.2222222222222223</v>
      </c>
      <c r="G40" s="2">
        <f>IF(Vaciado!$F$59&gt;Flujos!G1,0,Vaciado!$E$59)</f>
        <v>2.2222222222222223</v>
      </c>
      <c r="H40" s="2">
        <f>IF(Vaciado!$F$59&gt;Flujos!H1,0,Vaciado!$E$59)</f>
        <v>2.2222222222222223</v>
      </c>
      <c r="I40" s="2">
        <f>IF(Vaciado!$F$59&gt;Flujos!I1,0,Vaciado!$E$59)</f>
        <v>2.2222222222222223</v>
      </c>
      <c r="J40" s="2">
        <f>IF(Vaciado!$F$59&gt;Flujos!J1,0,Vaciado!$E$59)</f>
        <v>2.2222222222222223</v>
      </c>
      <c r="K40" s="2">
        <f>IF(Vaciado!$F$59&gt;Flujos!K1,0,Vaciado!$E$59)</f>
        <v>2.2222222222222223</v>
      </c>
      <c r="L40" s="2">
        <f>IF(Vaciado!$F$59&gt;Flujos!L1,0,Vaciado!$E$59)</f>
        <v>2.2222222222222223</v>
      </c>
      <c r="M40" s="2">
        <f>IF(Vaciado!$F$59&gt;Flujos!M1,0,Vaciado!$E$59)</f>
        <v>2.2222222222222223</v>
      </c>
      <c r="N40" s="2">
        <f>IF(Vaciado!$F$59&gt;Flujos!N1,0,Vaciado!$E$59)</f>
        <v>2.2222222222222223</v>
      </c>
      <c r="O40" s="2">
        <f>IF(Vaciado!$F$59&gt;Flujos!O1,0,Vaciado!$E$59)</f>
        <v>2.2222222222222223</v>
      </c>
      <c r="P40" s="2">
        <f>IF(Vaciado!$F$59&gt;Flujos!P1,0,Vaciado!$E$59)</f>
        <v>2.2222222222222223</v>
      </c>
      <c r="Q40" s="2">
        <f>IF(Vaciado!$F$59&gt;Flujos!Q1,0,(Vaciado!$E$59*(1+Vaciado!$G$59)))</f>
        <v>2.3333333333333335</v>
      </c>
      <c r="R40" s="2">
        <f>IF(Vaciado!$F$59&gt;Flujos!R1,0,(Vaciado!$E$59*(1+Vaciado!$G$59)))</f>
        <v>2.3333333333333335</v>
      </c>
      <c r="S40" s="2">
        <f>IF(Vaciado!$F$59&gt;Flujos!S1,0,(Vaciado!$E$59*(1+Vaciado!$G$59)))</f>
        <v>2.3333333333333335</v>
      </c>
      <c r="T40" s="2">
        <f>IF(Vaciado!$F$59&gt;Flujos!T1,0,(Vaciado!$E$59*(1+Vaciado!$G$59)))</f>
        <v>2.3333333333333335</v>
      </c>
      <c r="U40" s="2">
        <f>IF(Vaciado!$F$59&gt;Flujos!U1,0,(Vaciado!$E$59*(1+Vaciado!$G$59)))</f>
        <v>2.3333333333333335</v>
      </c>
      <c r="V40" s="2">
        <f>IF(Vaciado!$F$59&gt;Flujos!V1,0,(Vaciado!$E$59*(1+Vaciado!$G$59)))</f>
        <v>2.3333333333333335</v>
      </c>
      <c r="W40" s="2">
        <f>IF(Vaciado!$F$59&gt;Flujos!W1,0,(Vaciado!$E$59*(1+Vaciado!$G$59)))</f>
        <v>2.3333333333333335</v>
      </c>
      <c r="X40" s="2">
        <f>IF(Vaciado!$F$59&gt;Flujos!X1,0,(Vaciado!$E$59*(1+Vaciado!$G$59)))</f>
        <v>2.3333333333333335</v>
      </c>
      <c r="Y40" s="2">
        <f>IF(Vaciado!$F$59&gt;Flujos!Y1,0,(Vaciado!$E$59*(1+Vaciado!$G$59)))</f>
        <v>2.3333333333333335</v>
      </c>
      <c r="Z40" s="2">
        <f>IF(Vaciado!$F$59&gt;Flujos!Z1,0,(Vaciado!$E$59*(1+Vaciado!$G$59)))</f>
        <v>2.3333333333333335</v>
      </c>
      <c r="AA40" s="2">
        <f>IF(Vaciado!$F$59&gt;Flujos!AA1,0,(Vaciado!$E$59*(1+Vaciado!$G$59)))</f>
        <v>2.3333333333333335</v>
      </c>
      <c r="AB40" s="2">
        <f>IF(Vaciado!$F$59&gt;Flujos!AB1,0,(Vaciado!$E$59*(1+Vaciado!$G$59)))</f>
        <v>2.3333333333333335</v>
      </c>
      <c r="AC40" s="2">
        <f>IF(Vaciado!$F$59&gt;Flujos!AC1,0,(Vaciado!$E$59*((1+Vaciado!$G$59)^2)))</f>
        <v>2.4500000000000002</v>
      </c>
      <c r="AD40" s="2">
        <f>IF(Vaciado!$F$59&gt;Flujos!AD1,0,(Vaciado!$E$59*((1+Vaciado!$G$59)^2)))</f>
        <v>2.4500000000000002</v>
      </c>
      <c r="AE40" s="2">
        <f>IF(Vaciado!$F$59&gt;Flujos!AE1,0,(Vaciado!$E$59*((1+Vaciado!$G$59)^2)))</f>
        <v>2.4500000000000002</v>
      </c>
      <c r="AF40" s="2">
        <f>IF(Vaciado!$F$59&gt;Flujos!AF1,0,(Vaciado!$E$59*((1+Vaciado!$G$59)^2)))</f>
        <v>2.4500000000000002</v>
      </c>
      <c r="AG40" s="2">
        <f>IF(Vaciado!$F$59&gt;Flujos!AG1,0,(Vaciado!$E$59*((1+Vaciado!$G$59)^2)))</f>
        <v>2.4500000000000002</v>
      </c>
      <c r="AH40" s="2">
        <f>IF(Vaciado!$F$59&gt;Flujos!AH1,0,(Vaciado!$E$59*((1+Vaciado!$G$59)^2)))</f>
        <v>2.4500000000000002</v>
      </c>
      <c r="AI40" s="2">
        <f>IF(Vaciado!$F$59&gt;Flujos!AI1,0,(Vaciado!$E$59*((1+Vaciado!$G$59)^2)))</f>
        <v>2.4500000000000002</v>
      </c>
      <c r="AJ40" s="2">
        <f>IF(Vaciado!$F$59&gt;Flujos!AJ1,0,(Vaciado!$E$59*((1+Vaciado!$G$59)^2)))</f>
        <v>2.4500000000000002</v>
      </c>
      <c r="AK40" s="2">
        <f>IF(Vaciado!$F$59&gt;Flujos!AK1,0,(Vaciado!$E$59*((1+Vaciado!$G$59)^2)))</f>
        <v>2.4500000000000002</v>
      </c>
      <c r="AL40" s="2">
        <f>IF(Vaciado!$F$59&gt;Flujos!AL1,0,(Vaciado!$E$59*((1+Vaciado!$G$59)^2)))</f>
        <v>2.4500000000000002</v>
      </c>
      <c r="AM40" s="2">
        <f>IF(Vaciado!$F$59&gt;Flujos!AM1,0,(Vaciado!$E$59*((1+Vaciado!$G$59)^2)))</f>
        <v>2.4500000000000002</v>
      </c>
      <c r="AN40" s="2">
        <f>IF(Vaciado!$F$59&gt;Flujos!AN1,0,(Vaciado!$E$59*((1+Vaciado!$G$59)^2)))</f>
        <v>2.4500000000000002</v>
      </c>
    </row>
    <row r="41" spans="1:40" x14ac:dyDescent="0.35">
      <c r="A41" s="98" t="str">
        <f>Vaciado!C64</f>
        <v>CFO</v>
      </c>
      <c r="B41" s="6">
        <f t="shared" si="11"/>
        <v>40</v>
      </c>
      <c r="C41" s="6">
        <f t="shared" si="12"/>
        <v>42.000000000000007</v>
      </c>
      <c r="D41" s="6">
        <f t="shared" si="13"/>
        <v>44.099999999999994</v>
      </c>
      <c r="E41" s="2">
        <f>IF(Vaciado!$F$64&gt;Flujos!E1,0,Vaciado!$E$64)</f>
        <v>3.3333333333333335</v>
      </c>
      <c r="F41" s="2">
        <f>IF(Vaciado!$F$64&gt;Flujos!F1,0,Vaciado!$E$64)</f>
        <v>3.3333333333333335</v>
      </c>
      <c r="G41" s="2">
        <f>IF(Vaciado!$F$64&gt;Flujos!G1,0,Vaciado!$E$64)</f>
        <v>3.3333333333333335</v>
      </c>
      <c r="H41" s="2">
        <f>IF(Vaciado!$F$64&gt;Flujos!H1,0,Vaciado!$E$64)</f>
        <v>3.3333333333333335</v>
      </c>
      <c r="I41" s="2">
        <f>IF(Vaciado!$F$64&gt;Flujos!I1,0,Vaciado!$E$64)</f>
        <v>3.3333333333333335</v>
      </c>
      <c r="J41" s="2">
        <f>IF(Vaciado!$F$64&gt;Flujos!J1,0,Vaciado!$E$64)</f>
        <v>3.3333333333333335</v>
      </c>
      <c r="K41" s="2">
        <f>IF(Vaciado!$F$64&gt;Flujos!K1,0,Vaciado!$E$64)</f>
        <v>3.3333333333333335</v>
      </c>
      <c r="L41" s="2">
        <f>IF(Vaciado!$F$64&gt;Flujos!L1,0,Vaciado!$E$64)</f>
        <v>3.3333333333333335</v>
      </c>
      <c r="M41" s="2">
        <f>IF(Vaciado!$F$64&gt;Flujos!M1,0,Vaciado!$E$64)</f>
        <v>3.3333333333333335</v>
      </c>
      <c r="N41" s="2">
        <f>IF(Vaciado!$F$64&gt;Flujos!N1,0,Vaciado!$E$64)</f>
        <v>3.3333333333333335</v>
      </c>
      <c r="O41" s="2">
        <f>IF(Vaciado!$F$64&gt;Flujos!O1,0,Vaciado!$E$64)</f>
        <v>3.3333333333333335</v>
      </c>
      <c r="P41" s="2">
        <f>IF(Vaciado!$F$64&gt;Flujos!P1,0,Vaciado!$E$64)</f>
        <v>3.3333333333333335</v>
      </c>
      <c r="Q41" s="2">
        <f>IF(Vaciado!$F$64&gt;Flujos!Q1,0,(Vaciado!$E$64*(1+Vaciado!$G$64)))</f>
        <v>3.5000000000000004</v>
      </c>
      <c r="R41" s="2">
        <f>IF(Vaciado!$F$64&gt;Flujos!R1,0,(Vaciado!$E$64*(1+Vaciado!$G$64)))</f>
        <v>3.5000000000000004</v>
      </c>
      <c r="S41" s="2">
        <f>IF(Vaciado!$F$64&gt;Flujos!S1,0,(Vaciado!$E$64*(1+Vaciado!$G$64)))</f>
        <v>3.5000000000000004</v>
      </c>
      <c r="T41" s="2">
        <f>IF(Vaciado!$F$64&gt;Flujos!T1,0,(Vaciado!$E$64*(1+Vaciado!$G$64)))</f>
        <v>3.5000000000000004</v>
      </c>
      <c r="U41" s="2">
        <f>IF(Vaciado!$F$64&gt;Flujos!U1,0,(Vaciado!$E$64*(1+Vaciado!$G$64)))</f>
        <v>3.5000000000000004</v>
      </c>
      <c r="V41" s="2">
        <f>IF(Vaciado!$F$64&gt;Flujos!V1,0,(Vaciado!$E$64*(1+Vaciado!$G$64)))</f>
        <v>3.5000000000000004</v>
      </c>
      <c r="W41" s="2">
        <f>IF(Vaciado!$F$64&gt;Flujos!W1,0,(Vaciado!$E$64*(1+Vaciado!$G$64)))</f>
        <v>3.5000000000000004</v>
      </c>
      <c r="X41" s="2">
        <f>IF(Vaciado!$F$64&gt;Flujos!X1,0,(Vaciado!$E$64*(1+Vaciado!$G$64)))</f>
        <v>3.5000000000000004</v>
      </c>
      <c r="Y41" s="2">
        <f>IF(Vaciado!$F$64&gt;Flujos!Y1,0,(Vaciado!$E$64*(1+Vaciado!$G$64)))</f>
        <v>3.5000000000000004</v>
      </c>
      <c r="Z41" s="2">
        <f>IF(Vaciado!$F$64&gt;Flujos!Z1,0,(Vaciado!$E$64*(1+Vaciado!$G$64)))</f>
        <v>3.5000000000000004</v>
      </c>
      <c r="AA41" s="2">
        <f>IF(Vaciado!$F$64&gt;Flujos!AA1,0,(Vaciado!$E$64*(1+Vaciado!$G$64)))</f>
        <v>3.5000000000000004</v>
      </c>
      <c r="AB41" s="2">
        <f>IF(Vaciado!$F$64&gt;Flujos!AB1,0,(Vaciado!$E$64*(1+Vaciado!$G$64)))</f>
        <v>3.5000000000000004</v>
      </c>
      <c r="AC41" s="2">
        <f>IF(Vaciado!$F$64&gt;Flujos!AC1,0,(Vaciado!$E$64*((1+Vaciado!$G$64)^2)))</f>
        <v>3.6750000000000003</v>
      </c>
      <c r="AD41" s="2">
        <f>IF(Vaciado!$F$64&gt;Flujos!AD1,0,(Vaciado!$E$64*((1+Vaciado!$G$64)^2)))</f>
        <v>3.6750000000000003</v>
      </c>
      <c r="AE41" s="2">
        <f>IF(Vaciado!$F$64&gt;Flujos!AE1,0,(Vaciado!$E$64*((1+Vaciado!$G$64)^2)))</f>
        <v>3.6750000000000003</v>
      </c>
      <c r="AF41" s="2">
        <f>IF(Vaciado!$F$64&gt;Flujos!AF1,0,(Vaciado!$E$64*((1+Vaciado!$G$64)^2)))</f>
        <v>3.6750000000000003</v>
      </c>
      <c r="AG41" s="2">
        <f>IF(Vaciado!$F$64&gt;Flujos!AG1,0,(Vaciado!$E$64*((1+Vaciado!$G$64)^2)))</f>
        <v>3.6750000000000003</v>
      </c>
      <c r="AH41" s="2">
        <f>IF(Vaciado!$F$64&gt;Flujos!AH1,0,(Vaciado!$E$64*((1+Vaciado!$G$64)^2)))</f>
        <v>3.6750000000000003</v>
      </c>
      <c r="AI41" s="2">
        <f>IF(Vaciado!$F$64&gt;Flujos!AI1,0,(Vaciado!$E$64*((1+Vaciado!$G$64)^2)))</f>
        <v>3.6750000000000003</v>
      </c>
      <c r="AJ41" s="2">
        <f>IF(Vaciado!$F$64&gt;Flujos!AJ1,0,(Vaciado!$E$64*((1+Vaciado!$G$64)^2)))</f>
        <v>3.6750000000000003</v>
      </c>
      <c r="AK41" s="2">
        <f>IF(Vaciado!$F$64&gt;Flujos!AK1,0,(Vaciado!$E$64*((1+Vaciado!$G$64)^2)))</f>
        <v>3.6750000000000003</v>
      </c>
      <c r="AL41" s="2">
        <f>IF(Vaciado!$F$64&gt;Flujos!AL1,0,(Vaciado!$E$64*((1+Vaciado!$G$64)^2)))</f>
        <v>3.6750000000000003</v>
      </c>
      <c r="AM41" s="2">
        <f>IF(Vaciado!$F$64&gt;Flujos!AM1,0,(Vaciado!$E$64*((1+Vaciado!$G$64)^2)))</f>
        <v>3.6750000000000003</v>
      </c>
      <c r="AN41" s="2">
        <f>IF(Vaciado!$F$64&gt;Flujos!AN1,0,(Vaciado!$E$64*((1+Vaciado!$G$64)^2)))</f>
        <v>3.6750000000000003</v>
      </c>
    </row>
    <row r="42" spans="1:40" x14ac:dyDescent="0.35">
      <c r="A42" s="98" t="str">
        <f>Vaciado!C65</f>
        <v>Contadora</v>
      </c>
      <c r="B42" s="6">
        <f t="shared" si="11"/>
        <v>13.33333333333333</v>
      </c>
      <c r="C42" s="6">
        <f t="shared" si="12"/>
        <v>13.999999999999998</v>
      </c>
      <c r="D42" s="6">
        <f t="shared" si="13"/>
        <v>14.699999999999998</v>
      </c>
      <c r="E42" s="2">
        <f>IF(Vaciado!$F$65&gt;Flujos!E1,0,Vaciado!$E$65)</f>
        <v>1.1111111111111112</v>
      </c>
      <c r="F42" s="2">
        <f>IF(Vaciado!$F$65&gt;Flujos!F1,0,Vaciado!$E$65)</f>
        <v>1.1111111111111112</v>
      </c>
      <c r="G42" s="2">
        <f>IF(Vaciado!$F$65&gt;Flujos!G1,0,Vaciado!$E$65)</f>
        <v>1.1111111111111112</v>
      </c>
      <c r="H42" s="2">
        <f>IF(Vaciado!$F$65&gt;Flujos!H1,0,Vaciado!$E$65)</f>
        <v>1.1111111111111112</v>
      </c>
      <c r="I42" s="2">
        <f>IF(Vaciado!$F$65&gt;Flujos!I1,0,Vaciado!$E$65)</f>
        <v>1.1111111111111112</v>
      </c>
      <c r="J42" s="2">
        <f>IF(Vaciado!$F$65&gt;Flujos!J1,0,Vaciado!$E$65)</f>
        <v>1.1111111111111112</v>
      </c>
      <c r="K42" s="2">
        <f>IF(Vaciado!$F$65&gt;Flujos!K1,0,Vaciado!$E$65)</f>
        <v>1.1111111111111112</v>
      </c>
      <c r="L42" s="2">
        <f>IF(Vaciado!$F$65&gt;Flujos!L1,0,Vaciado!$E$65)</f>
        <v>1.1111111111111112</v>
      </c>
      <c r="M42" s="2">
        <f>IF(Vaciado!$F$65&gt;Flujos!M1,0,Vaciado!$E$65)</f>
        <v>1.1111111111111112</v>
      </c>
      <c r="N42" s="2">
        <f>IF(Vaciado!$F$65&gt;Flujos!N1,0,Vaciado!$E$65)</f>
        <v>1.1111111111111112</v>
      </c>
      <c r="O42" s="2">
        <f>IF(Vaciado!$F$65&gt;Flujos!O1,0,Vaciado!$E$65)</f>
        <v>1.1111111111111112</v>
      </c>
      <c r="P42" s="2">
        <f>IF(Vaciado!$F$65&gt;Flujos!P1,0,Vaciado!$E$65)</f>
        <v>1.1111111111111112</v>
      </c>
      <c r="Q42" s="2">
        <f>IF(Vaciado!$F$65&gt;Flujos!Q1,0,(Vaciado!$E$65*(1+Vaciado!$G$65)))</f>
        <v>1.1666666666666667</v>
      </c>
      <c r="R42" s="2">
        <f>IF(Vaciado!$F$65&gt;Flujos!R1,0,(Vaciado!$E$65*(1+Vaciado!$G$65)))</f>
        <v>1.1666666666666667</v>
      </c>
      <c r="S42" s="2">
        <f>IF(Vaciado!$F$65&gt;Flujos!S1,0,(Vaciado!$E$65*(1+Vaciado!$G$65)))</f>
        <v>1.1666666666666667</v>
      </c>
      <c r="T42" s="2">
        <f>IF(Vaciado!$F$65&gt;Flujos!T1,0,(Vaciado!$E$65*(1+Vaciado!$G$65)))</f>
        <v>1.1666666666666667</v>
      </c>
      <c r="U42" s="2">
        <f>IF(Vaciado!$F$65&gt;Flujos!U1,0,(Vaciado!$E$65*(1+Vaciado!$G$65)))</f>
        <v>1.1666666666666667</v>
      </c>
      <c r="V42" s="2">
        <f>IF(Vaciado!$F$65&gt;Flujos!V1,0,(Vaciado!$E$65*(1+Vaciado!$G$65)))</f>
        <v>1.1666666666666667</v>
      </c>
      <c r="W42" s="2">
        <f>IF(Vaciado!$F$65&gt;Flujos!W1,0,(Vaciado!$E$65*(1+Vaciado!$G$65)))</f>
        <v>1.1666666666666667</v>
      </c>
      <c r="X42" s="2">
        <f>IF(Vaciado!$F$65&gt;Flujos!X1,0,(Vaciado!$E$65*(1+Vaciado!$G$65)))</f>
        <v>1.1666666666666667</v>
      </c>
      <c r="Y42" s="2">
        <f>IF(Vaciado!$F$65&gt;Flujos!Y1,0,(Vaciado!$E$65*(1+Vaciado!$G$65)))</f>
        <v>1.1666666666666667</v>
      </c>
      <c r="Z42" s="2">
        <f>IF(Vaciado!$F$65&gt;Flujos!Z1,0,(Vaciado!$E$65*(1+Vaciado!$G$65)))</f>
        <v>1.1666666666666667</v>
      </c>
      <c r="AA42" s="2">
        <f>IF(Vaciado!$F$65&gt;Flujos!AA1,0,(Vaciado!$E$65*(1+Vaciado!$G$65)))</f>
        <v>1.1666666666666667</v>
      </c>
      <c r="AB42" s="2">
        <f>IF(Vaciado!$F$65&gt;Flujos!AB1,0,(Vaciado!$E$65*(1+Vaciado!$G$65)))</f>
        <v>1.1666666666666667</v>
      </c>
      <c r="AC42" s="2">
        <f>IF(Vaciado!$F$65&gt;Flujos!AC1,0,(Vaciado!$E$65*((1+Vaciado!$G$65)^2)))</f>
        <v>1.2250000000000001</v>
      </c>
      <c r="AD42" s="2">
        <f>IF(Vaciado!$F$65&gt;Flujos!AD1,0,(Vaciado!$E$65*((1+Vaciado!$G$65)^2)))</f>
        <v>1.2250000000000001</v>
      </c>
      <c r="AE42" s="2">
        <f>IF(Vaciado!$F$65&gt;Flujos!AE1,0,(Vaciado!$E$65*((1+Vaciado!$G$65)^2)))</f>
        <v>1.2250000000000001</v>
      </c>
      <c r="AF42" s="2">
        <f>IF(Vaciado!$F$65&gt;Flujos!AF1,0,(Vaciado!$E$65*((1+Vaciado!$G$65)^2)))</f>
        <v>1.2250000000000001</v>
      </c>
      <c r="AG42" s="2">
        <f>IF(Vaciado!$F$65&gt;Flujos!AG1,0,(Vaciado!$E$65*((1+Vaciado!$G$65)^2)))</f>
        <v>1.2250000000000001</v>
      </c>
      <c r="AH42" s="2">
        <f>IF(Vaciado!$F$65&gt;Flujos!AH1,0,(Vaciado!$E$65*((1+Vaciado!$G$65)^2)))</f>
        <v>1.2250000000000001</v>
      </c>
      <c r="AI42" s="2">
        <f>IF(Vaciado!$F$65&gt;Flujos!AI1,0,(Vaciado!$E$65*((1+Vaciado!$G$65)^2)))</f>
        <v>1.2250000000000001</v>
      </c>
      <c r="AJ42" s="2">
        <f>IF(Vaciado!$F$65&gt;Flujos!AJ1,0,(Vaciado!$E$65*((1+Vaciado!$G$65)^2)))</f>
        <v>1.2250000000000001</v>
      </c>
      <c r="AK42" s="2">
        <f>IF(Vaciado!$F$65&gt;Flujos!AK1,0,(Vaciado!$E$65*((1+Vaciado!$G$65)^2)))</f>
        <v>1.2250000000000001</v>
      </c>
      <c r="AL42" s="2">
        <f>IF(Vaciado!$F$65&gt;Flujos!AL1,0,(Vaciado!$E$65*((1+Vaciado!$G$65)^2)))</f>
        <v>1.2250000000000001</v>
      </c>
      <c r="AM42" s="2">
        <f>IF(Vaciado!$F$65&gt;Flujos!AM1,0,(Vaciado!$E$65*((1+Vaciado!$G$65)^2)))</f>
        <v>1.2250000000000001</v>
      </c>
      <c r="AN42" s="2">
        <f>IF(Vaciado!$F$65&gt;Flujos!AN1,0,(Vaciado!$E$65*((1+Vaciado!$G$65)^2)))</f>
        <v>1.2250000000000001</v>
      </c>
    </row>
    <row r="43" spans="1:40" x14ac:dyDescent="0.35">
      <c r="A43" s="10" t="str">
        <f>Vaciado!C68</f>
        <v>Comisión del CEO</v>
      </c>
      <c r="B43" s="6">
        <f t="shared" si="11"/>
        <v>78.228215684217886</v>
      </c>
      <c r="C43" s="6">
        <f t="shared" si="12"/>
        <v>168.24105167470807</v>
      </c>
      <c r="D43" s="6">
        <f t="shared" si="13"/>
        <v>258.01723358506399</v>
      </c>
      <c r="E43" s="6">
        <f>IF(Vaciado!$F$63&gt;Flujos!E1,0,E12*Vaciado!$D$68)</f>
        <v>6.1666666666666661E-2</v>
      </c>
      <c r="F43" s="6">
        <f>IF(Vaciado!$F$63&gt;Flujos!F1,0,F12*Vaciado!$D$68)</f>
        <v>0</v>
      </c>
      <c r="G43" s="6">
        <f>IF(Vaciado!$F$63&gt;Flujos!G1,0,G12*Vaciado!$D$68)</f>
        <v>0.26722222222222225</v>
      </c>
      <c r="H43" s="6">
        <f>IF(Vaciado!$F$63&gt;Flujos!H1,0,H12*Vaciado!$D$68)</f>
        <v>3.3711111111111109</v>
      </c>
      <c r="I43" s="6">
        <f>IF(Vaciado!$F$63&gt;Flujos!I1,0,I12*Vaciado!$D$68)</f>
        <v>5.6322222222222225</v>
      </c>
      <c r="J43" s="6">
        <f>IF(Vaciado!$F$63&gt;Flujos!J1,0,J12*Vaciado!$D$68)</f>
        <v>5.6322222222222225</v>
      </c>
      <c r="K43" s="6">
        <f>IF(Vaciado!$F$63&gt;Flujos!K1,0,K12*Vaciado!$D$68)</f>
        <v>10.195555555555556</v>
      </c>
      <c r="L43" s="6">
        <f>IF(Vaciado!$F$63&gt;Flujos!L1,0,L12*Vaciado!$D$68)</f>
        <v>10.442222222222222</v>
      </c>
      <c r="M43" s="6">
        <f>IF(Vaciado!$F$63&gt;Flujos!M1,0,M12*Vaciado!$D$68)</f>
        <v>10.442222222222222</v>
      </c>
      <c r="N43" s="6">
        <f>IF(Vaciado!$F$63&gt;Flujos!N1,0,N12*Vaciado!$D$68)</f>
        <v>10.68888888888889</v>
      </c>
      <c r="O43" s="6">
        <f>IF(Vaciado!$F$63&gt;Flujos!O1,0,O12*Vaciado!$D$68)</f>
        <v>10.68888888888889</v>
      </c>
      <c r="P43" s="6">
        <f>IF(Vaciado!$F$63&gt;Flujos!P1,0,P12*Vaciado!$D$68)</f>
        <v>10.805993461995667</v>
      </c>
      <c r="Q43" s="6">
        <f>IF(Vaciado!$F$63&gt;Flujos!Q1,0,Q12*Vaciado!$D$68)</f>
        <v>10.68888888888889</v>
      </c>
      <c r="R43" s="6">
        <f>IF(Vaciado!$F$63&gt;Flujos!R1,0,R12*Vaciado!$D$68)</f>
        <v>10.923098035102441</v>
      </c>
      <c r="S43" s="6">
        <f>IF(Vaciado!$F$63&gt;Flujos!S1,0,S12*Vaciado!$D$68)</f>
        <v>11.50862090063632</v>
      </c>
      <c r="T43" s="6">
        <f>IF(Vaciado!$F$63&gt;Flujos!T1,0,T12*Vaciado!$D$68)</f>
        <v>12.913875777917628</v>
      </c>
      <c r="U43" s="6">
        <f>IF(Vaciado!$F$63&gt;Flujos!U1,0,U12*Vaciado!$D$68)</f>
        <v>12.975542444584296</v>
      </c>
      <c r="V43" s="6">
        <f>IF(Vaciado!$F$63&gt;Flujos!V1,0,V12*Vaciado!$D$68)</f>
        <v>14.325359415425494</v>
      </c>
      <c r="W43" s="6">
        <f>IF(Vaciado!$F$63&gt;Flujos!W1,0,W12*Vaciado!$D$68)</f>
        <v>14.855444374519264</v>
      </c>
      <c r="X43" s="6">
        <f>IF(Vaciado!$F$63&gt;Flujos!X1,0,X12*Vaciado!$D$68)</f>
        <v>14.917111041185931</v>
      </c>
      <c r="Y43" s="6">
        <f>IF(Vaciado!$F$63&gt;Flujos!Y1,0,Y12*Vaciado!$D$68)</f>
        <v>15.714418222501923</v>
      </c>
      <c r="Z43" s="6">
        <f>IF(Vaciado!$F$63&gt;Flujos!Z1,0,Z12*Vaciado!$D$68)</f>
        <v>16.04330711139081</v>
      </c>
      <c r="AA43" s="6">
        <f>IF(Vaciado!$F$63&gt;Flujos!AA1,0,AA12*Vaciado!$D$68)</f>
        <v>16.433862666946364</v>
      </c>
      <c r="AB43" s="6">
        <f>IF(Vaciado!$F$63&gt;Flujos!AB1,0,AB12*Vaciado!$D$68)</f>
        <v>16.941522795608702</v>
      </c>
      <c r="AC43" s="6">
        <f>IF(Vaciado!$F$63&gt;Flujos!AC1,0,AC12*Vaciado!$D$68)</f>
        <v>16.824418222501922</v>
      </c>
      <c r="AD43" s="6">
        <f>IF(Vaciado!$F$63&gt;Flujos!AD1,0,AD12*Vaciado!$D$68)</f>
        <v>17.058627368715474</v>
      </c>
      <c r="AE43" s="6">
        <f>IF(Vaciado!$F$63&gt;Flujos!AE1,0,AE12*Vaciado!$D$68)</f>
        <v>17.70581690091602</v>
      </c>
      <c r="AF43" s="6">
        <f>IF(Vaciado!$F$63&gt;Flujos!AF1,0,AF12*Vaciado!$D$68)</f>
        <v>19.289843017970771</v>
      </c>
      <c r="AG43" s="6">
        <f>IF(Vaciado!$F$63&gt;Flujos!AG1,0,AG12*Vaciado!$D$68)</f>
        <v>19.468614257744214</v>
      </c>
      <c r="AH43" s="6">
        <f>IF(Vaciado!$F$63&gt;Flujos!AH1,0,AH12*Vaciado!$D$68)</f>
        <v>20.997202468358854</v>
      </c>
      <c r="AI43" s="6">
        <f>IF(Vaciado!$F$63&gt;Flujos!AI1,0,AI12*Vaciado!$D$68)</f>
        <v>21.911614222781623</v>
      </c>
      <c r="AJ43" s="6">
        <f>IF(Vaciado!$F$63&gt;Flujos!AJ1,0,AJ12*Vaciado!$D$68)</f>
        <v>22.653483497657504</v>
      </c>
      <c r="AK43" s="6">
        <f>IF(Vaciado!$F$63&gt;Flujos!AK1,0,AK12*Vaciado!$D$68)</f>
        <v>23.925437731627159</v>
      </c>
      <c r="AL43" s="6">
        <f>IF(Vaciado!$F$63&gt;Flujos!AL1,0,AL12*Vaciado!$D$68)</f>
        <v>24.907744912943151</v>
      </c>
      <c r="AM43" s="6">
        <f>IF(Vaciado!$F$63&gt;Flujos!AM1,0,AM12*Vaciado!$D$68)</f>
        <v>26.157274316481363</v>
      </c>
      <c r="AN43" s="6">
        <f>IF(Vaciado!$F$63&gt;Flujos!AN1,0,AN12*Vaciado!$D$68)</f>
        <v>27.117156667365919</v>
      </c>
    </row>
    <row r="44" spans="1:40" x14ac:dyDescent="0.35">
      <c r="A44" s="13" t="s">
        <v>41</v>
      </c>
      <c r="B44" s="96">
        <f>SUM(B30:B43)</f>
        <v>328.98421568421787</v>
      </c>
      <c r="C44" s="96">
        <f t="shared" ref="C44:AN44" si="14">SUM(C30:C43)</f>
        <v>429.33038500804139</v>
      </c>
      <c r="D44" s="96">
        <f t="shared" si="14"/>
        <v>529.95656691839736</v>
      </c>
      <c r="E44" s="6">
        <f t="shared" si="14"/>
        <v>20.957999999999998</v>
      </c>
      <c r="F44" s="6">
        <f t="shared" si="14"/>
        <v>20.896333333333331</v>
      </c>
      <c r="G44" s="6">
        <f t="shared" si="14"/>
        <v>21.163555555555554</v>
      </c>
      <c r="H44" s="6">
        <f t="shared" si="14"/>
        <v>24.267444444444443</v>
      </c>
      <c r="I44" s="6">
        <f t="shared" si="14"/>
        <v>26.528555555555553</v>
      </c>
      <c r="J44" s="6">
        <f t="shared" si="14"/>
        <v>26.528555555555553</v>
      </c>
      <c r="K44" s="6">
        <f t="shared" si="14"/>
        <v>31.091888888888889</v>
      </c>
      <c r="L44" s="6">
        <f t="shared" si="14"/>
        <v>31.338555555555551</v>
      </c>
      <c r="M44" s="6">
        <f t="shared" si="14"/>
        <v>31.338555555555551</v>
      </c>
      <c r="N44" s="6">
        <f t="shared" si="14"/>
        <v>31.585222222222221</v>
      </c>
      <c r="O44" s="6">
        <f t="shared" si="14"/>
        <v>31.585222222222221</v>
      </c>
      <c r="P44" s="6">
        <f t="shared" si="14"/>
        <v>31.702326795329</v>
      </c>
      <c r="Q44" s="6">
        <f t="shared" si="14"/>
        <v>32.446333333333335</v>
      </c>
      <c r="R44" s="6">
        <f t="shared" si="14"/>
        <v>32.680542479546887</v>
      </c>
      <c r="S44" s="6">
        <f t="shared" si="14"/>
        <v>33.266065345080762</v>
      </c>
      <c r="T44" s="6">
        <f t="shared" si="14"/>
        <v>34.67132022236207</v>
      </c>
      <c r="U44" s="6">
        <f t="shared" si="14"/>
        <v>34.732986889028737</v>
      </c>
      <c r="V44" s="6">
        <f t="shared" si="14"/>
        <v>36.082803859869941</v>
      </c>
      <c r="W44" s="6">
        <f t="shared" si="14"/>
        <v>36.612888818963711</v>
      </c>
      <c r="X44" s="6">
        <f t="shared" si="14"/>
        <v>36.674555485630378</v>
      </c>
      <c r="Y44" s="6">
        <f t="shared" si="14"/>
        <v>37.471862666946365</v>
      </c>
      <c r="Z44" s="6">
        <f t="shared" si="14"/>
        <v>37.800751555835255</v>
      </c>
      <c r="AA44" s="6">
        <f t="shared" si="14"/>
        <v>38.191307111390813</v>
      </c>
      <c r="AB44" s="6">
        <f t="shared" si="14"/>
        <v>38.69896724005315</v>
      </c>
      <c r="AC44" s="6">
        <f t="shared" si="14"/>
        <v>39.486029333613033</v>
      </c>
      <c r="AD44" s="6">
        <f t="shared" si="14"/>
        <v>39.720238479826591</v>
      </c>
      <c r="AE44" s="6">
        <f t="shared" si="14"/>
        <v>40.367428012027133</v>
      </c>
      <c r="AF44" s="6">
        <f t="shared" si="14"/>
        <v>41.951454129081881</v>
      </c>
      <c r="AG44" s="6">
        <f t="shared" si="14"/>
        <v>42.130225368855328</v>
      </c>
      <c r="AH44" s="6">
        <f t="shared" si="14"/>
        <v>43.658813579469964</v>
      </c>
      <c r="AI44" s="6">
        <f t="shared" si="14"/>
        <v>44.573225333892736</v>
      </c>
      <c r="AJ44" s="6">
        <f t="shared" si="14"/>
        <v>45.315094608768618</v>
      </c>
      <c r="AK44" s="6">
        <f t="shared" si="14"/>
        <v>46.58704884273827</v>
      </c>
      <c r="AL44" s="6">
        <f t="shared" si="14"/>
        <v>47.569356024054265</v>
      </c>
      <c r="AM44" s="6">
        <f t="shared" si="14"/>
        <v>48.818885427592477</v>
      </c>
      <c r="AN44" s="6">
        <f t="shared" si="14"/>
        <v>49.778767778477032</v>
      </c>
    </row>
    <row r="46" spans="1:40" x14ac:dyDescent="0.35">
      <c r="D46" s="10" t="s">
        <v>146</v>
      </c>
      <c r="E46" s="1">
        <f>E12-E20-E28-E44</f>
        <v>-24.645722222222222</v>
      </c>
      <c r="F46" s="1">
        <f t="shared" ref="F46:AN46" si="15">F12-F20-F28-F44</f>
        <v>-25.451888888888888</v>
      </c>
      <c r="G46" s="1">
        <f t="shared" si="15"/>
        <v>-21.666833333333333</v>
      </c>
      <c r="H46" s="1">
        <f t="shared" si="15"/>
        <v>19.85733333333333</v>
      </c>
      <c r="I46" s="1">
        <f t="shared" si="15"/>
        <v>49.334555555555553</v>
      </c>
      <c r="J46" s="1">
        <f t="shared" si="15"/>
        <v>49.334555555555553</v>
      </c>
      <c r="K46" s="1">
        <f t="shared" si="15"/>
        <v>110.47722222222222</v>
      </c>
      <c r="L46" s="1">
        <f t="shared" si="15"/>
        <v>113.35655555555553</v>
      </c>
      <c r="M46" s="1">
        <f t="shared" si="15"/>
        <v>111.96766666666667</v>
      </c>
      <c r="N46" s="1">
        <f t="shared" si="15"/>
        <v>114.84699999999998</v>
      </c>
      <c r="O46" s="1">
        <f t="shared" si="15"/>
        <v>114.84699999999998</v>
      </c>
      <c r="P46" s="1">
        <f t="shared" si="15"/>
        <v>116.45133265156285</v>
      </c>
      <c r="Q46" s="1">
        <f t="shared" si="15"/>
        <v>111.96644444444442</v>
      </c>
      <c r="R46" s="1">
        <f t="shared" si="15"/>
        <v>115.17510974757008</v>
      </c>
      <c r="S46" s="1">
        <f t="shared" si="15"/>
        <v>123.19677300538422</v>
      </c>
      <c r="T46" s="1">
        <f t="shared" si="15"/>
        <v>142.44876482413815</v>
      </c>
      <c r="U46" s="1">
        <f t="shared" si="15"/>
        <v>143.16859815747154</v>
      </c>
      <c r="V46" s="1">
        <f t="shared" si="15"/>
        <v>161.53609065799589</v>
      </c>
      <c r="W46" s="1">
        <f t="shared" si="15"/>
        <v>168.67325459758058</v>
      </c>
      <c r="X46" s="1">
        <f t="shared" si="15"/>
        <v>169.39308793091394</v>
      </c>
      <c r="Y46" s="1">
        <f t="shared" si="15"/>
        <v>179.941196314943</v>
      </c>
      <c r="Z46" s="1">
        <f t="shared" si="15"/>
        <v>184.07197409272075</v>
      </c>
      <c r="AA46" s="1">
        <f t="shared" si="15"/>
        <v>188.92258520383183</v>
      </c>
      <c r="AB46" s="1">
        <f t="shared" si="15"/>
        <v>195.37752896650582</v>
      </c>
      <c r="AC46" s="1">
        <f t="shared" si="15"/>
        <v>192.49861298160965</v>
      </c>
      <c r="AD46" s="1">
        <f t="shared" si="15"/>
        <v>195.70727828473531</v>
      </c>
      <c r="AE46" s="1">
        <f t="shared" si="15"/>
        <v>204.4487748758828</v>
      </c>
      <c r="AF46" s="1">
        <f t="shared" si="15"/>
        <v>226.02493267953287</v>
      </c>
      <c r="AG46" s="1">
        <f t="shared" si="15"/>
        <v>228.34909866442902</v>
      </c>
      <c r="AH46" s="1">
        <f t="shared" si="15"/>
        <v>249.04075714984964</v>
      </c>
      <c r="AI46" s="1">
        <f t="shared" si="15"/>
        <v>261.19319818544159</v>
      </c>
      <c r="AJ46" s="1">
        <f t="shared" si="15"/>
        <v>270.85680725124109</v>
      </c>
      <c r="AK46" s="1">
        <f t="shared" si="15"/>
        <v>287.65758025662541</v>
      </c>
      <c r="AL46" s="1">
        <f t="shared" si="15"/>
        <v>300.36518864065442</v>
      </c>
      <c r="AM46" s="1">
        <f t="shared" si="15"/>
        <v>316.48374146912801</v>
      </c>
      <c r="AN46" s="1">
        <f t="shared" si="15"/>
        <v>328.5091296762464</v>
      </c>
    </row>
    <row r="47" spans="1:40" x14ac:dyDescent="0.35">
      <c r="D47" s="10" t="s">
        <v>147</v>
      </c>
      <c r="E47" s="6">
        <f>E46</f>
        <v>-24.645722222222222</v>
      </c>
      <c r="F47" s="6">
        <f>E46+F46</f>
        <v>-50.097611111111107</v>
      </c>
      <c r="G47" s="6">
        <f t="shared" ref="G47:AN47" si="16">F46+G46</f>
        <v>-47.118722222222218</v>
      </c>
      <c r="H47" s="6">
        <f t="shared" si="16"/>
        <v>-1.8095000000000034</v>
      </c>
      <c r="I47" s="6">
        <f t="shared" si="16"/>
        <v>69.191888888888883</v>
      </c>
      <c r="J47" s="6">
        <f t="shared" si="16"/>
        <v>98.669111111111107</v>
      </c>
      <c r="K47" s="6">
        <f t="shared" si="16"/>
        <v>159.81177777777776</v>
      </c>
      <c r="L47" s="6">
        <f t="shared" si="16"/>
        <v>223.83377777777775</v>
      </c>
      <c r="M47" s="6">
        <f t="shared" si="16"/>
        <v>225.3242222222222</v>
      </c>
      <c r="N47" s="6">
        <f t="shared" si="16"/>
        <v>226.81466666666665</v>
      </c>
      <c r="O47" s="6">
        <f t="shared" si="16"/>
        <v>229.69399999999996</v>
      </c>
      <c r="P47" s="6">
        <f t="shared" si="16"/>
        <v>231.29833265156282</v>
      </c>
      <c r="Q47" s="6">
        <f t="shared" si="16"/>
        <v>228.41777709600728</v>
      </c>
      <c r="R47" s="6">
        <f t="shared" si="16"/>
        <v>227.1415541920145</v>
      </c>
      <c r="S47" s="6">
        <f t="shared" si="16"/>
        <v>238.37188275295429</v>
      </c>
      <c r="T47" s="6">
        <f t="shared" si="16"/>
        <v>265.64553782952237</v>
      </c>
      <c r="U47" s="6">
        <f t="shared" si="16"/>
        <v>285.61736298160969</v>
      </c>
      <c r="V47" s="6">
        <f t="shared" si="16"/>
        <v>304.70468881546742</v>
      </c>
      <c r="W47" s="6">
        <f t="shared" si="16"/>
        <v>330.20934525557647</v>
      </c>
      <c r="X47" s="6">
        <f t="shared" si="16"/>
        <v>338.06634252849449</v>
      </c>
      <c r="Y47" s="6">
        <f t="shared" si="16"/>
        <v>349.33428424585691</v>
      </c>
      <c r="Z47" s="6">
        <f t="shared" si="16"/>
        <v>364.01317040766378</v>
      </c>
      <c r="AA47" s="6">
        <f t="shared" si="16"/>
        <v>372.99455929655255</v>
      </c>
      <c r="AB47" s="6">
        <f t="shared" si="16"/>
        <v>384.30011417033768</v>
      </c>
      <c r="AC47" s="6">
        <f t="shared" si="16"/>
        <v>387.87614194811545</v>
      </c>
      <c r="AD47" s="6">
        <f t="shared" si="16"/>
        <v>388.20589126634496</v>
      </c>
      <c r="AE47" s="6">
        <f t="shared" si="16"/>
        <v>400.15605316061811</v>
      </c>
      <c r="AF47" s="6">
        <f t="shared" si="16"/>
        <v>430.47370755541567</v>
      </c>
      <c r="AG47" s="6">
        <f t="shared" si="16"/>
        <v>454.37403134396186</v>
      </c>
      <c r="AH47" s="6">
        <f t="shared" si="16"/>
        <v>477.38985581427869</v>
      </c>
      <c r="AI47" s="6">
        <f t="shared" si="16"/>
        <v>510.23395533529123</v>
      </c>
      <c r="AJ47" s="6">
        <f t="shared" si="16"/>
        <v>532.05000543668268</v>
      </c>
      <c r="AK47" s="6">
        <f t="shared" si="16"/>
        <v>558.51438750786656</v>
      </c>
      <c r="AL47" s="6">
        <f t="shared" si="16"/>
        <v>588.02276889727978</v>
      </c>
      <c r="AM47" s="6">
        <f t="shared" si="16"/>
        <v>616.84893010978249</v>
      </c>
      <c r="AN47" s="6">
        <f t="shared" si="16"/>
        <v>644.99287114537447</v>
      </c>
    </row>
    <row r="48" spans="1:40" x14ac:dyDescent="0.35">
      <c r="D48" s="10"/>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row>
    <row r="49" spans="1:40" x14ac:dyDescent="0.35">
      <c r="E49" s="3">
        <v>36</v>
      </c>
      <c r="F49" s="3">
        <v>35</v>
      </c>
      <c r="G49" s="3">
        <v>34</v>
      </c>
      <c r="H49" s="3">
        <v>33</v>
      </c>
      <c r="I49" s="3">
        <v>32</v>
      </c>
      <c r="J49" s="3">
        <v>31</v>
      </c>
      <c r="K49" s="3">
        <v>30</v>
      </c>
      <c r="L49" s="3">
        <v>29</v>
      </c>
      <c r="M49" s="3">
        <v>28</v>
      </c>
      <c r="N49" s="3">
        <v>27</v>
      </c>
      <c r="O49" s="3">
        <v>26</v>
      </c>
      <c r="P49" s="3">
        <v>25</v>
      </c>
      <c r="Q49" s="3">
        <v>24</v>
      </c>
      <c r="R49" s="3">
        <v>23</v>
      </c>
      <c r="S49" s="3">
        <v>22</v>
      </c>
      <c r="T49" s="3">
        <v>21</v>
      </c>
      <c r="U49" s="3">
        <v>20</v>
      </c>
      <c r="V49" s="3">
        <v>19</v>
      </c>
      <c r="W49" s="3">
        <v>18</v>
      </c>
      <c r="X49" s="3">
        <v>17</v>
      </c>
      <c r="Y49" s="3">
        <v>16</v>
      </c>
      <c r="Z49" s="3">
        <v>15</v>
      </c>
      <c r="AA49" s="3">
        <v>14</v>
      </c>
      <c r="AB49" s="3">
        <v>13</v>
      </c>
      <c r="AC49" s="3">
        <v>12</v>
      </c>
      <c r="AD49" s="3">
        <v>11</v>
      </c>
      <c r="AE49" s="3">
        <v>10</v>
      </c>
      <c r="AF49" s="3">
        <v>9</v>
      </c>
      <c r="AG49" s="3">
        <v>8</v>
      </c>
      <c r="AH49" s="3">
        <v>7</v>
      </c>
      <c r="AI49" s="3">
        <v>6</v>
      </c>
      <c r="AJ49" s="3">
        <v>5</v>
      </c>
      <c r="AK49" s="3">
        <v>4</v>
      </c>
      <c r="AL49" s="3">
        <v>3</v>
      </c>
      <c r="AM49" s="3">
        <v>2</v>
      </c>
      <c r="AN49" s="3">
        <v>1</v>
      </c>
    </row>
    <row r="50" spans="1:40" x14ac:dyDescent="0.35">
      <c r="A50" s="10" t="s">
        <v>179</v>
      </c>
      <c r="B50" s="6">
        <f>SUM(E50:P50)</f>
        <v>555.09889767469633</v>
      </c>
      <c r="C50" s="6">
        <f>SUM(Q50:AB50)</f>
        <v>936.42491231576639</v>
      </c>
      <c r="D50" s="6">
        <f>SUM(AC50:AN50)</f>
        <v>501.28331594672858</v>
      </c>
      <c r="E50" s="6">
        <f>E46*(E49/36)</f>
        <v>-24.645722222222222</v>
      </c>
      <c r="F50" s="6">
        <f t="shared" ref="F50:AN50" si="17">F46*(F49/36)</f>
        <v>-24.74489197530864</v>
      </c>
      <c r="G50" s="6">
        <f t="shared" si="17"/>
        <v>-20.463120370370369</v>
      </c>
      <c r="H50" s="6">
        <f t="shared" si="17"/>
        <v>18.202555555555552</v>
      </c>
      <c r="I50" s="6">
        <f t="shared" si="17"/>
        <v>43.852938271604934</v>
      </c>
      <c r="J50" s="6">
        <f t="shared" si="17"/>
        <v>42.482533950617288</v>
      </c>
      <c r="K50" s="6">
        <f t="shared" si="17"/>
        <v>92.064351851851853</v>
      </c>
      <c r="L50" s="6">
        <f t="shared" si="17"/>
        <v>91.315003086419736</v>
      </c>
      <c r="M50" s="6">
        <f t="shared" si="17"/>
        <v>87.085962962962967</v>
      </c>
      <c r="N50" s="6">
        <f t="shared" si="17"/>
        <v>86.135249999999985</v>
      </c>
      <c r="O50" s="6">
        <f t="shared" si="17"/>
        <v>82.945055555555541</v>
      </c>
      <c r="P50" s="6">
        <f t="shared" si="17"/>
        <v>80.868981008029749</v>
      </c>
      <c r="Q50" s="6">
        <f t="shared" si="17"/>
        <v>74.644296296296275</v>
      </c>
      <c r="R50" s="6">
        <f t="shared" si="17"/>
        <v>73.584097894280873</v>
      </c>
      <c r="S50" s="6">
        <f t="shared" si="17"/>
        <v>75.286916836623689</v>
      </c>
      <c r="T50" s="6">
        <f t="shared" si="17"/>
        <v>83.095112814080593</v>
      </c>
      <c r="U50" s="6">
        <f t="shared" si="17"/>
        <v>79.538110087484185</v>
      </c>
      <c r="V50" s="6">
        <f t="shared" si="17"/>
        <v>85.255158958386716</v>
      </c>
      <c r="W50" s="6">
        <f t="shared" si="17"/>
        <v>84.33662729879029</v>
      </c>
      <c r="X50" s="6">
        <f t="shared" si="17"/>
        <v>79.991180411820466</v>
      </c>
      <c r="Y50" s="6">
        <f t="shared" si="17"/>
        <v>79.973865028863557</v>
      </c>
      <c r="Z50" s="6">
        <f t="shared" si="17"/>
        <v>76.696655871966982</v>
      </c>
      <c r="AA50" s="6">
        <f t="shared" si="17"/>
        <v>73.469894245934597</v>
      </c>
      <c r="AB50" s="6">
        <f t="shared" si="17"/>
        <v>70.552996571238211</v>
      </c>
      <c r="AC50" s="6">
        <f t="shared" si="17"/>
        <v>64.166204327203218</v>
      </c>
      <c r="AD50" s="6">
        <f t="shared" si="17"/>
        <v>59.799446142558018</v>
      </c>
      <c r="AE50" s="6">
        <f t="shared" si="17"/>
        <v>56.791326354411893</v>
      </c>
      <c r="AF50" s="6">
        <f t="shared" si="17"/>
        <v>56.506233169883217</v>
      </c>
      <c r="AG50" s="6">
        <f t="shared" si="17"/>
        <v>50.744244147650889</v>
      </c>
      <c r="AH50" s="6">
        <f t="shared" si="17"/>
        <v>48.424591668026316</v>
      </c>
      <c r="AI50" s="6">
        <f t="shared" si="17"/>
        <v>43.532199697573596</v>
      </c>
      <c r="AJ50" s="6">
        <f t="shared" si="17"/>
        <v>37.619001007116822</v>
      </c>
      <c r="AK50" s="6">
        <f t="shared" si="17"/>
        <v>31.961953361847264</v>
      </c>
      <c r="AL50" s="6">
        <f t="shared" si="17"/>
        <v>25.030432386721202</v>
      </c>
      <c r="AM50" s="6">
        <f t="shared" si="17"/>
        <v>17.58243008161822</v>
      </c>
      <c r="AN50" s="6">
        <f t="shared" si="17"/>
        <v>9.1252536021179544</v>
      </c>
    </row>
    <row r="51" spans="1:40" x14ac:dyDescent="0.35">
      <c r="A51" s="10" t="s">
        <v>185</v>
      </c>
      <c r="B51" s="6">
        <f>SUM(E51:P51)</f>
        <v>1230.6202795647548</v>
      </c>
      <c r="C51" s="6">
        <f>SUM(Q51:AB51)</f>
        <v>1681.7896530157177</v>
      </c>
      <c r="D51" s="6">
        <f>SUM(AC51:AN51)</f>
        <v>854.18211168216669</v>
      </c>
      <c r="E51" s="6">
        <f>E12*(E49/36)</f>
        <v>1.2333333333333332</v>
      </c>
      <c r="F51" s="6">
        <f t="shared" ref="F51:AN51" si="18">F12*(F49/36)</f>
        <v>0</v>
      </c>
      <c r="G51" s="6">
        <f t="shared" si="18"/>
        <v>5.0475308641975314</v>
      </c>
      <c r="H51" s="6">
        <f t="shared" si="18"/>
        <v>61.803703703703697</v>
      </c>
      <c r="I51" s="6">
        <f t="shared" si="18"/>
        <v>100.12839506172838</v>
      </c>
      <c r="J51" s="6">
        <f t="shared" si="18"/>
        <v>96.999382716049396</v>
      </c>
      <c r="K51" s="6">
        <f t="shared" si="18"/>
        <v>169.92592592592592</v>
      </c>
      <c r="L51" s="6">
        <f t="shared" si="18"/>
        <v>168.23580246913579</v>
      </c>
      <c r="M51" s="6">
        <f t="shared" si="18"/>
        <v>162.43456790123457</v>
      </c>
      <c r="N51" s="6">
        <f t="shared" si="18"/>
        <v>160.33333333333331</v>
      </c>
      <c r="O51" s="6">
        <f t="shared" si="18"/>
        <v>154.39506172839506</v>
      </c>
      <c r="P51" s="6">
        <f t="shared" si="18"/>
        <v>150.08324252771757</v>
      </c>
      <c r="Q51" s="6">
        <f t="shared" si="18"/>
        <v>142.5185185185185</v>
      </c>
      <c r="R51" s="6">
        <f t="shared" si="18"/>
        <v>139.57291933742005</v>
      </c>
      <c r="S51" s="6">
        <f t="shared" si="18"/>
        <v>140.66092211888835</v>
      </c>
      <c r="T51" s="6">
        <f t="shared" si="18"/>
        <v>150.66188407570567</v>
      </c>
      <c r="U51" s="6">
        <f t="shared" si="18"/>
        <v>144.17269382871439</v>
      </c>
      <c r="V51" s="6">
        <f t="shared" si="18"/>
        <v>151.21212716282466</v>
      </c>
      <c r="W51" s="6">
        <f t="shared" si="18"/>
        <v>148.55444374519263</v>
      </c>
      <c r="X51" s="6">
        <f t="shared" si="18"/>
        <v>140.88382650008933</v>
      </c>
      <c r="Y51" s="6">
        <f t="shared" si="18"/>
        <v>139.6837175333504</v>
      </c>
      <c r="Z51" s="6">
        <f t="shared" si="18"/>
        <v>133.69422592825674</v>
      </c>
      <c r="AA51" s="6">
        <f t="shared" si="18"/>
        <v>127.81893185402728</v>
      </c>
      <c r="AB51" s="6">
        <f t="shared" si="18"/>
        <v>122.35544241272949</v>
      </c>
      <c r="AC51" s="6">
        <f t="shared" si="18"/>
        <v>112.1627881500128</v>
      </c>
      <c r="AD51" s="6">
        <f t="shared" si="18"/>
        <v>104.24716725326124</v>
      </c>
      <c r="AE51" s="6">
        <f t="shared" si="18"/>
        <v>98.36564944953345</v>
      </c>
      <c r="AF51" s="6">
        <f t="shared" si="18"/>
        <v>96.449215089853851</v>
      </c>
      <c r="AG51" s="6">
        <f t="shared" si="18"/>
        <v>86.527174478863159</v>
      </c>
      <c r="AH51" s="6">
        <f t="shared" si="18"/>
        <v>81.655787376951096</v>
      </c>
      <c r="AI51" s="6">
        <f t="shared" si="18"/>
        <v>73.038714075938742</v>
      </c>
      <c r="AJ51" s="6">
        <f t="shared" si="18"/>
        <v>62.926343049048626</v>
      </c>
      <c r="AK51" s="6">
        <f t="shared" si="18"/>
        <v>53.167639403615908</v>
      </c>
      <c r="AL51" s="6">
        <f t="shared" si="18"/>
        <v>41.512908188238583</v>
      </c>
      <c r="AM51" s="6">
        <f t="shared" si="18"/>
        <v>29.063638129423737</v>
      </c>
      <c r="AN51" s="6">
        <f t="shared" si="18"/>
        <v>15.06508703742551</v>
      </c>
    </row>
    <row r="52" spans="1:40" x14ac:dyDescent="0.35">
      <c r="A52" s="10" t="s">
        <v>186</v>
      </c>
      <c r="B52" s="6">
        <f>SUM(E52:P52)</f>
        <v>401.54431235626487</v>
      </c>
      <c r="C52" s="6">
        <f>SUM(Q52:AB52)</f>
        <v>527.10435064175772</v>
      </c>
      <c r="D52" s="6">
        <f>SUM(AC52:AN52)</f>
        <v>261.08953274392235</v>
      </c>
      <c r="E52" s="6">
        <f>(E20+E28)*(E49/36)</f>
        <v>4.9210555555555562</v>
      </c>
      <c r="F52" s="6">
        <f t="shared" ref="F52:AN52" si="19">(F20+F28)*(F49/36)</f>
        <v>4.4290123456790118</v>
      </c>
      <c r="G52" s="6">
        <f t="shared" si="19"/>
        <v>5.5228487654320988</v>
      </c>
      <c r="H52" s="6">
        <f t="shared" si="19"/>
        <v>21.35599074074074</v>
      </c>
      <c r="I52" s="6">
        <f t="shared" si="19"/>
        <v>32.694518518518514</v>
      </c>
      <c r="J52" s="6">
        <f t="shared" si="19"/>
        <v>31.672814814814814</v>
      </c>
      <c r="K52" s="6">
        <f t="shared" si="19"/>
        <v>51.951666666666668</v>
      </c>
      <c r="L52" s="6">
        <f t="shared" si="19"/>
        <v>51.675851851851853</v>
      </c>
      <c r="M52" s="6">
        <f t="shared" si="19"/>
        <v>50.974172839506167</v>
      </c>
      <c r="N52" s="6">
        <f t="shared" si="19"/>
        <v>50.509166666666658</v>
      </c>
      <c r="O52" s="6">
        <f t="shared" si="19"/>
        <v>48.638456790123449</v>
      </c>
      <c r="P52" s="6">
        <f t="shared" si="19"/>
        <v>47.198756800709354</v>
      </c>
      <c r="Q52" s="6">
        <f t="shared" si="19"/>
        <v>46.243333333333325</v>
      </c>
      <c r="R52" s="6">
        <f t="shared" si="19"/>
        <v>45.109585970095324</v>
      </c>
      <c r="S52" s="6">
        <f t="shared" si="19"/>
        <v>45.044743126937512</v>
      </c>
      <c r="T52" s="6">
        <f t="shared" si="19"/>
        <v>47.341834465247182</v>
      </c>
      <c r="U52" s="6">
        <f t="shared" si="19"/>
        <v>45.338479913992032</v>
      </c>
      <c r="V52" s="6">
        <f t="shared" si="19"/>
        <v>46.913266167284334</v>
      </c>
      <c r="W52" s="6">
        <f t="shared" si="19"/>
        <v>45.911372036920497</v>
      </c>
      <c r="X52" s="6">
        <f t="shared" si="19"/>
        <v>43.574105997832319</v>
      </c>
      <c r="Y52" s="6">
        <f t="shared" si="19"/>
        <v>43.05569131917737</v>
      </c>
      <c r="Z52" s="6">
        <f t="shared" si="19"/>
        <v>41.247256908025079</v>
      </c>
      <c r="AA52" s="6">
        <f t="shared" si="19"/>
        <v>39.49686262032958</v>
      </c>
      <c r="AB52" s="6">
        <f t="shared" si="19"/>
        <v>37.827818782583186</v>
      </c>
      <c r="AC52" s="6">
        <f t="shared" si="19"/>
        <v>34.834574044938577</v>
      </c>
      <c r="AD52" s="6">
        <f t="shared" si="19"/>
        <v>32.31098157520065</v>
      </c>
      <c r="AE52" s="6">
        <f t="shared" si="19"/>
        <v>30.36114864733624</v>
      </c>
      <c r="AF52" s="6">
        <f t="shared" si="19"/>
        <v>29.455118387700161</v>
      </c>
      <c r="AG52" s="6">
        <f t="shared" si="19"/>
        <v>26.420658027022196</v>
      </c>
      <c r="AH52" s="6">
        <f t="shared" si="19"/>
        <v>24.74198195736118</v>
      </c>
      <c r="AI52" s="6">
        <f t="shared" si="19"/>
        <v>22.077643489383025</v>
      </c>
      <c r="AJ52" s="6">
        <f t="shared" si="19"/>
        <v>19.013578901825046</v>
      </c>
      <c r="AK52" s="6">
        <f t="shared" si="19"/>
        <v>16.029347281464386</v>
      </c>
      <c r="AL52" s="6">
        <f t="shared" si="19"/>
        <v>12.518362799512854</v>
      </c>
      <c r="AM52" s="6">
        <f t="shared" si="19"/>
        <v>8.769047746272598</v>
      </c>
      <c r="AN52" s="6">
        <f t="shared" si="19"/>
        <v>4.5570898859054134</v>
      </c>
    </row>
    <row r="53" spans="1:40" x14ac:dyDescent="0.35">
      <c r="A53" s="10" t="s">
        <v>188</v>
      </c>
      <c r="B53" s="6">
        <f>B44</f>
        <v>328.98421568421787</v>
      </c>
      <c r="C53" s="6">
        <f>C44</f>
        <v>429.33038500804139</v>
      </c>
      <c r="D53" s="6">
        <f>D44</f>
        <v>529.95656691839736</v>
      </c>
      <c r="E53" s="6">
        <f>(E44)*(E49/36)</f>
        <v>20.957999999999998</v>
      </c>
      <c r="F53" s="6">
        <f t="shared" ref="F53:AN53" si="20">(F44)*(F49/36)</f>
        <v>20.315879629629627</v>
      </c>
      <c r="G53" s="6">
        <f t="shared" si="20"/>
        <v>19.987802469135801</v>
      </c>
      <c r="H53" s="6">
        <f t="shared" si="20"/>
        <v>22.245157407407405</v>
      </c>
      <c r="I53" s="6">
        <f t="shared" si="20"/>
        <v>23.580938271604936</v>
      </c>
      <c r="J53" s="6">
        <f t="shared" si="20"/>
        <v>22.844033950617284</v>
      </c>
      <c r="K53" s="6">
        <f t="shared" si="20"/>
        <v>25.90990740740741</v>
      </c>
      <c r="L53" s="6">
        <f t="shared" si="20"/>
        <v>25.244947530864195</v>
      </c>
      <c r="M53" s="6">
        <f t="shared" si="20"/>
        <v>24.374432098765428</v>
      </c>
      <c r="N53" s="6">
        <f t="shared" si="20"/>
        <v>23.688916666666664</v>
      </c>
      <c r="O53" s="6">
        <f t="shared" si="20"/>
        <v>22.811549382716048</v>
      </c>
      <c r="P53" s="6">
        <f t="shared" si="20"/>
        <v>22.015504718978473</v>
      </c>
      <c r="Q53" s="6">
        <f t="shared" si="20"/>
        <v>21.63088888888889</v>
      </c>
      <c r="R53" s="6">
        <f t="shared" si="20"/>
        <v>20.879235473043842</v>
      </c>
      <c r="S53" s="6">
        <f t="shared" si="20"/>
        <v>20.329262155327132</v>
      </c>
      <c r="T53" s="6">
        <f t="shared" si="20"/>
        <v>20.224936796377875</v>
      </c>
      <c r="U53" s="6">
        <f t="shared" si="20"/>
        <v>19.296103827238188</v>
      </c>
      <c r="V53" s="6">
        <f t="shared" si="20"/>
        <v>19.043702037153579</v>
      </c>
      <c r="W53" s="6">
        <f t="shared" si="20"/>
        <v>18.306444409481855</v>
      </c>
      <c r="X53" s="6">
        <f t="shared" si="20"/>
        <v>17.318540090436567</v>
      </c>
      <c r="Y53" s="6">
        <f t="shared" si="20"/>
        <v>16.654161185309494</v>
      </c>
      <c r="Z53" s="6">
        <f t="shared" si="20"/>
        <v>15.75031314826469</v>
      </c>
      <c r="AA53" s="6">
        <f t="shared" si="20"/>
        <v>14.852174987763094</v>
      </c>
      <c r="AB53" s="6">
        <f t="shared" si="20"/>
        <v>13.974627058908082</v>
      </c>
      <c r="AC53" s="6">
        <f t="shared" si="20"/>
        <v>13.16200977787101</v>
      </c>
      <c r="AD53" s="6">
        <f t="shared" si="20"/>
        <v>12.136739535502571</v>
      </c>
      <c r="AE53" s="6">
        <f t="shared" si="20"/>
        <v>11.213174447785315</v>
      </c>
      <c r="AF53" s="6">
        <f t="shared" si="20"/>
        <v>10.48786353227047</v>
      </c>
      <c r="AG53" s="6">
        <f t="shared" si="20"/>
        <v>9.3622723041900731</v>
      </c>
      <c r="AH53" s="6">
        <f t="shared" si="20"/>
        <v>8.4892137515636037</v>
      </c>
      <c r="AI53" s="6">
        <f t="shared" si="20"/>
        <v>7.4288708889821224</v>
      </c>
      <c r="AJ53" s="6">
        <f t="shared" si="20"/>
        <v>6.2937631401067531</v>
      </c>
      <c r="AK53" s="6">
        <f t="shared" si="20"/>
        <v>5.1763387603042519</v>
      </c>
      <c r="AL53" s="6">
        <f t="shared" si="20"/>
        <v>3.9641130020045221</v>
      </c>
      <c r="AM53" s="6">
        <f t="shared" si="20"/>
        <v>2.7121603015329154</v>
      </c>
      <c r="AN53" s="6">
        <f t="shared" si="20"/>
        <v>1.3827435494021396</v>
      </c>
    </row>
    <row r="54" spans="1:40" x14ac:dyDescent="0.35">
      <c r="A54" s="10" t="s">
        <v>187</v>
      </c>
      <c r="B54" s="6">
        <f>B51-B52-B53</f>
        <v>500.09175152427207</v>
      </c>
      <c r="C54" s="6">
        <f>C51-C52-C53</f>
        <v>725.3549173659186</v>
      </c>
      <c r="D54" s="6">
        <f>D51-D52-D53</f>
        <v>63.13601201984693</v>
      </c>
    </row>
    <row r="56" spans="1:40" x14ac:dyDescent="0.35">
      <c r="D56" s="10" t="s">
        <v>220</v>
      </c>
      <c r="E56" s="3">
        <f>IF(E46&lt;0,1,0)</f>
        <v>1</v>
      </c>
      <c r="F56" s="3">
        <f t="shared" ref="F56:AN56" si="21">IF(F46&lt;0,1,0)</f>
        <v>1</v>
      </c>
      <c r="G56" s="3">
        <f t="shared" si="21"/>
        <v>1</v>
      </c>
      <c r="H56" s="3">
        <f t="shared" si="21"/>
        <v>0</v>
      </c>
      <c r="I56" s="3">
        <f t="shared" si="21"/>
        <v>0</v>
      </c>
      <c r="J56" s="3">
        <f t="shared" si="21"/>
        <v>0</v>
      </c>
      <c r="K56" s="3">
        <f t="shared" si="21"/>
        <v>0</v>
      </c>
      <c r="L56" s="3">
        <f t="shared" si="21"/>
        <v>0</v>
      </c>
      <c r="M56" s="3">
        <f t="shared" si="21"/>
        <v>0</v>
      </c>
      <c r="N56" s="3">
        <f t="shared" si="21"/>
        <v>0</v>
      </c>
      <c r="O56" s="3">
        <f t="shared" si="21"/>
        <v>0</v>
      </c>
      <c r="P56" s="3">
        <f t="shared" si="21"/>
        <v>0</v>
      </c>
      <c r="Q56" s="3">
        <f t="shared" si="21"/>
        <v>0</v>
      </c>
      <c r="R56" s="3">
        <f t="shared" si="21"/>
        <v>0</v>
      </c>
      <c r="S56" s="3">
        <f t="shared" si="21"/>
        <v>0</v>
      </c>
      <c r="T56" s="3">
        <f t="shared" si="21"/>
        <v>0</v>
      </c>
      <c r="U56" s="3">
        <f t="shared" si="21"/>
        <v>0</v>
      </c>
      <c r="V56" s="3">
        <f t="shared" si="21"/>
        <v>0</v>
      </c>
      <c r="W56" s="3">
        <f t="shared" si="21"/>
        <v>0</v>
      </c>
      <c r="X56" s="3">
        <f t="shared" si="21"/>
        <v>0</v>
      </c>
      <c r="Y56" s="3">
        <f t="shared" si="21"/>
        <v>0</v>
      </c>
      <c r="Z56" s="3">
        <f t="shared" si="21"/>
        <v>0</v>
      </c>
      <c r="AA56" s="3">
        <f t="shared" si="21"/>
        <v>0</v>
      </c>
      <c r="AB56" s="3">
        <f t="shared" si="21"/>
        <v>0</v>
      </c>
      <c r="AC56" s="3">
        <f t="shared" si="21"/>
        <v>0</v>
      </c>
      <c r="AD56" s="3">
        <f t="shared" si="21"/>
        <v>0</v>
      </c>
      <c r="AE56" s="3">
        <f t="shared" si="21"/>
        <v>0</v>
      </c>
      <c r="AF56" s="3">
        <f t="shared" si="21"/>
        <v>0</v>
      </c>
      <c r="AG56" s="3">
        <f t="shared" si="21"/>
        <v>0</v>
      </c>
      <c r="AH56" s="3">
        <f t="shared" si="21"/>
        <v>0</v>
      </c>
      <c r="AI56" s="3">
        <f t="shared" si="21"/>
        <v>0</v>
      </c>
      <c r="AJ56" s="3">
        <f t="shared" si="21"/>
        <v>0</v>
      </c>
      <c r="AK56" s="3">
        <f t="shared" si="21"/>
        <v>0</v>
      </c>
      <c r="AL56" s="3">
        <f t="shared" si="21"/>
        <v>0</v>
      </c>
      <c r="AM56" s="3">
        <f t="shared" si="21"/>
        <v>0</v>
      </c>
      <c r="AN56" s="3">
        <f t="shared" si="21"/>
        <v>0</v>
      </c>
    </row>
    <row r="57" spans="1:40" x14ac:dyDescent="0.35">
      <c r="D57" t="s">
        <v>238</v>
      </c>
      <c r="E57" s="1">
        <f>-(Dashboard!C32+Vaciado!D20+Vaciado!D21+Vaciado!D22)+E46</f>
        <v>-619.67033734092024</v>
      </c>
      <c r="F57" s="1">
        <f>E57+F46</f>
        <v>-645.12222622980914</v>
      </c>
      <c r="G57" s="1">
        <f t="shared" ref="G57:AN57" si="22">F57+G46</f>
        <v>-666.78905956314247</v>
      </c>
      <c r="H57" s="1">
        <f t="shared" si="22"/>
        <v>-646.9317262298091</v>
      </c>
      <c r="I57" s="1">
        <f t="shared" si="22"/>
        <v>-597.59717067425356</v>
      </c>
      <c r="J57" s="1">
        <f t="shared" si="22"/>
        <v>-548.26261511869802</v>
      </c>
      <c r="K57" s="1">
        <f t="shared" si="22"/>
        <v>-437.7853928964758</v>
      </c>
      <c r="L57" s="1">
        <f t="shared" si="22"/>
        <v>-324.42883734092027</v>
      </c>
      <c r="M57" s="1">
        <f t="shared" si="22"/>
        <v>-212.46117067425359</v>
      </c>
      <c r="N57" s="1">
        <f t="shared" si="22"/>
        <v>-97.614170674253614</v>
      </c>
      <c r="O57" s="1">
        <f t="shared" si="22"/>
        <v>17.232829325746366</v>
      </c>
      <c r="P57" s="1">
        <f t="shared" si="22"/>
        <v>133.6841619773092</v>
      </c>
      <c r="Q57" s="1">
        <f t="shared" si="22"/>
        <v>245.65060642175362</v>
      </c>
      <c r="R57" s="1">
        <f t="shared" si="22"/>
        <v>360.8257161693237</v>
      </c>
      <c r="S57" s="1">
        <f t="shared" si="22"/>
        <v>484.02248917470791</v>
      </c>
      <c r="T57" s="1">
        <f t="shared" si="22"/>
        <v>626.47125399884612</v>
      </c>
      <c r="U57" s="1">
        <f t="shared" si="22"/>
        <v>769.6398521563176</v>
      </c>
      <c r="V57" s="1">
        <f t="shared" si="22"/>
        <v>931.17594281431343</v>
      </c>
      <c r="W57" s="1">
        <f t="shared" si="22"/>
        <v>1099.849197411894</v>
      </c>
      <c r="X57" s="1">
        <f t="shared" si="22"/>
        <v>1269.2422853428079</v>
      </c>
      <c r="Y57" s="1">
        <f t="shared" si="22"/>
        <v>1449.1834816577509</v>
      </c>
      <c r="Z57" s="1">
        <f t="shared" si="22"/>
        <v>1633.2554557504716</v>
      </c>
      <c r="AA57" s="1">
        <f t="shared" si="22"/>
        <v>1822.1780409543035</v>
      </c>
      <c r="AB57" s="1">
        <f t="shared" si="22"/>
        <v>2017.5555699208094</v>
      </c>
      <c r="AC57" s="1">
        <f t="shared" si="22"/>
        <v>2210.0541829024191</v>
      </c>
      <c r="AD57" s="1">
        <f t="shared" si="22"/>
        <v>2405.7614611871545</v>
      </c>
      <c r="AE57" s="1">
        <f t="shared" si="22"/>
        <v>2610.2102360630374</v>
      </c>
      <c r="AF57" s="1">
        <f t="shared" si="22"/>
        <v>2836.2351687425703</v>
      </c>
      <c r="AG57" s="1">
        <f t="shared" si="22"/>
        <v>3064.5842674069995</v>
      </c>
      <c r="AH57" s="1">
        <f t="shared" si="22"/>
        <v>3313.625024556849</v>
      </c>
      <c r="AI57" s="1">
        <f t="shared" si="22"/>
        <v>3574.8182227422903</v>
      </c>
      <c r="AJ57" s="1">
        <f t="shared" si="22"/>
        <v>3845.6750299935316</v>
      </c>
      <c r="AK57" s="1">
        <f t="shared" si="22"/>
        <v>4133.3326102501569</v>
      </c>
      <c r="AL57" s="1">
        <f t="shared" si="22"/>
        <v>4433.6977988908111</v>
      </c>
      <c r="AM57" s="1">
        <f t="shared" si="22"/>
        <v>4750.1815403599394</v>
      </c>
      <c r="AN57" s="1">
        <f t="shared" si="22"/>
        <v>5078.690670036186</v>
      </c>
    </row>
    <row r="58" spans="1:40" x14ac:dyDescent="0.35">
      <c r="D58" t="s">
        <v>221</v>
      </c>
      <c r="E58" s="3">
        <f>IF(E57&lt;0,1,0)</f>
        <v>1</v>
      </c>
      <c r="F58" s="3">
        <f t="shared" ref="F58:AN58" si="23">IF(F57&lt;0,1,0)</f>
        <v>1</v>
      </c>
      <c r="G58" s="3">
        <f t="shared" si="23"/>
        <v>1</v>
      </c>
      <c r="H58" s="3">
        <f t="shared" si="23"/>
        <v>1</v>
      </c>
      <c r="I58" s="3">
        <f t="shared" si="23"/>
        <v>1</v>
      </c>
      <c r="J58" s="3">
        <f t="shared" si="23"/>
        <v>1</v>
      </c>
      <c r="K58" s="3">
        <f t="shared" si="23"/>
        <v>1</v>
      </c>
      <c r="L58" s="3">
        <f t="shared" si="23"/>
        <v>1</v>
      </c>
      <c r="M58" s="3">
        <f t="shared" si="23"/>
        <v>1</v>
      </c>
      <c r="N58" s="3">
        <f t="shared" si="23"/>
        <v>1</v>
      </c>
      <c r="O58" s="3">
        <f t="shared" si="23"/>
        <v>0</v>
      </c>
      <c r="P58" s="3">
        <f t="shared" si="23"/>
        <v>0</v>
      </c>
      <c r="Q58" s="3">
        <f t="shared" si="23"/>
        <v>0</v>
      </c>
      <c r="R58" s="3">
        <f t="shared" si="23"/>
        <v>0</v>
      </c>
      <c r="S58" s="3">
        <f t="shared" si="23"/>
        <v>0</v>
      </c>
      <c r="T58" s="3">
        <f t="shared" si="23"/>
        <v>0</v>
      </c>
      <c r="U58" s="3">
        <f t="shared" si="23"/>
        <v>0</v>
      </c>
      <c r="V58" s="3">
        <f t="shared" si="23"/>
        <v>0</v>
      </c>
      <c r="W58" s="3">
        <f t="shared" si="23"/>
        <v>0</v>
      </c>
      <c r="X58" s="3">
        <f t="shared" si="23"/>
        <v>0</v>
      </c>
      <c r="Y58" s="3">
        <f t="shared" si="23"/>
        <v>0</v>
      </c>
      <c r="Z58" s="3">
        <f t="shared" si="23"/>
        <v>0</v>
      </c>
      <c r="AA58" s="3">
        <f t="shared" si="23"/>
        <v>0</v>
      </c>
      <c r="AB58" s="3">
        <f t="shared" si="23"/>
        <v>0</v>
      </c>
      <c r="AC58" s="3">
        <f t="shared" si="23"/>
        <v>0</v>
      </c>
      <c r="AD58" s="3">
        <f t="shared" si="23"/>
        <v>0</v>
      </c>
      <c r="AE58" s="3">
        <f t="shared" si="23"/>
        <v>0</v>
      </c>
      <c r="AF58" s="3">
        <f t="shared" si="23"/>
        <v>0</v>
      </c>
      <c r="AG58" s="3">
        <f t="shared" si="23"/>
        <v>0</v>
      </c>
      <c r="AH58" s="3">
        <f t="shared" si="23"/>
        <v>0</v>
      </c>
      <c r="AI58" s="3">
        <f t="shared" si="23"/>
        <v>0</v>
      </c>
      <c r="AJ58" s="3">
        <f t="shared" si="23"/>
        <v>0</v>
      </c>
      <c r="AK58" s="3">
        <f t="shared" si="23"/>
        <v>0</v>
      </c>
      <c r="AL58" s="3">
        <f t="shared" si="23"/>
        <v>0</v>
      </c>
      <c r="AM58" s="3">
        <f t="shared" si="23"/>
        <v>0</v>
      </c>
      <c r="AN58" s="3">
        <f t="shared" si="23"/>
        <v>0</v>
      </c>
    </row>
    <row r="60" spans="1:40" x14ac:dyDescent="0.35">
      <c r="E60" s="3">
        <f>E1</f>
        <v>1</v>
      </c>
      <c r="F60" s="3">
        <f t="shared" ref="F60:AN60" si="24">F1</f>
        <v>2</v>
      </c>
      <c r="G60" s="3">
        <f t="shared" si="24"/>
        <v>3</v>
      </c>
      <c r="H60" s="3">
        <f t="shared" si="24"/>
        <v>4</v>
      </c>
      <c r="I60" s="3">
        <f t="shared" si="24"/>
        <v>5</v>
      </c>
      <c r="J60" s="3">
        <f t="shared" si="24"/>
        <v>6</v>
      </c>
      <c r="K60" s="3">
        <f t="shared" si="24"/>
        <v>7</v>
      </c>
      <c r="L60" s="3">
        <f t="shared" si="24"/>
        <v>8</v>
      </c>
      <c r="M60" s="3">
        <f t="shared" si="24"/>
        <v>9</v>
      </c>
      <c r="N60" s="3">
        <f t="shared" si="24"/>
        <v>10</v>
      </c>
      <c r="O60" s="3">
        <f t="shared" si="24"/>
        <v>11</v>
      </c>
      <c r="P60" s="3">
        <f t="shared" si="24"/>
        <v>12</v>
      </c>
      <c r="Q60" s="3">
        <f t="shared" si="24"/>
        <v>13</v>
      </c>
      <c r="R60" s="3">
        <f t="shared" si="24"/>
        <v>14</v>
      </c>
      <c r="S60" s="3">
        <f t="shared" si="24"/>
        <v>15</v>
      </c>
      <c r="T60" s="3">
        <f t="shared" si="24"/>
        <v>16</v>
      </c>
      <c r="U60" s="3">
        <f t="shared" si="24"/>
        <v>17</v>
      </c>
      <c r="V60" s="3">
        <f t="shared" si="24"/>
        <v>18</v>
      </c>
      <c r="W60" s="3">
        <f t="shared" si="24"/>
        <v>19</v>
      </c>
      <c r="X60" s="3">
        <f t="shared" si="24"/>
        <v>20</v>
      </c>
      <c r="Y60" s="3">
        <f t="shared" si="24"/>
        <v>21</v>
      </c>
      <c r="Z60" s="3">
        <f t="shared" si="24"/>
        <v>22</v>
      </c>
      <c r="AA60" s="3">
        <f t="shared" si="24"/>
        <v>23</v>
      </c>
      <c r="AB60" s="3">
        <f t="shared" si="24"/>
        <v>24</v>
      </c>
      <c r="AC60" s="3">
        <f t="shared" si="24"/>
        <v>25</v>
      </c>
      <c r="AD60" s="3">
        <f t="shared" si="24"/>
        <v>26</v>
      </c>
      <c r="AE60" s="3">
        <f t="shared" si="24"/>
        <v>27</v>
      </c>
      <c r="AF60" s="3">
        <f t="shared" si="24"/>
        <v>28</v>
      </c>
      <c r="AG60" s="3">
        <f t="shared" si="24"/>
        <v>29</v>
      </c>
      <c r="AH60" s="3">
        <f t="shared" si="24"/>
        <v>30</v>
      </c>
      <c r="AI60" s="3">
        <f t="shared" si="24"/>
        <v>31</v>
      </c>
      <c r="AJ60" s="3">
        <f t="shared" si="24"/>
        <v>32</v>
      </c>
      <c r="AK60" s="3">
        <f t="shared" si="24"/>
        <v>33</v>
      </c>
      <c r="AL60" s="3">
        <f t="shared" si="24"/>
        <v>34</v>
      </c>
      <c r="AM60" s="3">
        <f t="shared" si="24"/>
        <v>35</v>
      </c>
      <c r="AN60" s="3">
        <f t="shared" si="24"/>
        <v>36</v>
      </c>
    </row>
    <row r="61" spans="1:40" x14ac:dyDescent="0.35">
      <c r="E61" s="3">
        <f>30*E1</f>
        <v>30</v>
      </c>
      <c r="F61" s="3">
        <f t="shared" ref="F61:AN61" si="25">30*F1</f>
        <v>60</v>
      </c>
      <c r="G61" s="3">
        <f t="shared" si="25"/>
        <v>90</v>
      </c>
      <c r="H61" s="3">
        <f t="shared" si="25"/>
        <v>120</v>
      </c>
      <c r="I61" s="3">
        <f t="shared" si="25"/>
        <v>150</v>
      </c>
      <c r="J61" s="3">
        <f t="shared" si="25"/>
        <v>180</v>
      </c>
      <c r="K61" s="3">
        <f t="shared" si="25"/>
        <v>210</v>
      </c>
      <c r="L61" s="3">
        <f t="shared" si="25"/>
        <v>240</v>
      </c>
      <c r="M61" s="3">
        <f t="shared" si="25"/>
        <v>270</v>
      </c>
      <c r="N61" s="3">
        <f t="shared" si="25"/>
        <v>300</v>
      </c>
      <c r="O61" s="3">
        <f t="shared" si="25"/>
        <v>330</v>
      </c>
      <c r="P61" s="3">
        <f t="shared" si="25"/>
        <v>360</v>
      </c>
      <c r="Q61" s="3">
        <f t="shared" si="25"/>
        <v>390</v>
      </c>
      <c r="R61" s="3">
        <f t="shared" si="25"/>
        <v>420</v>
      </c>
      <c r="S61" s="3">
        <f t="shared" si="25"/>
        <v>450</v>
      </c>
      <c r="T61" s="3">
        <f t="shared" si="25"/>
        <v>480</v>
      </c>
      <c r="U61" s="3">
        <f t="shared" si="25"/>
        <v>510</v>
      </c>
      <c r="V61" s="3">
        <f t="shared" si="25"/>
        <v>540</v>
      </c>
      <c r="W61" s="3">
        <f t="shared" si="25"/>
        <v>570</v>
      </c>
      <c r="X61" s="3">
        <f t="shared" si="25"/>
        <v>600</v>
      </c>
      <c r="Y61" s="3">
        <f t="shared" si="25"/>
        <v>630</v>
      </c>
      <c r="Z61" s="3">
        <f t="shared" si="25"/>
        <v>660</v>
      </c>
      <c r="AA61" s="3">
        <f t="shared" si="25"/>
        <v>690</v>
      </c>
      <c r="AB61" s="3">
        <f t="shared" si="25"/>
        <v>720</v>
      </c>
      <c r="AC61" s="3">
        <f t="shared" si="25"/>
        <v>750</v>
      </c>
      <c r="AD61" s="3">
        <f t="shared" si="25"/>
        <v>780</v>
      </c>
      <c r="AE61" s="3">
        <f t="shared" si="25"/>
        <v>810</v>
      </c>
      <c r="AF61" s="3">
        <f t="shared" si="25"/>
        <v>840</v>
      </c>
      <c r="AG61" s="3">
        <f t="shared" si="25"/>
        <v>870</v>
      </c>
      <c r="AH61" s="3">
        <f t="shared" si="25"/>
        <v>900</v>
      </c>
      <c r="AI61" s="3">
        <f t="shared" si="25"/>
        <v>930</v>
      </c>
      <c r="AJ61" s="3">
        <f t="shared" si="25"/>
        <v>960</v>
      </c>
      <c r="AK61" s="3">
        <f t="shared" si="25"/>
        <v>990</v>
      </c>
      <c r="AL61" s="3">
        <f t="shared" si="25"/>
        <v>1020</v>
      </c>
      <c r="AM61" s="3">
        <f t="shared" si="25"/>
        <v>1050</v>
      </c>
      <c r="AN61" s="3">
        <f t="shared" si="25"/>
        <v>1080</v>
      </c>
    </row>
    <row r="62" spans="1:40" x14ac:dyDescent="0.35">
      <c r="E62" s="3">
        <f>IF(Vaciado!$C$80=0,0,(INT(E61/Vaciado!$C$80)))</f>
        <v>0</v>
      </c>
      <c r="F62" s="3">
        <f>IF(Vaciado!C80=0,0,INT(F61/Vaciado!$C$80))</f>
        <v>0</v>
      </c>
      <c r="G62" s="3">
        <f>IF(Vaciado!$C$80=0,0,(INT(G61/Vaciado!$C$80)+F62))</f>
        <v>1</v>
      </c>
      <c r="H62" s="3">
        <f>IF(Vaciado!$C$80=0,0,(INT(H61/Vaciado!$C$80)+G62))</f>
        <v>2</v>
      </c>
      <c r="I62" s="3">
        <f>IF(Vaciado!$C$80=0,0,(INT(I61/Vaciado!$C$80)+H62))</f>
        <v>3</v>
      </c>
      <c r="J62" s="3">
        <f>IF(Vaciado!$C$80=0,0,(INT(J61/Vaciado!$C$80)+I62))</f>
        <v>5</v>
      </c>
      <c r="K62" s="3">
        <f>IF(Vaciado!$C$80=0,0,(INT(K61/Vaciado!$C$80)+J62))</f>
        <v>7</v>
      </c>
      <c r="L62" s="3">
        <f>IF(Vaciado!$C$80=0,0,(INT(L61/Vaciado!$C$80)+K62))</f>
        <v>9</v>
      </c>
      <c r="M62" s="3">
        <f>IF(Vaciado!$C$80=0,0,(INT(M61/Vaciado!$C$80)+L62))</f>
        <v>12</v>
      </c>
      <c r="N62" s="3">
        <f>IF(Vaciado!$C$80=0,0,(INT(N61/Vaciado!$C$80)+M62))</f>
        <v>15</v>
      </c>
      <c r="O62" s="3">
        <f>IF(Vaciado!$C$80=0,0,(INT(O61/Vaciado!$C$80)+N62))</f>
        <v>18</v>
      </c>
      <c r="P62" s="3">
        <f>IF(Vaciado!$C$80=0,0,(INT(P61/Vaciado!$C$80)+O62))</f>
        <v>22</v>
      </c>
      <c r="Q62" s="3">
        <f>IF(Vaciado!$C$80=0,0,(INT(Q61/Vaciado!$C$80)+P62))</f>
        <v>26</v>
      </c>
      <c r="R62" s="3">
        <f>IF(Vaciado!$C$80=0,0,(INT(R61/Vaciado!$C$80)+Q62))</f>
        <v>30</v>
      </c>
      <c r="S62" s="3">
        <f>IF(Vaciado!$C$80=0,0,(INT(S61/Vaciado!$C$80)+R62))</f>
        <v>35</v>
      </c>
      <c r="T62" s="3">
        <f>IF(Vaciado!$C$80=0,0,(INT(T61/Vaciado!$C$80)+S62))</f>
        <v>40</v>
      </c>
      <c r="U62" s="3">
        <f>IF(Vaciado!$C$80=0,0,(INT(U61/Vaciado!$C$80)+T62))</f>
        <v>45</v>
      </c>
      <c r="V62" s="3">
        <f>IF(Vaciado!$C$80=0,0,(INT(V61/Vaciado!$C$80)+U62))</f>
        <v>51</v>
      </c>
      <c r="W62" s="3">
        <f>IF(Vaciado!$C$80=0,0,(INT(W61/Vaciado!$C$80)+V62))</f>
        <v>57</v>
      </c>
      <c r="X62" s="3">
        <f>IF(Vaciado!$C$80=0,0,(INT(X61/Vaciado!$C$80)+W62))</f>
        <v>63</v>
      </c>
      <c r="Y62" s="3">
        <f>IF(Vaciado!$C$80=0,0,(INT(Y61/Vaciado!$C$80)+X62))</f>
        <v>70</v>
      </c>
      <c r="Z62" s="3">
        <f>IF(Vaciado!$C$80=0,0,(INT(Z61/Vaciado!$C$80)+Y62))</f>
        <v>77</v>
      </c>
      <c r="AA62" s="3">
        <f>IF(Vaciado!$C$80=0,0,(INT(AA61/Vaciado!$C$80)+Z62))</f>
        <v>84</v>
      </c>
      <c r="AB62" s="3">
        <f>IF(Vaciado!$C$80=0,0,(INT(AB61/Vaciado!$C$80)+AA62))</f>
        <v>92</v>
      </c>
      <c r="AC62" s="3">
        <f>IF(Vaciado!$C$80=0,0,(INT(AC61/Vaciado!$C$80)+AB62))</f>
        <v>100</v>
      </c>
      <c r="AD62" s="3">
        <f>IF(Vaciado!$C$80=0,0,(INT(AD61/Vaciado!$C$80)+AC62))</f>
        <v>108</v>
      </c>
      <c r="AE62" s="3">
        <f>IF(Vaciado!$C$80=0,0,(INT(AE61/Vaciado!$C$80)+AD62))</f>
        <v>117</v>
      </c>
      <c r="AF62" s="3">
        <f>IF(Vaciado!$C$80=0,0,(INT(AF61/Vaciado!$C$80)+AE62))</f>
        <v>126</v>
      </c>
      <c r="AG62" s="3">
        <f>IF(Vaciado!$C$80=0,0,(INT(AG61/Vaciado!$C$80)+AF62))</f>
        <v>135</v>
      </c>
      <c r="AH62" s="3">
        <f>IF(Vaciado!$C$80=0,0,(INT(AH61/Vaciado!$C$80)+AG62))</f>
        <v>145</v>
      </c>
      <c r="AI62" s="3">
        <f>IF(Vaciado!$C$80=0,0,(INT(AI61/Vaciado!$C$80)+AH62))</f>
        <v>155</v>
      </c>
      <c r="AJ62" s="3">
        <f>IF(Vaciado!$C$80=0,0,(INT(AJ61/Vaciado!$C$80)+AI62))</f>
        <v>165</v>
      </c>
      <c r="AK62" s="3">
        <f>IF(Vaciado!$C$80=0,0,(INT(AK61/Vaciado!$C$80)+AJ62))</f>
        <v>176</v>
      </c>
      <c r="AL62" s="3">
        <f>IF(Vaciado!$C$80=0,0,(INT(AL61/Vaciado!$C$80)+AK62))</f>
        <v>187</v>
      </c>
      <c r="AM62" s="3">
        <f>IF(Vaciado!$C$80=0,0,(INT(AM61/Vaciado!$C$80)+AL62))</f>
        <v>198</v>
      </c>
      <c r="AN62" s="3">
        <f>IF(Vaciado!$C$80=0,0,(INT(AN61/Vaciado!$C$80)+AM62))</f>
        <v>210</v>
      </c>
    </row>
    <row r="63" spans="1:40" x14ac:dyDescent="0.35">
      <c r="E63" s="3">
        <f>IF(E62=1,1,0)</f>
        <v>0</v>
      </c>
      <c r="F63" s="3">
        <f t="shared" ref="F63:AN63" si="26">IF(F62=1,1,0)</f>
        <v>0</v>
      </c>
      <c r="G63" s="3">
        <f>IF(G62=1,1,0)</f>
        <v>1</v>
      </c>
      <c r="H63" s="3">
        <f t="shared" si="26"/>
        <v>0</v>
      </c>
      <c r="I63" s="3">
        <f t="shared" si="26"/>
        <v>0</v>
      </c>
      <c r="J63" s="3">
        <f t="shared" si="26"/>
        <v>0</v>
      </c>
      <c r="K63" s="3">
        <f t="shared" si="26"/>
        <v>0</v>
      </c>
      <c r="L63" s="3">
        <f t="shared" si="26"/>
        <v>0</v>
      </c>
      <c r="M63" s="3">
        <f t="shared" si="26"/>
        <v>0</v>
      </c>
      <c r="N63" s="3">
        <f t="shared" si="26"/>
        <v>0</v>
      </c>
      <c r="O63" s="3">
        <f t="shared" si="26"/>
        <v>0</v>
      </c>
      <c r="P63" s="3">
        <f t="shared" si="26"/>
        <v>0</v>
      </c>
      <c r="Q63" s="3">
        <f t="shared" si="26"/>
        <v>0</v>
      </c>
      <c r="R63" s="3">
        <f t="shared" si="26"/>
        <v>0</v>
      </c>
      <c r="S63" s="3">
        <f t="shared" si="26"/>
        <v>0</v>
      </c>
      <c r="T63" s="3">
        <f t="shared" si="26"/>
        <v>0</v>
      </c>
      <c r="U63" s="3">
        <f t="shared" si="26"/>
        <v>0</v>
      </c>
      <c r="V63" s="3">
        <f t="shared" si="26"/>
        <v>0</v>
      </c>
      <c r="W63" s="3">
        <f t="shared" si="26"/>
        <v>0</v>
      </c>
      <c r="X63" s="3">
        <f t="shared" si="26"/>
        <v>0</v>
      </c>
      <c r="Y63" s="3">
        <f t="shared" si="26"/>
        <v>0</v>
      </c>
      <c r="Z63" s="3">
        <f t="shared" si="26"/>
        <v>0</v>
      </c>
      <c r="AA63" s="3">
        <f t="shared" si="26"/>
        <v>0</v>
      </c>
      <c r="AB63" s="3">
        <f t="shared" si="26"/>
        <v>0</v>
      </c>
      <c r="AC63" s="3">
        <f t="shared" si="26"/>
        <v>0</v>
      </c>
      <c r="AD63" s="3">
        <f t="shared" si="26"/>
        <v>0</v>
      </c>
      <c r="AE63" s="3">
        <f t="shared" si="26"/>
        <v>0</v>
      </c>
      <c r="AF63" s="3">
        <f t="shared" si="26"/>
        <v>0</v>
      </c>
      <c r="AG63" s="3">
        <f t="shared" si="26"/>
        <v>0</v>
      </c>
      <c r="AH63" s="3">
        <f t="shared" si="26"/>
        <v>0</v>
      </c>
      <c r="AI63" s="3">
        <f t="shared" si="26"/>
        <v>0</v>
      </c>
      <c r="AJ63" s="3">
        <f t="shared" si="26"/>
        <v>0</v>
      </c>
      <c r="AK63" s="3">
        <f t="shared" si="26"/>
        <v>0</v>
      </c>
      <c r="AL63" s="3">
        <f t="shared" si="26"/>
        <v>0</v>
      </c>
      <c r="AM63" s="3">
        <f t="shared" si="26"/>
        <v>0</v>
      </c>
      <c r="AN63" s="3">
        <f t="shared" si="26"/>
        <v>0</v>
      </c>
    </row>
    <row r="64" spans="1:40" x14ac:dyDescent="0.35">
      <c r="E64" s="3">
        <f>E63+(IF(D64&gt;=1,D64+1,0))</f>
        <v>0</v>
      </c>
      <c r="F64" s="3">
        <f>F63+(IF(E64&gt;=1,E64+1,0))</f>
        <v>0</v>
      </c>
      <c r="G64" s="3">
        <f>G63+(IF(F64&gt;=1,F64+1,0))</f>
        <v>1</v>
      </c>
      <c r="H64" s="3">
        <f>H63+(IF(G64&gt;=1,G64+1,0))</f>
        <v>2</v>
      </c>
      <c r="I64" s="3">
        <f t="shared" ref="I64:AN64" si="27">I63+(IF(H64&gt;=1,H64+1,0))</f>
        <v>3</v>
      </c>
      <c r="J64" s="3">
        <f t="shared" si="27"/>
        <v>4</v>
      </c>
      <c r="K64" s="3">
        <f t="shared" si="27"/>
        <v>5</v>
      </c>
      <c r="L64" s="3">
        <f t="shared" si="27"/>
        <v>6</v>
      </c>
      <c r="M64" s="3">
        <f t="shared" si="27"/>
        <v>7</v>
      </c>
      <c r="N64" s="3">
        <f t="shared" si="27"/>
        <v>8</v>
      </c>
      <c r="O64" s="3">
        <f t="shared" si="27"/>
        <v>9</v>
      </c>
      <c r="P64" s="3">
        <f t="shared" si="27"/>
        <v>10</v>
      </c>
      <c r="Q64" s="3">
        <f t="shared" si="27"/>
        <v>11</v>
      </c>
      <c r="R64" s="3">
        <f t="shared" si="27"/>
        <v>12</v>
      </c>
      <c r="S64" s="3">
        <f t="shared" si="27"/>
        <v>13</v>
      </c>
      <c r="T64" s="3">
        <f t="shared" si="27"/>
        <v>14</v>
      </c>
      <c r="U64" s="3">
        <f t="shared" si="27"/>
        <v>15</v>
      </c>
      <c r="V64" s="3">
        <f t="shared" si="27"/>
        <v>16</v>
      </c>
      <c r="W64" s="3">
        <f t="shared" si="27"/>
        <v>17</v>
      </c>
      <c r="X64" s="3">
        <f t="shared" si="27"/>
        <v>18</v>
      </c>
      <c r="Y64" s="3">
        <f t="shared" si="27"/>
        <v>19</v>
      </c>
      <c r="Z64" s="3">
        <f t="shared" si="27"/>
        <v>20</v>
      </c>
      <c r="AA64" s="3">
        <f t="shared" si="27"/>
        <v>21</v>
      </c>
      <c r="AB64" s="3">
        <f t="shared" si="27"/>
        <v>22</v>
      </c>
      <c r="AC64" s="3">
        <f t="shared" si="27"/>
        <v>23</v>
      </c>
      <c r="AD64" s="3">
        <f t="shared" si="27"/>
        <v>24</v>
      </c>
      <c r="AE64" s="3">
        <f t="shared" si="27"/>
        <v>25</v>
      </c>
      <c r="AF64" s="3">
        <f t="shared" si="27"/>
        <v>26</v>
      </c>
      <c r="AG64" s="3">
        <f t="shared" si="27"/>
        <v>27</v>
      </c>
      <c r="AH64" s="3">
        <f t="shared" si="27"/>
        <v>28</v>
      </c>
      <c r="AI64" s="3">
        <f t="shared" si="27"/>
        <v>29</v>
      </c>
      <c r="AJ64" s="3">
        <f t="shared" si="27"/>
        <v>30</v>
      </c>
      <c r="AK64" s="3">
        <f t="shared" si="27"/>
        <v>31</v>
      </c>
      <c r="AL64" s="3">
        <f t="shared" si="27"/>
        <v>32</v>
      </c>
      <c r="AM64" s="3">
        <f t="shared" si="27"/>
        <v>33</v>
      </c>
      <c r="AN64" s="3">
        <f t="shared" si="27"/>
        <v>34</v>
      </c>
    </row>
    <row r="65" spans="1:40" x14ac:dyDescent="0.35">
      <c r="D65" s="10" t="s">
        <v>249</v>
      </c>
      <c r="E65" s="6">
        <f t="shared" ref="E65:AN65" si="28">_xlfn.XLOOKUP(E64,$E$1:$AN$1,$E$12:$AN$12,0,0,1)</f>
        <v>0</v>
      </c>
      <c r="F65" s="6">
        <f t="shared" si="28"/>
        <v>0</v>
      </c>
      <c r="G65" s="6">
        <f t="shared" si="28"/>
        <v>1.2333333333333332</v>
      </c>
      <c r="H65" s="6">
        <f t="shared" si="28"/>
        <v>0</v>
      </c>
      <c r="I65" s="6">
        <f t="shared" si="28"/>
        <v>5.344444444444445</v>
      </c>
      <c r="J65" s="6">
        <f t="shared" si="28"/>
        <v>67.422222222222217</v>
      </c>
      <c r="K65" s="6">
        <f t="shared" si="28"/>
        <v>112.64444444444445</v>
      </c>
      <c r="L65" s="6">
        <f t="shared" si="28"/>
        <v>112.64444444444445</v>
      </c>
      <c r="M65" s="6">
        <f t="shared" si="28"/>
        <v>203.9111111111111</v>
      </c>
      <c r="N65" s="6">
        <f t="shared" si="28"/>
        <v>208.84444444444443</v>
      </c>
      <c r="O65" s="6">
        <f t="shared" si="28"/>
        <v>208.84444444444443</v>
      </c>
      <c r="P65" s="6">
        <f t="shared" si="28"/>
        <v>213.77777777777777</v>
      </c>
      <c r="Q65" s="6">
        <f t="shared" si="28"/>
        <v>213.77777777777777</v>
      </c>
      <c r="R65" s="6">
        <f t="shared" si="28"/>
        <v>216.11986923991333</v>
      </c>
      <c r="S65" s="6">
        <f t="shared" si="28"/>
        <v>213.77777777777777</v>
      </c>
      <c r="T65" s="6">
        <f t="shared" si="28"/>
        <v>218.4619607020488</v>
      </c>
      <c r="U65" s="6">
        <f t="shared" si="28"/>
        <v>230.17241801272638</v>
      </c>
      <c r="V65" s="6">
        <f t="shared" si="28"/>
        <v>258.27751555835255</v>
      </c>
      <c r="W65" s="6">
        <f t="shared" si="28"/>
        <v>259.5108488916859</v>
      </c>
      <c r="X65" s="6">
        <f t="shared" si="28"/>
        <v>286.50718830850985</v>
      </c>
      <c r="Y65" s="6">
        <f t="shared" si="28"/>
        <v>297.10888749038526</v>
      </c>
      <c r="Z65" s="6">
        <f t="shared" si="28"/>
        <v>298.34222082371861</v>
      </c>
      <c r="AA65" s="6">
        <f t="shared" si="28"/>
        <v>314.28836445003844</v>
      </c>
      <c r="AB65" s="6">
        <f t="shared" si="28"/>
        <v>320.86614222781617</v>
      </c>
      <c r="AC65" s="6">
        <f t="shared" si="28"/>
        <v>328.6772533389273</v>
      </c>
      <c r="AD65" s="6">
        <f t="shared" si="28"/>
        <v>338.83045591217399</v>
      </c>
      <c r="AE65" s="6">
        <f t="shared" si="28"/>
        <v>336.48836445003843</v>
      </c>
      <c r="AF65" s="6">
        <f t="shared" si="28"/>
        <v>341.17254737430949</v>
      </c>
      <c r="AG65" s="6">
        <f t="shared" si="28"/>
        <v>354.11633801832039</v>
      </c>
      <c r="AH65" s="6">
        <f t="shared" si="28"/>
        <v>385.7968603594154</v>
      </c>
      <c r="AI65" s="6">
        <f t="shared" si="28"/>
        <v>389.37228515488425</v>
      </c>
      <c r="AJ65" s="6">
        <f t="shared" si="28"/>
        <v>419.94404936717706</v>
      </c>
      <c r="AK65" s="6">
        <f t="shared" si="28"/>
        <v>438.23228445563245</v>
      </c>
      <c r="AL65" s="6">
        <f t="shared" si="28"/>
        <v>453.06966995315008</v>
      </c>
      <c r="AM65" s="6">
        <f t="shared" si="28"/>
        <v>478.50875463254317</v>
      </c>
      <c r="AN65" s="6">
        <f t="shared" si="28"/>
        <v>498.154898258863</v>
      </c>
    </row>
    <row r="66" spans="1:40" x14ac:dyDescent="0.35">
      <c r="D66" s="10" t="s">
        <v>250</v>
      </c>
      <c r="E66" s="6">
        <f>E20</f>
        <v>1.291611111111111</v>
      </c>
      <c r="F66" s="6">
        <f t="shared" ref="F66:AN66" si="29">F20</f>
        <v>1.1111111111111112</v>
      </c>
      <c r="G66" s="6">
        <f t="shared" si="29"/>
        <v>1.6016111111111111</v>
      </c>
      <c r="H66" s="6">
        <f t="shared" si="29"/>
        <v>5.0201111111111114</v>
      </c>
      <c r="I66" s="6">
        <f t="shared" si="29"/>
        <v>8.5551111111111116</v>
      </c>
      <c r="J66" s="6">
        <f t="shared" si="29"/>
        <v>8.5551111111111116</v>
      </c>
      <c r="K66" s="6">
        <f t="shared" si="29"/>
        <v>14.037111111111113</v>
      </c>
      <c r="L66" s="6">
        <f t="shared" si="29"/>
        <v>14.75911111111111</v>
      </c>
      <c r="M66" s="6">
        <f t="shared" si="29"/>
        <v>16.148</v>
      </c>
      <c r="N66" s="6">
        <f t="shared" si="29"/>
        <v>16.87</v>
      </c>
      <c r="O66" s="6">
        <f t="shared" si="29"/>
        <v>16.87</v>
      </c>
      <c r="P66" s="6">
        <f t="shared" si="29"/>
        <v>16.975394115796099</v>
      </c>
      <c r="Q66" s="6">
        <f t="shared" si="29"/>
        <v>18.745000000000001</v>
      </c>
      <c r="R66" s="6">
        <f t="shared" si="29"/>
        <v>18.955788231592198</v>
      </c>
      <c r="S66" s="6">
        <f t="shared" si="29"/>
        <v>19.48275881057269</v>
      </c>
      <c r="T66" s="6">
        <f t="shared" si="29"/>
        <v>20.747488200125865</v>
      </c>
      <c r="U66" s="6">
        <f t="shared" si="29"/>
        <v>20.927988200125867</v>
      </c>
      <c r="V66" s="6">
        <f t="shared" si="29"/>
        <v>22.267823473882945</v>
      </c>
      <c r="W66" s="6">
        <f t="shared" si="29"/>
        <v>22.869899937067338</v>
      </c>
      <c r="X66" s="6">
        <f t="shared" si="29"/>
        <v>23.05039993706734</v>
      </c>
      <c r="Y66" s="6">
        <f t="shared" si="29"/>
        <v>24.142976400251733</v>
      </c>
      <c r="Z66" s="6">
        <f t="shared" si="29"/>
        <v>24.813976400251729</v>
      </c>
      <c r="AA66" s="6">
        <f t="shared" si="29"/>
        <v>25.66547640025173</v>
      </c>
      <c r="AB66" s="6">
        <f t="shared" si="29"/>
        <v>26.62237051604783</v>
      </c>
      <c r="AC66" s="6">
        <f t="shared" si="29"/>
        <v>26.735726400251728</v>
      </c>
      <c r="AD66" s="6">
        <f t="shared" si="29"/>
        <v>26.946514631843929</v>
      </c>
      <c r="AE66" s="6">
        <f t="shared" si="29"/>
        <v>27.653985210824416</v>
      </c>
      <c r="AF66" s="6">
        <f t="shared" si="29"/>
        <v>29.204608716173695</v>
      </c>
      <c r="AG66" s="6">
        <f t="shared" si="29"/>
        <v>29.490502831969792</v>
      </c>
      <c r="AH66" s="6">
        <f t="shared" si="29"/>
        <v>31.116232221522971</v>
      </c>
      <c r="AI66" s="6">
        <f t="shared" si="29"/>
        <v>32.314202800503459</v>
      </c>
      <c r="AJ66" s="6">
        <f t="shared" si="29"/>
        <v>33.481885147891752</v>
      </c>
      <c r="AK66" s="6">
        <f t="shared" si="29"/>
        <v>35.251643958464442</v>
      </c>
      <c r="AL66" s="6">
        <f t="shared" si="29"/>
        <v>36.885720421648841</v>
      </c>
      <c r="AM66" s="6">
        <f t="shared" si="29"/>
        <v>39.010296884833224</v>
      </c>
      <c r="AN66" s="6">
        <f t="shared" si="29"/>
        <v>40.999191000629324</v>
      </c>
    </row>
    <row r="67" spans="1:40" x14ac:dyDescent="0.35">
      <c r="D67" s="10" t="s">
        <v>37</v>
      </c>
      <c r="E67" s="6">
        <f>E28</f>
        <v>3.6294444444444447</v>
      </c>
      <c r="F67" s="6">
        <f t="shared" ref="F67:AN67" si="30">F28</f>
        <v>3.4444444444444446</v>
      </c>
      <c r="G67" s="6">
        <f t="shared" si="30"/>
        <v>4.2461111111111114</v>
      </c>
      <c r="H67" s="6">
        <f t="shared" si="30"/>
        <v>18.277333333333331</v>
      </c>
      <c r="I67" s="6">
        <f t="shared" si="30"/>
        <v>28.226222222222219</v>
      </c>
      <c r="J67" s="6">
        <f t="shared" si="30"/>
        <v>28.226222222222219</v>
      </c>
      <c r="K67" s="6">
        <f t="shared" si="30"/>
        <v>48.304888888888883</v>
      </c>
      <c r="L67" s="6">
        <f t="shared" si="30"/>
        <v>49.390222222222221</v>
      </c>
      <c r="M67" s="6">
        <f t="shared" si="30"/>
        <v>49.390222222222221</v>
      </c>
      <c r="N67" s="6">
        <f t="shared" si="30"/>
        <v>50.475555555555552</v>
      </c>
      <c r="O67" s="6">
        <f t="shared" si="30"/>
        <v>50.475555555555552</v>
      </c>
      <c r="P67" s="6">
        <f t="shared" si="30"/>
        <v>50.990815677225378</v>
      </c>
      <c r="Q67" s="6">
        <f t="shared" si="30"/>
        <v>50.62</v>
      </c>
      <c r="R67" s="6">
        <f t="shared" si="30"/>
        <v>51.650520243339628</v>
      </c>
      <c r="S67" s="6">
        <f t="shared" si="30"/>
        <v>54.226820851688693</v>
      </c>
      <c r="T67" s="6">
        <f t="shared" si="30"/>
        <v>60.409942311726454</v>
      </c>
      <c r="U67" s="6">
        <f t="shared" si="30"/>
        <v>60.681275645059785</v>
      </c>
      <c r="V67" s="6">
        <f t="shared" si="30"/>
        <v>66.620470316761057</v>
      </c>
      <c r="W67" s="6">
        <f t="shared" si="30"/>
        <v>68.952844136773649</v>
      </c>
      <c r="X67" s="6">
        <f t="shared" si="30"/>
        <v>69.22417747010698</v>
      </c>
      <c r="Y67" s="6">
        <f t="shared" si="30"/>
        <v>72.732329067897354</v>
      </c>
      <c r="Z67" s="6">
        <f t="shared" si="30"/>
        <v>74.179440179008452</v>
      </c>
      <c r="AA67" s="6">
        <f t="shared" si="30"/>
        <v>75.897884623452896</v>
      </c>
      <c r="AB67" s="6">
        <f t="shared" si="30"/>
        <v>78.131589189567165</v>
      </c>
      <c r="AC67" s="6">
        <f t="shared" si="30"/>
        <v>77.76799573456401</v>
      </c>
      <c r="AD67" s="6">
        <f t="shared" si="30"/>
        <v>78.798515977903648</v>
      </c>
      <c r="AE67" s="6">
        <f t="shared" si="30"/>
        <v>81.646149919586037</v>
      </c>
      <c r="AF67" s="6">
        <f t="shared" si="30"/>
        <v>88.615864834626947</v>
      </c>
      <c r="AG67" s="6">
        <f t="shared" si="30"/>
        <v>89.40245828963009</v>
      </c>
      <c r="AH67" s="6">
        <f t="shared" si="30"/>
        <v>96.12824641633452</v>
      </c>
      <c r="AI67" s="6">
        <f t="shared" si="30"/>
        <v>100.15165813579469</v>
      </c>
      <c r="AJ67" s="6">
        <f t="shared" si="30"/>
        <v>103.41588294524857</v>
      </c>
      <c r="AK67" s="6">
        <f t="shared" si="30"/>
        <v>109.01248157471505</v>
      </c>
      <c r="AL67" s="6">
        <f t="shared" si="30"/>
        <v>113.33463317250542</v>
      </c>
      <c r="AM67" s="6">
        <f t="shared" si="30"/>
        <v>118.83256254807355</v>
      </c>
      <c r="AN67" s="6">
        <f t="shared" si="30"/>
        <v>123.0560448919656</v>
      </c>
    </row>
    <row r="68" spans="1:40" x14ac:dyDescent="0.35">
      <c r="D68" s="10" t="s">
        <v>251</v>
      </c>
      <c r="E68" s="6">
        <f>E44</f>
        <v>20.957999999999998</v>
      </c>
      <c r="F68" s="6">
        <f t="shared" ref="F68:AN68" si="31">F44</f>
        <v>20.896333333333331</v>
      </c>
      <c r="G68" s="6">
        <f t="shared" si="31"/>
        <v>21.163555555555554</v>
      </c>
      <c r="H68" s="6">
        <f t="shared" si="31"/>
        <v>24.267444444444443</v>
      </c>
      <c r="I68" s="6">
        <f t="shared" si="31"/>
        <v>26.528555555555553</v>
      </c>
      <c r="J68" s="6">
        <f t="shared" si="31"/>
        <v>26.528555555555553</v>
      </c>
      <c r="K68" s="6">
        <f t="shared" si="31"/>
        <v>31.091888888888889</v>
      </c>
      <c r="L68" s="6">
        <f t="shared" si="31"/>
        <v>31.338555555555551</v>
      </c>
      <c r="M68" s="6">
        <f t="shared" si="31"/>
        <v>31.338555555555551</v>
      </c>
      <c r="N68" s="6">
        <f t="shared" si="31"/>
        <v>31.585222222222221</v>
      </c>
      <c r="O68" s="6">
        <f t="shared" si="31"/>
        <v>31.585222222222221</v>
      </c>
      <c r="P68" s="6">
        <f t="shared" si="31"/>
        <v>31.702326795329</v>
      </c>
      <c r="Q68" s="6">
        <f t="shared" si="31"/>
        <v>32.446333333333335</v>
      </c>
      <c r="R68" s="6">
        <f t="shared" si="31"/>
        <v>32.680542479546887</v>
      </c>
      <c r="S68" s="6">
        <f t="shared" si="31"/>
        <v>33.266065345080762</v>
      </c>
      <c r="T68" s="6">
        <f t="shared" si="31"/>
        <v>34.67132022236207</v>
      </c>
      <c r="U68" s="6">
        <f t="shared" si="31"/>
        <v>34.732986889028737</v>
      </c>
      <c r="V68" s="6">
        <f t="shared" si="31"/>
        <v>36.082803859869941</v>
      </c>
      <c r="W68" s="6">
        <f t="shared" si="31"/>
        <v>36.612888818963711</v>
      </c>
      <c r="X68" s="6">
        <f t="shared" si="31"/>
        <v>36.674555485630378</v>
      </c>
      <c r="Y68" s="6">
        <f t="shared" si="31"/>
        <v>37.471862666946365</v>
      </c>
      <c r="Z68" s="6">
        <f t="shared" si="31"/>
        <v>37.800751555835255</v>
      </c>
      <c r="AA68" s="6">
        <f t="shared" si="31"/>
        <v>38.191307111390813</v>
      </c>
      <c r="AB68" s="6">
        <f t="shared" si="31"/>
        <v>38.69896724005315</v>
      </c>
      <c r="AC68" s="6">
        <f t="shared" si="31"/>
        <v>39.486029333613033</v>
      </c>
      <c r="AD68" s="6">
        <f t="shared" si="31"/>
        <v>39.720238479826591</v>
      </c>
      <c r="AE68" s="6">
        <f t="shared" si="31"/>
        <v>40.367428012027133</v>
      </c>
      <c r="AF68" s="6">
        <f t="shared" si="31"/>
        <v>41.951454129081881</v>
      </c>
      <c r="AG68" s="6">
        <f t="shared" si="31"/>
        <v>42.130225368855328</v>
      </c>
      <c r="AH68" s="6">
        <f t="shared" si="31"/>
        <v>43.658813579469964</v>
      </c>
      <c r="AI68" s="6">
        <f t="shared" si="31"/>
        <v>44.573225333892736</v>
      </c>
      <c r="AJ68" s="6">
        <f t="shared" si="31"/>
        <v>45.315094608768618</v>
      </c>
      <c r="AK68" s="6">
        <f t="shared" si="31"/>
        <v>46.58704884273827</v>
      </c>
      <c r="AL68" s="6">
        <f t="shared" si="31"/>
        <v>47.569356024054265</v>
      </c>
      <c r="AM68" s="6">
        <f t="shared" si="31"/>
        <v>48.818885427592477</v>
      </c>
      <c r="AN68" s="6">
        <f t="shared" si="31"/>
        <v>49.778767778477032</v>
      </c>
    </row>
    <row r="69" spans="1:40" x14ac:dyDescent="0.35">
      <c r="D69" s="10" t="s">
        <v>146</v>
      </c>
      <c r="E69" s="6">
        <f>E65-E66-E67-E68</f>
        <v>-25.879055555555553</v>
      </c>
      <c r="F69" s="6">
        <f t="shared" ref="F69:AN69" si="32">F65-F66-F67-F68</f>
        <v>-25.451888888888888</v>
      </c>
      <c r="G69" s="6">
        <f t="shared" si="32"/>
        <v>-25.777944444444444</v>
      </c>
      <c r="H69" s="6">
        <f t="shared" si="32"/>
        <v>-47.564888888888888</v>
      </c>
      <c r="I69" s="6">
        <f t="shared" si="32"/>
        <v>-57.965444444444444</v>
      </c>
      <c r="J69" s="6">
        <f t="shared" si="32"/>
        <v>4.1123333333333356</v>
      </c>
      <c r="K69" s="6">
        <f t="shared" si="32"/>
        <v>19.210555555555558</v>
      </c>
      <c r="L69" s="6">
        <f t="shared" si="32"/>
        <v>17.156555555555563</v>
      </c>
      <c r="M69" s="6">
        <f t="shared" si="32"/>
        <v>107.03433333333334</v>
      </c>
      <c r="N69" s="6">
        <f t="shared" si="32"/>
        <v>109.91366666666664</v>
      </c>
      <c r="O69" s="6">
        <f t="shared" si="32"/>
        <v>109.91366666666664</v>
      </c>
      <c r="P69" s="6">
        <f t="shared" si="32"/>
        <v>114.10924118942729</v>
      </c>
      <c r="Q69" s="6">
        <f t="shared" si="32"/>
        <v>111.96644444444442</v>
      </c>
      <c r="R69" s="6">
        <f t="shared" si="32"/>
        <v>112.8330182854346</v>
      </c>
      <c r="S69" s="6">
        <f t="shared" si="32"/>
        <v>106.80213277043561</v>
      </c>
      <c r="T69" s="6">
        <f t="shared" si="32"/>
        <v>102.63320996783442</v>
      </c>
      <c r="U69" s="6">
        <f t="shared" si="32"/>
        <v>113.83016727851201</v>
      </c>
      <c r="V69" s="6">
        <f t="shared" si="32"/>
        <v>133.30641790783858</v>
      </c>
      <c r="W69" s="6">
        <f t="shared" si="32"/>
        <v>131.07521599888119</v>
      </c>
      <c r="X69" s="6">
        <f t="shared" si="32"/>
        <v>157.55805541570513</v>
      </c>
      <c r="Y69" s="6">
        <f t="shared" si="32"/>
        <v>162.76171935528981</v>
      </c>
      <c r="Z69" s="6">
        <f t="shared" si="32"/>
        <v>161.54805268862319</v>
      </c>
      <c r="AA69" s="6">
        <f t="shared" si="32"/>
        <v>174.53369631494297</v>
      </c>
      <c r="AB69" s="6">
        <f t="shared" si="32"/>
        <v>177.413215282148</v>
      </c>
      <c r="AC69" s="6">
        <f t="shared" si="32"/>
        <v>184.68750187049852</v>
      </c>
      <c r="AD69" s="6">
        <f t="shared" si="32"/>
        <v>193.36518682259981</v>
      </c>
      <c r="AE69" s="6">
        <f t="shared" si="32"/>
        <v>186.82080130760085</v>
      </c>
      <c r="AF69" s="6">
        <f t="shared" si="32"/>
        <v>181.40061969442695</v>
      </c>
      <c r="AG69" s="6">
        <f t="shared" si="32"/>
        <v>193.09315152786522</v>
      </c>
      <c r="AH69" s="6">
        <f t="shared" si="32"/>
        <v>214.89356814208799</v>
      </c>
      <c r="AI69" s="6">
        <f t="shared" si="32"/>
        <v>212.33319888469342</v>
      </c>
      <c r="AJ69" s="6">
        <f t="shared" si="32"/>
        <v>237.73118666526807</v>
      </c>
      <c r="AK69" s="6">
        <f t="shared" si="32"/>
        <v>247.38111007971469</v>
      </c>
      <c r="AL69" s="6">
        <f t="shared" si="32"/>
        <v>255.27996033494153</v>
      </c>
      <c r="AM69" s="6">
        <f t="shared" si="32"/>
        <v>271.84700977204392</v>
      </c>
      <c r="AN69" s="6">
        <f t="shared" si="32"/>
        <v>284.32089458779103</v>
      </c>
    </row>
    <row r="70" spans="1:40" x14ac:dyDescent="0.35">
      <c r="D70" s="10" t="s">
        <v>252</v>
      </c>
      <c r="E70" s="6">
        <f>E69</f>
        <v>-25.879055555555553</v>
      </c>
      <c r="F70" s="6">
        <f>E70+F69</f>
        <v>-51.330944444444441</v>
      </c>
      <c r="G70" s="6">
        <f t="shared" ref="G70:AN70" si="33">F70+G69</f>
        <v>-77.108888888888885</v>
      </c>
      <c r="H70" s="6">
        <f t="shared" si="33"/>
        <v>-124.67377777777777</v>
      </c>
      <c r="I70" s="6">
        <f t="shared" si="33"/>
        <v>-182.6392222222222</v>
      </c>
      <c r="J70" s="6">
        <f t="shared" si="33"/>
        <v>-178.52688888888886</v>
      </c>
      <c r="K70" s="6">
        <f t="shared" si="33"/>
        <v>-159.31633333333332</v>
      </c>
      <c r="L70" s="6">
        <f t="shared" si="33"/>
        <v>-142.15977777777775</v>
      </c>
      <c r="M70" s="6">
        <f t="shared" si="33"/>
        <v>-35.125444444444412</v>
      </c>
      <c r="N70" s="6">
        <f t="shared" si="33"/>
        <v>74.788222222222231</v>
      </c>
      <c r="O70" s="6">
        <f t="shared" si="33"/>
        <v>184.70188888888887</v>
      </c>
      <c r="P70" s="6">
        <f t="shared" si="33"/>
        <v>298.81113007831618</v>
      </c>
      <c r="Q70" s="6">
        <f t="shared" si="33"/>
        <v>410.77757452276057</v>
      </c>
      <c r="R70" s="6">
        <f t="shared" si="33"/>
        <v>523.61059280819518</v>
      </c>
      <c r="S70" s="6">
        <f t="shared" si="33"/>
        <v>630.41272557863078</v>
      </c>
      <c r="T70" s="6">
        <f t="shared" si="33"/>
        <v>733.04593554646522</v>
      </c>
      <c r="U70" s="6">
        <f t="shared" si="33"/>
        <v>846.87610282497724</v>
      </c>
      <c r="V70" s="6">
        <f t="shared" si="33"/>
        <v>980.18252073281587</v>
      </c>
      <c r="W70" s="6">
        <f t="shared" si="33"/>
        <v>1111.2577367316972</v>
      </c>
      <c r="X70" s="6">
        <f t="shared" si="33"/>
        <v>1268.8157921474024</v>
      </c>
      <c r="Y70" s="6">
        <f t="shared" si="33"/>
        <v>1431.5775115026922</v>
      </c>
      <c r="Z70" s="6">
        <f t="shared" si="33"/>
        <v>1593.1255641913153</v>
      </c>
      <c r="AA70" s="6">
        <f t="shared" si="33"/>
        <v>1767.6592605062583</v>
      </c>
      <c r="AB70" s="6">
        <f t="shared" si="33"/>
        <v>1945.0724757884063</v>
      </c>
      <c r="AC70" s="6">
        <f t="shared" si="33"/>
        <v>2129.759977658905</v>
      </c>
      <c r="AD70" s="6">
        <f t="shared" si="33"/>
        <v>2323.1251644815047</v>
      </c>
      <c r="AE70" s="6">
        <f t="shared" si="33"/>
        <v>2509.9459657891057</v>
      </c>
      <c r="AF70" s="6">
        <f t="shared" si="33"/>
        <v>2691.3465854835326</v>
      </c>
      <c r="AG70" s="6">
        <f t="shared" si="33"/>
        <v>2884.4397370113979</v>
      </c>
      <c r="AH70" s="6">
        <f t="shared" si="33"/>
        <v>3099.333305153486</v>
      </c>
      <c r="AI70" s="6">
        <f t="shared" si="33"/>
        <v>3311.6665040381795</v>
      </c>
      <c r="AJ70" s="6">
        <f t="shared" si="33"/>
        <v>3549.3976907034476</v>
      </c>
      <c r="AK70" s="6">
        <f t="shared" si="33"/>
        <v>3796.7788007831623</v>
      </c>
      <c r="AL70" s="6">
        <f t="shared" si="33"/>
        <v>4052.058761118104</v>
      </c>
      <c r="AM70" s="6">
        <f t="shared" si="33"/>
        <v>4323.9057708901482</v>
      </c>
      <c r="AN70" s="6">
        <f t="shared" si="33"/>
        <v>4608.2266654779396</v>
      </c>
    </row>
    <row r="71" spans="1:40" x14ac:dyDescent="0.35">
      <c r="D71" s="10" t="s">
        <v>253</v>
      </c>
      <c r="E71" s="6">
        <f>IF(E70&lt;0,E70,0)</f>
        <v>-25.879055555555553</v>
      </c>
      <c r="F71" s="6">
        <f t="shared" ref="F71:AN71" si="34">IF(F70&lt;0,F70,0)</f>
        <v>-51.330944444444441</v>
      </c>
      <c r="G71" s="6">
        <f t="shared" si="34"/>
        <v>-77.108888888888885</v>
      </c>
      <c r="H71" s="6">
        <f t="shared" si="34"/>
        <v>-124.67377777777777</v>
      </c>
      <c r="I71" s="6">
        <f t="shared" si="34"/>
        <v>-182.6392222222222</v>
      </c>
      <c r="J71" s="6">
        <f t="shared" si="34"/>
        <v>-178.52688888888886</v>
      </c>
      <c r="K71" s="6">
        <f t="shared" si="34"/>
        <v>-159.31633333333332</v>
      </c>
      <c r="L71" s="6">
        <f t="shared" si="34"/>
        <v>-142.15977777777775</v>
      </c>
      <c r="M71" s="6">
        <f t="shared" si="34"/>
        <v>-35.125444444444412</v>
      </c>
      <c r="N71" s="6">
        <f t="shared" si="34"/>
        <v>0</v>
      </c>
      <c r="O71" s="6">
        <f t="shared" si="34"/>
        <v>0</v>
      </c>
      <c r="P71" s="6">
        <f t="shared" si="34"/>
        <v>0</v>
      </c>
      <c r="Q71" s="6">
        <f t="shared" si="34"/>
        <v>0</v>
      </c>
      <c r="R71" s="6">
        <f t="shared" si="34"/>
        <v>0</v>
      </c>
      <c r="S71" s="6">
        <f t="shared" si="34"/>
        <v>0</v>
      </c>
      <c r="T71" s="6">
        <f t="shared" si="34"/>
        <v>0</v>
      </c>
      <c r="U71" s="6">
        <f t="shared" si="34"/>
        <v>0</v>
      </c>
      <c r="V71" s="6">
        <f t="shared" si="34"/>
        <v>0</v>
      </c>
      <c r="W71" s="6">
        <f t="shared" si="34"/>
        <v>0</v>
      </c>
      <c r="X71" s="6">
        <f t="shared" si="34"/>
        <v>0</v>
      </c>
      <c r="Y71" s="6">
        <f t="shared" si="34"/>
        <v>0</v>
      </c>
      <c r="Z71" s="6">
        <f t="shared" si="34"/>
        <v>0</v>
      </c>
      <c r="AA71" s="6">
        <f t="shared" si="34"/>
        <v>0</v>
      </c>
      <c r="AB71" s="6">
        <f t="shared" si="34"/>
        <v>0</v>
      </c>
      <c r="AC71" s="6">
        <f t="shared" si="34"/>
        <v>0</v>
      </c>
      <c r="AD71" s="6">
        <f t="shared" si="34"/>
        <v>0</v>
      </c>
      <c r="AE71" s="6">
        <f t="shared" si="34"/>
        <v>0</v>
      </c>
      <c r="AF71" s="6">
        <f t="shared" si="34"/>
        <v>0</v>
      </c>
      <c r="AG71" s="6">
        <f t="shared" si="34"/>
        <v>0</v>
      </c>
      <c r="AH71" s="6">
        <f t="shared" si="34"/>
        <v>0</v>
      </c>
      <c r="AI71" s="6">
        <f t="shared" si="34"/>
        <v>0</v>
      </c>
      <c r="AJ71" s="6">
        <f t="shared" si="34"/>
        <v>0</v>
      </c>
      <c r="AK71" s="6">
        <f t="shared" si="34"/>
        <v>0</v>
      </c>
      <c r="AL71" s="6">
        <f t="shared" si="34"/>
        <v>0</v>
      </c>
      <c r="AM71" s="6">
        <f t="shared" si="34"/>
        <v>0</v>
      </c>
      <c r="AN71" s="6">
        <f t="shared" si="34"/>
        <v>0</v>
      </c>
    </row>
    <row r="72" spans="1:40" x14ac:dyDescent="0.35">
      <c r="D72" s="10" t="s">
        <v>254</v>
      </c>
      <c r="E72" s="6">
        <f>MIN(E71:AN71)</f>
        <v>-182.6392222222222</v>
      </c>
    </row>
    <row r="74" spans="1:40" x14ac:dyDescent="0.35">
      <c r="A74" s="10" t="str">
        <f>Vaciado!C75</f>
        <v>Brasil</v>
      </c>
      <c r="B74" s="3">
        <v>2024</v>
      </c>
      <c r="C74" s="3">
        <v>2025</v>
      </c>
      <c r="D74" s="3">
        <v>2026</v>
      </c>
      <c r="F74" t="s">
        <v>297</v>
      </c>
    </row>
    <row r="75" spans="1:40" x14ac:dyDescent="0.35">
      <c r="A75" s="10" t="s">
        <v>162</v>
      </c>
      <c r="B75" s="6">
        <f>B12*Vaciado!$E$75</f>
        <v>2346.8464705265369</v>
      </c>
      <c r="C75" s="6">
        <f>C12*Vaciado!$E$75</f>
        <v>5047.2315502412403</v>
      </c>
      <c r="D75" s="6">
        <f>D12*Vaciado!$E$75</f>
        <v>7740.5170075519181</v>
      </c>
      <c r="F75" s="1">
        <f>(B75/360)*Vaciado!$F$75</f>
        <v>586.71161763163423</v>
      </c>
      <c r="G75" s="1">
        <f>(C75/360)*Vaciado!$F$75</f>
        <v>1261.8078875603101</v>
      </c>
      <c r="H75" s="1">
        <f>(D75/360)*Vaciado!$F$75</f>
        <v>1935.1292518879793</v>
      </c>
    </row>
    <row r="76" spans="1:40" x14ac:dyDescent="0.35">
      <c r="A76" s="10" t="s">
        <v>256</v>
      </c>
      <c r="B76" s="6">
        <f>B75*Vaciado!$D$75</f>
        <v>352.02697057898052</v>
      </c>
      <c r="C76" s="6">
        <f>C75*Vaciado!$D$75</f>
        <v>757.08473253618604</v>
      </c>
      <c r="D76" s="6">
        <f>D75*Vaciado!$D$75</f>
        <v>1161.0775511327877</v>
      </c>
    </row>
    <row r="77" spans="1:40" x14ac:dyDescent="0.35">
      <c r="A77" s="10" t="s">
        <v>257</v>
      </c>
      <c r="B77" s="6">
        <f>B75-B76</f>
        <v>1994.8194999475563</v>
      </c>
      <c r="C77" s="6">
        <f>C75-C76</f>
        <v>4290.1468177050538</v>
      </c>
      <c r="D77" s="6">
        <f>D75-D76</f>
        <v>6579.4394564191307</v>
      </c>
    </row>
    <row r="78" spans="1:40" x14ac:dyDescent="0.35">
      <c r="B78" s="6"/>
      <c r="C78" s="6"/>
      <c r="D78" s="6"/>
    </row>
    <row r="79" spans="1:40" x14ac:dyDescent="0.35">
      <c r="A79" s="10" t="str">
        <f>Vaciado!C76</f>
        <v>Colombia</v>
      </c>
      <c r="B79" s="3">
        <v>2024</v>
      </c>
      <c r="C79" s="3">
        <v>2025</v>
      </c>
      <c r="D79" s="3">
        <v>2026</v>
      </c>
      <c r="F79" t="s">
        <v>298</v>
      </c>
    </row>
    <row r="80" spans="1:40" x14ac:dyDescent="0.35">
      <c r="A80" s="10" t="s">
        <v>162</v>
      </c>
      <c r="B80" s="6">
        <f>B12*Vaciado!$E$76</f>
        <v>1095.1950195790503</v>
      </c>
      <c r="C80" s="6">
        <f>C12*Vaciado!$E$76</f>
        <v>2355.374723445912</v>
      </c>
      <c r="D80" s="6">
        <f>D12*Vaciado!$E$76</f>
        <v>3612.2412701908947</v>
      </c>
      <c r="F80" s="1">
        <f>(B80/360)*Vaciado!$F$76</f>
        <v>273.79875489476257</v>
      </c>
      <c r="G80" s="1">
        <f>(C80/360)*Vaciado!$F$76</f>
        <v>588.84368086147799</v>
      </c>
      <c r="H80" s="1">
        <f>(D80/360)*Vaciado!$F$76</f>
        <v>903.06031754772368</v>
      </c>
    </row>
    <row r="81" spans="1:16" x14ac:dyDescent="0.35">
      <c r="A81" s="10" t="s">
        <v>256</v>
      </c>
      <c r="B81" s="6">
        <f>B80*Vaciado!$D$76</f>
        <v>219.03900391581007</v>
      </c>
      <c r="C81" s="6">
        <f>C80*Vaciado!$D$76</f>
        <v>471.07494468918242</v>
      </c>
      <c r="D81" s="6">
        <f>D80*Vaciado!$D$76</f>
        <v>722.44825403817902</v>
      </c>
    </row>
    <row r="82" spans="1:16" x14ac:dyDescent="0.35">
      <c r="A82" s="10" t="s">
        <v>258</v>
      </c>
      <c r="B82" s="6">
        <f>B80-B81</f>
        <v>876.15601566324017</v>
      </c>
      <c r="C82" s="6">
        <f>C80-C81</f>
        <v>1884.2997787567297</v>
      </c>
      <c r="D82" s="6">
        <f>D80-D81</f>
        <v>2889.7930161527156</v>
      </c>
      <c r="E82" s="6"/>
    </row>
    <row r="84" spans="1:16" x14ac:dyDescent="0.35">
      <c r="B84" s="3">
        <v>2024</v>
      </c>
      <c r="C84" s="3">
        <v>2025</v>
      </c>
      <c r="D84" s="3">
        <v>2026</v>
      </c>
    </row>
    <row r="85" spans="1:16" x14ac:dyDescent="0.35">
      <c r="A85" s="10" t="s">
        <v>299</v>
      </c>
      <c r="B85" s="6">
        <f>B75-F75+B80-F80</f>
        <v>2581.5311175791903</v>
      </c>
      <c r="C85" s="6">
        <f>C75-G75+F75+C80-G80+F80</f>
        <v>6412.4650777917605</v>
      </c>
      <c r="D85" s="6">
        <f>D75-H75+G75+D80-H80+G80</f>
        <v>10365.220276728898</v>
      </c>
    </row>
    <row r="86" spans="1:16" x14ac:dyDescent="0.35">
      <c r="A86" s="10" t="s">
        <v>300</v>
      </c>
      <c r="B86" s="6">
        <f>B76+B81</f>
        <v>571.06597449479057</v>
      </c>
      <c r="C86" s="6">
        <f>C76+C81</f>
        <v>1228.1596772253683</v>
      </c>
      <c r="D86" s="6">
        <f>D76+D81</f>
        <v>1883.5258051709666</v>
      </c>
    </row>
    <row r="87" spans="1:16" x14ac:dyDescent="0.35">
      <c r="A87" s="10" t="s">
        <v>258</v>
      </c>
      <c r="B87" s="6">
        <f>B85-B86</f>
        <v>2010.4651430843996</v>
      </c>
      <c r="C87" s="6">
        <f>C85-C86</f>
        <v>5184.3054005663926</v>
      </c>
      <c r="D87" s="6">
        <f>D85-D86</f>
        <v>8481.694471557932</v>
      </c>
    </row>
    <row r="88" spans="1:16" x14ac:dyDescent="0.35">
      <c r="E88" s="3">
        <v>1</v>
      </c>
      <c r="F88" s="3">
        <v>2</v>
      </c>
      <c r="G88" s="3">
        <v>3</v>
      </c>
      <c r="H88" s="3">
        <v>4</v>
      </c>
      <c r="I88" s="3">
        <v>5</v>
      </c>
      <c r="J88" s="3">
        <v>6</v>
      </c>
      <c r="K88" s="3">
        <v>7</v>
      </c>
      <c r="L88" s="3">
        <v>8</v>
      </c>
      <c r="M88" s="3">
        <v>9</v>
      </c>
      <c r="N88" s="3">
        <v>10</v>
      </c>
      <c r="O88" s="3">
        <v>11</v>
      </c>
      <c r="P88" s="3">
        <v>12</v>
      </c>
    </row>
    <row r="89" spans="1:16" x14ac:dyDescent="0.35">
      <c r="A89" s="143" t="s">
        <v>244</v>
      </c>
      <c r="B89" s="14"/>
      <c r="C89" s="14"/>
      <c r="D89" s="143" t="s">
        <v>296</v>
      </c>
      <c r="E89" s="146">
        <f>B75/12</f>
        <v>195.57053921054475</v>
      </c>
      <c r="F89" s="146">
        <f>E89+$E$89</f>
        <v>391.1410784210895</v>
      </c>
      <c r="G89" s="146">
        <f>F89+$E$89</f>
        <v>586.71161763163423</v>
      </c>
      <c r="H89" s="146">
        <f>G89+$E$89</f>
        <v>782.28215684217901</v>
      </c>
      <c r="I89" s="146">
        <f t="shared" ref="I89:P89" si="35">H89+$E$89</f>
        <v>977.85269605272379</v>
      </c>
      <c r="J89" s="146">
        <f t="shared" si="35"/>
        <v>1173.4232352632685</v>
      </c>
      <c r="K89" s="146">
        <f t="shared" si="35"/>
        <v>1368.9937744738131</v>
      </c>
      <c r="L89" s="146">
        <f t="shared" si="35"/>
        <v>1564.5643136843578</v>
      </c>
      <c r="M89" s="146">
        <f t="shared" si="35"/>
        <v>1760.1348528949025</v>
      </c>
      <c r="N89" s="146">
        <f t="shared" si="35"/>
        <v>1955.7053921054471</v>
      </c>
      <c r="O89" s="146">
        <f t="shared" si="35"/>
        <v>2151.2759313159918</v>
      </c>
      <c r="P89" s="146">
        <f t="shared" si="35"/>
        <v>2346.8464705265365</v>
      </c>
    </row>
    <row r="90" spans="1:16" x14ac:dyDescent="0.35">
      <c r="A90" s="144"/>
      <c r="B90" s="144"/>
      <c r="C90" s="144"/>
      <c r="D90" s="145" t="s">
        <v>288</v>
      </c>
      <c r="E90" s="147">
        <f>E89*Vaciado!$D$75</f>
        <v>29.335580881581713</v>
      </c>
      <c r="F90" s="147">
        <f>E90+$E$90</f>
        <v>58.671161763163425</v>
      </c>
      <c r="G90" s="147">
        <f t="shared" ref="G90:P90" si="36">F90+$E$90</f>
        <v>88.006742644745145</v>
      </c>
      <c r="H90" s="147">
        <f t="shared" si="36"/>
        <v>117.34232352632685</v>
      </c>
      <c r="I90" s="147">
        <f t="shared" si="36"/>
        <v>146.67790440790856</v>
      </c>
      <c r="J90" s="147">
        <f t="shared" si="36"/>
        <v>176.01348528949026</v>
      </c>
      <c r="K90" s="147">
        <f t="shared" si="36"/>
        <v>205.34906617107197</v>
      </c>
      <c r="L90" s="147">
        <f t="shared" si="36"/>
        <v>234.68464705265367</v>
      </c>
      <c r="M90" s="147">
        <f t="shared" si="36"/>
        <v>264.02022793423538</v>
      </c>
      <c r="N90" s="147">
        <f t="shared" si="36"/>
        <v>293.35580881581711</v>
      </c>
      <c r="O90" s="147">
        <f t="shared" si="36"/>
        <v>322.69138969739885</v>
      </c>
      <c r="P90" s="147">
        <f t="shared" si="36"/>
        <v>352.02697057898058</v>
      </c>
    </row>
    <row r="91" spans="1:16" x14ac:dyDescent="0.35">
      <c r="A91" s="143" t="s">
        <v>245</v>
      </c>
      <c r="B91" s="14"/>
      <c r="C91" s="14"/>
      <c r="D91" s="143" t="s">
        <v>280</v>
      </c>
      <c r="E91" s="146">
        <f>B85/12</f>
        <v>215.12759313159918</v>
      </c>
      <c r="F91" s="146">
        <f>E91+$E$91</f>
        <v>430.25518626319837</v>
      </c>
      <c r="G91" s="146">
        <f>F91+$E$91</f>
        <v>645.38277939479758</v>
      </c>
      <c r="H91" s="146">
        <f t="shared" ref="H91:P91" si="37">G91+$E$91</f>
        <v>860.51037252639674</v>
      </c>
      <c r="I91" s="146">
        <f t="shared" si="37"/>
        <v>1075.6379656579959</v>
      </c>
      <c r="J91" s="146">
        <f t="shared" si="37"/>
        <v>1290.7655587895952</v>
      </c>
      <c r="K91" s="146">
        <f t="shared" si="37"/>
        <v>1505.8931519211944</v>
      </c>
      <c r="L91" s="146">
        <f t="shared" si="37"/>
        <v>1721.0207450527937</v>
      </c>
      <c r="M91" s="146">
        <f t="shared" si="37"/>
        <v>1936.148338184393</v>
      </c>
      <c r="N91" s="146">
        <f t="shared" si="37"/>
        <v>2151.2759313159922</v>
      </c>
      <c r="O91" s="146">
        <f t="shared" si="37"/>
        <v>2366.4035244475913</v>
      </c>
      <c r="P91" s="146">
        <f t="shared" si="37"/>
        <v>2581.5311175791903</v>
      </c>
    </row>
    <row r="92" spans="1:16" x14ac:dyDescent="0.35">
      <c r="A92" s="144"/>
      <c r="B92" s="144"/>
      <c r="C92" s="144"/>
      <c r="D92" s="145" t="s">
        <v>281</v>
      </c>
      <c r="E92" s="147">
        <f>E91*Vaciado!$D$75</f>
        <v>32.269138969739878</v>
      </c>
      <c r="F92" s="147">
        <f>E92+$E$92</f>
        <v>64.538277939479755</v>
      </c>
      <c r="G92" s="147">
        <f t="shared" ref="G92:P92" si="38">F92+$E$92</f>
        <v>96.807416909219626</v>
      </c>
      <c r="H92" s="147">
        <f t="shared" si="38"/>
        <v>129.07655587895951</v>
      </c>
      <c r="I92" s="147">
        <f t="shared" si="38"/>
        <v>161.3456948486994</v>
      </c>
      <c r="J92" s="147">
        <f t="shared" si="38"/>
        <v>193.61483381843928</v>
      </c>
      <c r="K92" s="147">
        <f t="shared" si="38"/>
        <v>225.88397278817916</v>
      </c>
      <c r="L92" s="147">
        <f t="shared" si="38"/>
        <v>258.15311175791902</v>
      </c>
      <c r="M92" s="147">
        <f t="shared" si="38"/>
        <v>290.42225072765888</v>
      </c>
      <c r="N92" s="147">
        <f t="shared" si="38"/>
        <v>322.69138969739873</v>
      </c>
      <c r="O92" s="147">
        <f t="shared" si="38"/>
        <v>354.96052866713859</v>
      </c>
      <c r="P92" s="147">
        <f t="shared" si="38"/>
        <v>387.22966763687845</v>
      </c>
    </row>
    <row r="94" spans="1:16" x14ac:dyDescent="0.35">
      <c r="B94" s="3">
        <v>2024</v>
      </c>
      <c r="C94" s="3">
        <v>2025</v>
      </c>
      <c r="D94" s="3">
        <v>2026</v>
      </c>
    </row>
    <row r="95" spans="1:16" x14ac:dyDescent="0.35">
      <c r="A95" t="s">
        <v>330</v>
      </c>
      <c r="B95" s="6">
        <f>B75-F75</f>
        <v>1760.1348528949027</v>
      </c>
      <c r="C95" s="6">
        <f>F75+C75-G75</f>
        <v>4372.1352803125646</v>
      </c>
      <c r="D95" s="6">
        <f>G75+D75-H75</f>
        <v>7067.1956432242487</v>
      </c>
    </row>
    <row r="96" spans="1:16" x14ac:dyDescent="0.35">
      <c r="A96" t="s">
        <v>331</v>
      </c>
      <c r="B96" s="6">
        <f>B80-F80</f>
        <v>821.39626468428764</v>
      </c>
      <c r="C96" s="6">
        <f>F80+C80-G80</f>
        <v>2040.3297974791967</v>
      </c>
      <c r="D96" s="6">
        <f>G80+D80-H80</f>
        <v>3298.0246335046495</v>
      </c>
    </row>
    <row r="97" spans="1:5" x14ac:dyDescent="0.35">
      <c r="A97" t="s">
        <v>337</v>
      </c>
      <c r="B97" s="6">
        <f>B95+B96</f>
        <v>2581.5311175791903</v>
      </c>
      <c r="C97" s="6">
        <f>C95+C96</f>
        <v>6412.4650777917614</v>
      </c>
      <c r="D97" s="6">
        <f>D95+D96</f>
        <v>10365.220276728898</v>
      </c>
    </row>
    <row r="98" spans="1:5" x14ac:dyDescent="0.35">
      <c r="A98" t="s">
        <v>429</v>
      </c>
      <c r="B98" s="6">
        <f>B104+B110</f>
        <v>200.96056695773035</v>
      </c>
      <c r="C98" s="6">
        <f t="shared" ref="C98:D98" si="39">C104+C110</f>
        <v>511.29397982985518</v>
      </c>
      <c r="D98" s="6">
        <f t="shared" si="39"/>
        <v>781.53865733032421</v>
      </c>
    </row>
    <row r="99" spans="1:5" x14ac:dyDescent="0.35">
      <c r="A99" t="s">
        <v>338</v>
      </c>
      <c r="B99" s="6">
        <f>B86</f>
        <v>571.06597449479057</v>
      </c>
      <c r="C99" s="6">
        <f t="shared" ref="C99:D99" si="40">C86</f>
        <v>1228.1596772253683</v>
      </c>
      <c r="D99" s="6">
        <f t="shared" si="40"/>
        <v>1883.5258051709666</v>
      </c>
    </row>
    <row r="100" spans="1:5" x14ac:dyDescent="0.35">
      <c r="A100" t="s">
        <v>339</v>
      </c>
      <c r="B100" s="6">
        <f>B97-B99-B98</f>
        <v>1809.5045761266692</v>
      </c>
      <c r="C100" s="6">
        <f t="shared" ref="C100:D100" si="41">C97-C99-C98</f>
        <v>4673.0114207365377</v>
      </c>
      <c r="D100" s="6">
        <f t="shared" si="41"/>
        <v>7700.1558142276081</v>
      </c>
    </row>
    <row r="102" spans="1:5" x14ac:dyDescent="0.35">
      <c r="B102" s="3">
        <v>2024</v>
      </c>
      <c r="C102" s="3">
        <v>2025</v>
      </c>
      <c r="D102" s="3">
        <v>2026</v>
      </c>
    </row>
    <row r="103" spans="1:5" x14ac:dyDescent="0.35">
      <c r="A103" t="s">
        <v>330</v>
      </c>
      <c r="B103" s="6">
        <f>B95</f>
        <v>1760.1348528949027</v>
      </c>
      <c r="C103" s="6">
        <f t="shared" ref="C103:D103" si="42">C95</f>
        <v>4372.1352803125646</v>
      </c>
      <c r="D103" s="6">
        <f t="shared" si="42"/>
        <v>7067.1956432242487</v>
      </c>
    </row>
    <row r="104" spans="1:5" x14ac:dyDescent="0.35">
      <c r="A104" t="s">
        <v>425</v>
      </c>
      <c r="B104" s="6">
        <f>B103*(1-'Unit Economics'!C17)</f>
        <v>137.01856838027069</v>
      </c>
      <c r="C104" s="6">
        <f>C103*(1-'Unit Economics'!D17)</f>
        <v>348.60953170217397</v>
      </c>
      <c r="D104" s="6">
        <f>D103*(1-'Unit Economics'!E17)</f>
        <v>532.86726636158471</v>
      </c>
    </row>
    <row r="105" spans="1:5" x14ac:dyDescent="0.35">
      <c r="A105" t="s">
        <v>413</v>
      </c>
      <c r="B105" s="6">
        <f>B76</f>
        <v>352.02697057898052</v>
      </c>
      <c r="C105" s="6">
        <f t="shared" ref="C105:D105" si="43">C76</f>
        <v>757.08473253618604</v>
      </c>
      <c r="D105" s="6">
        <f t="shared" si="43"/>
        <v>1161.0775511327877</v>
      </c>
      <c r="E105" s="3" t="s">
        <v>379</v>
      </c>
    </row>
    <row r="106" spans="1:5" x14ac:dyDescent="0.35">
      <c r="A106" t="s">
        <v>414</v>
      </c>
      <c r="B106" s="6">
        <f>B103-B105-B104</f>
        <v>1271.0893139356515</v>
      </c>
      <c r="C106" s="6">
        <f t="shared" ref="C106:D106" si="44">C103-C105-C104</f>
        <v>3266.4410160742045</v>
      </c>
      <c r="D106" s="6">
        <f t="shared" si="44"/>
        <v>5373.2508257298769</v>
      </c>
      <c r="E106" s="6">
        <f>NPV(Vaciado!D29,Flujos!B106:D106)</f>
        <v>4881.6538553967002</v>
      </c>
    </row>
    <row r="108" spans="1:5" x14ac:dyDescent="0.35">
      <c r="B108" s="3">
        <v>2024</v>
      </c>
      <c r="C108" s="3">
        <v>2025</v>
      </c>
      <c r="D108" s="3">
        <v>2026</v>
      </c>
    </row>
    <row r="109" spans="1:5" x14ac:dyDescent="0.35">
      <c r="A109" t="s">
        <v>331</v>
      </c>
      <c r="B109" s="6">
        <f>B96</f>
        <v>821.39626468428764</v>
      </c>
      <c r="C109" s="6">
        <f t="shared" ref="C109:D109" si="45">C96</f>
        <v>2040.3297974791967</v>
      </c>
      <c r="D109" s="6">
        <f t="shared" si="45"/>
        <v>3298.0246335046495</v>
      </c>
    </row>
    <row r="110" spans="1:5" x14ac:dyDescent="0.35">
      <c r="A110" t="s">
        <v>426</v>
      </c>
      <c r="B110" s="6">
        <f>B109*(1-'Unit Economics'!C17)</f>
        <v>63.941998577459643</v>
      </c>
      <c r="C110" s="6">
        <f>C109*(1-'Unit Economics'!D17)</f>
        <v>162.68444812768118</v>
      </c>
      <c r="D110" s="6">
        <f>D109*(1-'Unit Economics'!E17)</f>
        <v>248.67139096873956</v>
      </c>
    </row>
    <row r="111" spans="1:5" x14ac:dyDescent="0.35">
      <c r="A111" t="s">
        <v>415</v>
      </c>
      <c r="B111" s="6">
        <f>B81</f>
        <v>219.03900391581007</v>
      </c>
      <c r="C111" s="6">
        <f t="shared" ref="C111:D111" si="46">C81</f>
        <v>471.07494468918242</v>
      </c>
      <c r="D111" s="6">
        <f t="shared" si="46"/>
        <v>722.44825403817902</v>
      </c>
      <c r="E111" s="3" t="s">
        <v>379</v>
      </c>
    </row>
    <row r="112" spans="1:5" x14ac:dyDescent="0.35">
      <c r="A112" t="s">
        <v>416</v>
      </c>
      <c r="B112" s="6">
        <f>B109-B111-B110</f>
        <v>538.41526219101786</v>
      </c>
      <c r="C112" s="6">
        <f t="shared" ref="C112" si="47">C109-C111-C110</f>
        <v>1406.5704046623332</v>
      </c>
      <c r="D112" s="6">
        <f t="shared" ref="D112" si="48">D109-D111-D110</f>
        <v>2326.9049884977308</v>
      </c>
      <c r="E112" s="6">
        <f>NPV(Vaciado!D29,Flujos!B112:D112)</f>
        <v>2100.7855923460515</v>
      </c>
    </row>
    <row r="114" spans="2:4" x14ac:dyDescent="0.35">
      <c r="B114" s="1"/>
      <c r="C114" s="1"/>
      <c r="D114" s="1"/>
    </row>
    <row r="115" spans="2:4" x14ac:dyDescent="0.35">
      <c r="B115" s="1"/>
      <c r="C115" s="1"/>
      <c r="D115" s="1"/>
    </row>
  </sheetData>
  <mergeCells count="3">
    <mergeCell ref="E2:P2"/>
    <mergeCell ref="Q2:AB2"/>
    <mergeCell ref="AC2:AN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2B51-D799-4AC9-A17A-513A0B50DD86}">
  <dimension ref="A2:CB76"/>
  <sheetViews>
    <sheetView topLeftCell="D29" workbookViewId="0">
      <selection activeCell="H52" sqref="H52"/>
    </sheetView>
  </sheetViews>
  <sheetFormatPr baseColWidth="10" defaultRowHeight="14.5" x14ac:dyDescent="0.35"/>
  <cols>
    <col min="2" max="2" width="3.7265625" customWidth="1"/>
    <col min="5" max="5" width="12.453125" bestFit="1" customWidth="1"/>
    <col min="6" max="6" width="3.26953125" customWidth="1"/>
    <col min="7" max="7" width="9.54296875" customWidth="1"/>
    <col min="8" max="43" width="3.7265625" customWidth="1"/>
    <col min="45" max="80" width="5.453125" style="3" customWidth="1"/>
  </cols>
  <sheetData>
    <row r="2" spans="2:80" x14ac:dyDescent="0.35">
      <c r="T2" s="3">
        <v>1</v>
      </c>
      <c r="U2" s="3">
        <v>2</v>
      </c>
      <c r="V2" s="3">
        <v>3</v>
      </c>
      <c r="W2" s="3">
        <v>4</v>
      </c>
      <c r="X2" s="3">
        <v>5</v>
      </c>
      <c r="Y2" s="3">
        <v>6</v>
      </c>
      <c r="Z2" s="3">
        <v>7</v>
      </c>
      <c r="AA2" s="3">
        <v>8</v>
      </c>
      <c r="AB2" s="3">
        <v>9</v>
      </c>
      <c r="AC2" s="3">
        <v>10</v>
      </c>
      <c r="AD2" s="3">
        <v>11</v>
      </c>
      <c r="AE2" s="3">
        <v>12</v>
      </c>
      <c r="AF2" s="3">
        <v>1</v>
      </c>
      <c r="AG2" s="3">
        <v>2</v>
      </c>
      <c r="AH2" s="3">
        <v>3</v>
      </c>
      <c r="AI2" s="3">
        <v>4</v>
      </c>
      <c r="AJ2" s="3">
        <v>5</v>
      </c>
      <c r="AK2" s="3">
        <v>6</v>
      </c>
      <c r="AL2" s="3">
        <v>7</v>
      </c>
      <c r="AM2" s="3">
        <v>8</v>
      </c>
      <c r="AN2" s="3">
        <v>9</v>
      </c>
      <c r="AO2" s="3">
        <v>10</v>
      </c>
      <c r="AP2" s="3">
        <v>11</v>
      </c>
      <c r="AQ2" s="3">
        <v>12</v>
      </c>
    </row>
    <row r="3" spans="2:80" x14ac:dyDescent="0.35">
      <c r="B3" s="325" t="s">
        <v>70</v>
      </c>
      <c r="C3" s="325" t="s">
        <v>50</v>
      </c>
      <c r="D3" s="325"/>
      <c r="E3" s="3" t="s">
        <v>69</v>
      </c>
      <c r="G3" s="314" t="s">
        <v>71</v>
      </c>
      <c r="H3" s="321">
        <v>2024</v>
      </c>
      <c r="I3" s="321"/>
      <c r="J3" s="321"/>
      <c r="K3" s="321"/>
      <c r="L3" s="321"/>
      <c r="M3" s="321"/>
      <c r="N3" s="321"/>
      <c r="O3" s="321"/>
      <c r="P3" s="321"/>
      <c r="Q3" s="321"/>
      <c r="R3" s="321"/>
      <c r="S3" s="321"/>
      <c r="T3" s="321">
        <v>2025</v>
      </c>
      <c r="U3" s="321"/>
      <c r="V3" s="321"/>
      <c r="W3" s="321"/>
      <c r="X3" s="321"/>
      <c r="Y3" s="321"/>
      <c r="Z3" s="321"/>
      <c r="AA3" s="321"/>
      <c r="AB3" s="321"/>
      <c r="AC3" s="321"/>
      <c r="AD3" s="321"/>
      <c r="AE3" s="321"/>
      <c r="AF3" s="321">
        <v>2026</v>
      </c>
      <c r="AG3" s="321"/>
      <c r="AH3" s="321"/>
      <c r="AI3" s="321"/>
      <c r="AJ3" s="321"/>
      <c r="AK3" s="321"/>
      <c r="AL3" s="321"/>
      <c r="AM3" s="321"/>
      <c r="AN3" s="321"/>
      <c r="AO3" s="321"/>
      <c r="AP3" s="321"/>
      <c r="AQ3" s="321"/>
      <c r="AS3" s="321">
        <v>2024</v>
      </c>
      <c r="AT3" s="321"/>
      <c r="AU3" s="321"/>
      <c r="AV3" s="321"/>
      <c r="AW3" s="321"/>
      <c r="AX3" s="321"/>
      <c r="AY3" s="321"/>
      <c r="AZ3" s="321"/>
      <c r="BA3" s="321"/>
      <c r="BB3" s="321"/>
      <c r="BC3" s="321"/>
      <c r="BD3" s="321"/>
      <c r="BE3" s="321">
        <v>2025</v>
      </c>
      <c r="BF3" s="321"/>
      <c r="BG3" s="321"/>
      <c r="BH3" s="321"/>
      <c r="BI3" s="321"/>
      <c r="BJ3" s="321"/>
      <c r="BK3" s="321"/>
      <c r="BL3" s="321"/>
      <c r="BM3" s="321"/>
      <c r="BN3" s="321"/>
      <c r="BO3" s="321"/>
      <c r="BP3" s="321"/>
      <c r="BQ3" s="321">
        <v>2026</v>
      </c>
      <c r="BR3" s="321"/>
      <c r="BS3" s="321"/>
      <c r="BT3" s="321"/>
      <c r="BU3" s="321"/>
      <c r="BV3" s="321"/>
      <c r="BW3" s="321"/>
      <c r="BX3" s="321"/>
      <c r="BY3" s="321"/>
      <c r="BZ3" s="321"/>
      <c r="CA3" s="321"/>
      <c r="CB3" s="321"/>
    </row>
    <row r="4" spans="2:80" x14ac:dyDescent="0.35">
      <c r="B4" s="325"/>
      <c r="C4" s="325"/>
      <c r="D4" s="325"/>
      <c r="E4" s="3" t="s">
        <v>4</v>
      </c>
      <c r="G4" s="314"/>
      <c r="H4" s="3" t="s">
        <v>53</v>
      </c>
      <c r="I4" s="3" t="s">
        <v>54</v>
      </c>
      <c r="J4" s="3" t="s">
        <v>55</v>
      </c>
      <c r="K4" s="3" t="s">
        <v>56</v>
      </c>
      <c r="L4" s="3" t="s">
        <v>57</v>
      </c>
      <c r="M4" s="3" t="s">
        <v>58</v>
      </c>
      <c r="N4" s="3" t="s">
        <v>59</v>
      </c>
      <c r="O4" s="3" t="s">
        <v>60</v>
      </c>
      <c r="P4" s="3" t="s">
        <v>61</v>
      </c>
      <c r="Q4" s="3" t="s">
        <v>62</v>
      </c>
      <c r="R4" s="3" t="s">
        <v>63</v>
      </c>
      <c r="S4" s="3" t="s">
        <v>64</v>
      </c>
      <c r="T4" s="3" t="s">
        <v>53</v>
      </c>
      <c r="U4" s="3" t="s">
        <v>54</v>
      </c>
      <c r="V4" s="3" t="s">
        <v>55</v>
      </c>
      <c r="W4" s="3" t="s">
        <v>56</v>
      </c>
      <c r="X4" s="3" t="s">
        <v>57</v>
      </c>
      <c r="Y4" s="3" t="s">
        <v>58</v>
      </c>
      <c r="Z4" s="3" t="s">
        <v>59</v>
      </c>
      <c r="AA4" s="3" t="s">
        <v>60</v>
      </c>
      <c r="AB4" s="3" t="s">
        <v>61</v>
      </c>
      <c r="AC4" s="3" t="s">
        <v>62</v>
      </c>
      <c r="AD4" s="3" t="s">
        <v>63</v>
      </c>
      <c r="AE4" s="3" t="s">
        <v>64</v>
      </c>
      <c r="AF4" s="3" t="s">
        <v>53</v>
      </c>
      <c r="AG4" s="3" t="s">
        <v>54</v>
      </c>
      <c r="AH4" s="3" t="s">
        <v>55</v>
      </c>
      <c r="AI4" s="3" t="s">
        <v>56</v>
      </c>
      <c r="AJ4" s="3" t="s">
        <v>57</v>
      </c>
      <c r="AK4" s="3" t="s">
        <v>58</v>
      </c>
      <c r="AL4" s="3" t="s">
        <v>59</v>
      </c>
      <c r="AM4" s="3" t="s">
        <v>60</v>
      </c>
      <c r="AN4" s="3" t="s">
        <v>61</v>
      </c>
      <c r="AO4" s="3" t="s">
        <v>62</v>
      </c>
      <c r="AP4" s="3" t="s">
        <v>63</v>
      </c>
      <c r="AQ4" s="3" t="s">
        <v>64</v>
      </c>
      <c r="AS4" s="3" t="s">
        <v>53</v>
      </c>
      <c r="AT4" s="3" t="s">
        <v>54</v>
      </c>
      <c r="AU4" s="3" t="s">
        <v>55</v>
      </c>
      <c r="AV4" s="3" t="s">
        <v>56</v>
      </c>
      <c r="AW4" s="3" t="s">
        <v>57</v>
      </c>
      <c r="AX4" s="3" t="s">
        <v>58</v>
      </c>
      <c r="AY4" s="3" t="s">
        <v>59</v>
      </c>
      <c r="AZ4" s="3" t="s">
        <v>60</v>
      </c>
      <c r="BA4" s="3" t="s">
        <v>61</v>
      </c>
      <c r="BB4" s="3" t="s">
        <v>62</v>
      </c>
      <c r="BC4" s="3" t="s">
        <v>63</v>
      </c>
      <c r="BD4" s="3" t="s">
        <v>64</v>
      </c>
      <c r="BE4" s="3" t="s">
        <v>53</v>
      </c>
      <c r="BF4" s="3" t="s">
        <v>54</v>
      </c>
      <c r="BG4" s="3" t="s">
        <v>55</v>
      </c>
      <c r="BH4" s="3" t="s">
        <v>56</v>
      </c>
      <c r="BI4" s="3" t="s">
        <v>57</v>
      </c>
      <c r="BJ4" s="3" t="s">
        <v>58</v>
      </c>
      <c r="BK4" s="3" t="s">
        <v>59</v>
      </c>
      <c r="BL4" s="3" t="s">
        <v>60</v>
      </c>
      <c r="BM4" s="3" t="s">
        <v>61</v>
      </c>
      <c r="BN4" s="3" t="s">
        <v>62</v>
      </c>
      <c r="BO4" s="3" t="s">
        <v>63</v>
      </c>
      <c r="BP4" s="3" t="s">
        <v>64</v>
      </c>
      <c r="BQ4" s="3" t="s">
        <v>53</v>
      </c>
      <c r="BR4" s="3" t="s">
        <v>54</v>
      </c>
      <c r="BS4" s="3" t="s">
        <v>55</v>
      </c>
      <c r="BT4" s="3" t="s">
        <v>56</v>
      </c>
      <c r="BU4" s="3" t="s">
        <v>57</v>
      </c>
      <c r="BV4" s="3" t="s">
        <v>58</v>
      </c>
      <c r="BW4" s="3" t="s">
        <v>59</v>
      </c>
      <c r="BX4" s="3" t="s">
        <v>60</v>
      </c>
      <c r="BY4" s="3" t="s">
        <v>61</v>
      </c>
      <c r="BZ4" s="3" t="s">
        <v>62</v>
      </c>
      <c r="CA4" s="3" t="s">
        <v>63</v>
      </c>
      <c r="CB4" s="3" t="s">
        <v>64</v>
      </c>
    </row>
    <row r="5" spans="2:80" x14ac:dyDescent="0.35">
      <c r="B5" s="4" t="str">
        <f>Vaciado!B10</f>
        <v>A</v>
      </c>
      <c r="C5" s="4">
        <f>Vaciado!C10</f>
        <v>1</v>
      </c>
      <c r="D5" s="4">
        <f>Vaciado!D10</f>
        <v>25</v>
      </c>
      <c r="E5" s="4">
        <f>Vaciado!T18</f>
        <v>30</v>
      </c>
      <c r="G5" s="3" t="str">
        <f>B5</f>
        <v>A</v>
      </c>
      <c r="H5" s="3">
        <f>Vaciado!H10</f>
        <v>1</v>
      </c>
      <c r="I5" s="3">
        <f>Vaciado!I10</f>
        <v>0</v>
      </c>
      <c r="J5" s="3">
        <f>Vaciado!J10</f>
        <v>1</v>
      </c>
      <c r="K5" s="3">
        <f>Vaciado!K10</f>
        <v>3</v>
      </c>
      <c r="L5" s="3">
        <f>Vaciado!L10</f>
        <v>8</v>
      </c>
      <c r="M5" s="3">
        <f>Vaciado!M10</f>
        <v>8</v>
      </c>
      <c r="N5" s="3">
        <f>Vaciado!N10</f>
        <v>12</v>
      </c>
      <c r="O5" s="3">
        <f>Vaciado!O10</f>
        <v>16</v>
      </c>
      <c r="P5" s="3">
        <f>Vaciado!P10</f>
        <v>16</v>
      </c>
      <c r="Q5" s="3">
        <f>Vaciado!Q10</f>
        <v>20</v>
      </c>
      <c r="R5" s="3">
        <f>Vaciado!R10</f>
        <v>20</v>
      </c>
      <c r="S5" s="3">
        <f>Vaciado!S10</f>
        <v>20</v>
      </c>
      <c r="T5" s="3">
        <f>INT(S5*(1+Vaciado!$H$26)^P.Comercial!T2)</f>
        <v>20</v>
      </c>
      <c r="U5" s="3">
        <f>INT(T5*(1+Vaciado!$H$26)^P.Comercial!U2)</f>
        <v>20</v>
      </c>
      <c r="V5" s="3">
        <f>INT(U5*(1+Vaciado!$H$26)^P.Comercial!V2)</f>
        <v>20</v>
      </c>
      <c r="W5" s="3">
        <f>INT(V5*(1+Vaciado!$H$26)^P.Comercial!W2)</f>
        <v>20</v>
      </c>
      <c r="X5" s="3">
        <f>INT(W5*(1+Vaciado!$H$26)^P.Comercial!X2)</f>
        <v>21</v>
      </c>
      <c r="Y5" s="3">
        <f>INT(X5*(1+Vaciado!$H$26)^P.Comercial!Y2)</f>
        <v>22</v>
      </c>
      <c r="Z5" s="3">
        <f>INT(Y5*(1+Vaciado!$H$26)^P.Comercial!Z2)</f>
        <v>23</v>
      </c>
      <c r="AA5" s="3">
        <f>INT(Z5*(1+Vaciado!$H$26)^P.Comercial!AA2)</f>
        <v>24</v>
      </c>
      <c r="AB5" s="3">
        <f>INT(AA5*(1+Vaciado!$H$26)^P.Comercial!AB2)</f>
        <v>26</v>
      </c>
      <c r="AC5" s="3">
        <f>INT(AB5*(1+Vaciado!$H$26)^P.Comercial!AC2)</f>
        <v>28</v>
      </c>
      <c r="AD5" s="3">
        <f>INT(AC5*(1+Vaciado!$H$26)^P.Comercial!AD2)</f>
        <v>31</v>
      </c>
      <c r="AE5" s="3">
        <f>INT(AD5*(1+Vaciado!$H$26)^P.Comercial!AE2)</f>
        <v>34</v>
      </c>
      <c r="AF5" s="3">
        <f>INT(AE5*(1+Vaciado!$I$26)^P.Comercial!AF2)</f>
        <v>34</v>
      </c>
      <c r="AG5" s="3">
        <f>INT(AF5*(1+Vaciado!$I$26)^P.Comercial!AG2)</f>
        <v>34</v>
      </c>
      <c r="AH5" s="3">
        <f>INT(AG5*(1+Vaciado!$I$26)^P.Comercial!AH2)</f>
        <v>35</v>
      </c>
      <c r="AI5" s="3">
        <f>INT(AH5*(1+Vaciado!$I$26)^P.Comercial!AI2)</f>
        <v>36</v>
      </c>
      <c r="AJ5" s="3">
        <f>INT(AI5*(1+Vaciado!$I$26)^P.Comercial!AJ2)</f>
        <v>37</v>
      </c>
      <c r="AK5" s="3">
        <f>INT(AJ5*(1+Vaciado!$I$26)^P.Comercial!AK2)</f>
        <v>39</v>
      </c>
      <c r="AL5" s="3">
        <f>INT(AK5*(1+Vaciado!$I$26)^P.Comercial!AL2)</f>
        <v>41</v>
      </c>
      <c r="AM5" s="3">
        <f>INT(AL5*(1+Vaciado!$I$26)^P.Comercial!AM2)</f>
        <v>44</v>
      </c>
      <c r="AN5" s="3">
        <f>INT(AM5*(1+Vaciado!$I$26)^P.Comercial!AN2)</f>
        <v>48</v>
      </c>
      <c r="AO5" s="3">
        <f>INT(AN5*(1+Vaciado!$I$26)^P.Comercial!AO2)</f>
        <v>53</v>
      </c>
      <c r="AP5" s="3">
        <f>INT(AO5*(1+Vaciado!$I$26)^P.Comercial!AP2)</f>
        <v>59</v>
      </c>
      <c r="AQ5" s="3">
        <f>INT(AP5*(1+Vaciado!$I$26)^P.Comercial!AQ2)</f>
        <v>66</v>
      </c>
      <c r="AR5" s="3"/>
      <c r="AS5" s="8">
        <f>IF(H10=0,0,H5/H10)</f>
        <v>1</v>
      </c>
      <c r="AT5" s="8">
        <f t="shared" ref="AT5:CB5" si="0">IF(I10=0,0,I5/I10)</f>
        <v>0</v>
      </c>
      <c r="AU5" s="8">
        <f t="shared" si="0"/>
        <v>0.5</v>
      </c>
      <c r="AV5" s="8">
        <f t="shared" si="0"/>
        <v>0.42857142857142855</v>
      </c>
      <c r="AW5" s="8">
        <f t="shared" si="0"/>
        <v>0.42105263157894735</v>
      </c>
      <c r="AX5" s="8">
        <f t="shared" si="0"/>
        <v>0.42105263157894735</v>
      </c>
      <c r="AY5" s="8">
        <f t="shared" si="0"/>
        <v>0.4</v>
      </c>
      <c r="AZ5" s="8">
        <f t="shared" si="0"/>
        <v>0.47058823529411764</v>
      </c>
      <c r="BA5" s="8">
        <f t="shared" si="0"/>
        <v>0.47058823529411764</v>
      </c>
      <c r="BB5" s="8">
        <f t="shared" si="0"/>
        <v>0.52631578947368418</v>
      </c>
      <c r="BC5" s="8">
        <f t="shared" si="0"/>
        <v>0.52631578947368418</v>
      </c>
      <c r="BD5" s="8">
        <f t="shared" si="0"/>
        <v>0.52631578947368418</v>
      </c>
      <c r="BE5" s="8">
        <f t="shared" si="0"/>
        <v>0.52631578947368418</v>
      </c>
      <c r="BF5" s="8">
        <f t="shared" si="0"/>
        <v>0.52631578947368418</v>
      </c>
      <c r="BG5" s="8">
        <f t="shared" si="0"/>
        <v>0.52631578947368418</v>
      </c>
      <c r="BH5" s="8">
        <f t="shared" si="0"/>
        <v>0.52631578947368418</v>
      </c>
      <c r="BI5" s="8">
        <f t="shared" si="0"/>
        <v>0.53846153846153844</v>
      </c>
      <c r="BJ5" s="8">
        <f t="shared" si="0"/>
        <v>0.55000000000000004</v>
      </c>
      <c r="BK5" s="8">
        <f t="shared" si="0"/>
        <v>0.56097560975609762</v>
      </c>
      <c r="BL5" s="8">
        <f t="shared" si="0"/>
        <v>0.5714285714285714</v>
      </c>
      <c r="BM5" s="8">
        <f t="shared" si="0"/>
        <v>0.57777777777777772</v>
      </c>
      <c r="BN5" s="8">
        <f t="shared" si="0"/>
        <v>0.58333333333333337</v>
      </c>
      <c r="BO5" s="8">
        <f t="shared" si="0"/>
        <v>0.59615384615384615</v>
      </c>
      <c r="BP5" s="8">
        <f t="shared" si="0"/>
        <v>0.6071428571428571</v>
      </c>
      <c r="BQ5" s="8">
        <f t="shared" si="0"/>
        <v>0.6071428571428571</v>
      </c>
      <c r="BR5" s="8">
        <f t="shared" si="0"/>
        <v>0.6071428571428571</v>
      </c>
      <c r="BS5" s="8">
        <f t="shared" si="0"/>
        <v>0.61403508771929827</v>
      </c>
      <c r="BT5" s="8">
        <f t="shared" si="0"/>
        <v>0.62068965517241381</v>
      </c>
      <c r="BU5" s="8">
        <f t="shared" si="0"/>
        <v>0.6271186440677966</v>
      </c>
      <c r="BV5" s="8">
        <f t="shared" si="0"/>
        <v>0.63934426229508201</v>
      </c>
      <c r="BW5" s="8">
        <f t="shared" si="0"/>
        <v>0.640625</v>
      </c>
      <c r="BX5" s="8">
        <f t="shared" si="0"/>
        <v>0.6470588235294118</v>
      </c>
      <c r="BY5" s="8">
        <f t="shared" si="0"/>
        <v>0.65753424657534243</v>
      </c>
      <c r="BZ5" s="8">
        <f t="shared" si="0"/>
        <v>0.67088607594936711</v>
      </c>
      <c r="CA5" s="8">
        <f t="shared" si="0"/>
        <v>0.67816091954022983</v>
      </c>
      <c r="CB5" s="8">
        <f t="shared" si="0"/>
        <v>0.6875</v>
      </c>
    </row>
    <row r="6" spans="2:80" x14ac:dyDescent="0.35">
      <c r="B6" s="4" t="str">
        <f>Vaciado!B11</f>
        <v>B</v>
      </c>
      <c r="C6" s="4">
        <f>Vaciado!C11</f>
        <v>1</v>
      </c>
      <c r="D6" s="4">
        <f>Vaciado!D11</f>
        <v>500</v>
      </c>
      <c r="E6" s="4">
        <f>Vaciado!T19</f>
        <v>100</v>
      </c>
      <c r="G6" s="3" t="str">
        <f>B6</f>
        <v>B</v>
      </c>
      <c r="H6" s="3">
        <f>Vaciado!H11</f>
        <v>0</v>
      </c>
      <c r="I6" s="3">
        <f>Vaciado!I11</f>
        <v>0</v>
      </c>
      <c r="J6" s="3">
        <f>Vaciado!J11</f>
        <v>1</v>
      </c>
      <c r="K6" s="3">
        <f>Vaciado!K11</f>
        <v>2</v>
      </c>
      <c r="L6" s="3">
        <f>Vaciado!L11</f>
        <v>8</v>
      </c>
      <c r="M6" s="3">
        <f>Vaciado!M11</f>
        <v>8</v>
      </c>
      <c r="N6" s="3">
        <f>Vaciado!N11</f>
        <v>12</v>
      </c>
      <c r="O6" s="3">
        <f>Vaciado!O11</f>
        <v>12</v>
      </c>
      <c r="P6" s="3">
        <f>Vaciado!P11</f>
        <v>12</v>
      </c>
      <c r="Q6" s="3">
        <f>Vaciado!Q11</f>
        <v>12</v>
      </c>
      <c r="R6" s="3">
        <f>Vaciado!R11</f>
        <v>12</v>
      </c>
      <c r="S6" s="3">
        <f>Vaciado!S11</f>
        <v>12</v>
      </c>
      <c r="T6" s="3">
        <f>INT(S6*(1+Vaciado!$H$27)^P.Comercial!T2)</f>
        <v>12</v>
      </c>
      <c r="U6" s="3">
        <f>INT(T6*(1+Vaciado!$H$27)^P.Comercial!U2)</f>
        <v>12</v>
      </c>
      <c r="V6" s="3">
        <f>INT(U6*(1+Vaciado!$H$27)^P.Comercial!V2)</f>
        <v>12</v>
      </c>
      <c r="W6" s="3">
        <f>INT(V6*(1+Vaciado!$H$27)^P.Comercial!W2)</f>
        <v>12</v>
      </c>
      <c r="X6" s="3">
        <f>INT(W6*(1+Vaciado!$H$27)^P.Comercial!X2)</f>
        <v>12</v>
      </c>
      <c r="Y6" s="3">
        <f>INT(X6*(1+Vaciado!$H$27)^P.Comercial!Y2)</f>
        <v>12</v>
      </c>
      <c r="Z6" s="3">
        <f>INT(Y6*(1+Vaciado!$H$27)^P.Comercial!Z2)</f>
        <v>12</v>
      </c>
      <c r="AA6" s="3">
        <f>INT(Z6*(1+Vaciado!$H$27)^P.Comercial!AA2)</f>
        <v>12</v>
      </c>
      <c r="AB6" s="3">
        <f>INT(AA6*(1+Vaciado!$H$27)^P.Comercial!AB2)</f>
        <v>13</v>
      </c>
      <c r="AC6" s="3">
        <f>INT(AB6*(1+Vaciado!$H$27)^P.Comercial!AC2)</f>
        <v>14</v>
      </c>
      <c r="AD6" s="3">
        <f>INT(AC6*(1+Vaciado!$H$27)^P.Comercial!AD2)</f>
        <v>15</v>
      </c>
      <c r="AE6" s="3">
        <f>INT(AD6*(1+Vaciado!$H$27)^P.Comercial!AE2)</f>
        <v>16</v>
      </c>
      <c r="AF6" s="3">
        <f>INT(AE6*(1+Vaciado!$I$27)^P.Comercial!AF2)</f>
        <v>16</v>
      </c>
      <c r="AG6" s="3">
        <f>INT(AF6*(1+Vaciado!$I$27)^P.Comercial!AG2)</f>
        <v>16</v>
      </c>
      <c r="AH6" s="3">
        <f>INT(AG6*(1+Vaciado!$I$27)^P.Comercial!AH2)</f>
        <v>16</v>
      </c>
      <c r="AI6" s="3">
        <f>INT(AH6*(1+Vaciado!$I$27)^P.Comercial!AI2)</f>
        <v>16</v>
      </c>
      <c r="AJ6" s="3">
        <f>INT(AI6*(1+Vaciado!$I$27)^P.Comercial!AJ2)</f>
        <v>16</v>
      </c>
      <c r="AK6" s="3">
        <f>INT(AJ6*(1+Vaciado!$I$27)^P.Comercial!AK2)</f>
        <v>16</v>
      </c>
      <c r="AL6" s="3">
        <f>INT(AK6*(1+Vaciado!$I$27)^P.Comercial!AL2)</f>
        <v>17</v>
      </c>
      <c r="AM6" s="3">
        <f>INT(AL6*(1+Vaciado!$I$27)^P.Comercial!AM2)</f>
        <v>18</v>
      </c>
      <c r="AN6" s="3">
        <f>INT(AM6*(1+Vaciado!$I$27)^P.Comercial!AN2)</f>
        <v>19</v>
      </c>
      <c r="AO6" s="3">
        <f>INT(AN6*(1+Vaciado!$I$27)^P.Comercial!AO2)</f>
        <v>20</v>
      </c>
      <c r="AP6" s="3">
        <f>INT(AO6*(1+Vaciado!$I$27)^P.Comercial!AP2)</f>
        <v>22</v>
      </c>
      <c r="AQ6" s="3">
        <f>INT(AP6*(1+Vaciado!$I$27)^P.Comercial!AQ2)</f>
        <v>24</v>
      </c>
      <c r="AR6" s="3"/>
      <c r="AS6" s="8">
        <f>IF(H10=0,0,H6/H10)</f>
        <v>0</v>
      </c>
      <c r="AT6" s="8">
        <f t="shared" ref="AT6:CB6" si="1">IF(I10=0,0,I6/I10)</f>
        <v>0</v>
      </c>
      <c r="AU6" s="8">
        <f t="shared" si="1"/>
        <v>0.5</v>
      </c>
      <c r="AV6" s="8">
        <f t="shared" si="1"/>
        <v>0.2857142857142857</v>
      </c>
      <c r="AW6" s="8">
        <f t="shared" si="1"/>
        <v>0.42105263157894735</v>
      </c>
      <c r="AX6" s="8">
        <f t="shared" si="1"/>
        <v>0.42105263157894735</v>
      </c>
      <c r="AY6" s="8">
        <f t="shared" si="1"/>
        <v>0.4</v>
      </c>
      <c r="AZ6" s="8">
        <f t="shared" si="1"/>
        <v>0.35294117647058826</v>
      </c>
      <c r="BA6" s="8">
        <f t="shared" si="1"/>
        <v>0.35294117647058826</v>
      </c>
      <c r="BB6" s="8">
        <f t="shared" si="1"/>
        <v>0.31578947368421051</v>
      </c>
      <c r="BC6" s="8">
        <f t="shared" si="1"/>
        <v>0.31578947368421051</v>
      </c>
      <c r="BD6" s="8">
        <f t="shared" si="1"/>
        <v>0.31578947368421051</v>
      </c>
      <c r="BE6" s="8">
        <f t="shared" si="1"/>
        <v>0.31578947368421051</v>
      </c>
      <c r="BF6" s="8">
        <f t="shared" si="1"/>
        <v>0.31578947368421051</v>
      </c>
      <c r="BG6" s="8">
        <f t="shared" si="1"/>
        <v>0.31578947368421051</v>
      </c>
      <c r="BH6" s="8">
        <f t="shared" si="1"/>
        <v>0.31578947368421051</v>
      </c>
      <c r="BI6" s="8">
        <f t="shared" si="1"/>
        <v>0.30769230769230771</v>
      </c>
      <c r="BJ6" s="8">
        <f t="shared" si="1"/>
        <v>0.3</v>
      </c>
      <c r="BK6" s="8">
        <f t="shared" si="1"/>
        <v>0.29268292682926828</v>
      </c>
      <c r="BL6" s="8">
        <f t="shared" si="1"/>
        <v>0.2857142857142857</v>
      </c>
      <c r="BM6" s="8">
        <f t="shared" si="1"/>
        <v>0.28888888888888886</v>
      </c>
      <c r="BN6" s="8">
        <f t="shared" si="1"/>
        <v>0.29166666666666669</v>
      </c>
      <c r="BO6" s="8">
        <f t="shared" si="1"/>
        <v>0.28846153846153844</v>
      </c>
      <c r="BP6" s="8">
        <f t="shared" si="1"/>
        <v>0.2857142857142857</v>
      </c>
      <c r="BQ6" s="8">
        <f t="shared" si="1"/>
        <v>0.2857142857142857</v>
      </c>
      <c r="BR6" s="8">
        <f t="shared" si="1"/>
        <v>0.2857142857142857</v>
      </c>
      <c r="BS6" s="8">
        <f t="shared" si="1"/>
        <v>0.2807017543859649</v>
      </c>
      <c r="BT6" s="8">
        <f t="shared" si="1"/>
        <v>0.27586206896551724</v>
      </c>
      <c r="BU6" s="8">
        <f t="shared" si="1"/>
        <v>0.2711864406779661</v>
      </c>
      <c r="BV6" s="8">
        <f t="shared" si="1"/>
        <v>0.26229508196721313</v>
      </c>
      <c r="BW6" s="8">
        <f t="shared" si="1"/>
        <v>0.265625</v>
      </c>
      <c r="BX6" s="8">
        <f t="shared" si="1"/>
        <v>0.26470588235294118</v>
      </c>
      <c r="BY6" s="8">
        <f t="shared" si="1"/>
        <v>0.26027397260273971</v>
      </c>
      <c r="BZ6" s="8">
        <f t="shared" si="1"/>
        <v>0.25316455696202533</v>
      </c>
      <c r="CA6" s="8">
        <f t="shared" si="1"/>
        <v>0.25287356321839083</v>
      </c>
      <c r="CB6" s="8">
        <f t="shared" si="1"/>
        <v>0.25</v>
      </c>
    </row>
    <row r="7" spans="2:80" x14ac:dyDescent="0.35">
      <c r="B7" s="4" t="str">
        <f>Vaciado!B12</f>
        <v>C</v>
      </c>
      <c r="C7" s="4">
        <f>Vaciado!C12</f>
        <v>501</v>
      </c>
      <c r="D7" s="4">
        <f>Vaciado!D12</f>
        <v>1000</v>
      </c>
      <c r="E7" s="4">
        <f>Vaciado!T20</f>
        <v>350</v>
      </c>
      <c r="G7" s="3" t="str">
        <f>B7</f>
        <v>C</v>
      </c>
      <c r="H7" s="3">
        <f>Vaciado!H12</f>
        <v>0</v>
      </c>
      <c r="I7" s="3">
        <f>Vaciado!I12</f>
        <v>0</v>
      </c>
      <c r="J7" s="3">
        <f>Vaciado!J12</f>
        <v>0</v>
      </c>
      <c r="K7" s="3">
        <f>Vaciado!K12</f>
        <v>1</v>
      </c>
      <c r="L7" s="3">
        <f>Vaciado!L12</f>
        <v>2</v>
      </c>
      <c r="M7" s="3">
        <f>Vaciado!M12</f>
        <v>2</v>
      </c>
      <c r="N7" s="3">
        <f>Vaciado!N12</f>
        <v>4</v>
      </c>
      <c r="O7" s="3">
        <f>Vaciado!O12</f>
        <v>4</v>
      </c>
      <c r="P7" s="3">
        <f>Vaciado!P12</f>
        <v>4</v>
      </c>
      <c r="Q7" s="3">
        <f>Vaciado!Q12</f>
        <v>4</v>
      </c>
      <c r="R7" s="3">
        <f>Vaciado!R12</f>
        <v>4</v>
      </c>
      <c r="S7" s="3">
        <f>Vaciado!S12</f>
        <v>4</v>
      </c>
      <c r="T7" s="3">
        <f>INT(S7*(1+Vaciado!$H$28)^P.Comercial!T2)</f>
        <v>4</v>
      </c>
      <c r="U7" s="3">
        <f>INT(T7*(1+Vaciado!$H$28)^P.Comercial!U2)</f>
        <v>4</v>
      </c>
      <c r="V7" s="3">
        <f>INT(U7*(1+Vaciado!$H$28)^P.Comercial!V2)</f>
        <v>4</v>
      </c>
      <c r="W7" s="3">
        <f>INT(V7*(1+Vaciado!$H$28)^P.Comercial!W2)</f>
        <v>4</v>
      </c>
      <c r="X7" s="3">
        <f>INT(W7*(1+Vaciado!$H$28)^P.Comercial!X2)</f>
        <v>4</v>
      </c>
      <c r="Y7" s="3">
        <f>INT(X7*(1+Vaciado!$H$28)^P.Comercial!Y2)</f>
        <v>4</v>
      </c>
      <c r="Z7" s="3">
        <f>INT(Y7*(1+Vaciado!$H$28)^P.Comercial!Z2)</f>
        <v>4</v>
      </c>
      <c r="AA7" s="3">
        <f>INT(Z7*(1+Vaciado!$H$28)^P.Comercial!AA2)</f>
        <v>4</v>
      </c>
      <c r="AB7" s="3">
        <f>INT(AA7*(1+Vaciado!$H$28)^P.Comercial!AB2)</f>
        <v>4</v>
      </c>
      <c r="AC7" s="3">
        <f>INT(AB7*(1+Vaciado!$H$28)^P.Comercial!AC2)</f>
        <v>4</v>
      </c>
      <c r="AD7" s="3">
        <f>INT(AC7*(1+Vaciado!$H$28)^P.Comercial!AD2)</f>
        <v>4</v>
      </c>
      <c r="AE7" s="3">
        <f>INT(AD7*(1+Vaciado!$H$28)^P.Comercial!AE2)</f>
        <v>4</v>
      </c>
      <c r="AF7" s="3">
        <f>INT(AE7*(1+Vaciado!$I$28)^P.Comercial!AF2)</f>
        <v>4</v>
      </c>
      <c r="AG7" s="3">
        <f>INT(AF7*(1+Vaciado!$I$28)^P.Comercial!AG2)</f>
        <v>4</v>
      </c>
      <c r="AH7" s="3">
        <f>INT(AG7*(1+Vaciado!$I$28)^P.Comercial!AH2)</f>
        <v>4</v>
      </c>
      <c r="AI7" s="3">
        <f>INT(AH7*(1+Vaciado!$I$28)^P.Comercial!AI2)</f>
        <v>4</v>
      </c>
      <c r="AJ7" s="3">
        <f>INT(AI7*(1+Vaciado!$I$28)^P.Comercial!AJ2)</f>
        <v>4</v>
      </c>
      <c r="AK7" s="3">
        <f>INT(AJ7*(1+Vaciado!$I$28)^P.Comercial!AK2)</f>
        <v>4</v>
      </c>
      <c r="AL7" s="3">
        <f>INT(AK7*(1+Vaciado!$I$28)^P.Comercial!AL2)</f>
        <v>4</v>
      </c>
      <c r="AM7" s="3">
        <f>INT(AL7*(1+Vaciado!$I$28)^P.Comercial!AM2)</f>
        <v>4</v>
      </c>
      <c r="AN7" s="3">
        <f>INT(AM7*(1+Vaciado!$I$28)^P.Comercial!AN2)</f>
        <v>4</v>
      </c>
      <c r="AO7" s="3">
        <f>INT(AN7*(1+Vaciado!$I$28)^P.Comercial!AO2)</f>
        <v>4</v>
      </c>
      <c r="AP7" s="3">
        <f>INT(AO7*(1+Vaciado!$I$28)^P.Comercial!AP2)</f>
        <v>4</v>
      </c>
      <c r="AQ7" s="3">
        <f>INT(AP7*(1+Vaciado!$I$28)^P.Comercial!AQ2)</f>
        <v>4</v>
      </c>
      <c r="AR7" s="3"/>
      <c r="AS7" s="8">
        <f>IF(H10=0,0,H7/H10)</f>
        <v>0</v>
      </c>
      <c r="AT7" s="8">
        <f t="shared" ref="AT7:CB7" si="2">IF(I10=0,0,I7/I10)</f>
        <v>0</v>
      </c>
      <c r="AU7" s="8">
        <f t="shared" si="2"/>
        <v>0</v>
      </c>
      <c r="AV7" s="8">
        <f t="shared" si="2"/>
        <v>0.14285714285714285</v>
      </c>
      <c r="AW7" s="8">
        <f t="shared" si="2"/>
        <v>0.10526315789473684</v>
      </c>
      <c r="AX7" s="8">
        <f t="shared" si="2"/>
        <v>0.10526315789473684</v>
      </c>
      <c r="AY7" s="8">
        <f t="shared" si="2"/>
        <v>0.13333333333333333</v>
      </c>
      <c r="AZ7" s="8">
        <f t="shared" si="2"/>
        <v>0.11764705882352941</v>
      </c>
      <c r="BA7" s="8">
        <f t="shared" si="2"/>
        <v>0.11764705882352941</v>
      </c>
      <c r="BB7" s="8">
        <f t="shared" si="2"/>
        <v>0.10526315789473684</v>
      </c>
      <c r="BC7" s="8">
        <f t="shared" si="2"/>
        <v>0.10526315789473684</v>
      </c>
      <c r="BD7" s="8">
        <f t="shared" si="2"/>
        <v>0.10526315789473684</v>
      </c>
      <c r="BE7" s="8">
        <f t="shared" si="2"/>
        <v>0.10526315789473684</v>
      </c>
      <c r="BF7" s="8">
        <f t="shared" si="2"/>
        <v>0.10526315789473684</v>
      </c>
      <c r="BG7" s="8">
        <f t="shared" si="2"/>
        <v>0.10526315789473684</v>
      </c>
      <c r="BH7" s="8">
        <f t="shared" si="2"/>
        <v>0.10526315789473684</v>
      </c>
      <c r="BI7" s="8">
        <f t="shared" si="2"/>
        <v>0.10256410256410256</v>
      </c>
      <c r="BJ7" s="8">
        <f t="shared" si="2"/>
        <v>0.1</v>
      </c>
      <c r="BK7" s="8">
        <f t="shared" si="2"/>
        <v>9.7560975609756101E-2</v>
      </c>
      <c r="BL7" s="8">
        <f t="shared" si="2"/>
        <v>9.5238095238095233E-2</v>
      </c>
      <c r="BM7" s="8">
        <f t="shared" si="2"/>
        <v>8.8888888888888892E-2</v>
      </c>
      <c r="BN7" s="8">
        <f t="shared" si="2"/>
        <v>8.3333333333333329E-2</v>
      </c>
      <c r="BO7" s="8">
        <f t="shared" si="2"/>
        <v>7.6923076923076927E-2</v>
      </c>
      <c r="BP7" s="8">
        <f t="shared" si="2"/>
        <v>7.1428571428571425E-2</v>
      </c>
      <c r="BQ7" s="8">
        <f t="shared" si="2"/>
        <v>7.1428571428571425E-2</v>
      </c>
      <c r="BR7" s="8">
        <f t="shared" si="2"/>
        <v>7.1428571428571425E-2</v>
      </c>
      <c r="BS7" s="8">
        <f t="shared" si="2"/>
        <v>7.0175438596491224E-2</v>
      </c>
      <c r="BT7" s="8">
        <f t="shared" si="2"/>
        <v>6.8965517241379309E-2</v>
      </c>
      <c r="BU7" s="8">
        <f t="shared" si="2"/>
        <v>6.7796610169491525E-2</v>
      </c>
      <c r="BV7" s="8">
        <f t="shared" si="2"/>
        <v>6.5573770491803282E-2</v>
      </c>
      <c r="BW7" s="8">
        <f t="shared" si="2"/>
        <v>6.25E-2</v>
      </c>
      <c r="BX7" s="8">
        <f t="shared" si="2"/>
        <v>5.8823529411764705E-2</v>
      </c>
      <c r="BY7" s="8">
        <f t="shared" si="2"/>
        <v>5.4794520547945202E-2</v>
      </c>
      <c r="BZ7" s="8">
        <f t="shared" si="2"/>
        <v>5.0632911392405063E-2</v>
      </c>
      <c r="CA7" s="8">
        <f t="shared" si="2"/>
        <v>4.5977011494252873E-2</v>
      </c>
      <c r="CB7" s="8">
        <f t="shared" si="2"/>
        <v>4.1666666666666664E-2</v>
      </c>
    </row>
    <row r="8" spans="2:80" x14ac:dyDescent="0.35">
      <c r="B8" s="4" t="str">
        <f>Vaciado!B13</f>
        <v>D</v>
      </c>
      <c r="C8" s="4">
        <f>Vaciado!C13</f>
        <v>1001</v>
      </c>
      <c r="D8" s="4" t="str">
        <f>Vaciado!D13</f>
        <v>+</v>
      </c>
      <c r="E8" s="4">
        <f>Vaciado!T21</f>
        <v>1000</v>
      </c>
      <c r="G8" s="3" t="str">
        <f>B8</f>
        <v>D</v>
      </c>
      <c r="H8" s="3">
        <f>Vaciado!H13</f>
        <v>0</v>
      </c>
      <c r="I8" s="3">
        <f>Vaciado!I13</f>
        <v>0</v>
      </c>
      <c r="J8" s="3">
        <f>Vaciado!J13</f>
        <v>0</v>
      </c>
      <c r="K8" s="3">
        <f>Vaciado!K13</f>
        <v>1</v>
      </c>
      <c r="L8" s="3">
        <f>Vaciado!L13</f>
        <v>1</v>
      </c>
      <c r="M8" s="3">
        <f>Vaciado!M13</f>
        <v>1</v>
      </c>
      <c r="N8" s="3">
        <f>Vaciado!N13</f>
        <v>2</v>
      </c>
      <c r="O8" s="3">
        <f>Vaciado!O13</f>
        <v>2</v>
      </c>
      <c r="P8" s="3">
        <f>Vaciado!P13</f>
        <v>2</v>
      </c>
      <c r="Q8" s="3">
        <f>Vaciado!Q13</f>
        <v>2</v>
      </c>
      <c r="R8" s="3">
        <f>Vaciado!R13</f>
        <v>2</v>
      </c>
      <c r="S8" s="3">
        <f>Vaciado!S13</f>
        <v>2</v>
      </c>
      <c r="T8" s="3">
        <f>INT(S8*(1+Vaciado!$H$29)^P.Comercial!T2)</f>
        <v>2</v>
      </c>
      <c r="U8" s="3">
        <f>INT(T8*(1+Vaciado!$H$29)^P.Comercial!U2)</f>
        <v>2</v>
      </c>
      <c r="V8" s="3">
        <f>INT(U8*(1+Vaciado!$H$29)^P.Comercial!V2)</f>
        <v>2</v>
      </c>
      <c r="W8" s="3">
        <f>INT(V8*(1+Vaciado!$H$29)^P.Comercial!W2)</f>
        <v>2</v>
      </c>
      <c r="X8" s="3">
        <f>INT(W8*(1+Vaciado!$H$29)^P.Comercial!X2)</f>
        <v>2</v>
      </c>
      <c r="Y8" s="3">
        <f>INT(X8*(1+Vaciado!$H$29)^P.Comercial!Y2)</f>
        <v>2</v>
      </c>
      <c r="Z8" s="3">
        <f>INT(Y8*(1+Vaciado!$H$29)^P.Comercial!Z2)</f>
        <v>2</v>
      </c>
      <c r="AA8" s="3">
        <f>INT(Z8*(1+Vaciado!$H$29)^P.Comercial!AA2)</f>
        <v>2</v>
      </c>
      <c r="AB8" s="3">
        <f>INT(AA8*(1+Vaciado!$H$29)^P.Comercial!AB2)</f>
        <v>2</v>
      </c>
      <c r="AC8" s="3">
        <f>INT(AB8*(1+Vaciado!$H$29)^P.Comercial!AC2)</f>
        <v>2</v>
      </c>
      <c r="AD8" s="3">
        <f>INT(AC8*(1+Vaciado!$H$29)^P.Comercial!AD2)</f>
        <v>2</v>
      </c>
      <c r="AE8" s="3">
        <f>INT(AD8*(1+Vaciado!$H$29)^P.Comercial!AE2)</f>
        <v>2</v>
      </c>
      <c r="AF8" s="3">
        <f>INT(AE8*(1+Vaciado!$I$29)^P.Comercial!AF2)</f>
        <v>2</v>
      </c>
      <c r="AG8" s="3">
        <f>INT(AF8*(1+Vaciado!$I$29)^P.Comercial!AG2)</f>
        <v>2</v>
      </c>
      <c r="AH8" s="3">
        <f>INT(AG8*(1+Vaciado!$I$29)^P.Comercial!AH2)</f>
        <v>2</v>
      </c>
      <c r="AI8" s="3">
        <f>INT(AH8*(1+Vaciado!$I$29)^P.Comercial!AI2)</f>
        <v>2</v>
      </c>
      <c r="AJ8" s="3">
        <f>INT(AI8*(1+Vaciado!$I$29)^P.Comercial!AJ2)</f>
        <v>2</v>
      </c>
      <c r="AK8" s="3">
        <f>INT(AJ8*(1+Vaciado!$I$29)^P.Comercial!AK2)</f>
        <v>2</v>
      </c>
      <c r="AL8" s="3">
        <f>INT(AK8*(1+Vaciado!$I$29)^P.Comercial!AL2)</f>
        <v>2</v>
      </c>
      <c r="AM8" s="3">
        <f>INT(AL8*(1+Vaciado!$I$29)^P.Comercial!AM2)</f>
        <v>2</v>
      </c>
      <c r="AN8" s="3">
        <f>INT(AM8*(1+Vaciado!$I$29)^P.Comercial!AN2)</f>
        <v>2</v>
      </c>
      <c r="AO8" s="3">
        <f>INT(AN8*(1+Vaciado!$I$29)^P.Comercial!AO2)</f>
        <v>2</v>
      </c>
      <c r="AP8" s="3">
        <f>INT(AO8*(1+Vaciado!$I$29)^P.Comercial!AP2)</f>
        <v>2</v>
      </c>
      <c r="AQ8" s="3">
        <f>INT(AP8*(1+Vaciado!$I$29)^P.Comercial!AQ2)</f>
        <v>2</v>
      </c>
      <c r="AR8" s="3"/>
      <c r="AS8" s="8">
        <f>IF(H10=0,0,H8/H10)</f>
        <v>0</v>
      </c>
      <c r="AT8" s="8">
        <f t="shared" ref="AT8:CB8" si="3">IF(I10=0,0,I8/I10)</f>
        <v>0</v>
      </c>
      <c r="AU8" s="8">
        <f t="shared" si="3"/>
        <v>0</v>
      </c>
      <c r="AV8" s="8">
        <f t="shared" si="3"/>
        <v>0.14285714285714285</v>
      </c>
      <c r="AW8" s="8">
        <f t="shared" si="3"/>
        <v>5.2631578947368418E-2</v>
      </c>
      <c r="AX8" s="8">
        <f t="shared" si="3"/>
        <v>5.2631578947368418E-2</v>
      </c>
      <c r="AY8" s="8">
        <f t="shared" si="3"/>
        <v>6.6666666666666666E-2</v>
      </c>
      <c r="AZ8" s="8">
        <f t="shared" si="3"/>
        <v>5.8823529411764705E-2</v>
      </c>
      <c r="BA8" s="8">
        <f t="shared" si="3"/>
        <v>5.8823529411764705E-2</v>
      </c>
      <c r="BB8" s="8">
        <f t="shared" si="3"/>
        <v>5.2631578947368418E-2</v>
      </c>
      <c r="BC8" s="8">
        <f t="shared" si="3"/>
        <v>5.2631578947368418E-2</v>
      </c>
      <c r="BD8" s="8">
        <f t="shared" si="3"/>
        <v>5.2631578947368418E-2</v>
      </c>
      <c r="BE8" s="8">
        <f t="shared" si="3"/>
        <v>5.2631578947368418E-2</v>
      </c>
      <c r="BF8" s="8">
        <f t="shared" si="3"/>
        <v>5.2631578947368418E-2</v>
      </c>
      <c r="BG8" s="8">
        <f t="shared" si="3"/>
        <v>5.2631578947368418E-2</v>
      </c>
      <c r="BH8" s="8">
        <f t="shared" si="3"/>
        <v>5.2631578947368418E-2</v>
      </c>
      <c r="BI8" s="8">
        <f t="shared" si="3"/>
        <v>5.128205128205128E-2</v>
      </c>
      <c r="BJ8" s="8">
        <f t="shared" si="3"/>
        <v>0.05</v>
      </c>
      <c r="BK8" s="8">
        <f t="shared" si="3"/>
        <v>4.878048780487805E-2</v>
      </c>
      <c r="BL8" s="8">
        <f t="shared" si="3"/>
        <v>4.7619047619047616E-2</v>
      </c>
      <c r="BM8" s="8">
        <f t="shared" si="3"/>
        <v>4.4444444444444446E-2</v>
      </c>
      <c r="BN8" s="8">
        <f t="shared" si="3"/>
        <v>4.1666666666666664E-2</v>
      </c>
      <c r="BO8" s="8">
        <f t="shared" si="3"/>
        <v>3.8461538461538464E-2</v>
      </c>
      <c r="BP8" s="8">
        <f t="shared" si="3"/>
        <v>3.5714285714285712E-2</v>
      </c>
      <c r="BQ8" s="8">
        <f t="shared" si="3"/>
        <v>3.5714285714285712E-2</v>
      </c>
      <c r="BR8" s="8">
        <f t="shared" si="3"/>
        <v>3.5714285714285712E-2</v>
      </c>
      <c r="BS8" s="8">
        <f t="shared" si="3"/>
        <v>3.5087719298245612E-2</v>
      </c>
      <c r="BT8" s="8">
        <f t="shared" si="3"/>
        <v>3.4482758620689655E-2</v>
      </c>
      <c r="BU8" s="8">
        <f t="shared" si="3"/>
        <v>3.3898305084745763E-2</v>
      </c>
      <c r="BV8" s="8">
        <f t="shared" si="3"/>
        <v>3.2786885245901641E-2</v>
      </c>
      <c r="BW8" s="8">
        <f t="shared" si="3"/>
        <v>3.125E-2</v>
      </c>
      <c r="BX8" s="8">
        <f t="shared" si="3"/>
        <v>2.9411764705882353E-2</v>
      </c>
      <c r="BY8" s="8">
        <f t="shared" si="3"/>
        <v>2.7397260273972601E-2</v>
      </c>
      <c r="BZ8" s="8">
        <f t="shared" si="3"/>
        <v>2.5316455696202531E-2</v>
      </c>
      <c r="CA8" s="8">
        <f t="shared" si="3"/>
        <v>2.2988505747126436E-2</v>
      </c>
      <c r="CB8" s="8">
        <f t="shared" si="3"/>
        <v>2.0833333333333332E-2</v>
      </c>
    </row>
    <row r="9" spans="2:80" x14ac:dyDescent="0.35">
      <c r="B9" s="4" t="str">
        <f>Vaciado!B14</f>
        <v>E</v>
      </c>
      <c r="C9" s="4">
        <f>Vaciado!C14</f>
        <v>0</v>
      </c>
      <c r="D9" s="4">
        <f>Vaciado!D14</f>
        <v>0</v>
      </c>
      <c r="E9" s="4">
        <f>Vaciado!T22</f>
        <v>0</v>
      </c>
      <c r="G9" s="3" t="str">
        <f>B9</f>
        <v>E</v>
      </c>
      <c r="H9" s="3">
        <f>Vaciado!H14</f>
        <v>0</v>
      </c>
      <c r="I9" s="3">
        <f>Vaciado!I14</f>
        <v>0</v>
      </c>
      <c r="J9" s="3">
        <f>Vaciado!J14</f>
        <v>0</v>
      </c>
      <c r="K9" s="3">
        <f>Vaciado!K14</f>
        <v>0</v>
      </c>
      <c r="L9" s="3">
        <f>Vaciado!L14</f>
        <v>0</v>
      </c>
      <c r="M9" s="3">
        <f>Vaciado!M14</f>
        <v>0</v>
      </c>
      <c r="N9" s="3">
        <f>Vaciado!N14</f>
        <v>0</v>
      </c>
      <c r="O9" s="3">
        <f>Vaciado!O14</f>
        <v>0</v>
      </c>
      <c r="P9" s="3">
        <f>Vaciado!P14</f>
        <v>0</v>
      </c>
      <c r="Q9" s="3">
        <f>Vaciado!Q14</f>
        <v>0</v>
      </c>
      <c r="R9" s="3">
        <f>Vaciado!R14</f>
        <v>0</v>
      </c>
      <c r="S9" s="3">
        <f>Vaciado!S14</f>
        <v>0</v>
      </c>
      <c r="T9" s="3">
        <f>INT(S9*(1+Vaciado!$H$30)^P.Comercial!T2)</f>
        <v>0</v>
      </c>
      <c r="U9" s="3">
        <f>INT(T9*(1+Vaciado!$H$30)^P.Comercial!U2)</f>
        <v>0</v>
      </c>
      <c r="V9" s="3">
        <f>INT(U9*(1+Vaciado!$H$30)^P.Comercial!V2)</f>
        <v>0</v>
      </c>
      <c r="W9" s="3">
        <f>INT(V9*(1+Vaciado!$H$30)^P.Comercial!W2)</f>
        <v>0</v>
      </c>
      <c r="X9" s="3">
        <f>INT(W9*(1+Vaciado!$H$30)^P.Comercial!X2)</f>
        <v>0</v>
      </c>
      <c r="Y9" s="3">
        <f>INT(X9*(1+Vaciado!$H$30)^P.Comercial!Y2)</f>
        <v>0</v>
      </c>
      <c r="Z9" s="3">
        <f>INT(Y9*(1+Vaciado!$H$30)^P.Comercial!Z2)</f>
        <v>0</v>
      </c>
      <c r="AA9" s="3">
        <f>INT(Z9*(1+Vaciado!$H$30)^P.Comercial!AA2)</f>
        <v>0</v>
      </c>
      <c r="AB9" s="3">
        <f>INT(AA9*(1+Vaciado!$H$30)^P.Comercial!AB2)</f>
        <v>0</v>
      </c>
      <c r="AC9" s="3">
        <f>INT(AB9*(1+Vaciado!$H$30)^P.Comercial!AC2)</f>
        <v>0</v>
      </c>
      <c r="AD9" s="3">
        <f>INT(AC9*(1+Vaciado!$H$30)^P.Comercial!AD2)</f>
        <v>0</v>
      </c>
      <c r="AE9" s="3">
        <f>INT(AD9*(1+Vaciado!$H$30)^P.Comercial!AE2)</f>
        <v>0</v>
      </c>
      <c r="AF9" s="3">
        <f>INT(AE9*(1+Vaciado!$I$30)^P.Comercial!AF2)</f>
        <v>0</v>
      </c>
      <c r="AG9" s="3">
        <f>INT(AF9*(1+Vaciado!$I$30)^P.Comercial!AG2)</f>
        <v>0</v>
      </c>
      <c r="AH9" s="3">
        <f>INT(AG9*(1+Vaciado!$I$30)^P.Comercial!AH2)</f>
        <v>0</v>
      </c>
      <c r="AI9" s="3">
        <f>INT(AH9*(1+Vaciado!$I$30)^P.Comercial!AI2)</f>
        <v>0</v>
      </c>
      <c r="AJ9" s="3">
        <f>INT(AI9*(1+Vaciado!$I$30)^P.Comercial!AJ2)</f>
        <v>0</v>
      </c>
      <c r="AK9" s="3">
        <f>INT(AJ9*(1+Vaciado!$I$30)^P.Comercial!AK2)</f>
        <v>0</v>
      </c>
      <c r="AL9" s="3">
        <f>INT(AK9*(1+Vaciado!$I$30)^P.Comercial!AL2)</f>
        <v>0</v>
      </c>
      <c r="AM9" s="3">
        <f>INT(AL9*(1+Vaciado!$I$30)^P.Comercial!AM2)</f>
        <v>0</v>
      </c>
      <c r="AN9" s="3">
        <f>INT(AM9*(1+Vaciado!$I$30)^P.Comercial!AN2)</f>
        <v>0</v>
      </c>
      <c r="AO9" s="3">
        <f>INT(AN9*(1+Vaciado!$I$30)^P.Comercial!AO2)</f>
        <v>0</v>
      </c>
      <c r="AP9" s="3">
        <f>INT(AO9*(1+Vaciado!$I$30)^P.Comercial!AP2)</f>
        <v>0</v>
      </c>
      <c r="AQ9" s="3">
        <f>INT(AP9*(1+Vaciado!$I$30)^P.Comercial!AQ2)</f>
        <v>0</v>
      </c>
      <c r="AR9" s="3"/>
      <c r="AS9" s="8">
        <f>IF(H10=0,0,H9/H10)</f>
        <v>0</v>
      </c>
      <c r="AT9" s="8">
        <f t="shared" ref="AT9:CB9" si="4">IF(I10=0,0,I9/I10)</f>
        <v>0</v>
      </c>
      <c r="AU9" s="8">
        <f t="shared" si="4"/>
        <v>0</v>
      </c>
      <c r="AV9" s="8">
        <f t="shared" si="4"/>
        <v>0</v>
      </c>
      <c r="AW9" s="8">
        <f t="shared" si="4"/>
        <v>0</v>
      </c>
      <c r="AX9" s="8">
        <f t="shared" si="4"/>
        <v>0</v>
      </c>
      <c r="AY9" s="8">
        <f t="shared" si="4"/>
        <v>0</v>
      </c>
      <c r="AZ9" s="8">
        <f t="shared" si="4"/>
        <v>0</v>
      </c>
      <c r="BA9" s="8">
        <f t="shared" si="4"/>
        <v>0</v>
      </c>
      <c r="BB9" s="8">
        <f t="shared" si="4"/>
        <v>0</v>
      </c>
      <c r="BC9" s="8">
        <f t="shared" si="4"/>
        <v>0</v>
      </c>
      <c r="BD9" s="8">
        <f t="shared" si="4"/>
        <v>0</v>
      </c>
      <c r="BE9" s="8">
        <f t="shared" si="4"/>
        <v>0</v>
      </c>
      <c r="BF9" s="8">
        <f t="shared" si="4"/>
        <v>0</v>
      </c>
      <c r="BG9" s="8">
        <f t="shared" si="4"/>
        <v>0</v>
      </c>
      <c r="BH9" s="8">
        <f t="shared" si="4"/>
        <v>0</v>
      </c>
      <c r="BI9" s="8">
        <f t="shared" si="4"/>
        <v>0</v>
      </c>
      <c r="BJ9" s="8">
        <f t="shared" si="4"/>
        <v>0</v>
      </c>
      <c r="BK9" s="8">
        <f t="shared" si="4"/>
        <v>0</v>
      </c>
      <c r="BL9" s="8">
        <f t="shared" si="4"/>
        <v>0</v>
      </c>
      <c r="BM9" s="8">
        <f t="shared" si="4"/>
        <v>0</v>
      </c>
      <c r="BN9" s="8">
        <f t="shared" si="4"/>
        <v>0</v>
      </c>
      <c r="BO9" s="8">
        <f t="shared" si="4"/>
        <v>0</v>
      </c>
      <c r="BP9" s="8">
        <f t="shared" si="4"/>
        <v>0</v>
      </c>
      <c r="BQ9" s="8">
        <f t="shared" si="4"/>
        <v>0</v>
      </c>
      <c r="BR9" s="8">
        <f t="shared" si="4"/>
        <v>0</v>
      </c>
      <c r="BS9" s="8">
        <f t="shared" si="4"/>
        <v>0</v>
      </c>
      <c r="BT9" s="8">
        <f t="shared" si="4"/>
        <v>0</v>
      </c>
      <c r="BU9" s="8">
        <f t="shared" si="4"/>
        <v>0</v>
      </c>
      <c r="BV9" s="8">
        <f t="shared" si="4"/>
        <v>0</v>
      </c>
      <c r="BW9" s="8">
        <f t="shared" si="4"/>
        <v>0</v>
      </c>
      <c r="BX9" s="8">
        <f t="shared" si="4"/>
        <v>0</v>
      </c>
      <c r="BY9" s="8">
        <f t="shared" si="4"/>
        <v>0</v>
      </c>
      <c r="BZ9" s="8">
        <f t="shared" si="4"/>
        <v>0</v>
      </c>
      <c r="CA9" s="8">
        <f t="shared" si="4"/>
        <v>0</v>
      </c>
      <c r="CB9" s="8">
        <f t="shared" si="4"/>
        <v>0</v>
      </c>
    </row>
    <row r="10" spans="2:80" x14ac:dyDescent="0.35">
      <c r="B10" s="4"/>
      <c r="C10" s="3"/>
      <c r="D10" s="3"/>
      <c r="E10" s="4"/>
      <c r="G10" s="10" t="s">
        <v>99</v>
      </c>
      <c r="H10" s="3">
        <f>SUM(H5:H9)</f>
        <v>1</v>
      </c>
      <c r="I10" s="3">
        <f t="shared" ref="I10:AQ10" si="5">SUM(I5:I9)</f>
        <v>0</v>
      </c>
      <c r="J10" s="3">
        <f t="shared" si="5"/>
        <v>2</v>
      </c>
      <c r="K10" s="3">
        <f t="shared" si="5"/>
        <v>7</v>
      </c>
      <c r="L10" s="3">
        <f t="shared" si="5"/>
        <v>19</v>
      </c>
      <c r="M10" s="3">
        <f t="shared" si="5"/>
        <v>19</v>
      </c>
      <c r="N10" s="3">
        <f t="shared" si="5"/>
        <v>30</v>
      </c>
      <c r="O10" s="3">
        <f t="shared" si="5"/>
        <v>34</v>
      </c>
      <c r="P10" s="3">
        <f t="shared" si="5"/>
        <v>34</v>
      </c>
      <c r="Q10" s="3">
        <f t="shared" si="5"/>
        <v>38</v>
      </c>
      <c r="R10" s="3">
        <f t="shared" si="5"/>
        <v>38</v>
      </c>
      <c r="S10" s="3">
        <f t="shared" si="5"/>
        <v>38</v>
      </c>
      <c r="T10" s="3">
        <f t="shared" si="5"/>
        <v>38</v>
      </c>
      <c r="U10" s="3">
        <f t="shared" si="5"/>
        <v>38</v>
      </c>
      <c r="V10" s="3">
        <f t="shared" si="5"/>
        <v>38</v>
      </c>
      <c r="W10" s="3">
        <f t="shared" si="5"/>
        <v>38</v>
      </c>
      <c r="X10" s="3">
        <f t="shared" si="5"/>
        <v>39</v>
      </c>
      <c r="Y10" s="3">
        <f t="shared" si="5"/>
        <v>40</v>
      </c>
      <c r="Z10" s="3">
        <f t="shared" si="5"/>
        <v>41</v>
      </c>
      <c r="AA10" s="3">
        <f t="shared" si="5"/>
        <v>42</v>
      </c>
      <c r="AB10" s="3">
        <f t="shared" si="5"/>
        <v>45</v>
      </c>
      <c r="AC10" s="3">
        <f t="shared" si="5"/>
        <v>48</v>
      </c>
      <c r="AD10" s="3">
        <f t="shared" si="5"/>
        <v>52</v>
      </c>
      <c r="AE10" s="3">
        <f t="shared" si="5"/>
        <v>56</v>
      </c>
      <c r="AF10" s="3">
        <f t="shared" si="5"/>
        <v>56</v>
      </c>
      <c r="AG10" s="3">
        <f t="shared" si="5"/>
        <v>56</v>
      </c>
      <c r="AH10" s="3">
        <f t="shared" si="5"/>
        <v>57</v>
      </c>
      <c r="AI10" s="3">
        <f t="shared" si="5"/>
        <v>58</v>
      </c>
      <c r="AJ10" s="3">
        <f t="shared" si="5"/>
        <v>59</v>
      </c>
      <c r="AK10" s="3">
        <f t="shared" si="5"/>
        <v>61</v>
      </c>
      <c r="AL10" s="3">
        <f t="shared" si="5"/>
        <v>64</v>
      </c>
      <c r="AM10" s="3">
        <f t="shared" si="5"/>
        <v>68</v>
      </c>
      <c r="AN10" s="3">
        <f t="shared" si="5"/>
        <v>73</v>
      </c>
      <c r="AO10" s="3">
        <f t="shared" si="5"/>
        <v>79</v>
      </c>
      <c r="AP10" s="3">
        <f t="shared" si="5"/>
        <v>87</v>
      </c>
      <c r="AQ10" s="3">
        <f t="shared" si="5"/>
        <v>96</v>
      </c>
      <c r="AR10" s="3"/>
      <c r="AS10" s="8">
        <f>IF(H10=0,0,H10/H10)</f>
        <v>1</v>
      </c>
      <c r="AT10" s="8">
        <f t="shared" ref="AT10:CB10" si="6">IF(I10=0,0,I10/I10)</f>
        <v>0</v>
      </c>
      <c r="AU10" s="8">
        <f t="shared" si="6"/>
        <v>1</v>
      </c>
      <c r="AV10" s="8">
        <f t="shared" si="6"/>
        <v>1</v>
      </c>
      <c r="AW10" s="8">
        <f t="shared" si="6"/>
        <v>1</v>
      </c>
      <c r="AX10" s="8">
        <f t="shared" si="6"/>
        <v>1</v>
      </c>
      <c r="AY10" s="8">
        <f t="shared" si="6"/>
        <v>1</v>
      </c>
      <c r="AZ10" s="8">
        <f t="shared" si="6"/>
        <v>1</v>
      </c>
      <c r="BA10" s="8">
        <f t="shared" si="6"/>
        <v>1</v>
      </c>
      <c r="BB10" s="8">
        <f t="shared" si="6"/>
        <v>1</v>
      </c>
      <c r="BC10" s="8">
        <f t="shared" si="6"/>
        <v>1</v>
      </c>
      <c r="BD10" s="8">
        <f t="shared" si="6"/>
        <v>1</v>
      </c>
      <c r="BE10" s="8">
        <f t="shared" si="6"/>
        <v>1</v>
      </c>
      <c r="BF10" s="8">
        <f t="shared" si="6"/>
        <v>1</v>
      </c>
      <c r="BG10" s="8">
        <f t="shared" si="6"/>
        <v>1</v>
      </c>
      <c r="BH10" s="8">
        <f t="shared" si="6"/>
        <v>1</v>
      </c>
      <c r="BI10" s="8">
        <f t="shared" si="6"/>
        <v>1</v>
      </c>
      <c r="BJ10" s="8">
        <f t="shared" si="6"/>
        <v>1</v>
      </c>
      <c r="BK10" s="8">
        <f t="shared" si="6"/>
        <v>1</v>
      </c>
      <c r="BL10" s="8">
        <f t="shared" si="6"/>
        <v>1</v>
      </c>
      <c r="BM10" s="8">
        <f t="shared" si="6"/>
        <v>1</v>
      </c>
      <c r="BN10" s="8">
        <f t="shared" si="6"/>
        <v>1</v>
      </c>
      <c r="BO10" s="8">
        <f t="shared" si="6"/>
        <v>1</v>
      </c>
      <c r="BP10" s="8">
        <f t="shared" si="6"/>
        <v>1</v>
      </c>
      <c r="BQ10" s="8">
        <f t="shared" si="6"/>
        <v>1</v>
      </c>
      <c r="BR10" s="8">
        <f t="shared" si="6"/>
        <v>1</v>
      </c>
      <c r="BS10" s="8">
        <f t="shared" si="6"/>
        <v>1</v>
      </c>
      <c r="BT10" s="8">
        <f t="shared" si="6"/>
        <v>1</v>
      </c>
      <c r="BU10" s="8">
        <f t="shared" si="6"/>
        <v>1</v>
      </c>
      <c r="BV10" s="8">
        <f t="shared" si="6"/>
        <v>1</v>
      </c>
      <c r="BW10" s="8">
        <f t="shared" si="6"/>
        <v>1</v>
      </c>
      <c r="BX10" s="8">
        <f t="shared" si="6"/>
        <v>1</v>
      </c>
      <c r="BY10" s="8">
        <f t="shared" si="6"/>
        <v>1</v>
      </c>
      <c r="BZ10" s="8">
        <f t="shared" si="6"/>
        <v>1</v>
      </c>
      <c r="CA10" s="8">
        <f t="shared" si="6"/>
        <v>1</v>
      </c>
      <c r="CB10" s="8">
        <f t="shared" si="6"/>
        <v>1</v>
      </c>
    </row>
    <row r="12" spans="2:80" x14ac:dyDescent="0.35">
      <c r="G12" s="314" t="s">
        <v>77</v>
      </c>
      <c r="H12" s="321">
        <v>2024</v>
      </c>
      <c r="I12" s="321"/>
      <c r="J12" s="321"/>
      <c r="K12" s="321"/>
      <c r="L12" s="321"/>
      <c r="M12" s="321"/>
      <c r="N12" s="321"/>
      <c r="O12" s="321"/>
      <c r="P12" s="321"/>
      <c r="Q12" s="321"/>
      <c r="R12" s="321"/>
      <c r="S12" s="321"/>
      <c r="T12" s="321">
        <v>2025</v>
      </c>
      <c r="U12" s="321"/>
      <c r="V12" s="321"/>
      <c r="W12" s="321"/>
      <c r="X12" s="321"/>
      <c r="Y12" s="321"/>
      <c r="Z12" s="321"/>
      <c r="AA12" s="321"/>
      <c r="AB12" s="321"/>
      <c r="AC12" s="321"/>
      <c r="AD12" s="321"/>
      <c r="AE12" s="321"/>
      <c r="AF12" s="321">
        <v>2026</v>
      </c>
      <c r="AG12" s="321"/>
      <c r="AH12" s="321"/>
      <c r="AI12" s="321"/>
      <c r="AJ12" s="321"/>
      <c r="AK12" s="321"/>
      <c r="AL12" s="321"/>
      <c r="AM12" s="321"/>
      <c r="AN12" s="321"/>
      <c r="AO12" s="321"/>
      <c r="AP12" s="321"/>
      <c r="AQ12" s="321"/>
    </row>
    <row r="13" spans="2:80" x14ac:dyDescent="0.35">
      <c r="G13" s="314"/>
      <c r="H13" s="3" t="s">
        <v>53</v>
      </c>
      <c r="I13" s="3" t="s">
        <v>54</v>
      </c>
      <c r="J13" s="3" t="s">
        <v>55</v>
      </c>
      <c r="K13" s="3" t="s">
        <v>56</v>
      </c>
      <c r="L13" s="3" t="s">
        <v>57</v>
      </c>
      <c r="M13" s="3" t="s">
        <v>58</v>
      </c>
      <c r="N13" s="3" t="s">
        <v>59</v>
      </c>
      <c r="O13" s="3" t="s">
        <v>60</v>
      </c>
      <c r="P13" s="3" t="s">
        <v>61</v>
      </c>
      <c r="Q13" s="3" t="s">
        <v>62</v>
      </c>
      <c r="R13" s="3" t="s">
        <v>63</v>
      </c>
      <c r="S13" s="3" t="s">
        <v>64</v>
      </c>
      <c r="T13" s="3" t="s">
        <v>53</v>
      </c>
      <c r="U13" s="3" t="s">
        <v>54</v>
      </c>
      <c r="V13" s="3" t="s">
        <v>55</v>
      </c>
      <c r="W13" s="3" t="s">
        <v>56</v>
      </c>
      <c r="X13" s="3" t="s">
        <v>57</v>
      </c>
      <c r="Y13" s="3" t="s">
        <v>58</v>
      </c>
      <c r="Z13" s="3" t="s">
        <v>59</v>
      </c>
      <c r="AA13" s="3" t="s">
        <v>60</v>
      </c>
      <c r="AB13" s="3" t="s">
        <v>61</v>
      </c>
      <c r="AC13" s="3" t="s">
        <v>62</v>
      </c>
      <c r="AD13" s="3" t="s">
        <v>63</v>
      </c>
      <c r="AE13" s="3" t="s">
        <v>64</v>
      </c>
      <c r="AF13" s="3" t="s">
        <v>53</v>
      </c>
      <c r="AG13" s="3" t="s">
        <v>54</v>
      </c>
      <c r="AH13" s="3" t="s">
        <v>55</v>
      </c>
      <c r="AI13" s="3" t="s">
        <v>56</v>
      </c>
      <c r="AJ13" s="3" t="s">
        <v>57</v>
      </c>
      <c r="AK13" s="3" t="s">
        <v>58</v>
      </c>
      <c r="AL13" s="3" t="s">
        <v>59</v>
      </c>
      <c r="AM13" s="3" t="s">
        <v>60</v>
      </c>
      <c r="AN13" s="3" t="s">
        <v>61</v>
      </c>
      <c r="AO13" s="3" t="s">
        <v>62</v>
      </c>
      <c r="AP13" s="3" t="s">
        <v>63</v>
      </c>
      <c r="AQ13" s="3" t="s">
        <v>64</v>
      </c>
    </row>
    <row r="14" spans="2:80" x14ac:dyDescent="0.35">
      <c r="G14" t="s">
        <v>52</v>
      </c>
      <c r="H14" s="3">
        <f>Vaciado!H34</f>
        <v>0</v>
      </c>
      <c r="I14" s="3">
        <f>Vaciado!I34</f>
        <v>0</v>
      </c>
      <c r="J14" s="3">
        <f>Vaciado!J34</f>
        <v>0</v>
      </c>
      <c r="K14" s="3">
        <f>Vaciado!K34</f>
        <v>0</v>
      </c>
      <c r="L14" s="3">
        <f>Vaciado!L34</f>
        <v>0</v>
      </c>
      <c r="M14" s="3">
        <f>Vaciado!M34</f>
        <v>0</v>
      </c>
      <c r="N14" s="3">
        <f>Vaciado!N34</f>
        <v>0</v>
      </c>
      <c r="O14" s="3">
        <f>Vaciado!O34</f>
        <v>0</v>
      </c>
      <c r="P14" s="3">
        <f>Vaciado!P34</f>
        <v>0</v>
      </c>
      <c r="Q14" s="3">
        <f>Vaciado!Q34</f>
        <v>0</v>
      </c>
      <c r="R14" s="3">
        <f>Vaciado!R34</f>
        <v>0</v>
      </c>
      <c r="S14" s="3">
        <f>Vaciado!S34</f>
        <v>0</v>
      </c>
      <c r="T14" s="3">
        <f>INT(S14*((1+Vaciado!$H$39)^P.Comercial!T2))</f>
        <v>0</v>
      </c>
      <c r="U14" s="3">
        <f>INT(T14*((1+Vaciado!$H$39)^P.Comercial!U2))</f>
        <v>0</v>
      </c>
      <c r="V14" s="3">
        <f>INT(U14*((1+Vaciado!$H$39)^P.Comercial!V2))</f>
        <v>0</v>
      </c>
      <c r="W14" s="3">
        <f>INT(V14*((1+Vaciado!$H$39)^P.Comercial!W2))</f>
        <v>0</v>
      </c>
      <c r="X14" s="3">
        <f>INT(W14*((1+Vaciado!$H$39)^P.Comercial!X2))</f>
        <v>0</v>
      </c>
      <c r="Y14" s="3">
        <f>INT(X14*((1+Vaciado!$H$39)^P.Comercial!Y2))</f>
        <v>0</v>
      </c>
      <c r="Z14" s="3">
        <f>INT(Y14*((1+Vaciado!$H$39)^P.Comercial!Z2))</f>
        <v>0</v>
      </c>
      <c r="AA14" s="3">
        <f>INT(Z14*((1+Vaciado!$H$39)^P.Comercial!AA2))</f>
        <v>0</v>
      </c>
      <c r="AB14" s="3">
        <f>INT(AA14*((1+Vaciado!$H$39)^P.Comercial!AB2))</f>
        <v>0</v>
      </c>
      <c r="AC14" s="3">
        <f>INT(AB14*((1+Vaciado!$H$39)^P.Comercial!AC2))</f>
        <v>0</v>
      </c>
      <c r="AD14" s="3">
        <f>INT(AC14*((1+Vaciado!$H$39)^P.Comercial!AD2))</f>
        <v>0</v>
      </c>
      <c r="AE14" s="3">
        <f>INT(AD14*((1+Vaciado!$H$39)^P.Comercial!AE2))</f>
        <v>0</v>
      </c>
      <c r="AF14" s="3">
        <f>INT(AE14*((1+Vaciado!$H$40)^P.Comercial!AF2))</f>
        <v>0</v>
      </c>
      <c r="AG14" s="3">
        <f>INT(AF14*((1+Vaciado!$H$40)^P.Comercial!AG2))</f>
        <v>0</v>
      </c>
      <c r="AH14" s="3">
        <f>INT(AG14*((1+Vaciado!$H$40)^P.Comercial!AH2))</f>
        <v>0</v>
      </c>
      <c r="AI14" s="3">
        <f>INT(AH14*((1+Vaciado!$H$40)^P.Comercial!AI2))</f>
        <v>0</v>
      </c>
      <c r="AJ14" s="3">
        <f>INT(AI14*((1+Vaciado!$H$40)^P.Comercial!AJ2))</f>
        <v>0</v>
      </c>
      <c r="AK14" s="3">
        <f>INT(AJ14*((1+Vaciado!$H$40)^P.Comercial!AK2))</f>
        <v>0</v>
      </c>
      <c r="AL14" s="3">
        <f>INT(AK14*((1+Vaciado!$H$40)^P.Comercial!AL2))</f>
        <v>0</v>
      </c>
      <c r="AM14" s="3">
        <f>INT(AL14*((1+Vaciado!$H$40)^P.Comercial!AM2))</f>
        <v>0</v>
      </c>
      <c r="AN14" s="3">
        <f>INT(AM14*((1+Vaciado!$H$40)^P.Comercial!AN2))</f>
        <v>0</v>
      </c>
      <c r="AO14" s="3">
        <f>INT(AN14*((1+Vaciado!$H$40)^P.Comercial!AO2))</f>
        <v>0</v>
      </c>
      <c r="AP14" s="3">
        <f>INT(AO14*((1+Vaciado!$H$40)^P.Comercial!AP2))</f>
        <v>0</v>
      </c>
      <c r="AQ14" s="3">
        <f>INT(AP14*((1+Vaciado!$H$40)^P.Comercial!AQ2))</f>
        <v>0</v>
      </c>
    </row>
    <row r="15" spans="2:80" x14ac:dyDescent="0.35">
      <c r="G15" t="s">
        <v>80</v>
      </c>
    </row>
    <row r="16" spans="2:80" x14ac:dyDescent="0.35">
      <c r="G16" s="4" t="str">
        <f>Vaciado!B10</f>
        <v>A</v>
      </c>
      <c r="H16" s="27">
        <f>H14*'Para reporte'!$G$13</f>
        <v>0</v>
      </c>
      <c r="I16" s="27">
        <f>I14*'Para reporte'!$G$13</f>
        <v>0</v>
      </c>
      <c r="J16" s="27">
        <f>J14*'Para reporte'!$G$13</f>
        <v>0</v>
      </c>
      <c r="K16" s="27">
        <f>K14*'Para reporte'!$G$13</f>
        <v>0</v>
      </c>
      <c r="L16" s="27">
        <f>L14*'Para reporte'!$G$13</f>
        <v>0</v>
      </c>
      <c r="M16" s="27">
        <f>M14*'Para reporte'!$G$13</f>
        <v>0</v>
      </c>
      <c r="N16" s="27">
        <f>N14*'Para reporte'!$G$13</f>
        <v>0</v>
      </c>
      <c r="O16" s="27">
        <f>O14*'Para reporte'!$G$13</f>
        <v>0</v>
      </c>
      <c r="P16" s="27">
        <f>P14*'Para reporte'!$G$13</f>
        <v>0</v>
      </c>
      <c r="Q16" s="27">
        <f>Q14*'Para reporte'!$G$13</f>
        <v>0</v>
      </c>
      <c r="R16" s="27">
        <f>R14*'Para reporte'!$G$13</f>
        <v>0</v>
      </c>
      <c r="S16" s="27">
        <f>S14*'Para reporte'!$G$13</f>
        <v>0</v>
      </c>
      <c r="T16" s="27">
        <f>T14*'Para reporte'!$G$13</f>
        <v>0</v>
      </c>
      <c r="U16" s="27">
        <f>U14*'Para reporte'!$G$13</f>
        <v>0</v>
      </c>
      <c r="V16" s="27">
        <f>V14*'Para reporte'!$G$13</f>
        <v>0</v>
      </c>
      <c r="W16" s="27">
        <f>W14*'Para reporte'!$G$13</f>
        <v>0</v>
      </c>
      <c r="X16" s="27">
        <f>X14*'Para reporte'!$G$13</f>
        <v>0</v>
      </c>
      <c r="Y16" s="27">
        <f>Y14*'Para reporte'!$G$13</f>
        <v>0</v>
      </c>
      <c r="Z16" s="27">
        <f>Z14*'Para reporte'!$G$13</f>
        <v>0</v>
      </c>
      <c r="AA16" s="27">
        <f>AA14*'Para reporte'!$G$13</f>
        <v>0</v>
      </c>
      <c r="AB16" s="27">
        <f>AB14*'Para reporte'!$G$13</f>
        <v>0</v>
      </c>
      <c r="AC16" s="27">
        <f>AC14*'Para reporte'!$G$13</f>
        <v>0</v>
      </c>
      <c r="AD16" s="27">
        <f>AD14*'Para reporte'!$G$13</f>
        <v>0</v>
      </c>
      <c r="AE16" s="27">
        <f>AE14*'Para reporte'!$G$13</f>
        <v>0</v>
      </c>
      <c r="AF16" s="27">
        <f>AF14*'Para reporte'!$G$13</f>
        <v>0</v>
      </c>
      <c r="AG16" s="27">
        <f>AG14*'Para reporte'!$G$13</f>
        <v>0</v>
      </c>
      <c r="AH16" s="27">
        <f>AH14*'Para reporte'!$G$13</f>
        <v>0</v>
      </c>
      <c r="AI16" s="27">
        <f>AI14*'Para reporte'!$G$13</f>
        <v>0</v>
      </c>
      <c r="AJ16" s="27">
        <f>AJ14*'Para reporte'!$G$13</f>
        <v>0</v>
      </c>
      <c r="AK16" s="27">
        <f>AK14*'Para reporte'!$G$13</f>
        <v>0</v>
      </c>
      <c r="AL16" s="27">
        <f>AL14*'Para reporte'!$G$13</f>
        <v>0</v>
      </c>
      <c r="AM16" s="27">
        <f>AM14*'Para reporte'!$G$13</f>
        <v>0</v>
      </c>
      <c r="AN16" s="27">
        <f>AN14*'Para reporte'!$G$13</f>
        <v>0</v>
      </c>
      <c r="AO16" s="27">
        <f>AO14*'Para reporte'!$G$13</f>
        <v>0</v>
      </c>
      <c r="AP16" s="27">
        <f>AP14*'Para reporte'!$G$13</f>
        <v>0</v>
      </c>
      <c r="AQ16" s="27">
        <f>AQ14*'Para reporte'!$G$13</f>
        <v>0</v>
      </c>
    </row>
    <row r="17" spans="7:43" x14ac:dyDescent="0.35">
      <c r="G17" s="4" t="str">
        <f>Vaciado!B11</f>
        <v>B</v>
      </c>
      <c r="H17" s="27">
        <f>H14*'Para reporte'!$G$14</f>
        <v>0</v>
      </c>
      <c r="I17" s="27">
        <f>I14*'Para reporte'!$G$14</f>
        <v>0</v>
      </c>
      <c r="J17" s="27">
        <f>J14*'Para reporte'!$G$14</f>
        <v>0</v>
      </c>
      <c r="K17" s="27">
        <f>K14*'Para reporte'!$G$14</f>
        <v>0</v>
      </c>
      <c r="L17" s="27">
        <f>L14*'Para reporte'!$G$14</f>
        <v>0</v>
      </c>
      <c r="M17" s="27">
        <f>M14*'Para reporte'!$G$14</f>
        <v>0</v>
      </c>
      <c r="N17" s="27">
        <f>N14*'Para reporte'!$G$14</f>
        <v>0</v>
      </c>
      <c r="O17" s="27">
        <f>O14*'Para reporte'!$G$14</f>
        <v>0</v>
      </c>
      <c r="P17" s="27">
        <f>P14*'Para reporte'!$G$14</f>
        <v>0</v>
      </c>
      <c r="Q17" s="27">
        <f>Q14*'Para reporte'!$G$14</f>
        <v>0</v>
      </c>
      <c r="R17" s="27">
        <f>R14*'Para reporte'!$G$14</f>
        <v>0</v>
      </c>
      <c r="S17" s="27">
        <f>S14*'Para reporte'!$G$14</f>
        <v>0</v>
      </c>
      <c r="T17" s="27">
        <f>T14*'Para reporte'!$G$14</f>
        <v>0</v>
      </c>
      <c r="U17" s="27">
        <f>U14*'Para reporte'!$G$14</f>
        <v>0</v>
      </c>
      <c r="V17" s="27">
        <f>V14*'Para reporte'!$G$14</f>
        <v>0</v>
      </c>
      <c r="W17" s="27">
        <f>W14*'Para reporte'!$G$14</f>
        <v>0</v>
      </c>
      <c r="X17" s="27">
        <f>X14*'Para reporte'!$G$14</f>
        <v>0</v>
      </c>
      <c r="Y17" s="27">
        <f>Y14*'Para reporte'!$G$14</f>
        <v>0</v>
      </c>
      <c r="Z17" s="27">
        <f>Z14*'Para reporte'!$G$14</f>
        <v>0</v>
      </c>
      <c r="AA17" s="27">
        <f>AA14*'Para reporte'!$G$14</f>
        <v>0</v>
      </c>
      <c r="AB17" s="27">
        <f>AB14*'Para reporte'!$G$14</f>
        <v>0</v>
      </c>
      <c r="AC17" s="27">
        <f>AC14*'Para reporte'!$G$14</f>
        <v>0</v>
      </c>
      <c r="AD17" s="27">
        <f>AD14*'Para reporte'!$G$14</f>
        <v>0</v>
      </c>
      <c r="AE17" s="27">
        <f>AE14*'Para reporte'!$G$14</f>
        <v>0</v>
      </c>
      <c r="AF17" s="27">
        <f>AF14*'Para reporte'!$G$14</f>
        <v>0</v>
      </c>
      <c r="AG17" s="27">
        <f>AG14*'Para reporte'!$G$14</f>
        <v>0</v>
      </c>
      <c r="AH17" s="27">
        <f>AH14*'Para reporte'!$G$14</f>
        <v>0</v>
      </c>
      <c r="AI17" s="27">
        <f>AI14*'Para reporte'!$G$14</f>
        <v>0</v>
      </c>
      <c r="AJ17" s="27">
        <f>AJ14*'Para reporte'!$G$14</f>
        <v>0</v>
      </c>
      <c r="AK17" s="27">
        <f>AK14*'Para reporte'!$G$14</f>
        <v>0</v>
      </c>
      <c r="AL17" s="27">
        <f>AL14*'Para reporte'!$G$14</f>
        <v>0</v>
      </c>
      <c r="AM17" s="27">
        <f>AM14*'Para reporte'!$G$14</f>
        <v>0</v>
      </c>
      <c r="AN17" s="27">
        <f>AN14*'Para reporte'!$G$14</f>
        <v>0</v>
      </c>
      <c r="AO17" s="27">
        <f>AO14*'Para reporte'!$G$14</f>
        <v>0</v>
      </c>
      <c r="AP17" s="27">
        <f>AP14*'Para reporte'!$G$14</f>
        <v>0</v>
      </c>
      <c r="AQ17" s="27">
        <f>AQ14*'Para reporte'!$G$14</f>
        <v>0</v>
      </c>
    </row>
    <row r="18" spans="7:43" x14ac:dyDescent="0.35">
      <c r="G18" s="4" t="str">
        <f>Vaciado!B12</f>
        <v>C</v>
      </c>
      <c r="H18" s="27">
        <f>H14*'Para reporte'!$G$15</f>
        <v>0</v>
      </c>
      <c r="I18" s="27">
        <f>I14*'Para reporte'!$G$15</f>
        <v>0</v>
      </c>
      <c r="J18" s="27">
        <f>J14*'Para reporte'!$G$15</f>
        <v>0</v>
      </c>
      <c r="K18" s="27">
        <f>K14*'Para reporte'!$G$15</f>
        <v>0</v>
      </c>
      <c r="L18" s="27">
        <f>L14*'Para reporte'!$G$15</f>
        <v>0</v>
      </c>
      <c r="M18" s="27">
        <f>M14*'Para reporte'!$G$15</f>
        <v>0</v>
      </c>
      <c r="N18" s="27">
        <f>N14*'Para reporte'!$G$15</f>
        <v>0</v>
      </c>
      <c r="O18" s="27">
        <f>O14*'Para reporte'!$G$15</f>
        <v>0</v>
      </c>
      <c r="P18" s="27">
        <f>P14*'Para reporte'!$G$15</f>
        <v>0</v>
      </c>
      <c r="Q18" s="27">
        <f>Q14*'Para reporte'!$G$15</f>
        <v>0</v>
      </c>
      <c r="R18" s="27">
        <f>R14*'Para reporte'!$G$15</f>
        <v>0</v>
      </c>
      <c r="S18" s="27">
        <f>S14*'Para reporte'!$G$15</f>
        <v>0</v>
      </c>
      <c r="T18" s="27">
        <f>T14*'Para reporte'!$G$15</f>
        <v>0</v>
      </c>
      <c r="U18" s="27">
        <f>U14*'Para reporte'!$G$15</f>
        <v>0</v>
      </c>
      <c r="V18" s="27">
        <f>V14*'Para reporte'!$G$15</f>
        <v>0</v>
      </c>
      <c r="W18" s="27">
        <f>W14*'Para reporte'!$G$15</f>
        <v>0</v>
      </c>
      <c r="X18" s="27">
        <f>X14*'Para reporte'!$G$15</f>
        <v>0</v>
      </c>
      <c r="Y18" s="27">
        <f>Y14*'Para reporte'!$G$15</f>
        <v>0</v>
      </c>
      <c r="Z18" s="27">
        <f>Z14*'Para reporte'!$G$15</f>
        <v>0</v>
      </c>
      <c r="AA18" s="27">
        <f>AA14*'Para reporte'!$G$15</f>
        <v>0</v>
      </c>
      <c r="AB18" s="27">
        <f>AB14*'Para reporte'!$G$15</f>
        <v>0</v>
      </c>
      <c r="AC18" s="27">
        <f>AC14*'Para reporte'!$G$15</f>
        <v>0</v>
      </c>
      <c r="AD18" s="27">
        <f>AD14*'Para reporte'!$G$15</f>
        <v>0</v>
      </c>
      <c r="AE18" s="27">
        <f>AE14*'Para reporte'!$G$15</f>
        <v>0</v>
      </c>
      <c r="AF18" s="27">
        <f>AF14*'Para reporte'!$G$15</f>
        <v>0</v>
      </c>
      <c r="AG18" s="27">
        <f>AG14*'Para reporte'!$G$15</f>
        <v>0</v>
      </c>
      <c r="AH18" s="27">
        <f>AH14*'Para reporte'!$G$15</f>
        <v>0</v>
      </c>
      <c r="AI18" s="27">
        <f>AI14*'Para reporte'!$G$15</f>
        <v>0</v>
      </c>
      <c r="AJ18" s="27">
        <f>AJ14*'Para reporte'!$G$15</f>
        <v>0</v>
      </c>
      <c r="AK18" s="27">
        <f>AK14*'Para reporte'!$G$15</f>
        <v>0</v>
      </c>
      <c r="AL18" s="27">
        <f>AL14*'Para reporte'!$G$15</f>
        <v>0</v>
      </c>
      <c r="AM18" s="27">
        <f>AM14*'Para reporte'!$G$15</f>
        <v>0</v>
      </c>
      <c r="AN18" s="27">
        <f>AN14*'Para reporte'!$G$15</f>
        <v>0</v>
      </c>
      <c r="AO18" s="27">
        <f>AO14*'Para reporte'!$G$15</f>
        <v>0</v>
      </c>
      <c r="AP18" s="27">
        <f>AP14*'Para reporte'!$G$15</f>
        <v>0</v>
      </c>
      <c r="AQ18" s="27">
        <f>AQ14*'Para reporte'!$G$15</f>
        <v>0</v>
      </c>
    </row>
    <row r="19" spans="7:43" x14ac:dyDescent="0.35">
      <c r="G19" s="4" t="str">
        <f>Vaciado!B13</f>
        <v>D</v>
      </c>
      <c r="H19" s="27">
        <f>H14*'Para reporte'!$G$16</f>
        <v>0</v>
      </c>
      <c r="I19" s="27">
        <f>I14*'Para reporte'!$G$16</f>
        <v>0</v>
      </c>
      <c r="J19" s="27">
        <f>J14*'Para reporte'!$G$16</f>
        <v>0</v>
      </c>
      <c r="K19" s="27">
        <f>K14*'Para reporte'!$G$16</f>
        <v>0</v>
      </c>
      <c r="L19" s="27">
        <f>L14*'Para reporte'!$G$16</f>
        <v>0</v>
      </c>
      <c r="M19" s="27">
        <f>M14*'Para reporte'!$G$16</f>
        <v>0</v>
      </c>
      <c r="N19" s="27">
        <f>N14*'Para reporte'!$G$16</f>
        <v>0</v>
      </c>
      <c r="O19" s="27">
        <f>O14*'Para reporte'!$G$16</f>
        <v>0</v>
      </c>
      <c r="P19" s="27">
        <f>P14*'Para reporte'!$G$16</f>
        <v>0</v>
      </c>
      <c r="Q19" s="27">
        <f>Q14*'Para reporte'!$G$16</f>
        <v>0</v>
      </c>
      <c r="R19" s="27">
        <f>R14*'Para reporte'!$G$16</f>
        <v>0</v>
      </c>
      <c r="S19" s="27">
        <f>S14*'Para reporte'!$G$16</f>
        <v>0</v>
      </c>
      <c r="T19" s="27">
        <f>T14*'Para reporte'!$G$16</f>
        <v>0</v>
      </c>
      <c r="U19" s="27">
        <f>U14*'Para reporte'!$G$16</f>
        <v>0</v>
      </c>
      <c r="V19" s="27">
        <f>V14*'Para reporte'!$G$16</f>
        <v>0</v>
      </c>
      <c r="W19" s="27">
        <f>W14*'Para reporte'!$G$16</f>
        <v>0</v>
      </c>
      <c r="X19" s="27">
        <f>X14*'Para reporte'!$G$16</f>
        <v>0</v>
      </c>
      <c r="Y19" s="27">
        <f>Y14*'Para reporte'!$G$16</f>
        <v>0</v>
      </c>
      <c r="Z19" s="27">
        <f>Z14*'Para reporte'!$G$16</f>
        <v>0</v>
      </c>
      <c r="AA19" s="27">
        <f>AA14*'Para reporte'!$G$16</f>
        <v>0</v>
      </c>
      <c r="AB19" s="27">
        <f>AB14*'Para reporte'!$G$16</f>
        <v>0</v>
      </c>
      <c r="AC19" s="27">
        <f>AC14*'Para reporte'!$G$16</f>
        <v>0</v>
      </c>
      <c r="AD19" s="27">
        <f>AD14*'Para reporte'!$G$16</f>
        <v>0</v>
      </c>
      <c r="AE19" s="27">
        <f>AE14*'Para reporte'!$G$16</f>
        <v>0</v>
      </c>
      <c r="AF19" s="27">
        <f>AF14*'Para reporte'!$G$16</f>
        <v>0</v>
      </c>
      <c r="AG19" s="27">
        <f>AG14*'Para reporte'!$G$16</f>
        <v>0</v>
      </c>
      <c r="AH19" s="27">
        <f>AH14*'Para reporte'!$G$16</f>
        <v>0</v>
      </c>
      <c r="AI19" s="27">
        <f>AI14*'Para reporte'!$G$16</f>
        <v>0</v>
      </c>
      <c r="AJ19" s="27">
        <f>AJ14*'Para reporte'!$G$16</f>
        <v>0</v>
      </c>
      <c r="AK19" s="27">
        <f>AK14*'Para reporte'!$G$16</f>
        <v>0</v>
      </c>
      <c r="AL19" s="27">
        <f>AL14*'Para reporte'!$G$16</f>
        <v>0</v>
      </c>
      <c r="AM19" s="27">
        <f>AM14*'Para reporte'!$G$16</f>
        <v>0</v>
      </c>
      <c r="AN19" s="27">
        <f>AN14*'Para reporte'!$G$16</f>
        <v>0</v>
      </c>
      <c r="AO19" s="27">
        <f>AO14*'Para reporte'!$G$16</f>
        <v>0</v>
      </c>
      <c r="AP19" s="27">
        <f>AP14*'Para reporte'!$G$16</f>
        <v>0</v>
      </c>
      <c r="AQ19" s="27">
        <f>AQ14*'Para reporte'!$G$16</f>
        <v>0</v>
      </c>
    </row>
    <row r="20" spans="7:43" x14ac:dyDescent="0.35">
      <c r="G20" s="4" t="str">
        <f>Vaciado!B14</f>
        <v>E</v>
      </c>
      <c r="H20" s="27">
        <f>H14*'Para reporte'!$G$17</f>
        <v>0</v>
      </c>
      <c r="I20" s="27">
        <f>I14*'Para reporte'!$G$17</f>
        <v>0</v>
      </c>
      <c r="J20" s="27">
        <f>J14*'Para reporte'!$G$17</f>
        <v>0</v>
      </c>
      <c r="K20" s="27">
        <f>K14*'Para reporte'!$G$17</f>
        <v>0</v>
      </c>
      <c r="L20" s="27">
        <f>L14*'Para reporte'!$G$17</f>
        <v>0</v>
      </c>
      <c r="M20" s="27">
        <f>M14*'Para reporte'!$G$17</f>
        <v>0</v>
      </c>
      <c r="N20" s="27">
        <f>N14*'Para reporte'!$G$17</f>
        <v>0</v>
      </c>
      <c r="O20" s="27">
        <f>O14*'Para reporte'!$G$17</f>
        <v>0</v>
      </c>
      <c r="P20" s="27">
        <f>P14*'Para reporte'!$G$17</f>
        <v>0</v>
      </c>
      <c r="Q20" s="27">
        <f>Q14*'Para reporte'!$G$17</f>
        <v>0</v>
      </c>
      <c r="R20" s="27">
        <f>R14*'Para reporte'!$G$17</f>
        <v>0</v>
      </c>
      <c r="S20" s="27">
        <f>S14*'Para reporte'!$G$17</f>
        <v>0</v>
      </c>
      <c r="T20" s="27">
        <f>T14*'Para reporte'!$G$17</f>
        <v>0</v>
      </c>
      <c r="U20" s="27">
        <f>U14*'Para reporte'!$G$17</f>
        <v>0</v>
      </c>
      <c r="V20" s="27">
        <f>V14*'Para reporte'!$G$17</f>
        <v>0</v>
      </c>
      <c r="W20" s="27">
        <f>W14*'Para reporte'!$G$17</f>
        <v>0</v>
      </c>
      <c r="X20" s="27">
        <f>X14*'Para reporte'!$G$17</f>
        <v>0</v>
      </c>
      <c r="Y20" s="27">
        <f>Y14*'Para reporte'!$G$17</f>
        <v>0</v>
      </c>
      <c r="Z20" s="27">
        <f>Z14*'Para reporte'!$G$17</f>
        <v>0</v>
      </c>
      <c r="AA20" s="27">
        <f>AA14*'Para reporte'!$G$17</f>
        <v>0</v>
      </c>
      <c r="AB20" s="27">
        <f>AB14*'Para reporte'!$G$17</f>
        <v>0</v>
      </c>
      <c r="AC20" s="27">
        <f>AC14*'Para reporte'!$G$17</f>
        <v>0</v>
      </c>
      <c r="AD20" s="27">
        <f>AD14*'Para reporte'!$G$17</f>
        <v>0</v>
      </c>
      <c r="AE20" s="27">
        <f>AE14*'Para reporte'!$G$17</f>
        <v>0</v>
      </c>
      <c r="AF20" s="27">
        <f>AF14*'Para reporte'!$G$17</f>
        <v>0</v>
      </c>
      <c r="AG20" s="27">
        <f>AG14*'Para reporte'!$G$17</f>
        <v>0</v>
      </c>
      <c r="AH20" s="27">
        <f>AH14*'Para reporte'!$G$17</f>
        <v>0</v>
      </c>
      <c r="AI20" s="27">
        <f>AI14*'Para reporte'!$G$17</f>
        <v>0</v>
      </c>
      <c r="AJ20" s="27">
        <f>AJ14*'Para reporte'!$G$17</f>
        <v>0</v>
      </c>
      <c r="AK20" s="27">
        <f>AK14*'Para reporte'!$G$17</f>
        <v>0</v>
      </c>
      <c r="AL20" s="27">
        <f>AL14*'Para reporte'!$G$17</f>
        <v>0</v>
      </c>
      <c r="AM20" s="27">
        <f>AM14*'Para reporte'!$G$17</f>
        <v>0</v>
      </c>
      <c r="AN20" s="27">
        <f>AN14*'Para reporte'!$G$17</f>
        <v>0</v>
      </c>
      <c r="AO20" s="27">
        <f>AO14*'Para reporte'!$G$17</f>
        <v>0</v>
      </c>
      <c r="AP20" s="27">
        <f>AP14*'Para reporte'!$G$17</f>
        <v>0</v>
      </c>
      <c r="AQ20" s="27">
        <f>AQ14*'Para reporte'!$G$17</f>
        <v>0</v>
      </c>
    </row>
    <row r="21" spans="7:43" x14ac:dyDescent="0.35">
      <c r="G21" s="87" t="s">
        <v>100</v>
      </c>
      <c r="H21" s="27">
        <f>SUM(H16:H20)</f>
        <v>0</v>
      </c>
      <c r="I21" s="27">
        <f t="shared" ref="I21:AQ21" si="7">SUM(I16:I20)</f>
        <v>0</v>
      </c>
      <c r="J21" s="27">
        <f t="shared" si="7"/>
        <v>0</v>
      </c>
      <c r="K21" s="27">
        <f t="shared" si="7"/>
        <v>0</v>
      </c>
      <c r="L21" s="27">
        <f t="shared" si="7"/>
        <v>0</v>
      </c>
      <c r="M21" s="27">
        <f t="shared" si="7"/>
        <v>0</v>
      </c>
      <c r="N21" s="27">
        <f t="shared" si="7"/>
        <v>0</v>
      </c>
      <c r="O21" s="27">
        <f t="shared" si="7"/>
        <v>0</v>
      </c>
      <c r="P21" s="27">
        <f t="shared" si="7"/>
        <v>0</v>
      </c>
      <c r="Q21" s="27">
        <f t="shared" si="7"/>
        <v>0</v>
      </c>
      <c r="R21" s="27">
        <f t="shared" si="7"/>
        <v>0</v>
      </c>
      <c r="S21" s="27">
        <f t="shared" si="7"/>
        <v>0</v>
      </c>
      <c r="T21" s="27">
        <f t="shared" si="7"/>
        <v>0</v>
      </c>
      <c r="U21" s="27">
        <f t="shared" si="7"/>
        <v>0</v>
      </c>
      <c r="V21" s="27">
        <f t="shared" si="7"/>
        <v>0</v>
      </c>
      <c r="W21" s="27">
        <f t="shared" si="7"/>
        <v>0</v>
      </c>
      <c r="X21" s="27">
        <f t="shared" si="7"/>
        <v>0</v>
      </c>
      <c r="Y21" s="27">
        <f t="shared" si="7"/>
        <v>0</v>
      </c>
      <c r="Z21" s="27">
        <f t="shared" si="7"/>
        <v>0</v>
      </c>
      <c r="AA21" s="27">
        <f t="shared" si="7"/>
        <v>0</v>
      </c>
      <c r="AB21" s="27">
        <f t="shared" si="7"/>
        <v>0</v>
      </c>
      <c r="AC21" s="27">
        <f t="shared" si="7"/>
        <v>0</v>
      </c>
      <c r="AD21" s="27">
        <f t="shared" si="7"/>
        <v>0</v>
      </c>
      <c r="AE21" s="27">
        <f t="shared" si="7"/>
        <v>0</v>
      </c>
      <c r="AF21" s="27">
        <f t="shared" si="7"/>
        <v>0</v>
      </c>
      <c r="AG21" s="27">
        <f t="shared" si="7"/>
        <v>0</v>
      </c>
      <c r="AH21" s="27">
        <f t="shared" si="7"/>
        <v>0</v>
      </c>
      <c r="AI21" s="27">
        <f t="shared" si="7"/>
        <v>0</v>
      </c>
      <c r="AJ21" s="27">
        <f t="shared" si="7"/>
        <v>0</v>
      </c>
      <c r="AK21" s="27">
        <f t="shared" si="7"/>
        <v>0</v>
      </c>
      <c r="AL21" s="27">
        <f t="shared" si="7"/>
        <v>0</v>
      </c>
      <c r="AM21" s="27">
        <f t="shared" si="7"/>
        <v>0</v>
      </c>
      <c r="AN21" s="27">
        <f t="shared" si="7"/>
        <v>0</v>
      </c>
      <c r="AO21" s="27">
        <f t="shared" si="7"/>
        <v>0</v>
      </c>
      <c r="AP21" s="27">
        <f t="shared" si="7"/>
        <v>0</v>
      </c>
      <c r="AQ21" s="27">
        <f t="shared" si="7"/>
        <v>0</v>
      </c>
    </row>
    <row r="23" spans="7:43" x14ac:dyDescent="0.35">
      <c r="G23" s="10" t="s">
        <v>12</v>
      </c>
      <c r="H23" s="3">
        <f t="shared" ref="H23:AQ23" si="8">SUM(H5:H9)</f>
        <v>1</v>
      </c>
      <c r="I23" s="3">
        <f t="shared" si="8"/>
        <v>0</v>
      </c>
      <c r="J23" s="3">
        <f t="shared" si="8"/>
        <v>2</v>
      </c>
      <c r="K23" s="3">
        <f t="shared" si="8"/>
        <v>7</v>
      </c>
      <c r="L23" s="3">
        <f t="shared" si="8"/>
        <v>19</v>
      </c>
      <c r="M23" s="3">
        <f t="shared" si="8"/>
        <v>19</v>
      </c>
      <c r="N23" s="3">
        <f t="shared" si="8"/>
        <v>30</v>
      </c>
      <c r="O23" s="3">
        <f t="shared" si="8"/>
        <v>34</v>
      </c>
      <c r="P23" s="3">
        <f t="shared" si="8"/>
        <v>34</v>
      </c>
      <c r="Q23" s="3">
        <f t="shared" si="8"/>
        <v>38</v>
      </c>
      <c r="R23" s="3">
        <f t="shared" si="8"/>
        <v>38</v>
      </c>
      <c r="S23" s="3">
        <f t="shared" si="8"/>
        <v>38</v>
      </c>
      <c r="T23" s="3">
        <f t="shared" si="8"/>
        <v>38</v>
      </c>
      <c r="U23" s="3">
        <f t="shared" si="8"/>
        <v>38</v>
      </c>
      <c r="V23" s="3">
        <f t="shared" si="8"/>
        <v>38</v>
      </c>
      <c r="W23" s="3">
        <f t="shared" si="8"/>
        <v>38</v>
      </c>
      <c r="X23" s="3">
        <f t="shared" si="8"/>
        <v>39</v>
      </c>
      <c r="Y23" s="3">
        <f t="shared" si="8"/>
        <v>40</v>
      </c>
      <c r="Z23" s="3">
        <f t="shared" si="8"/>
        <v>41</v>
      </c>
      <c r="AA23" s="3">
        <f t="shared" si="8"/>
        <v>42</v>
      </c>
      <c r="AB23" s="3">
        <f t="shared" si="8"/>
        <v>45</v>
      </c>
      <c r="AC23" s="3">
        <f t="shared" si="8"/>
        <v>48</v>
      </c>
      <c r="AD23" s="3">
        <f t="shared" si="8"/>
        <v>52</v>
      </c>
      <c r="AE23" s="3">
        <f t="shared" si="8"/>
        <v>56</v>
      </c>
      <c r="AF23" s="3">
        <f t="shared" si="8"/>
        <v>56</v>
      </c>
      <c r="AG23" s="3">
        <f t="shared" si="8"/>
        <v>56</v>
      </c>
      <c r="AH23" s="3">
        <f t="shared" si="8"/>
        <v>57</v>
      </c>
      <c r="AI23" s="3">
        <f t="shared" si="8"/>
        <v>58</v>
      </c>
      <c r="AJ23" s="3">
        <f t="shared" si="8"/>
        <v>59</v>
      </c>
      <c r="AK23" s="3">
        <f t="shared" si="8"/>
        <v>61</v>
      </c>
      <c r="AL23" s="3">
        <f t="shared" si="8"/>
        <v>64</v>
      </c>
      <c r="AM23" s="3">
        <f t="shared" si="8"/>
        <v>68</v>
      </c>
      <c r="AN23" s="3">
        <f t="shared" si="8"/>
        <v>73</v>
      </c>
      <c r="AO23" s="3">
        <f t="shared" si="8"/>
        <v>79</v>
      </c>
      <c r="AP23" s="3">
        <f t="shared" si="8"/>
        <v>87</v>
      </c>
      <c r="AQ23" s="3">
        <f t="shared" si="8"/>
        <v>96</v>
      </c>
    </row>
    <row r="24" spans="7:43" x14ac:dyDescent="0.35">
      <c r="G24" s="10" t="s">
        <v>81</v>
      </c>
      <c r="H24" s="88"/>
      <c r="I24" s="88"/>
      <c r="J24" s="88"/>
      <c r="K24" s="88">
        <f>H21*Vaciado!$K$37</f>
        <v>0</v>
      </c>
      <c r="L24" s="88">
        <f>I21*Vaciado!$K$37</f>
        <v>0</v>
      </c>
      <c r="M24" s="88">
        <f>J21*Vaciado!$K$37</f>
        <v>0</v>
      </c>
      <c r="N24" s="88">
        <f>K21*Vaciado!$K$37</f>
        <v>0</v>
      </c>
      <c r="O24" s="88">
        <f>L21*Vaciado!$K$37</f>
        <v>0</v>
      </c>
      <c r="P24" s="88">
        <f>M21*Vaciado!$K$37</f>
        <v>0</v>
      </c>
      <c r="Q24" s="88">
        <f>N21*Vaciado!$K$37</f>
        <v>0</v>
      </c>
      <c r="R24" s="88">
        <f>O21*Vaciado!$K$37</f>
        <v>0</v>
      </c>
      <c r="S24" s="88">
        <f>P21*Vaciado!$K$37</f>
        <v>0</v>
      </c>
      <c r="T24" s="88">
        <f>Q21*Vaciado!$K$37</f>
        <v>0</v>
      </c>
      <c r="U24" s="88">
        <f>R21*Vaciado!$K$37</f>
        <v>0</v>
      </c>
      <c r="V24" s="88">
        <f>S21*Vaciado!$K$37</f>
        <v>0</v>
      </c>
      <c r="W24" s="88">
        <f>T21*Vaciado!$K$37</f>
        <v>0</v>
      </c>
      <c r="X24" s="88">
        <f>U21*Vaciado!$K$37</f>
        <v>0</v>
      </c>
      <c r="Y24" s="88">
        <f>V21*Vaciado!$K$37</f>
        <v>0</v>
      </c>
      <c r="Z24" s="88">
        <f>W21*Vaciado!$K$37</f>
        <v>0</v>
      </c>
      <c r="AA24" s="88">
        <f>X21*Vaciado!$K$37</f>
        <v>0</v>
      </c>
      <c r="AB24" s="88">
        <f>Y21*Vaciado!$K$37</f>
        <v>0</v>
      </c>
      <c r="AC24" s="88">
        <f>Z21*Vaciado!$K$37</f>
        <v>0</v>
      </c>
      <c r="AD24" s="88">
        <f>AA21*Vaciado!$K$37</f>
        <v>0</v>
      </c>
      <c r="AE24" s="88">
        <f>AB21*Vaciado!$K$37</f>
        <v>0</v>
      </c>
      <c r="AF24" s="88">
        <f>AC21*Vaciado!$K$37</f>
        <v>0</v>
      </c>
      <c r="AG24" s="88">
        <f>AD21*Vaciado!$K$37</f>
        <v>0</v>
      </c>
      <c r="AH24" s="88">
        <f>AE21*Vaciado!$K$37</f>
        <v>0</v>
      </c>
      <c r="AI24" s="88">
        <f>AF21*Vaciado!$K$37</f>
        <v>0</v>
      </c>
      <c r="AJ24" s="88">
        <f>AG21*Vaciado!$K$37</f>
        <v>0</v>
      </c>
      <c r="AK24" s="88">
        <f>AH21*Vaciado!$K$37</f>
        <v>0</v>
      </c>
      <c r="AL24" s="88">
        <f>AI21*Vaciado!$K$37</f>
        <v>0</v>
      </c>
      <c r="AM24" s="88">
        <f>AJ21*Vaciado!$K$37</f>
        <v>0</v>
      </c>
      <c r="AN24" s="88">
        <f>AK21*Vaciado!$K$37</f>
        <v>0</v>
      </c>
      <c r="AO24" s="88">
        <f>AL21*Vaciado!$K$37</f>
        <v>0</v>
      </c>
      <c r="AP24" s="88">
        <f>AM21*Vaciado!$K$37</f>
        <v>0</v>
      </c>
      <c r="AQ24" s="88">
        <f>AN21*Vaciado!$K$37</f>
        <v>0</v>
      </c>
    </row>
    <row r="25" spans="7:43" x14ac:dyDescent="0.35">
      <c r="G25" s="13" t="s">
        <v>82</v>
      </c>
      <c r="H25" s="89">
        <f>H23+H24</f>
        <v>1</v>
      </c>
      <c r="I25" s="89">
        <f t="shared" ref="I25:AQ25" si="9">I23+I24</f>
        <v>0</v>
      </c>
      <c r="J25" s="89">
        <f t="shared" si="9"/>
        <v>2</v>
      </c>
      <c r="K25" s="89">
        <f t="shared" si="9"/>
        <v>7</v>
      </c>
      <c r="L25" s="89">
        <f t="shared" si="9"/>
        <v>19</v>
      </c>
      <c r="M25" s="89">
        <f t="shared" si="9"/>
        <v>19</v>
      </c>
      <c r="N25" s="89">
        <f t="shared" si="9"/>
        <v>30</v>
      </c>
      <c r="O25" s="89">
        <f t="shared" si="9"/>
        <v>34</v>
      </c>
      <c r="P25" s="89">
        <f t="shared" si="9"/>
        <v>34</v>
      </c>
      <c r="Q25" s="89">
        <f t="shared" si="9"/>
        <v>38</v>
      </c>
      <c r="R25" s="89">
        <f t="shared" si="9"/>
        <v>38</v>
      </c>
      <c r="S25" s="89">
        <f t="shared" si="9"/>
        <v>38</v>
      </c>
      <c r="T25" s="89">
        <f t="shared" si="9"/>
        <v>38</v>
      </c>
      <c r="U25" s="89">
        <f t="shared" si="9"/>
        <v>38</v>
      </c>
      <c r="V25" s="89">
        <f t="shared" si="9"/>
        <v>38</v>
      </c>
      <c r="W25" s="89">
        <f t="shared" si="9"/>
        <v>38</v>
      </c>
      <c r="X25" s="89">
        <f t="shared" si="9"/>
        <v>39</v>
      </c>
      <c r="Y25" s="89">
        <f t="shared" si="9"/>
        <v>40</v>
      </c>
      <c r="Z25" s="89">
        <f t="shared" si="9"/>
        <v>41</v>
      </c>
      <c r="AA25" s="89">
        <f t="shared" si="9"/>
        <v>42</v>
      </c>
      <c r="AB25" s="89">
        <f t="shared" si="9"/>
        <v>45</v>
      </c>
      <c r="AC25" s="89">
        <f t="shared" si="9"/>
        <v>48</v>
      </c>
      <c r="AD25" s="89">
        <f t="shared" si="9"/>
        <v>52</v>
      </c>
      <c r="AE25" s="89">
        <f t="shared" si="9"/>
        <v>56</v>
      </c>
      <c r="AF25" s="89">
        <f t="shared" si="9"/>
        <v>56</v>
      </c>
      <c r="AG25" s="89">
        <f t="shared" si="9"/>
        <v>56</v>
      </c>
      <c r="AH25" s="89">
        <f t="shared" si="9"/>
        <v>57</v>
      </c>
      <c r="AI25" s="89">
        <f t="shared" si="9"/>
        <v>58</v>
      </c>
      <c r="AJ25" s="89">
        <f t="shared" si="9"/>
        <v>59</v>
      </c>
      <c r="AK25" s="89">
        <f t="shared" si="9"/>
        <v>61</v>
      </c>
      <c r="AL25" s="89">
        <f t="shared" si="9"/>
        <v>64</v>
      </c>
      <c r="AM25" s="89">
        <f t="shared" si="9"/>
        <v>68</v>
      </c>
      <c r="AN25" s="89">
        <f t="shared" si="9"/>
        <v>73</v>
      </c>
      <c r="AO25" s="89">
        <f t="shared" si="9"/>
        <v>79</v>
      </c>
      <c r="AP25" s="89">
        <f t="shared" si="9"/>
        <v>87</v>
      </c>
      <c r="AQ25" s="89">
        <f t="shared" si="9"/>
        <v>96</v>
      </c>
    </row>
    <row r="26" spans="7:43" x14ac:dyDescent="0.35">
      <c r="G26" s="10" t="s">
        <v>89</v>
      </c>
      <c r="H26" s="12">
        <f>-H25*Vaciado!$D$33</f>
        <v>-0.5</v>
      </c>
      <c r="I26" s="12">
        <f>-I25*Vaciado!$D$33</f>
        <v>0</v>
      </c>
      <c r="J26" s="12">
        <f>-J25*Vaciado!$D$33</f>
        <v>-1</v>
      </c>
      <c r="K26" s="12">
        <f>-K25*Vaciado!$D$33</f>
        <v>-3.5</v>
      </c>
      <c r="L26" s="12">
        <f>-L25*Vaciado!$D$33</f>
        <v>-9.5</v>
      </c>
      <c r="M26" s="12">
        <f>-M25*Vaciado!$D$33</f>
        <v>-9.5</v>
      </c>
      <c r="N26" s="12">
        <f>-N25*Vaciado!$D$33</f>
        <v>-15</v>
      </c>
      <c r="O26" s="12">
        <f>-O25*Vaciado!$D$33</f>
        <v>-17</v>
      </c>
      <c r="P26" s="12">
        <f>-P25*Vaciado!$D$33</f>
        <v>-17</v>
      </c>
      <c r="Q26" s="12">
        <f>-Q25*Vaciado!$D$33</f>
        <v>-19</v>
      </c>
      <c r="R26" s="12">
        <f>-R25*Vaciado!$D$33</f>
        <v>-19</v>
      </c>
      <c r="S26" s="12">
        <f>-S25*Vaciado!$D$33</f>
        <v>-19</v>
      </c>
      <c r="T26" s="12">
        <f>-T25*Vaciado!$D$33</f>
        <v>-19</v>
      </c>
      <c r="U26" s="12">
        <f>-U25*Vaciado!$D$33</f>
        <v>-19</v>
      </c>
      <c r="V26" s="12">
        <f>-V25*Vaciado!$D$33</f>
        <v>-19</v>
      </c>
      <c r="W26" s="12">
        <f>-W25*Vaciado!$D$33</f>
        <v>-19</v>
      </c>
      <c r="X26" s="12">
        <f>-X25*Vaciado!$D$33</f>
        <v>-19.5</v>
      </c>
      <c r="Y26" s="12">
        <f>-Y25*Vaciado!$D$33</f>
        <v>-20</v>
      </c>
      <c r="Z26" s="12">
        <f>-Z25*Vaciado!$D$33</f>
        <v>-20.5</v>
      </c>
      <c r="AA26" s="12">
        <f>-AA25*Vaciado!$D$33</f>
        <v>-21</v>
      </c>
      <c r="AB26" s="12">
        <f>-AB25*Vaciado!$D$33</f>
        <v>-22.5</v>
      </c>
      <c r="AC26" s="12">
        <f>-AC25*Vaciado!$D$33</f>
        <v>-24</v>
      </c>
      <c r="AD26" s="12">
        <f>-AD25*Vaciado!$D$33</f>
        <v>-26</v>
      </c>
      <c r="AE26" s="12">
        <f>-AE25*Vaciado!$D$33</f>
        <v>-28</v>
      </c>
      <c r="AF26" s="12">
        <f>-AF25*Vaciado!$D$33</f>
        <v>-28</v>
      </c>
      <c r="AG26" s="12">
        <f>-AG25*Vaciado!$D$33</f>
        <v>-28</v>
      </c>
      <c r="AH26" s="12">
        <f>-AH25*Vaciado!$D$33</f>
        <v>-28.5</v>
      </c>
      <c r="AI26" s="12">
        <f>-AI25*Vaciado!$D$33</f>
        <v>-29</v>
      </c>
      <c r="AJ26" s="12">
        <f>-AJ25*Vaciado!$D$33</f>
        <v>-29.5</v>
      </c>
      <c r="AK26" s="12">
        <f>-AK25*Vaciado!$D$33</f>
        <v>-30.5</v>
      </c>
      <c r="AL26" s="12">
        <f>-AL25*Vaciado!$D$33</f>
        <v>-32</v>
      </c>
      <c r="AM26" s="12">
        <f>-AM25*Vaciado!$D$33</f>
        <v>-34</v>
      </c>
      <c r="AN26" s="12">
        <f>-AN25*Vaciado!$D$33</f>
        <v>-36.5</v>
      </c>
      <c r="AO26" s="12">
        <f>-AO25*Vaciado!$D$33</f>
        <v>-39.5</v>
      </c>
      <c r="AP26" s="12">
        <f>-AP25*Vaciado!$D$33</f>
        <v>-43.5</v>
      </c>
      <c r="AQ26" s="12">
        <f>-AQ25*Vaciado!$D$33</f>
        <v>-48</v>
      </c>
    </row>
    <row r="27" spans="7:43" x14ac:dyDescent="0.35">
      <c r="G27" s="10" t="s">
        <v>88</v>
      </c>
      <c r="H27" s="3">
        <f>H25+H26</f>
        <v>0.5</v>
      </c>
      <c r="I27" s="9">
        <f>H27+I25+I26</f>
        <v>0.5</v>
      </c>
      <c r="J27" s="9">
        <f t="shared" ref="J27:AQ27" si="10">I27+J25+J26</f>
        <v>1.5</v>
      </c>
      <c r="K27" s="9">
        <f t="shared" si="10"/>
        <v>5</v>
      </c>
      <c r="L27" s="9">
        <f t="shared" si="10"/>
        <v>14.5</v>
      </c>
      <c r="M27" s="9">
        <f t="shared" si="10"/>
        <v>24</v>
      </c>
      <c r="N27" s="9">
        <f t="shared" si="10"/>
        <v>39</v>
      </c>
      <c r="O27" s="9">
        <f t="shared" si="10"/>
        <v>56</v>
      </c>
      <c r="P27" s="9">
        <f t="shared" si="10"/>
        <v>73</v>
      </c>
      <c r="Q27" s="9">
        <f t="shared" si="10"/>
        <v>92</v>
      </c>
      <c r="R27" s="9">
        <f t="shared" si="10"/>
        <v>111</v>
      </c>
      <c r="S27" s="9">
        <f t="shared" si="10"/>
        <v>130</v>
      </c>
      <c r="T27" s="9">
        <f t="shared" si="10"/>
        <v>149</v>
      </c>
      <c r="U27" s="9">
        <f t="shared" si="10"/>
        <v>168</v>
      </c>
      <c r="V27" s="9">
        <f t="shared" si="10"/>
        <v>187</v>
      </c>
      <c r="W27" s="9">
        <f t="shared" si="10"/>
        <v>206</v>
      </c>
      <c r="X27" s="9">
        <f t="shared" si="10"/>
        <v>225.5</v>
      </c>
      <c r="Y27" s="9">
        <f t="shared" si="10"/>
        <v>245.5</v>
      </c>
      <c r="Z27" s="9">
        <f t="shared" si="10"/>
        <v>266</v>
      </c>
      <c r="AA27" s="9">
        <f t="shared" si="10"/>
        <v>287</v>
      </c>
      <c r="AB27" s="9">
        <f t="shared" si="10"/>
        <v>309.5</v>
      </c>
      <c r="AC27" s="9">
        <f t="shared" si="10"/>
        <v>333.5</v>
      </c>
      <c r="AD27" s="9">
        <f t="shared" si="10"/>
        <v>359.5</v>
      </c>
      <c r="AE27" s="9">
        <f t="shared" si="10"/>
        <v>387.5</v>
      </c>
      <c r="AF27" s="9">
        <f t="shared" si="10"/>
        <v>415.5</v>
      </c>
      <c r="AG27" s="9">
        <f t="shared" si="10"/>
        <v>443.5</v>
      </c>
      <c r="AH27" s="9">
        <f t="shared" si="10"/>
        <v>472</v>
      </c>
      <c r="AI27" s="9">
        <f t="shared" si="10"/>
        <v>501</v>
      </c>
      <c r="AJ27" s="9">
        <f t="shared" si="10"/>
        <v>530.5</v>
      </c>
      <c r="AK27" s="9">
        <f t="shared" si="10"/>
        <v>561</v>
      </c>
      <c r="AL27" s="9">
        <f t="shared" si="10"/>
        <v>593</v>
      </c>
      <c r="AM27" s="9">
        <f t="shared" si="10"/>
        <v>627</v>
      </c>
      <c r="AN27" s="9">
        <f t="shared" si="10"/>
        <v>663.5</v>
      </c>
      <c r="AO27" s="9">
        <f t="shared" si="10"/>
        <v>703</v>
      </c>
      <c r="AP27" s="9">
        <f t="shared" si="10"/>
        <v>746.5</v>
      </c>
      <c r="AQ27" s="9">
        <f t="shared" si="10"/>
        <v>794.5</v>
      </c>
    </row>
    <row r="28" spans="7:43" x14ac:dyDescent="0.35">
      <c r="G28" s="10" t="s">
        <v>90</v>
      </c>
      <c r="H28" s="9">
        <f>H25+H26</f>
        <v>0.5</v>
      </c>
      <c r="I28" s="9">
        <f>I25+I26</f>
        <v>0</v>
      </c>
      <c r="J28" s="9">
        <f t="shared" ref="J28:AQ28" si="11">J25+J26</f>
        <v>1</v>
      </c>
      <c r="K28" s="9">
        <f t="shared" si="11"/>
        <v>3.5</v>
      </c>
      <c r="L28" s="9">
        <f t="shared" si="11"/>
        <v>9.5</v>
      </c>
      <c r="M28" s="9">
        <f t="shared" si="11"/>
        <v>9.5</v>
      </c>
      <c r="N28" s="9">
        <f t="shared" si="11"/>
        <v>15</v>
      </c>
      <c r="O28" s="9">
        <f t="shared" si="11"/>
        <v>17</v>
      </c>
      <c r="P28" s="9">
        <f t="shared" si="11"/>
        <v>17</v>
      </c>
      <c r="Q28" s="9">
        <f t="shared" si="11"/>
        <v>19</v>
      </c>
      <c r="R28" s="9">
        <f t="shared" si="11"/>
        <v>19</v>
      </c>
      <c r="S28" s="9">
        <f t="shared" si="11"/>
        <v>19</v>
      </c>
      <c r="T28" s="9">
        <f t="shared" si="11"/>
        <v>19</v>
      </c>
      <c r="U28" s="9">
        <f t="shared" si="11"/>
        <v>19</v>
      </c>
      <c r="V28" s="9">
        <f t="shared" si="11"/>
        <v>19</v>
      </c>
      <c r="W28" s="9">
        <f t="shared" si="11"/>
        <v>19</v>
      </c>
      <c r="X28" s="9">
        <f t="shared" si="11"/>
        <v>19.5</v>
      </c>
      <c r="Y28" s="9">
        <f t="shared" si="11"/>
        <v>20</v>
      </c>
      <c r="Z28" s="9">
        <f t="shared" si="11"/>
        <v>20.5</v>
      </c>
      <c r="AA28" s="9">
        <f t="shared" si="11"/>
        <v>21</v>
      </c>
      <c r="AB28" s="9">
        <f t="shared" si="11"/>
        <v>22.5</v>
      </c>
      <c r="AC28" s="9">
        <f t="shared" si="11"/>
        <v>24</v>
      </c>
      <c r="AD28" s="9">
        <f t="shared" si="11"/>
        <v>26</v>
      </c>
      <c r="AE28" s="9">
        <f t="shared" si="11"/>
        <v>28</v>
      </c>
      <c r="AF28" s="9">
        <f t="shared" si="11"/>
        <v>28</v>
      </c>
      <c r="AG28" s="9">
        <f t="shared" si="11"/>
        <v>28</v>
      </c>
      <c r="AH28" s="9">
        <f t="shared" si="11"/>
        <v>28.5</v>
      </c>
      <c r="AI28" s="9">
        <f t="shared" si="11"/>
        <v>29</v>
      </c>
      <c r="AJ28" s="9">
        <f t="shared" si="11"/>
        <v>29.5</v>
      </c>
      <c r="AK28" s="9">
        <f t="shared" si="11"/>
        <v>30.5</v>
      </c>
      <c r="AL28" s="9">
        <f t="shared" si="11"/>
        <v>32</v>
      </c>
      <c r="AM28" s="9">
        <f t="shared" si="11"/>
        <v>34</v>
      </c>
      <c r="AN28" s="9">
        <f t="shared" si="11"/>
        <v>36.5</v>
      </c>
      <c r="AO28" s="9">
        <f t="shared" si="11"/>
        <v>39.5</v>
      </c>
      <c r="AP28" s="9">
        <f t="shared" si="11"/>
        <v>43.5</v>
      </c>
      <c r="AQ28" s="9">
        <f t="shared" si="11"/>
        <v>48</v>
      </c>
    </row>
    <row r="30" spans="7:43" x14ac:dyDescent="0.35">
      <c r="G30" s="10" t="s">
        <v>91</v>
      </c>
      <c r="H30" s="9">
        <f>Recurrencia!AQ3</f>
        <v>0</v>
      </c>
      <c r="I30" s="9">
        <f>Recurrencia!AR3</f>
        <v>0</v>
      </c>
      <c r="J30" s="9">
        <f>Recurrencia!AS3</f>
        <v>0</v>
      </c>
      <c r="K30" s="9">
        <f>Recurrencia!AT3</f>
        <v>0</v>
      </c>
      <c r="L30" s="9">
        <f>Recurrencia!AU3</f>
        <v>0</v>
      </c>
      <c r="M30" s="9">
        <f>Recurrencia!AV3</f>
        <v>0</v>
      </c>
      <c r="N30" s="9">
        <f>Recurrencia!AW3</f>
        <v>0</v>
      </c>
      <c r="O30" s="9">
        <f>Recurrencia!AX3</f>
        <v>0</v>
      </c>
      <c r="P30" s="9">
        <f>Recurrencia!AY3</f>
        <v>0</v>
      </c>
      <c r="Q30" s="9">
        <f>Recurrencia!AZ3</f>
        <v>0</v>
      </c>
      <c r="R30" s="9">
        <f>Recurrencia!BA3</f>
        <v>0</v>
      </c>
      <c r="S30" s="9">
        <f>Recurrencia!BB3</f>
        <v>0.5</v>
      </c>
      <c r="T30" s="9">
        <f>Recurrencia!BC3</f>
        <v>0</v>
      </c>
      <c r="U30" s="9">
        <f>Recurrencia!BD3</f>
        <v>1</v>
      </c>
      <c r="V30" s="9">
        <f>Recurrencia!BE3</f>
        <v>3.5</v>
      </c>
      <c r="W30" s="9">
        <f>Recurrencia!BF3</f>
        <v>9.5</v>
      </c>
      <c r="X30" s="9">
        <f>Recurrencia!BG3</f>
        <v>9.5</v>
      </c>
      <c r="Y30" s="9">
        <f>Recurrencia!BH3</f>
        <v>15</v>
      </c>
      <c r="Z30" s="9">
        <f>Recurrencia!BI3</f>
        <v>17</v>
      </c>
      <c r="AA30" s="9">
        <f>Recurrencia!BJ3</f>
        <v>17</v>
      </c>
      <c r="AB30" s="9">
        <f>Recurrencia!BK3</f>
        <v>19</v>
      </c>
      <c r="AC30" s="9">
        <f>Recurrencia!BL3</f>
        <v>19</v>
      </c>
      <c r="AD30" s="9">
        <f>Recurrencia!BM3</f>
        <v>19</v>
      </c>
      <c r="AE30" s="9">
        <f>Recurrencia!BN3</f>
        <v>19.5</v>
      </c>
      <c r="AF30" s="9">
        <f>Recurrencia!BO3</f>
        <v>19</v>
      </c>
      <c r="AG30" s="9">
        <f>Recurrencia!BP3</f>
        <v>20</v>
      </c>
      <c r="AH30" s="9">
        <f>Recurrencia!BQ3</f>
        <v>22.5</v>
      </c>
      <c r="AI30" s="9">
        <f>Recurrencia!BR3</f>
        <v>29</v>
      </c>
      <c r="AJ30" s="9">
        <f>Recurrencia!BS3</f>
        <v>29.5</v>
      </c>
      <c r="AK30" s="9">
        <f>Recurrencia!BT3</f>
        <v>35.5</v>
      </c>
      <c r="AL30" s="9">
        <f>Recurrencia!BU3</f>
        <v>38</v>
      </c>
      <c r="AM30" s="9">
        <f>Recurrencia!BV3</f>
        <v>39.5</v>
      </c>
      <c r="AN30" s="9">
        <f>Recurrencia!BW3</f>
        <v>43</v>
      </c>
      <c r="AO30" s="9">
        <f>Recurrencia!BX3</f>
        <v>45</v>
      </c>
      <c r="AP30" s="9">
        <f>Recurrencia!BY3</f>
        <v>47</v>
      </c>
      <c r="AQ30" s="9">
        <f>Recurrencia!BZ3</f>
        <v>47.5</v>
      </c>
    </row>
    <row r="31" spans="7:43" x14ac:dyDescent="0.35">
      <c r="G31" t="s">
        <v>92</v>
      </c>
    </row>
    <row r="32" spans="7:43" x14ac:dyDescent="0.35">
      <c r="G32" s="4" t="str">
        <f>Vaciado!B10</f>
        <v>A</v>
      </c>
      <c r="H32" s="9">
        <f>H30*'Para reporte'!$G$13</f>
        <v>0</v>
      </c>
      <c r="I32" s="9">
        <f>I30*'Para reporte'!$G$13</f>
        <v>0</v>
      </c>
      <c r="J32" s="9">
        <f>J30*'Para reporte'!$G$13</f>
        <v>0</v>
      </c>
      <c r="K32" s="9">
        <f>K30*'Para reporte'!$G$13</f>
        <v>0</v>
      </c>
      <c r="L32" s="9">
        <f>L30*'Para reporte'!$G$13</f>
        <v>0</v>
      </c>
      <c r="M32" s="9">
        <f>M30*'Para reporte'!$G$13</f>
        <v>0</v>
      </c>
      <c r="N32" s="9">
        <f>N30*'Para reporte'!$G$13</f>
        <v>0</v>
      </c>
      <c r="O32" s="9">
        <f>O30*'Para reporte'!$G$13</f>
        <v>0</v>
      </c>
      <c r="P32" s="9">
        <f>P30*'Para reporte'!$G$13</f>
        <v>0</v>
      </c>
      <c r="Q32" s="9">
        <f>Q30*'Para reporte'!$G$13</f>
        <v>0</v>
      </c>
      <c r="R32" s="9">
        <f>R30*'Para reporte'!$G$13</f>
        <v>0</v>
      </c>
      <c r="S32" s="9">
        <f>S30*'Para reporte'!$G$13</f>
        <v>0.29578351164254246</v>
      </c>
      <c r="T32" s="9">
        <f>T30*'Para reporte'!$G$13</f>
        <v>0</v>
      </c>
      <c r="U32" s="9">
        <f>U30*'Para reporte'!$G$13</f>
        <v>0.59156702328508493</v>
      </c>
      <c r="V32" s="9">
        <f>V30*'Para reporte'!$G$13</f>
        <v>2.070484581497797</v>
      </c>
      <c r="W32" s="9">
        <f>W30*'Para reporte'!$G$13</f>
        <v>5.6198867212083066</v>
      </c>
      <c r="X32" s="9">
        <f>X30*'Para reporte'!$G$13</f>
        <v>5.6198867212083066</v>
      </c>
      <c r="Y32" s="9">
        <f>Y30*'Para reporte'!$G$13</f>
        <v>8.8735053492762734</v>
      </c>
      <c r="Z32" s="9">
        <f>Z30*'Para reporte'!$G$13</f>
        <v>10.056639395846444</v>
      </c>
      <c r="AA32" s="9">
        <f>AA30*'Para reporte'!$G$13</f>
        <v>10.056639395846444</v>
      </c>
      <c r="AB32" s="9">
        <f>AB30*'Para reporte'!$G$13</f>
        <v>11.239773442416613</v>
      </c>
      <c r="AC32" s="9">
        <f>AC30*'Para reporte'!$G$13</f>
        <v>11.239773442416613</v>
      </c>
      <c r="AD32" s="9">
        <f>AD30*'Para reporte'!$G$13</f>
        <v>11.239773442416613</v>
      </c>
      <c r="AE32" s="9">
        <f>AE30*'Para reporte'!$G$13</f>
        <v>11.535556954059157</v>
      </c>
      <c r="AF32" s="9">
        <f>AF30*'Para reporte'!$G$13</f>
        <v>11.239773442416613</v>
      </c>
      <c r="AG32" s="9">
        <f>AG30*'Para reporte'!$G$13</f>
        <v>11.831340465701699</v>
      </c>
      <c r="AH32" s="9">
        <f>AH30*'Para reporte'!$G$13</f>
        <v>13.310258023914411</v>
      </c>
      <c r="AI32" s="9">
        <f>AI30*'Para reporte'!$G$13</f>
        <v>17.155443675267463</v>
      </c>
      <c r="AJ32" s="9">
        <f>AJ30*'Para reporte'!$G$13</f>
        <v>17.451227186910007</v>
      </c>
      <c r="AK32" s="9">
        <f>AK30*'Para reporte'!$G$13</f>
        <v>21.000629326620516</v>
      </c>
      <c r="AL32" s="9">
        <f>AL30*'Para reporte'!$G$13</f>
        <v>22.479546884833226</v>
      </c>
      <c r="AM32" s="9">
        <f>AM30*'Para reporte'!$G$13</f>
        <v>23.366897419760853</v>
      </c>
      <c r="AN32" s="9">
        <f>AN30*'Para reporte'!$G$13</f>
        <v>25.437382001258651</v>
      </c>
      <c r="AO32" s="9">
        <f>AO30*'Para reporte'!$G$13</f>
        <v>26.620516047828822</v>
      </c>
      <c r="AP32" s="9">
        <f>AP30*'Para reporte'!$G$13</f>
        <v>27.803650094398993</v>
      </c>
      <c r="AQ32" s="9">
        <f>AQ30*'Para reporte'!$G$13</f>
        <v>28.099433606041533</v>
      </c>
    </row>
    <row r="33" spans="1:43" x14ac:dyDescent="0.35">
      <c r="G33" s="4" t="str">
        <f>Vaciado!B11</f>
        <v>B</v>
      </c>
      <c r="H33" s="9">
        <f>H30*'Para reporte'!$G$14</f>
        <v>0</v>
      </c>
      <c r="I33" s="9">
        <f>I30*'Para reporte'!$G$14</f>
        <v>0</v>
      </c>
      <c r="J33" s="9">
        <f>J30*'Para reporte'!$G$14</f>
        <v>0</v>
      </c>
      <c r="K33" s="9">
        <f>K30*'Para reporte'!$G$14</f>
        <v>0</v>
      </c>
      <c r="L33" s="9">
        <f>L30*'Para reporte'!$G$14</f>
        <v>0</v>
      </c>
      <c r="M33" s="9">
        <f>M30*'Para reporte'!$G$14</f>
        <v>0</v>
      </c>
      <c r="N33" s="9">
        <f>N30*'Para reporte'!$G$14</f>
        <v>0</v>
      </c>
      <c r="O33" s="9">
        <f>O30*'Para reporte'!$G$14</f>
        <v>0</v>
      </c>
      <c r="P33" s="9">
        <f>P30*'Para reporte'!$G$14</f>
        <v>0</v>
      </c>
      <c r="Q33" s="9">
        <f>Q30*'Para reporte'!$G$14</f>
        <v>0</v>
      </c>
      <c r="R33" s="9">
        <f>R30*'Para reporte'!$G$14</f>
        <v>0</v>
      </c>
      <c r="S33" s="9">
        <f>S30*'Para reporte'!$G$14</f>
        <v>0.14505978602894903</v>
      </c>
      <c r="T33" s="9">
        <f>T30*'Para reporte'!$G$14</f>
        <v>0</v>
      </c>
      <c r="U33" s="9">
        <f>U30*'Para reporte'!$G$14</f>
        <v>0.29011957205789807</v>
      </c>
      <c r="V33" s="9">
        <f>V30*'Para reporte'!$G$14</f>
        <v>1.0154185022026432</v>
      </c>
      <c r="W33" s="9">
        <f>W30*'Para reporte'!$G$14</f>
        <v>2.7561359345500316</v>
      </c>
      <c r="X33" s="9">
        <f>X30*'Para reporte'!$G$14</f>
        <v>2.7561359345500316</v>
      </c>
      <c r="Y33" s="9">
        <f>Y30*'Para reporte'!$G$14</f>
        <v>4.3517935808684713</v>
      </c>
      <c r="Z33" s="9">
        <f>Z30*'Para reporte'!$G$14</f>
        <v>4.9320327249842668</v>
      </c>
      <c r="AA33" s="9">
        <f>AA30*'Para reporte'!$G$14</f>
        <v>4.9320327249842668</v>
      </c>
      <c r="AB33" s="9">
        <f>AB30*'Para reporte'!$G$14</f>
        <v>5.5122718691000632</v>
      </c>
      <c r="AC33" s="9">
        <f>AC30*'Para reporte'!$G$14</f>
        <v>5.5122718691000632</v>
      </c>
      <c r="AD33" s="9">
        <f>AD30*'Para reporte'!$G$14</f>
        <v>5.5122718691000632</v>
      </c>
      <c r="AE33" s="9">
        <f>AE30*'Para reporte'!$G$14</f>
        <v>5.6573316551290125</v>
      </c>
      <c r="AF33" s="9">
        <f>AF30*'Para reporte'!$G$14</f>
        <v>5.5122718691000632</v>
      </c>
      <c r="AG33" s="9">
        <f>AG30*'Para reporte'!$G$14</f>
        <v>5.8023914411579618</v>
      </c>
      <c r="AH33" s="9">
        <f>AH30*'Para reporte'!$G$14</f>
        <v>6.5276903713027066</v>
      </c>
      <c r="AI33" s="9">
        <f>AI30*'Para reporte'!$G$14</f>
        <v>8.4134675896790441</v>
      </c>
      <c r="AJ33" s="9">
        <f>AJ30*'Para reporte'!$G$14</f>
        <v>8.5585273757079925</v>
      </c>
      <c r="AK33" s="9">
        <f>AK30*'Para reporte'!$G$14</f>
        <v>10.299244808055381</v>
      </c>
      <c r="AL33" s="9">
        <f>AL30*'Para reporte'!$G$14</f>
        <v>11.024543738200126</v>
      </c>
      <c r="AM33" s="9">
        <f>AM30*'Para reporte'!$G$14</f>
        <v>11.459723096286973</v>
      </c>
      <c r="AN33" s="9">
        <f>AN30*'Para reporte'!$G$14</f>
        <v>12.475141598489618</v>
      </c>
      <c r="AO33" s="9">
        <f>AO30*'Para reporte'!$G$14</f>
        <v>13.055380742605413</v>
      </c>
      <c r="AP33" s="9">
        <f>AP30*'Para reporte'!$G$14</f>
        <v>13.635619886721209</v>
      </c>
      <c r="AQ33" s="9">
        <f>AQ30*'Para reporte'!$G$14</f>
        <v>13.780679672750159</v>
      </c>
    </row>
    <row r="34" spans="1:43" x14ac:dyDescent="0.35">
      <c r="G34" s="4" t="str">
        <f>Vaciado!B12</f>
        <v>C</v>
      </c>
      <c r="H34" s="9">
        <f>H30*'Para reporte'!$G$15</f>
        <v>0</v>
      </c>
      <c r="I34" s="9">
        <f>I30*'Para reporte'!$G$15</f>
        <v>0</v>
      </c>
      <c r="J34" s="9">
        <f>J30*'Para reporte'!$G$15</f>
        <v>0</v>
      </c>
      <c r="K34" s="9">
        <f>K30*'Para reporte'!$G$15</f>
        <v>0</v>
      </c>
      <c r="L34" s="9">
        <f>L30*'Para reporte'!$G$15</f>
        <v>0</v>
      </c>
      <c r="M34" s="9">
        <f>M30*'Para reporte'!$G$15</f>
        <v>0</v>
      </c>
      <c r="N34" s="9">
        <f>N30*'Para reporte'!$G$15</f>
        <v>0</v>
      </c>
      <c r="O34" s="9">
        <f>O30*'Para reporte'!$G$15</f>
        <v>0</v>
      </c>
      <c r="P34" s="9">
        <f>P30*'Para reporte'!$G$15</f>
        <v>0</v>
      </c>
      <c r="Q34" s="9">
        <f>Q30*'Para reporte'!$G$15</f>
        <v>0</v>
      </c>
      <c r="R34" s="9">
        <f>R30*'Para reporte'!$G$15</f>
        <v>0</v>
      </c>
      <c r="S34" s="9">
        <f>S30*'Para reporte'!$G$15</f>
        <v>3.9332913782252989E-2</v>
      </c>
      <c r="T34" s="9">
        <f>T30*'Para reporte'!$G$15</f>
        <v>0</v>
      </c>
      <c r="U34" s="9">
        <f>U30*'Para reporte'!$G$15</f>
        <v>7.8665827564505977E-2</v>
      </c>
      <c r="V34" s="9">
        <f>V30*'Para reporte'!$G$15</f>
        <v>0.2753303964757709</v>
      </c>
      <c r="W34" s="9">
        <f>W30*'Para reporte'!$G$15</f>
        <v>0.74732536186280674</v>
      </c>
      <c r="X34" s="9">
        <f>X30*'Para reporte'!$G$15</f>
        <v>0.74732536186280674</v>
      </c>
      <c r="Y34" s="9">
        <f>Y30*'Para reporte'!$G$15</f>
        <v>1.1799874134675896</v>
      </c>
      <c r="Z34" s="9">
        <f>Z30*'Para reporte'!$G$15</f>
        <v>1.3373190685966017</v>
      </c>
      <c r="AA34" s="9">
        <f>AA30*'Para reporte'!$G$15</f>
        <v>1.3373190685966017</v>
      </c>
      <c r="AB34" s="9">
        <f>AB30*'Para reporte'!$G$15</f>
        <v>1.4946507237256135</v>
      </c>
      <c r="AC34" s="9">
        <f>AC30*'Para reporte'!$G$15</f>
        <v>1.4946507237256135</v>
      </c>
      <c r="AD34" s="9">
        <f>AD30*'Para reporte'!$G$15</f>
        <v>1.4946507237256135</v>
      </c>
      <c r="AE34" s="9">
        <f>AE30*'Para reporte'!$G$15</f>
        <v>1.5339836375078666</v>
      </c>
      <c r="AF34" s="9">
        <f>AF30*'Para reporte'!$G$15</f>
        <v>1.4946507237256135</v>
      </c>
      <c r="AG34" s="9">
        <f>AG30*'Para reporte'!$G$15</f>
        <v>1.5733165512901195</v>
      </c>
      <c r="AH34" s="9">
        <f>AH30*'Para reporte'!$G$15</f>
        <v>1.7699811202013844</v>
      </c>
      <c r="AI34" s="9">
        <f>AI30*'Para reporte'!$G$15</f>
        <v>2.2813089993706734</v>
      </c>
      <c r="AJ34" s="9">
        <f>AJ30*'Para reporte'!$G$15</f>
        <v>2.3206419131529263</v>
      </c>
      <c r="AK34" s="9">
        <f>AK30*'Para reporte'!$G$15</f>
        <v>2.792636878539962</v>
      </c>
      <c r="AL34" s="9">
        <f>AL30*'Para reporte'!$G$15</f>
        <v>2.9893014474512269</v>
      </c>
      <c r="AM34" s="9">
        <f>AM30*'Para reporte'!$G$15</f>
        <v>3.1073001887979861</v>
      </c>
      <c r="AN34" s="9">
        <f>AN30*'Para reporte'!$G$15</f>
        <v>3.3826305852737568</v>
      </c>
      <c r="AO34" s="9">
        <f>AO30*'Para reporte'!$G$15</f>
        <v>3.5399622404027689</v>
      </c>
      <c r="AP34" s="9">
        <f>AP30*'Para reporte'!$G$15</f>
        <v>3.6972938955317809</v>
      </c>
      <c r="AQ34" s="9">
        <f>AQ30*'Para reporte'!$G$15</f>
        <v>3.7366268093140338</v>
      </c>
    </row>
    <row r="35" spans="1:43" x14ac:dyDescent="0.35">
      <c r="G35" s="4" t="str">
        <f>Vaciado!B13</f>
        <v>D</v>
      </c>
      <c r="H35" s="9">
        <f>H30*'Para reporte'!$G$16</f>
        <v>0</v>
      </c>
      <c r="I35" s="9">
        <f>I30*'Para reporte'!$G$16</f>
        <v>0</v>
      </c>
      <c r="J35" s="9">
        <f>J30*'Para reporte'!$G$16</f>
        <v>0</v>
      </c>
      <c r="K35" s="9">
        <f>K30*'Para reporte'!$G$16</f>
        <v>0</v>
      </c>
      <c r="L35" s="9">
        <f>L30*'Para reporte'!$G$16</f>
        <v>0</v>
      </c>
      <c r="M35" s="9">
        <f>M30*'Para reporte'!$G$16</f>
        <v>0</v>
      </c>
      <c r="N35" s="9">
        <f>N30*'Para reporte'!$G$16</f>
        <v>0</v>
      </c>
      <c r="O35" s="9">
        <f>O30*'Para reporte'!$G$16</f>
        <v>0</v>
      </c>
      <c r="P35" s="9">
        <f>P30*'Para reporte'!$G$16</f>
        <v>0</v>
      </c>
      <c r="Q35" s="9">
        <f>Q30*'Para reporte'!$G$16</f>
        <v>0</v>
      </c>
      <c r="R35" s="9">
        <f>R30*'Para reporte'!$G$16</f>
        <v>0</v>
      </c>
      <c r="S35" s="9">
        <f>S30*'Para reporte'!$G$16</f>
        <v>1.9823788546255508E-2</v>
      </c>
      <c r="T35" s="9">
        <f>T30*'Para reporte'!$G$16</f>
        <v>0</v>
      </c>
      <c r="U35" s="9">
        <f>U30*'Para reporte'!$G$16</f>
        <v>3.9647577092511016E-2</v>
      </c>
      <c r="V35" s="9">
        <f>V30*'Para reporte'!$G$16</f>
        <v>0.13876651982378857</v>
      </c>
      <c r="W35" s="9">
        <f>W30*'Para reporte'!$G$16</f>
        <v>0.37665198237885467</v>
      </c>
      <c r="X35" s="9">
        <f>X30*'Para reporte'!$G$16</f>
        <v>0.37665198237885467</v>
      </c>
      <c r="Y35" s="9">
        <f>Y30*'Para reporte'!$G$16</f>
        <v>0.59471365638766527</v>
      </c>
      <c r="Z35" s="9">
        <f>Z30*'Para reporte'!$G$16</f>
        <v>0.67400881057268724</v>
      </c>
      <c r="AA35" s="9">
        <f>AA30*'Para reporte'!$G$16</f>
        <v>0.67400881057268724</v>
      </c>
      <c r="AB35" s="9">
        <f>AB30*'Para reporte'!$G$16</f>
        <v>0.75330396475770933</v>
      </c>
      <c r="AC35" s="9">
        <f>AC30*'Para reporte'!$G$16</f>
        <v>0.75330396475770933</v>
      </c>
      <c r="AD35" s="9">
        <f>AD30*'Para reporte'!$G$16</f>
        <v>0.75330396475770933</v>
      </c>
      <c r="AE35" s="9">
        <f>AE30*'Para reporte'!$G$16</f>
        <v>0.77312775330396477</v>
      </c>
      <c r="AF35" s="9">
        <f>AF30*'Para reporte'!$G$16</f>
        <v>0.75330396475770933</v>
      </c>
      <c r="AG35" s="9">
        <f>AG30*'Para reporte'!$G$16</f>
        <v>0.79295154185022032</v>
      </c>
      <c r="AH35" s="9">
        <f>AH30*'Para reporte'!$G$16</f>
        <v>0.89207048458149785</v>
      </c>
      <c r="AI35" s="9">
        <f>AI30*'Para reporte'!$G$16</f>
        <v>1.1497797356828194</v>
      </c>
      <c r="AJ35" s="9">
        <f>AJ30*'Para reporte'!$G$16</f>
        <v>1.169603524229075</v>
      </c>
      <c r="AK35" s="9">
        <f>AK30*'Para reporte'!$G$16</f>
        <v>1.4074889867841411</v>
      </c>
      <c r="AL35" s="9">
        <f>AL30*'Para reporte'!$G$16</f>
        <v>1.5066079295154187</v>
      </c>
      <c r="AM35" s="9">
        <f>AM30*'Para reporte'!$G$16</f>
        <v>1.5660792951541851</v>
      </c>
      <c r="AN35" s="9">
        <f>AN30*'Para reporte'!$G$16</f>
        <v>1.7048458149779737</v>
      </c>
      <c r="AO35" s="9">
        <f>AO30*'Para reporte'!$G$16</f>
        <v>1.7841409691629957</v>
      </c>
      <c r="AP35" s="9">
        <f>AP30*'Para reporte'!$G$16</f>
        <v>1.8634361233480177</v>
      </c>
      <c r="AQ35" s="9">
        <f>AQ30*'Para reporte'!$G$16</f>
        <v>1.8832599118942732</v>
      </c>
    </row>
    <row r="36" spans="1:43" x14ac:dyDescent="0.35">
      <c r="G36" s="4" t="str">
        <f>Vaciado!B14</f>
        <v>E</v>
      </c>
      <c r="H36" s="9">
        <f>H30*'Para reporte'!$G$17</f>
        <v>0</v>
      </c>
      <c r="I36" s="9">
        <f>I30*'Para reporte'!$G$17</f>
        <v>0</v>
      </c>
      <c r="J36" s="9">
        <f>J30*'Para reporte'!$G$17</f>
        <v>0</v>
      </c>
      <c r="K36" s="9">
        <f>K30*'Para reporte'!$G$17</f>
        <v>0</v>
      </c>
      <c r="L36" s="9">
        <f>L30*'Para reporte'!$G$17</f>
        <v>0</v>
      </c>
      <c r="M36" s="9">
        <f>M30*'Para reporte'!$G$17</f>
        <v>0</v>
      </c>
      <c r="N36" s="9">
        <f>N30*'Para reporte'!$G$17</f>
        <v>0</v>
      </c>
      <c r="O36" s="9">
        <f>O30*'Para reporte'!$G$17</f>
        <v>0</v>
      </c>
      <c r="P36" s="9">
        <f>P30*'Para reporte'!$G$17</f>
        <v>0</v>
      </c>
      <c r="Q36" s="9">
        <f>Q30*'Para reporte'!$G$17</f>
        <v>0</v>
      </c>
      <c r="R36" s="9">
        <f>R30*'Para reporte'!$G$17</f>
        <v>0</v>
      </c>
      <c r="S36" s="9">
        <f>S30*'Para reporte'!$G$17</f>
        <v>0</v>
      </c>
      <c r="T36" s="9">
        <f>T30*'Para reporte'!$G$17</f>
        <v>0</v>
      </c>
      <c r="U36" s="9">
        <f>U30*'Para reporte'!$G$17</f>
        <v>0</v>
      </c>
      <c r="V36" s="9">
        <f>V30*'Para reporte'!$G$17</f>
        <v>0</v>
      </c>
      <c r="W36" s="9">
        <f>W30*'Para reporte'!$G$17</f>
        <v>0</v>
      </c>
      <c r="X36" s="9">
        <f>X30*'Para reporte'!$G$17</f>
        <v>0</v>
      </c>
      <c r="Y36" s="9">
        <f>Y30*'Para reporte'!$G$17</f>
        <v>0</v>
      </c>
      <c r="Z36" s="9">
        <f>Z30*'Para reporte'!$G$17</f>
        <v>0</v>
      </c>
      <c r="AA36" s="9">
        <f>AA30*'Para reporte'!$G$17</f>
        <v>0</v>
      </c>
      <c r="AB36" s="9">
        <f>AB30*'Para reporte'!$G$17</f>
        <v>0</v>
      </c>
      <c r="AC36" s="9">
        <f>AC30*'Para reporte'!$G$17</f>
        <v>0</v>
      </c>
      <c r="AD36" s="9">
        <f>AD30*'Para reporte'!$G$17</f>
        <v>0</v>
      </c>
      <c r="AE36" s="9">
        <f>AE30*'Para reporte'!$G$17</f>
        <v>0</v>
      </c>
      <c r="AF36" s="9">
        <f>AF30*'Para reporte'!$G$17</f>
        <v>0</v>
      </c>
      <c r="AG36" s="9">
        <f>AG30*'Para reporte'!$G$17</f>
        <v>0</v>
      </c>
      <c r="AH36" s="9">
        <f>AH30*'Para reporte'!$G$17</f>
        <v>0</v>
      </c>
      <c r="AI36" s="9">
        <f>AI30*'Para reporte'!$G$17</f>
        <v>0</v>
      </c>
      <c r="AJ36" s="9">
        <f>AJ30*'Para reporte'!$G$17</f>
        <v>0</v>
      </c>
      <c r="AK36" s="9">
        <f>AK30*'Para reporte'!$G$17</f>
        <v>0</v>
      </c>
      <c r="AL36" s="9">
        <f>AL30*'Para reporte'!$G$17</f>
        <v>0</v>
      </c>
      <c r="AM36" s="9">
        <f>AM30*'Para reporte'!$G$17</f>
        <v>0</v>
      </c>
      <c r="AN36" s="9">
        <f>AN30*'Para reporte'!$G$17</f>
        <v>0</v>
      </c>
      <c r="AO36" s="9">
        <f>AO30*'Para reporte'!$G$17</f>
        <v>0</v>
      </c>
      <c r="AP36" s="9">
        <f>AP30*'Para reporte'!$G$17</f>
        <v>0</v>
      </c>
      <c r="AQ36" s="9">
        <f>AQ30*'Para reporte'!$G$17</f>
        <v>0</v>
      </c>
    </row>
    <row r="38" spans="1:43" x14ac:dyDescent="0.35">
      <c r="G38" s="84" t="s">
        <v>93</v>
      </c>
    </row>
    <row r="39" spans="1:43" x14ac:dyDescent="0.35">
      <c r="G39" s="4" t="str">
        <f>Vaciado!B10</f>
        <v>A</v>
      </c>
      <c r="H39" s="9">
        <f>H5+H16+H32</f>
        <v>1</v>
      </c>
      <c r="I39" s="9">
        <f t="shared" ref="I39:AQ39" si="12">I5+I16+I32</f>
        <v>0</v>
      </c>
      <c r="J39" s="9">
        <f t="shared" si="12"/>
        <v>1</v>
      </c>
      <c r="K39" s="9">
        <f t="shared" si="12"/>
        <v>3</v>
      </c>
      <c r="L39" s="9">
        <f t="shared" si="12"/>
        <v>8</v>
      </c>
      <c r="M39" s="9">
        <f t="shared" si="12"/>
        <v>8</v>
      </c>
      <c r="N39" s="9">
        <f t="shared" si="12"/>
        <v>12</v>
      </c>
      <c r="O39" s="9">
        <f t="shared" si="12"/>
        <v>16</v>
      </c>
      <c r="P39" s="9">
        <f t="shared" si="12"/>
        <v>16</v>
      </c>
      <c r="Q39" s="9">
        <f t="shared" si="12"/>
        <v>20</v>
      </c>
      <c r="R39" s="9">
        <f t="shared" si="12"/>
        <v>20</v>
      </c>
      <c r="S39" s="9">
        <f t="shared" si="12"/>
        <v>20.295783511642544</v>
      </c>
      <c r="T39" s="9">
        <f t="shared" si="12"/>
        <v>20</v>
      </c>
      <c r="U39" s="9">
        <f t="shared" si="12"/>
        <v>20.591567023285084</v>
      </c>
      <c r="V39" s="9">
        <f t="shared" si="12"/>
        <v>22.070484581497798</v>
      </c>
      <c r="W39" s="9">
        <f t="shared" si="12"/>
        <v>25.619886721208307</v>
      </c>
      <c r="X39" s="9">
        <f t="shared" si="12"/>
        <v>26.619886721208307</v>
      </c>
      <c r="Y39" s="9">
        <f t="shared" si="12"/>
        <v>30.873505349276272</v>
      </c>
      <c r="Z39" s="9">
        <f t="shared" si="12"/>
        <v>33.056639395846446</v>
      </c>
      <c r="AA39" s="9">
        <f t="shared" si="12"/>
        <v>34.056639395846446</v>
      </c>
      <c r="AB39" s="9">
        <f t="shared" si="12"/>
        <v>37.239773442416613</v>
      </c>
      <c r="AC39" s="9">
        <f t="shared" si="12"/>
        <v>39.239773442416613</v>
      </c>
      <c r="AD39" s="9">
        <f t="shared" si="12"/>
        <v>42.239773442416613</v>
      </c>
      <c r="AE39" s="9">
        <f t="shared" si="12"/>
        <v>45.53555695405916</v>
      </c>
      <c r="AF39" s="9">
        <f t="shared" si="12"/>
        <v>45.239773442416613</v>
      </c>
      <c r="AG39" s="9">
        <f t="shared" si="12"/>
        <v>45.8313404657017</v>
      </c>
      <c r="AH39" s="9">
        <f t="shared" si="12"/>
        <v>48.310258023914415</v>
      </c>
      <c r="AI39" s="9">
        <f t="shared" si="12"/>
        <v>53.155443675267463</v>
      </c>
      <c r="AJ39" s="9">
        <f t="shared" si="12"/>
        <v>54.451227186910003</v>
      </c>
      <c r="AK39" s="9">
        <f t="shared" si="12"/>
        <v>60.000629326620512</v>
      </c>
      <c r="AL39" s="9">
        <f t="shared" si="12"/>
        <v>63.479546884833226</v>
      </c>
      <c r="AM39" s="9">
        <f t="shared" si="12"/>
        <v>67.366897419760846</v>
      </c>
      <c r="AN39" s="9">
        <f t="shared" si="12"/>
        <v>73.437382001258655</v>
      </c>
      <c r="AO39" s="9">
        <f t="shared" si="12"/>
        <v>79.620516047828829</v>
      </c>
      <c r="AP39" s="9">
        <f t="shared" si="12"/>
        <v>86.803650094398989</v>
      </c>
      <c r="AQ39" s="9">
        <f t="shared" si="12"/>
        <v>94.099433606041529</v>
      </c>
    </row>
    <row r="40" spans="1:43" x14ac:dyDescent="0.35">
      <c r="G40" s="4" t="str">
        <f>Vaciado!B11</f>
        <v>B</v>
      </c>
      <c r="H40" s="9">
        <f t="shared" ref="H40:AQ40" si="13">H6+H17+H33</f>
        <v>0</v>
      </c>
      <c r="I40" s="9">
        <f t="shared" si="13"/>
        <v>0</v>
      </c>
      <c r="J40" s="9">
        <f t="shared" si="13"/>
        <v>1</v>
      </c>
      <c r="K40" s="9">
        <f t="shared" si="13"/>
        <v>2</v>
      </c>
      <c r="L40" s="9">
        <f t="shared" si="13"/>
        <v>8</v>
      </c>
      <c r="M40" s="9">
        <f t="shared" si="13"/>
        <v>8</v>
      </c>
      <c r="N40" s="9">
        <f t="shared" si="13"/>
        <v>12</v>
      </c>
      <c r="O40" s="9">
        <f t="shared" si="13"/>
        <v>12</v>
      </c>
      <c r="P40" s="9">
        <f t="shared" si="13"/>
        <v>12</v>
      </c>
      <c r="Q40" s="9">
        <f t="shared" si="13"/>
        <v>12</v>
      </c>
      <c r="R40" s="9">
        <f t="shared" si="13"/>
        <v>12</v>
      </c>
      <c r="S40" s="9">
        <f t="shared" si="13"/>
        <v>12.145059786028948</v>
      </c>
      <c r="T40" s="9">
        <f t="shared" si="13"/>
        <v>12</v>
      </c>
      <c r="U40" s="9">
        <f t="shared" si="13"/>
        <v>12.290119572057899</v>
      </c>
      <c r="V40" s="9">
        <f t="shared" si="13"/>
        <v>13.015418502202643</v>
      </c>
      <c r="W40" s="9">
        <f t="shared" si="13"/>
        <v>14.756135934550031</v>
      </c>
      <c r="X40" s="9">
        <f t="shared" si="13"/>
        <v>14.756135934550031</v>
      </c>
      <c r="Y40" s="9">
        <f t="shared" si="13"/>
        <v>16.35179358086847</v>
      </c>
      <c r="Z40" s="9">
        <f t="shared" si="13"/>
        <v>16.932032724984268</v>
      </c>
      <c r="AA40" s="9">
        <f t="shared" si="13"/>
        <v>16.932032724984268</v>
      </c>
      <c r="AB40" s="9">
        <f t="shared" si="13"/>
        <v>18.512271869100061</v>
      </c>
      <c r="AC40" s="9">
        <f t="shared" si="13"/>
        <v>19.512271869100061</v>
      </c>
      <c r="AD40" s="9">
        <f t="shared" si="13"/>
        <v>20.512271869100061</v>
      </c>
      <c r="AE40" s="9">
        <f t="shared" si="13"/>
        <v>21.657331655129013</v>
      </c>
      <c r="AF40" s="9">
        <f t="shared" si="13"/>
        <v>21.512271869100061</v>
      </c>
      <c r="AG40" s="9">
        <f t="shared" si="13"/>
        <v>21.802391441157962</v>
      </c>
      <c r="AH40" s="9">
        <f t="shared" si="13"/>
        <v>22.527690371302707</v>
      </c>
      <c r="AI40" s="9">
        <f t="shared" si="13"/>
        <v>24.413467589679044</v>
      </c>
      <c r="AJ40" s="9">
        <f t="shared" si="13"/>
        <v>24.558527375707992</v>
      </c>
      <c r="AK40" s="9">
        <f t="shared" si="13"/>
        <v>26.299244808055381</v>
      </c>
      <c r="AL40" s="9">
        <f t="shared" si="13"/>
        <v>28.024543738200126</v>
      </c>
      <c r="AM40" s="9">
        <f t="shared" si="13"/>
        <v>29.459723096286972</v>
      </c>
      <c r="AN40" s="9">
        <f t="shared" si="13"/>
        <v>31.475141598489618</v>
      </c>
      <c r="AO40" s="9">
        <f t="shared" si="13"/>
        <v>33.055380742605415</v>
      </c>
      <c r="AP40" s="9">
        <f t="shared" si="13"/>
        <v>35.635619886721209</v>
      </c>
      <c r="AQ40" s="9">
        <f t="shared" si="13"/>
        <v>37.780679672750161</v>
      </c>
    </row>
    <row r="41" spans="1:43" x14ac:dyDescent="0.35">
      <c r="G41" s="4" t="str">
        <f>Vaciado!B12</f>
        <v>C</v>
      </c>
      <c r="H41" s="9">
        <f t="shared" ref="H41:AQ41" si="14">H7+H18+H34</f>
        <v>0</v>
      </c>
      <c r="I41" s="9">
        <f t="shared" si="14"/>
        <v>0</v>
      </c>
      <c r="J41" s="9">
        <f t="shared" si="14"/>
        <v>0</v>
      </c>
      <c r="K41" s="9">
        <f t="shared" si="14"/>
        <v>1</v>
      </c>
      <c r="L41" s="9">
        <f t="shared" si="14"/>
        <v>2</v>
      </c>
      <c r="M41" s="9">
        <f t="shared" si="14"/>
        <v>2</v>
      </c>
      <c r="N41" s="9">
        <f t="shared" si="14"/>
        <v>4</v>
      </c>
      <c r="O41" s="9">
        <f t="shared" si="14"/>
        <v>4</v>
      </c>
      <c r="P41" s="9">
        <f t="shared" si="14"/>
        <v>4</v>
      </c>
      <c r="Q41" s="9">
        <f t="shared" si="14"/>
        <v>4</v>
      </c>
      <c r="R41" s="9">
        <f t="shared" si="14"/>
        <v>4</v>
      </c>
      <c r="S41" s="9">
        <f t="shared" si="14"/>
        <v>4.0393329137822533</v>
      </c>
      <c r="T41" s="9">
        <f t="shared" si="14"/>
        <v>4</v>
      </c>
      <c r="U41" s="9">
        <f t="shared" si="14"/>
        <v>4.0786658275645058</v>
      </c>
      <c r="V41" s="9">
        <f t="shared" si="14"/>
        <v>4.2753303964757707</v>
      </c>
      <c r="W41" s="9">
        <f t="shared" si="14"/>
        <v>4.7473253618628064</v>
      </c>
      <c r="X41" s="9">
        <f t="shared" si="14"/>
        <v>4.7473253618628064</v>
      </c>
      <c r="Y41" s="9">
        <f t="shared" si="14"/>
        <v>5.1799874134675896</v>
      </c>
      <c r="Z41" s="9">
        <f t="shared" si="14"/>
        <v>5.3373190685966012</v>
      </c>
      <c r="AA41" s="9">
        <f t="shared" si="14"/>
        <v>5.3373190685966012</v>
      </c>
      <c r="AB41" s="9">
        <f t="shared" si="14"/>
        <v>5.4946507237256137</v>
      </c>
      <c r="AC41" s="9">
        <f t="shared" si="14"/>
        <v>5.4946507237256137</v>
      </c>
      <c r="AD41" s="9">
        <f t="shared" si="14"/>
        <v>5.4946507237256137</v>
      </c>
      <c r="AE41" s="9">
        <f t="shared" si="14"/>
        <v>5.5339836375078661</v>
      </c>
      <c r="AF41" s="9">
        <f t="shared" si="14"/>
        <v>5.4946507237256137</v>
      </c>
      <c r="AG41" s="9">
        <f t="shared" si="14"/>
        <v>5.5733165512901195</v>
      </c>
      <c r="AH41" s="9">
        <f t="shared" si="14"/>
        <v>5.7699811202013844</v>
      </c>
      <c r="AI41" s="9">
        <f t="shared" si="14"/>
        <v>6.2813089993706734</v>
      </c>
      <c r="AJ41" s="9">
        <f t="shared" si="14"/>
        <v>6.3206419131529259</v>
      </c>
      <c r="AK41" s="9">
        <f t="shared" si="14"/>
        <v>6.7926368785399625</v>
      </c>
      <c r="AL41" s="9">
        <f t="shared" si="14"/>
        <v>6.9893014474512274</v>
      </c>
      <c r="AM41" s="9">
        <f t="shared" si="14"/>
        <v>7.1073001887979856</v>
      </c>
      <c r="AN41" s="9">
        <f t="shared" si="14"/>
        <v>7.3826305852737573</v>
      </c>
      <c r="AO41" s="9">
        <f t="shared" si="14"/>
        <v>7.5399622404027689</v>
      </c>
      <c r="AP41" s="9">
        <f t="shared" si="14"/>
        <v>7.6972938955317804</v>
      </c>
      <c r="AQ41" s="9">
        <f t="shared" si="14"/>
        <v>7.7366268093140338</v>
      </c>
    </row>
    <row r="42" spans="1:43" x14ac:dyDescent="0.35">
      <c r="G42" s="4" t="str">
        <f>Vaciado!B13</f>
        <v>D</v>
      </c>
      <c r="H42" s="9">
        <f t="shared" ref="H42:AQ42" si="15">H8+H19+H35</f>
        <v>0</v>
      </c>
      <c r="I42" s="9">
        <f t="shared" si="15"/>
        <v>0</v>
      </c>
      <c r="J42" s="9">
        <f t="shared" si="15"/>
        <v>0</v>
      </c>
      <c r="K42" s="9">
        <f t="shared" si="15"/>
        <v>1</v>
      </c>
      <c r="L42" s="9">
        <f t="shared" si="15"/>
        <v>1</v>
      </c>
      <c r="M42" s="9">
        <f t="shared" si="15"/>
        <v>1</v>
      </c>
      <c r="N42" s="9">
        <f t="shared" si="15"/>
        <v>2</v>
      </c>
      <c r="O42" s="9">
        <f t="shared" si="15"/>
        <v>2</v>
      </c>
      <c r="P42" s="9">
        <f t="shared" si="15"/>
        <v>2</v>
      </c>
      <c r="Q42" s="9">
        <f t="shared" si="15"/>
        <v>2</v>
      </c>
      <c r="R42" s="9">
        <f t="shared" si="15"/>
        <v>2</v>
      </c>
      <c r="S42" s="9">
        <f t="shared" si="15"/>
        <v>2.0198237885462555</v>
      </c>
      <c r="T42" s="9">
        <f t="shared" si="15"/>
        <v>2</v>
      </c>
      <c r="U42" s="9">
        <f t="shared" si="15"/>
        <v>2.0396475770925111</v>
      </c>
      <c r="V42" s="9">
        <f t="shared" si="15"/>
        <v>2.1387665198237884</v>
      </c>
      <c r="W42" s="9">
        <f t="shared" si="15"/>
        <v>2.3766519823788546</v>
      </c>
      <c r="X42" s="9">
        <f t="shared" si="15"/>
        <v>2.3766519823788546</v>
      </c>
      <c r="Y42" s="9">
        <f t="shared" si="15"/>
        <v>2.5947136563876652</v>
      </c>
      <c r="Z42" s="9">
        <f t="shared" si="15"/>
        <v>2.6740088105726874</v>
      </c>
      <c r="AA42" s="9">
        <f t="shared" si="15"/>
        <v>2.6740088105726874</v>
      </c>
      <c r="AB42" s="9">
        <f t="shared" si="15"/>
        <v>2.7533039647577091</v>
      </c>
      <c r="AC42" s="9">
        <f t="shared" si="15"/>
        <v>2.7533039647577091</v>
      </c>
      <c r="AD42" s="9">
        <f t="shared" si="15"/>
        <v>2.7533039647577091</v>
      </c>
      <c r="AE42" s="9">
        <f t="shared" si="15"/>
        <v>2.7731277533039647</v>
      </c>
      <c r="AF42" s="9">
        <f t="shared" si="15"/>
        <v>2.7533039647577091</v>
      </c>
      <c r="AG42" s="9">
        <f t="shared" si="15"/>
        <v>2.7929515418502202</v>
      </c>
      <c r="AH42" s="9">
        <f t="shared" si="15"/>
        <v>2.892070484581498</v>
      </c>
      <c r="AI42" s="9">
        <f t="shared" si="15"/>
        <v>3.1497797356828192</v>
      </c>
      <c r="AJ42" s="9">
        <f t="shared" si="15"/>
        <v>3.1696035242290748</v>
      </c>
      <c r="AK42" s="9">
        <f t="shared" si="15"/>
        <v>3.4074889867841414</v>
      </c>
      <c r="AL42" s="9">
        <f t="shared" si="15"/>
        <v>3.5066079295154187</v>
      </c>
      <c r="AM42" s="9">
        <f t="shared" si="15"/>
        <v>3.5660792951541849</v>
      </c>
      <c r="AN42" s="9">
        <f t="shared" si="15"/>
        <v>3.7048458149779737</v>
      </c>
      <c r="AO42" s="9">
        <f t="shared" si="15"/>
        <v>3.7841409691629959</v>
      </c>
      <c r="AP42" s="9">
        <f t="shared" si="15"/>
        <v>3.8634361233480177</v>
      </c>
      <c r="AQ42" s="9">
        <f t="shared" si="15"/>
        <v>3.8832599118942732</v>
      </c>
    </row>
    <row r="43" spans="1:43" x14ac:dyDescent="0.35">
      <c r="G43" s="4" t="str">
        <f>Vaciado!B14</f>
        <v>E</v>
      </c>
      <c r="H43" s="9">
        <f t="shared" ref="H43:AQ43" si="16">H9+H20+H36</f>
        <v>0</v>
      </c>
      <c r="I43" s="9">
        <f t="shared" si="16"/>
        <v>0</v>
      </c>
      <c r="J43" s="9">
        <f t="shared" si="16"/>
        <v>0</v>
      </c>
      <c r="K43" s="9">
        <f t="shared" si="16"/>
        <v>0</v>
      </c>
      <c r="L43" s="9">
        <f t="shared" si="16"/>
        <v>0</v>
      </c>
      <c r="M43" s="9">
        <f t="shared" si="16"/>
        <v>0</v>
      </c>
      <c r="N43" s="9">
        <f t="shared" si="16"/>
        <v>0</v>
      </c>
      <c r="O43" s="9">
        <f t="shared" si="16"/>
        <v>0</v>
      </c>
      <c r="P43" s="9">
        <f t="shared" si="16"/>
        <v>0</v>
      </c>
      <c r="Q43" s="9">
        <f t="shared" si="16"/>
        <v>0</v>
      </c>
      <c r="R43" s="9">
        <f t="shared" si="16"/>
        <v>0</v>
      </c>
      <c r="S43" s="9">
        <f t="shared" si="16"/>
        <v>0</v>
      </c>
      <c r="T43" s="9">
        <f t="shared" si="16"/>
        <v>0</v>
      </c>
      <c r="U43" s="9">
        <f t="shared" si="16"/>
        <v>0</v>
      </c>
      <c r="V43" s="9">
        <f t="shared" si="16"/>
        <v>0</v>
      </c>
      <c r="W43" s="9">
        <f t="shared" si="16"/>
        <v>0</v>
      </c>
      <c r="X43" s="9">
        <f t="shared" si="16"/>
        <v>0</v>
      </c>
      <c r="Y43" s="9">
        <f t="shared" si="16"/>
        <v>0</v>
      </c>
      <c r="Z43" s="9">
        <f t="shared" si="16"/>
        <v>0</v>
      </c>
      <c r="AA43" s="9">
        <f t="shared" si="16"/>
        <v>0</v>
      </c>
      <c r="AB43" s="9">
        <f t="shared" si="16"/>
        <v>0</v>
      </c>
      <c r="AC43" s="9">
        <f t="shared" si="16"/>
        <v>0</v>
      </c>
      <c r="AD43" s="9">
        <f t="shared" si="16"/>
        <v>0</v>
      </c>
      <c r="AE43" s="9">
        <f t="shared" si="16"/>
        <v>0</v>
      </c>
      <c r="AF43" s="9">
        <f t="shared" si="16"/>
        <v>0</v>
      </c>
      <c r="AG43" s="9">
        <f t="shared" si="16"/>
        <v>0</v>
      </c>
      <c r="AH43" s="9">
        <f t="shared" si="16"/>
        <v>0</v>
      </c>
      <c r="AI43" s="9">
        <f t="shared" si="16"/>
        <v>0</v>
      </c>
      <c r="AJ43" s="9">
        <f t="shared" si="16"/>
        <v>0</v>
      </c>
      <c r="AK43" s="9">
        <f t="shared" si="16"/>
        <v>0</v>
      </c>
      <c r="AL43" s="9">
        <f t="shared" si="16"/>
        <v>0</v>
      </c>
      <c r="AM43" s="9">
        <f t="shared" si="16"/>
        <v>0</v>
      </c>
      <c r="AN43" s="9">
        <f t="shared" si="16"/>
        <v>0</v>
      </c>
      <c r="AO43" s="9">
        <f t="shared" si="16"/>
        <v>0</v>
      </c>
      <c r="AP43" s="9">
        <f t="shared" si="16"/>
        <v>0</v>
      </c>
      <c r="AQ43" s="9">
        <f t="shared" si="16"/>
        <v>0</v>
      </c>
    </row>
    <row r="44" spans="1:43" x14ac:dyDescent="0.35">
      <c r="G44" s="87" t="s">
        <v>94</v>
      </c>
      <c r="H44" s="9">
        <f>SUM(H39:H43)</f>
        <v>1</v>
      </c>
      <c r="I44" s="9">
        <f t="shared" ref="I44:AQ44" si="17">SUM(I39:I43)</f>
        <v>0</v>
      </c>
      <c r="J44" s="9">
        <f t="shared" si="17"/>
        <v>2</v>
      </c>
      <c r="K44" s="9">
        <f t="shared" si="17"/>
        <v>7</v>
      </c>
      <c r="L44" s="9">
        <f>SUM(L39:L43)</f>
        <v>19</v>
      </c>
      <c r="M44" s="9">
        <f t="shared" si="17"/>
        <v>19</v>
      </c>
      <c r="N44" s="9">
        <f t="shared" si="17"/>
        <v>30</v>
      </c>
      <c r="O44" s="9">
        <f t="shared" si="17"/>
        <v>34</v>
      </c>
      <c r="P44" s="9">
        <f t="shared" si="17"/>
        <v>34</v>
      </c>
      <c r="Q44" s="9">
        <f t="shared" si="17"/>
        <v>38</v>
      </c>
      <c r="R44" s="9">
        <f t="shared" si="17"/>
        <v>38</v>
      </c>
      <c r="S44" s="9">
        <f t="shared" si="17"/>
        <v>38.5</v>
      </c>
      <c r="T44" s="9">
        <f t="shared" si="17"/>
        <v>38</v>
      </c>
      <c r="U44" s="9">
        <f t="shared" si="17"/>
        <v>39</v>
      </c>
      <c r="V44" s="9">
        <f t="shared" si="17"/>
        <v>41.500000000000007</v>
      </c>
      <c r="W44" s="9">
        <f t="shared" si="17"/>
        <v>47.499999999999993</v>
      </c>
      <c r="X44" s="9">
        <f t="shared" si="17"/>
        <v>48.499999999999993</v>
      </c>
      <c r="Y44" s="9">
        <f t="shared" si="17"/>
        <v>55</v>
      </c>
      <c r="Z44" s="9">
        <f t="shared" si="17"/>
        <v>58</v>
      </c>
      <c r="AA44" s="9">
        <f t="shared" si="17"/>
        <v>59</v>
      </c>
      <c r="AB44" s="9">
        <f t="shared" si="17"/>
        <v>64</v>
      </c>
      <c r="AC44" s="9">
        <f t="shared" si="17"/>
        <v>67</v>
      </c>
      <c r="AD44" s="9">
        <f t="shared" si="17"/>
        <v>71</v>
      </c>
      <c r="AE44" s="9">
        <f t="shared" si="17"/>
        <v>75.500000000000014</v>
      </c>
      <c r="AF44" s="9">
        <f t="shared" si="17"/>
        <v>74.999999999999986</v>
      </c>
      <c r="AG44" s="9">
        <f t="shared" si="17"/>
        <v>76</v>
      </c>
      <c r="AH44" s="9">
        <f>SUM(AH39:AH43)</f>
        <v>79.5</v>
      </c>
      <c r="AI44" s="9">
        <f t="shared" si="17"/>
        <v>87</v>
      </c>
      <c r="AJ44" s="9">
        <f t="shared" si="17"/>
        <v>88.5</v>
      </c>
      <c r="AK44" s="9">
        <f t="shared" si="17"/>
        <v>96.5</v>
      </c>
      <c r="AL44" s="9">
        <f t="shared" si="17"/>
        <v>102</v>
      </c>
      <c r="AM44" s="9">
        <f t="shared" si="17"/>
        <v>107.49999999999999</v>
      </c>
      <c r="AN44" s="9">
        <f t="shared" si="17"/>
        <v>116</v>
      </c>
      <c r="AO44" s="9">
        <f t="shared" si="17"/>
        <v>124.00000000000001</v>
      </c>
      <c r="AP44" s="9">
        <f t="shared" si="17"/>
        <v>133.99999999999997</v>
      </c>
      <c r="AQ44" s="9">
        <f t="shared" si="17"/>
        <v>143.5</v>
      </c>
    </row>
    <row r="46" spans="1:43" x14ac:dyDescent="0.35">
      <c r="A46" t="s">
        <v>106</v>
      </c>
      <c r="G46" s="84" t="s">
        <v>95</v>
      </c>
    </row>
    <row r="47" spans="1:43" x14ac:dyDescent="0.35">
      <c r="C47" s="3">
        <v>2024</v>
      </c>
      <c r="D47" s="3">
        <v>2025</v>
      </c>
      <c r="E47" s="3">
        <v>2026</v>
      </c>
      <c r="G47" s="4" t="str">
        <f>Vaciado!B10</f>
        <v>A</v>
      </c>
      <c r="H47" s="3">
        <f>H39*(((Vaciado!H18*Vaciado!$D$16)/Vaciado!$D$17)/1000)</f>
        <v>1.2333333333333332</v>
      </c>
      <c r="I47" s="3">
        <f>I39*(((Vaciado!I18*Vaciado!$D$16)/Vaciado!$D$17)/1000)</f>
        <v>0</v>
      </c>
      <c r="J47" s="3">
        <f>J39*(((Vaciado!J18*Vaciado!$D$16)/Vaciado!$D$17)/1000)</f>
        <v>1.2333333333333332</v>
      </c>
      <c r="K47" s="3">
        <f>K39*(((Vaciado!K18*Vaciado!$D$16)/Vaciado!$D$17)/1000)</f>
        <v>3.6999999999999993</v>
      </c>
      <c r="L47" s="3">
        <f>L39*(((Vaciado!L18*Vaciado!$D$16)/Vaciado!$D$17)/1000)</f>
        <v>9.8666666666666654</v>
      </c>
      <c r="M47" s="3">
        <f>M39*(((Vaciado!M18*Vaciado!$D$16)/Vaciado!$D$17)/1000)</f>
        <v>9.8666666666666654</v>
      </c>
      <c r="N47" s="3">
        <f>N39*(((Vaciado!N18*Vaciado!$D$16)/Vaciado!$D$17)/1000)</f>
        <v>14.799999999999997</v>
      </c>
      <c r="O47" s="3">
        <f>O39*(((Vaciado!O18*Vaciado!$D$16)/Vaciado!$D$17)/1000)</f>
        <v>19.733333333333331</v>
      </c>
      <c r="P47" s="3">
        <f>P39*(((Vaciado!P18*Vaciado!$D$16)/Vaciado!$D$17)/1000)</f>
        <v>19.733333333333331</v>
      </c>
      <c r="Q47" s="3">
        <f>Q39*(((Vaciado!Q18*Vaciado!$D$16)/Vaciado!$D$17)/1000)</f>
        <v>24.666666666666664</v>
      </c>
      <c r="R47" s="3">
        <f>R39*(((Vaciado!R18*Vaciado!$D$16)/Vaciado!$D$17)/1000)</f>
        <v>24.666666666666664</v>
      </c>
      <c r="S47" s="3">
        <f>S39*(((Vaciado!S18*Vaciado!$D$16)/Vaciado!$D$17)/1000)</f>
        <v>25.031466331025801</v>
      </c>
      <c r="T47" s="3">
        <f>T39*'Para reporte'!$F$4</f>
        <v>24.666666666666664</v>
      </c>
      <c r="U47" s="3">
        <f>U39*'Para reporte'!$F$4</f>
        <v>25.396265995384933</v>
      </c>
      <c r="V47" s="3">
        <f>V39*'Para reporte'!$F$4</f>
        <v>27.220264317180614</v>
      </c>
      <c r="W47" s="3">
        <f>W39*'Para reporte'!$F$4</f>
        <v>31.597860289490242</v>
      </c>
      <c r="X47" s="3">
        <f>X39*'Para reporte'!$F$4</f>
        <v>32.831193622823577</v>
      </c>
      <c r="Y47" s="3">
        <f>Y39*'Para reporte'!$F$4</f>
        <v>38.077323264107399</v>
      </c>
      <c r="Z47" s="3">
        <f>Z39*'Para reporte'!$F$4</f>
        <v>40.769855254877278</v>
      </c>
      <c r="AA47" s="3">
        <f>AA39*'Para reporte'!$F$4</f>
        <v>42.003188588210612</v>
      </c>
      <c r="AB47" s="3">
        <f>AB39*'Para reporte'!$F$4</f>
        <v>45.929053912313819</v>
      </c>
      <c r="AC47" s="3">
        <f>AC39*'Para reporte'!$F$4</f>
        <v>48.39572057898048</v>
      </c>
      <c r="AD47" s="3">
        <f>AD39*'Para reporte'!$F$4</f>
        <v>52.095720578980483</v>
      </c>
      <c r="AE47" s="3">
        <f>AE39*'Para reporte'!$F$4</f>
        <v>56.160520243339626</v>
      </c>
      <c r="AF47" s="3">
        <f>AF39*'Para reporte'!$F$4</f>
        <v>55.795720578980479</v>
      </c>
      <c r="AG47" s="3">
        <f>AG39*'Para reporte'!$F$4</f>
        <v>56.525319907698758</v>
      </c>
      <c r="AH47" s="3">
        <f>AH39*'Para reporte'!$F$4</f>
        <v>59.58265156282777</v>
      </c>
      <c r="AI47" s="3">
        <f>AI39*'Para reporte'!$F$4</f>
        <v>65.558380532829858</v>
      </c>
      <c r="AJ47" s="3">
        <f>AJ39*'Para reporte'!$F$4</f>
        <v>67.156513530522332</v>
      </c>
      <c r="AK47" s="3">
        <f>AK39*'Para reporte'!$F$4</f>
        <v>74.000776169498621</v>
      </c>
      <c r="AL47" s="3">
        <f>AL39*'Para reporte'!$F$4</f>
        <v>78.291441157960975</v>
      </c>
      <c r="AM47" s="3">
        <f>AM39*'Para reporte'!$F$4</f>
        <v>83.085840151038369</v>
      </c>
      <c r="AN47" s="3">
        <f>AN39*'Para reporte'!$F$4</f>
        <v>90.572771134885656</v>
      </c>
      <c r="AO47" s="3">
        <f>AO39*'Para reporte'!$F$4</f>
        <v>98.198636458988872</v>
      </c>
      <c r="AP47" s="3">
        <f>AP39*'Para reporte'!$F$4</f>
        <v>107.05783511642541</v>
      </c>
      <c r="AQ47" s="3">
        <f>AQ39*'Para reporte'!$F$4</f>
        <v>116.05596811411787</v>
      </c>
    </row>
    <row r="48" spans="1:43" x14ac:dyDescent="0.35">
      <c r="A48" s="11">
        <f>SUM(C48:E48)</f>
        <v>10089.730018879796</v>
      </c>
      <c r="C48" s="4">
        <f>'Para reporte'!J13</f>
        <v>1564.5643136843578</v>
      </c>
      <c r="D48" s="4">
        <f>'Para reporte'!K13</f>
        <v>3364.8210334941605</v>
      </c>
      <c r="E48" s="4">
        <f>'Para reporte'!L13</f>
        <v>5160.3446717012785</v>
      </c>
      <c r="G48" s="4" t="str">
        <f>Vaciado!B11</f>
        <v>B</v>
      </c>
      <c r="H48" s="3">
        <f>H40*(((Vaciado!H19*Vaciado!$D$16)/Vaciado!$D$17)/1000)</f>
        <v>0</v>
      </c>
      <c r="I48" s="3">
        <f>I40*(((Vaciado!I19*Vaciado!$D$16)/Vaciado!$D$17)/1000)</f>
        <v>0</v>
      </c>
      <c r="J48" s="3">
        <f>J40*(((Vaciado!J19*Vaciado!$D$16)/Vaciado!$D$17)/1000)</f>
        <v>4.1111111111111116</v>
      </c>
      <c r="K48" s="3">
        <f>K40*(((Vaciado!K19*Vaciado!$D$16)/Vaciado!$D$17)/1000)</f>
        <v>8.2222222222222232</v>
      </c>
      <c r="L48" s="3">
        <f>L40*(((Vaciado!L19*Vaciado!$D$16)/Vaciado!$D$17)/1000)</f>
        <v>32.888888888888893</v>
      </c>
      <c r="M48" s="3">
        <f>M40*(((Vaciado!M19*Vaciado!$D$16)/Vaciado!$D$17)/1000)</f>
        <v>32.888888888888893</v>
      </c>
      <c r="N48" s="3">
        <f>N40*(((Vaciado!N19*Vaciado!$D$16)/Vaciado!$D$17)/1000)</f>
        <v>49.333333333333343</v>
      </c>
      <c r="O48" s="3">
        <f>O40*(((Vaciado!O19*Vaciado!$D$16)/Vaciado!$D$17)/1000)</f>
        <v>49.333333333333343</v>
      </c>
      <c r="P48" s="3">
        <f>P40*(((Vaciado!P19*Vaciado!$D$16)/Vaciado!$D$17)/1000)</f>
        <v>49.333333333333343</v>
      </c>
      <c r="Q48" s="3">
        <f>Q40*(((Vaciado!Q19*Vaciado!$D$16)/Vaciado!$D$17)/1000)</f>
        <v>49.333333333333343</v>
      </c>
      <c r="R48" s="3">
        <f>R40*(((Vaciado!R19*Vaciado!$D$16)/Vaciado!$D$17)/1000)</f>
        <v>49.333333333333343</v>
      </c>
      <c r="S48" s="3">
        <f>S40*(((Vaciado!S19*Vaciado!$D$16)/Vaciado!$D$17)/1000)</f>
        <v>49.929690231452348</v>
      </c>
      <c r="T48" s="3">
        <f>T40*'Para reporte'!$F$5</f>
        <v>49.333333333333343</v>
      </c>
      <c r="U48" s="3">
        <f>U40*'Para reporte'!$F$5</f>
        <v>50.526047129571367</v>
      </c>
      <c r="V48" s="3">
        <f>V40*'Para reporte'!$F$5</f>
        <v>53.507831620166428</v>
      </c>
      <c r="W48" s="3">
        <f>W40*'Para reporte'!$F$5</f>
        <v>60.664114397594581</v>
      </c>
      <c r="X48" s="3">
        <f>X40*'Para reporte'!$F$5</f>
        <v>60.664114397594581</v>
      </c>
      <c r="Y48" s="3">
        <f>Y40*'Para reporte'!$F$5</f>
        <v>67.224040276903722</v>
      </c>
      <c r="Z48" s="3">
        <f>Z40*'Para reporte'!$F$5</f>
        <v>69.60946786937977</v>
      </c>
      <c r="AA48" s="3">
        <f>AA40*'Para reporte'!$F$5</f>
        <v>69.60946786937977</v>
      </c>
      <c r="AB48" s="3">
        <f>AB40*'Para reporte'!$F$5</f>
        <v>76.106006572966933</v>
      </c>
      <c r="AC48" s="3">
        <f>AC40*'Para reporte'!$F$5</f>
        <v>80.217117684078033</v>
      </c>
      <c r="AD48" s="3">
        <f>AD40*'Para reporte'!$F$5</f>
        <v>84.328228795189148</v>
      </c>
      <c r="AE48" s="3">
        <f>AE40*'Para reporte'!$F$5</f>
        <v>89.035696804419288</v>
      </c>
      <c r="AF48" s="3">
        <f>AF40*'Para reporte'!$F$5</f>
        <v>88.439339906300262</v>
      </c>
      <c r="AG48" s="3">
        <f>AG40*'Para reporte'!$F$5</f>
        <v>89.6320537025383</v>
      </c>
      <c r="AH48" s="3">
        <f>AH40*'Para reporte'!$F$5</f>
        <v>92.613838193133361</v>
      </c>
      <c r="AI48" s="3">
        <f>AI40*'Para reporte'!$F$5</f>
        <v>100.36647786868053</v>
      </c>
      <c r="AJ48" s="3">
        <f>AJ40*'Para reporte'!$F$5</f>
        <v>100.96283476679953</v>
      </c>
      <c r="AK48" s="3">
        <f>AK40*'Para reporte'!$F$5</f>
        <v>108.11911754422769</v>
      </c>
      <c r="AL48" s="3">
        <f>AL40*'Para reporte'!$F$5</f>
        <v>115.21201314593387</v>
      </c>
      <c r="AM48" s="3">
        <f>AM40*'Para reporte'!$F$5</f>
        <v>121.112194951402</v>
      </c>
      <c r="AN48" s="3">
        <f>AN40*'Para reporte'!$F$5</f>
        <v>129.39780434934622</v>
      </c>
      <c r="AO48" s="3">
        <f>AO40*'Para reporte'!$F$5</f>
        <v>135.89434305293338</v>
      </c>
      <c r="AP48" s="3">
        <f>AP40*'Para reporte'!$F$5</f>
        <v>146.50199286763166</v>
      </c>
      <c r="AQ48" s="3">
        <f>AQ40*'Para reporte'!$F$5</f>
        <v>155.3205719879729</v>
      </c>
    </row>
    <row r="49" spans="1:43" x14ac:dyDescent="0.35">
      <c r="A49" s="11">
        <f>SUM(C49:E49)</f>
        <v>10089.730018879796</v>
      </c>
      <c r="C49" s="4">
        <f>SUM(H52:S52)</f>
        <v>1564.5643136843578</v>
      </c>
      <c r="D49" s="4">
        <f>SUM(T52:AE52)</f>
        <v>3364.8210334941605</v>
      </c>
      <c r="E49" s="4">
        <f>SUM(AF52:AQ52)</f>
        <v>5160.3446717012785</v>
      </c>
      <c r="G49" s="4" t="str">
        <f>Vaciado!B12</f>
        <v>C</v>
      </c>
      <c r="H49" s="3">
        <f>H41*(((Vaciado!H20*Vaciado!$D$16)/Vaciado!$D$17)/1000)</f>
        <v>0</v>
      </c>
      <c r="I49" s="3">
        <f>I41*(((Vaciado!I20*Vaciado!$D$16)/Vaciado!$D$17)/1000)</f>
        <v>0</v>
      </c>
      <c r="J49" s="3">
        <f>J41*(((Vaciado!J20*Vaciado!$D$16)/Vaciado!$D$17)/1000)</f>
        <v>0</v>
      </c>
      <c r="K49" s="3">
        <f>K41*(((Vaciado!K20*Vaciado!$D$16)/Vaciado!$D$17)/1000)</f>
        <v>14.388888888888889</v>
      </c>
      <c r="L49" s="3">
        <f>L41*(((Vaciado!L20*Vaciado!$D$16)/Vaciado!$D$17)/1000)</f>
        <v>28.777777777777779</v>
      </c>
      <c r="M49" s="3">
        <f>M41*(((Vaciado!M20*Vaciado!$D$16)/Vaciado!$D$17)/1000)</f>
        <v>28.777777777777779</v>
      </c>
      <c r="N49" s="3">
        <f>N41*(((Vaciado!N20*Vaciado!$D$16)/Vaciado!$D$17)/1000)</f>
        <v>57.555555555555557</v>
      </c>
      <c r="O49" s="3">
        <f>O41*(((Vaciado!O20*Vaciado!$D$16)/Vaciado!$D$17)/1000)</f>
        <v>57.555555555555557</v>
      </c>
      <c r="P49" s="3">
        <f>P41*(((Vaciado!P20*Vaciado!$D$16)/Vaciado!$D$17)/1000)</f>
        <v>57.555555555555557</v>
      </c>
      <c r="Q49" s="3">
        <f>Q41*(((Vaciado!Q20*Vaciado!$D$16)/Vaciado!$D$17)/1000)</f>
        <v>57.555555555555557</v>
      </c>
      <c r="R49" s="3">
        <f>R41*(((Vaciado!R20*Vaciado!$D$16)/Vaciado!$D$17)/1000)</f>
        <v>57.555555555555557</v>
      </c>
      <c r="S49" s="3">
        <f>S41*(((Vaciado!S20*Vaciado!$D$16)/Vaciado!$D$17)/1000)</f>
        <v>58.12151248164465</v>
      </c>
      <c r="T49" s="3">
        <f>T41*'Para reporte'!$F$6</f>
        <v>57.555555555555557</v>
      </c>
      <c r="U49" s="3">
        <f>U41*'Para reporte'!$F$6</f>
        <v>58.687469407733722</v>
      </c>
      <c r="V49" s="3">
        <f>V41*'Para reporte'!$F$6</f>
        <v>61.517254038179146</v>
      </c>
      <c r="W49" s="3">
        <f>W41*'Para reporte'!$F$6</f>
        <v>68.308737151248167</v>
      </c>
      <c r="X49" s="3">
        <f>X41*'Para reporte'!$F$6</f>
        <v>68.308737151248167</v>
      </c>
      <c r="Y49" s="3">
        <f>Y41*'Para reporte'!$F$6</f>
        <v>74.534263338228101</v>
      </c>
      <c r="Z49" s="3">
        <f>Z41*'Para reporte'!$F$6</f>
        <v>76.798091042584431</v>
      </c>
      <c r="AA49" s="3">
        <f>AA41*'Para reporte'!$F$6</f>
        <v>76.798091042584431</v>
      </c>
      <c r="AB49" s="3">
        <f>AB41*'Para reporte'!$F$6</f>
        <v>79.061918746940776</v>
      </c>
      <c r="AC49" s="3">
        <f>AC41*'Para reporte'!$F$6</f>
        <v>79.061918746940776</v>
      </c>
      <c r="AD49" s="3">
        <f>AD41*'Para reporte'!$F$6</f>
        <v>79.061918746940776</v>
      </c>
      <c r="AE49" s="3">
        <f>AE41*'Para reporte'!$F$6</f>
        <v>79.627875673029848</v>
      </c>
      <c r="AF49" s="3">
        <f>AF41*'Para reporte'!$F$6</f>
        <v>79.061918746940776</v>
      </c>
      <c r="AG49" s="3">
        <f>AG41*'Para reporte'!$F$6</f>
        <v>80.193832599118949</v>
      </c>
      <c r="AH49" s="3">
        <f>AH41*'Para reporte'!$F$6</f>
        <v>83.023617229564366</v>
      </c>
      <c r="AI49" s="3">
        <f>AI41*'Para reporte'!$F$6</f>
        <v>90.381057268722472</v>
      </c>
      <c r="AJ49" s="3">
        <f>AJ41*'Para reporte'!$F$6</f>
        <v>90.947014194811544</v>
      </c>
      <c r="AK49" s="3">
        <f>AK41*'Para reporte'!$F$6</f>
        <v>97.738497307880579</v>
      </c>
      <c r="AL49" s="3">
        <f>AL41*'Para reporte'!$F$6</f>
        <v>100.568281938326</v>
      </c>
      <c r="AM49" s="3">
        <f>AM41*'Para reporte'!$F$6</f>
        <v>102.26615271659324</v>
      </c>
      <c r="AN49" s="3">
        <f>AN41*'Para reporte'!$F$6</f>
        <v>106.22785119921684</v>
      </c>
      <c r="AO49" s="3">
        <f>AO41*'Para reporte'!$F$6</f>
        <v>108.49167890357317</v>
      </c>
      <c r="AP49" s="3">
        <f>AP41*'Para reporte'!$F$6</f>
        <v>110.7555066079295</v>
      </c>
      <c r="AQ49" s="3">
        <f>AQ41*'Para reporte'!$F$6</f>
        <v>111.3214635340186</v>
      </c>
    </row>
    <row r="50" spans="1:43" x14ac:dyDescent="0.35">
      <c r="A50" s="11">
        <f>SUM(C50:E50)</f>
        <v>10089.7300188798</v>
      </c>
      <c r="C50" s="4">
        <f>C57+C65+C73</f>
        <v>1564.564313684358</v>
      </c>
      <c r="D50" s="4">
        <f>D57+D65+D73</f>
        <v>3364.8210334941614</v>
      </c>
      <c r="E50" s="4">
        <f>E57+E65+E73</f>
        <v>5160.3446717012794</v>
      </c>
      <c r="G50" s="4" t="str">
        <f>Vaciado!B13</f>
        <v>D</v>
      </c>
      <c r="H50" s="3">
        <f>H42*(((Vaciado!H21*Vaciado!$D$16)/Vaciado!$D$17)/1000)</f>
        <v>0</v>
      </c>
      <c r="I50" s="3">
        <f>I42*(((Vaciado!I21*Vaciado!$D$16)/Vaciado!$D$17)/1000)</f>
        <v>0</v>
      </c>
      <c r="J50" s="3">
        <f>J42*(((Vaciado!J21*Vaciado!$D$16)/Vaciado!$D$17)/1000)</f>
        <v>0</v>
      </c>
      <c r="K50" s="3">
        <f>K42*(((Vaciado!K21*Vaciado!$D$16)/Vaciado!$D$17)/1000)</f>
        <v>41.111111111111107</v>
      </c>
      <c r="L50" s="3">
        <f>L42*(((Vaciado!L21*Vaciado!$D$16)/Vaciado!$D$17)/1000)</f>
        <v>41.111111111111107</v>
      </c>
      <c r="M50" s="3">
        <f>M42*(((Vaciado!M21*Vaciado!$D$16)/Vaciado!$D$17)/1000)</f>
        <v>41.111111111111107</v>
      </c>
      <c r="N50" s="3">
        <f>N42*(((Vaciado!N21*Vaciado!$D$16)/Vaciado!$D$17)/1000)</f>
        <v>82.222222222222214</v>
      </c>
      <c r="O50" s="3">
        <f>O42*(((Vaciado!O21*Vaciado!$D$16)/Vaciado!$D$17)/1000)</f>
        <v>82.222222222222214</v>
      </c>
      <c r="P50" s="3">
        <f>P42*(((Vaciado!P21*Vaciado!$D$16)/Vaciado!$D$17)/1000)</f>
        <v>82.222222222222214</v>
      </c>
      <c r="Q50" s="3">
        <f>Q42*(((Vaciado!Q21*Vaciado!$D$16)/Vaciado!$D$17)/1000)</f>
        <v>82.222222222222214</v>
      </c>
      <c r="R50" s="3">
        <f>R42*(((Vaciado!R21*Vaciado!$D$16)/Vaciado!$D$17)/1000)</f>
        <v>82.222222222222214</v>
      </c>
      <c r="S50" s="3">
        <f>S42*(((Vaciado!S21*Vaciado!$D$16)/Vaciado!$D$17)/1000)</f>
        <v>83.037200195790504</v>
      </c>
      <c r="T50" s="3">
        <f>T42*'Para reporte'!$F$7</f>
        <v>82.222222222222214</v>
      </c>
      <c r="U50" s="3">
        <f>U42*'Para reporte'!$F$7</f>
        <v>83.85217816935878</v>
      </c>
      <c r="V50" s="3">
        <f>V42*'Para reporte'!$F$7</f>
        <v>87.927068037200186</v>
      </c>
      <c r="W50" s="3">
        <f>W42*'Para reporte'!$F$7</f>
        <v>97.706803720019565</v>
      </c>
      <c r="X50" s="3">
        <f>X42*'Para reporte'!$F$7</f>
        <v>97.706803720019565</v>
      </c>
      <c r="Y50" s="3">
        <f>Y42*'Para reporte'!$F$7</f>
        <v>106.67156142927067</v>
      </c>
      <c r="Z50" s="3">
        <f>Z42*'Para reporte'!$F$7</f>
        <v>109.9314733235438</v>
      </c>
      <c r="AA50" s="3">
        <f>AA42*'Para reporte'!$F$7</f>
        <v>109.9314733235438</v>
      </c>
      <c r="AB50" s="3">
        <f>AB42*'Para reporte'!$F$7</f>
        <v>113.19138521781692</v>
      </c>
      <c r="AC50" s="3">
        <f>AC42*'Para reporte'!$F$7</f>
        <v>113.19138521781692</v>
      </c>
      <c r="AD50" s="3">
        <f>AD42*'Para reporte'!$F$7</f>
        <v>113.19138521781692</v>
      </c>
      <c r="AE50" s="3">
        <f>AE42*'Para reporte'!$F$7</f>
        <v>114.0063631913852</v>
      </c>
      <c r="AF50" s="3">
        <f>AF42*'Para reporte'!$F$7</f>
        <v>113.19138521781692</v>
      </c>
      <c r="AG50" s="3">
        <f>AG42*'Para reporte'!$F$7</f>
        <v>114.82134116495348</v>
      </c>
      <c r="AH50" s="3">
        <f>AH42*'Para reporte'!$F$7</f>
        <v>118.8962310327949</v>
      </c>
      <c r="AI50" s="3">
        <f>AI42*'Para reporte'!$F$7</f>
        <v>129.49094468918256</v>
      </c>
      <c r="AJ50" s="3">
        <f>AJ42*'Para reporte'!$F$7</f>
        <v>130.30592266275085</v>
      </c>
      <c r="AK50" s="3">
        <f>AK42*'Para reporte'!$F$7</f>
        <v>140.08565834557024</v>
      </c>
      <c r="AL50" s="3">
        <f>AL42*'Para reporte'!$F$7</f>
        <v>144.16054821341163</v>
      </c>
      <c r="AM50" s="3">
        <f>AM42*'Para reporte'!$F$7</f>
        <v>146.60548213411647</v>
      </c>
      <c r="AN50" s="3">
        <f>AN42*'Para reporte'!$F$7</f>
        <v>152.31032794909447</v>
      </c>
      <c r="AO50" s="3">
        <f>AO42*'Para reporte'!$F$7</f>
        <v>155.5702398433676</v>
      </c>
      <c r="AP50" s="3">
        <f>AP42*'Para reporte'!$F$7</f>
        <v>158.8301517376407</v>
      </c>
      <c r="AQ50" s="3">
        <f>AQ42*'Para reporte'!$F$7</f>
        <v>159.64512971120899</v>
      </c>
    </row>
    <row r="51" spans="1:43" x14ac:dyDescent="0.35">
      <c r="G51" s="4" t="str">
        <f>Vaciado!B14</f>
        <v>E</v>
      </c>
      <c r="H51" s="3">
        <f>H43*(((Vaciado!H22*Vaciado!$D$16)/Vaciado!$D$17)/1000)</f>
        <v>0</v>
      </c>
      <c r="I51" s="3">
        <f>I43*(((Vaciado!I22*Vaciado!$D$16)/Vaciado!$D$17)/1000)</f>
        <v>0</v>
      </c>
      <c r="J51" s="3">
        <f>J43*(((Vaciado!J22*Vaciado!$D$16)/Vaciado!$D$17)/1000)</f>
        <v>0</v>
      </c>
      <c r="K51" s="3">
        <f>K43*(((Vaciado!K22*Vaciado!$D$16)/Vaciado!$D$17)/1000)</f>
        <v>0</v>
      </c>
      <c r="L51" s="3">
        <f>L43*(((Vaciado!L22*Vaciado!$D$16)/Vaciado!$D$17)/1000)</f>
        <v>0</v>
      </c>
      <c r="M51" s="3">
        <f>M43*(((Vaciado!M22*Vaciado!$D$16)/Vaciado!$D$17)/1000)</f>
        <v>0</v>
      </c>
      <c r="N51" s="3">
        <f>N43*(((Vaciado!N22*Vaciado!$D$16)/Vaciado!$D$17)/1000)</f>
        <v>0</v>
      </c>
      <c r="O51" s="3">
        <f>O43*(((Vaciado!O22*Vaciado!$D$16)/Vaciado!$D$17)/1000)</f>
        <v>0</v>
      </c>
      <c r="P51" s="3">
        <f>P43*(((Vaciado!P22*Vaciado!$D$16)/Vaciado!$D$17)/1000)</f>
        <v>0</v>
      </c>
      <c r="Q51" s="3">
        <f>Q43*(((Vaciado!Q22*Vaciado!$D$16)/Vaciado!$D$17)/1000)</f>
        <v>0</v>
      </c>
      <c r="R51" s="3">
        <f>R43*(((Vaciado!R22*Vaciado!$D$16)/Vaciado!$D$17)/1000)</f>
        <v>0</v>
      </c>
      <c r="S51" s="3">
        <f>S43*(((Vaciado!S22*Vaciado!$D$16)/Vaciado!$D$17)/1000)</f>
        <v>0</v>
      </c>
      <c r="T51" s="3">
        <f>T43*'Para reporte'!$F$8</f>
        <v>0</v>
      </c>
      <c r="U51" s="3">
        <f>U43*'Para reporte'!$F$8</f>
        <v>0</v>
      </c>
      <c r="V51" s="3">
        <f>V43*'Para reporte'!$F$8</f>
        <v>0</v>
      </c>
      <c r="W51" s="3">
        <f>W43*'Para reporte'!$F$8</f>
        <v>0</v>
      </c>
      <c r="X51" s="3">
        <f>X43*'Para reporte'!$F$8</f>
        <v>0</v>
      </c>
      <c r="Y51" s="3">
        <f>Y43*'Para reporte'!$F$8</f>
        <v>0</v>
      </c>
      <c r="Z51" s="3">
        <f>Z43*'Para reporte'!$F$8</f>
        <v>0</v>
      </c>
      <c r="AA51" s="3">
        <f>AA43*'Para reporte'!$F$8</f>
        <v>0</v>
      </c>
      <c r="AB51" s="3">
        <f>AB43*'Para reporte'!$F$8</f>
        <v>0</v>
      </c>
      <c r="AC51" s="3">
        <f>AC43*'Para reporte'!$F$8</f>
        <v>0</v>
      </c>
      <c r="AD51" s="3">
        <f>AD43*'Para reporte'!$F$8</f>
        <v>0</v>
      </c>
      <c r="AE51" s="3">
        <f>AE43*'Para reporte'!$F$8</f>
        <v>0</v>
      </c>
      <c r="AF51" s="3">
        <f>AF43*'Para reporte'!$F$8</f>
        <v>0</v>
      </c>
      <c r="AG51" s="3">
        <f>AG43*'Para reporte'!$F$8</f>
        <v>0</v>
      </c>
      <c r="AH51" s="3">
        <f>AH43*'Para reporte'!$F$8</f>
        <v>0</v>
      </c>
      <c r="AI51" s="3">
        <f>AI43*'Para reporte'!$F$8</f>
        <v>0</v>
      </c>
      <c r="AJ51" s="3">
        <f>AJ43*'Para reporte'!$F$8</f>
        <v>0</v>
      </c>
      <c r="AK51" s="3">
        <f>AK43*'Para reporte'!$F$8</f>
        <v>0</v>
      </c>
      <c r="AL51" s="3">
        <f>AL43*'Para reporte'!$F$8</f>
        <v>0</v>
      </c>
      <c r="AM51" s="3">
        <f>AM43*'Para reporte'!$F$8</f>
        <v>0</v>
      </c>
      <c r="AN51" s="3">
        <f>AN43*'Para reporte'!$F$8</f>
        <v>0</v>
      </c>
      <c r="AO51" s="3">
        <f>AO43*'Para reporte'!$F$8</f>
        <v>0</v>
      </c>
      <c r="AP51" s="3">
        <f>AP43*'Para reporte'!$F$8</f>
        <v>0</v>
      </c>
      <c r="AQ51" s="3">
        <f>AQ43*'Para reporte'!$F$8</f>
        <v>0</v>
      </c>
    </row>
    <row r="52" spans="1:43" x14ac:dyDescent="0.35">
      <c r="G52" s="10" t="s">
        <v>96</v>
      </c>
      <c r="H52" s="3">
        <f>SUM(H47:H51)</f>
        <v>1.2333333333333332</v>
      </c>
      <c r="I52" s="3">
        <f t="shared" ref="I52:AQ52" si="18">SUM(I47:I51)</f>
        <v>0</v>
      </c>
      <c r="J52" s="3">
        <f t="shared" si="18"/>
        <v>5.344444444444445</v>
      </c>
      <c r="K52" s="3">
        <f t="shared" si="18"/>
        <v>67.422222222222217</v>
      </c>
      <c r="L52" s="3">
        <f t="shared" si="18"/>
        <v>112.64444444444445</v>
      </c>
      <c r="M52" s="3">
        <f t="shared" si="18"/>
        <v>112.64444444444445</v>
      </c>
      <c r="N52" s="3">
        <f t="shared" si="18"/>
        <v>203.9111111111111</v>
      </c>
      <c r="O52" s="3">
        <f t="shared" si="18"/>
        <v>208.84444444444443</v>
      </c>
      <c r="P52" s="3">
        <f t="shared" si="18"/>
        <v>208.84444444444443</v>
      </c>
      <c r="Q52" s="3">
        <f t="shared" si="18"/>
        <v>213.77777777777777</v>
      </c>
      <c r="R52" s="3">
        <f t="shared" si="18"/>
        <v>213.77777777777777</v>
      </c>
      <c r="S52" s="3">
        <f t="shared" si="18"/>
        <v>216.11986923991333</v>
      </c>
      <c r="T52" s="3">
        <f t="shared" si="18"/>
        <v>213.77777777777777</v>
      </c>
      <c r="U52" s="3">
        <f t="shared" si="18"/>
        <v>218.4619607020488</v>
      </c>
      <c r="V52" s="3">
        <f t="shared" si="18"/>
        <v>230.17241801272638</v>
      </c>
      <c r="W52" s="3">
        <f t="shared" si="18"/>
        <v>258.27751555835255</v>
      </c>
      <c r="X52" s="3">
        <f t="shared" si="18"/>
        <v>259.5108488916859</v>
      </c>
      <c r="Y52" s="3">
        <f t="shared" si="18"/>
        <v>286.50718830850985</v>
      </c>
      <c r="Z52" s="3">
        <f t="shared" si="18"/>
        <v>297.10888749038526</v>
      </c>
      <c r="AA52" s="3">
        <f t="shared" si="18"/>
        <v>298.34222082371861</v>
      </c>
      <c r="AB52" s="3">
        <f t="shared" si="18"/>
        <v>314.28836445003844</v>
      </c>
      <c r="AC52" s="3">
        <f t="shared" si="18"/>
        <v>320.86614222781617</v>
      </c>
      <c r="AD52" s="3">
        <f t="shared" si="18"/>
        <v>328.6772533389273</v>
      </c>
      <c r="AE52" s="3">
        <f t="shared" si="18"/>
        <v>338.83045591217399</v>
      </c>
      <c r="AF52" s="3">
        <f t="shared" si="18"/>
        <v>336.48836445003843</v>
      </c>
      <c r="AG52" s="3">
        <f t="shared" si="18"/>
        <v>341.17254737430949</v>
      </c>
      <c r="AH52" s="3">
        <f t="shared" si="18"/>
        <v>354.11633801832039</v>
      </c>
      <c r="AI52" s="3">
        <f t="shared" si="18"/>
        <v>385.7968603594154</v>
      </c>
      <c r="AJ52" s="3">
        <f t="shared" si="18"/>
        <v>389.37228515488425</v>
      </c>
      <c r="AK52" s="3">
        <f t="shared" si="18"/>
        <v>419.94404936717706</v>
      </c>
      <c r="AL52" s="3">
        <f t="shared" si="18"/>
        <v>438.23228445563245</v>
      </c>
      <c r="AM52" s="3">
        <f t="shared" si="18"/>
        <v>453.06966995315008</v>
      </c>
      <c r="AN52" s="3">
        <f t="shared" si="18"/>
        <v>478.50875463254317</v>
      </c>
      <c r="AO52" s="3">
        <f t="shared" si="18"/>
        <v>498.154898258863</v>
      </c>
      <c r="AP52" s="3">
        <f t="shared" si="18"/>
        <v>523.14548632962726</v>
      </c>
      <c r="AQ52" s="3">
        <f t="shared" si="18"/>
        <v>542.34313334731837</v>
      </c>
    </row>
    <row r="54" spans="1:43" x14ac:dyDescent="0.35">
      <c r="A54" t="s">
        <v>106</v>
      </c>
      <c r="G54" s="84" t="s">
        <v>105</v>
      </c>
    </row>
    <row r="55" spans="1:43" x14ac:dyDescent="0.35">
      <c r="C55" s="3">
        <v>2024</v>
      </c>
      <c r="D55" s="3">
        <v>2025</v>
      </c>
      <c r="E55" s="3">
        <v>2026</v>
      </c>
      <c r="G55" s="4" t="str">
        <f>Vaciado!B10</f>
        <v>A</v>
      </c>
      <c r="H55" s="3">
        <f>H5*'Para reporte'!$F$4</f>
        <v>1.2333333333333332</v>
      </c>
      <c r="I55" s="3">
        <f>I5*'Para reporte'!$F$4</f>
        <v>0</v>
      </c>
      <c r="J55" s="3">
        <f>J5*'Para reporte'!$F$4</f>
        <v>1.2333333333333332</v>
      </c>
      <c r="K55" s="3">
        <f>K5*'Para reporte'!$F$4</f>
        <v>3.6999999999999993</v>
      </c>
      <c r="L55" s="3">
        <f>L5*'Para reporte'!$F$4</f>
        <v>9.8666666666666654</v>
      </c>
      <c r="M55" s="3">
        <f>M5*'Para reporte'!$F$4</f>
        <v>9.8666666666666654</v>
      </c>
      <c r="N55" s="3">
        <f>N5*'Para reporte'!$F$4</f>
        <v>14.799999999999997</v>
      </c>
      <c r="O55" s="3">
        <f>O5*'Para reporte'!$F$4</f>
        <v>19.733333333333331</v>
      </c>
      <c r="P55" s="3">
        <f>P5*'Para reporte'!$F$4</f>
        <v>19.733333333333331</v>
      </c>
      <c r="Q55" s="3">
        <f>Q5*'Para reporte'!$F$4</f>
        <v>24.666666666666664</v>
      </c>
      <c r="R55" s="3">
        <f>R5*'Para reporte'!$F$4</f>
        <v>24.666666666666664</v>
      </c>
      <c r="S55" s="3">
        <f>S5*'Para reporte'!$F$4</f>
        <v>24.666666666666664</v>
      </c>
      <c r="T55" s="3">
        <f>T5*'Para reporte'!$F$4</f>
        <v>24.666666666666664</v>
      </c>
      <c r="U55" s="3">
        <f>U5*'Para reporte'!$F$4</f>
        <v>24.666666666666664</v>
      </c>
      <c r="V55" s="3">
        <f>V5*'Para reporte'!$F$4</f>
        <v>24.666666666666664</v>
      </c>
      <c r="W55" s="3">
        <f>W5*'Para reporte'!$F$4</f>
        <v>24.666666666666664</v>
      </c>
      <c r="X55" s="3">
        <f>X5*'Para reporte'!$F$4</f>
        <v>25.899999999999995</v>
      </c>
      <c r="Y55" s="3">
        <f>Y5*'Para reporte'!$F$4</f>
        <v>27.133333333333329</v>
      </c>
      <c r="Z55" s="3">
        <f>Z5*'Para reporte'!$F$4</f>
        <v>28.366666666666664</v>
      </c>
      <c r="AA55" s="3">
        <f>AA5*'Para reporte'!$F$4</f>
        <v>29.599999999999994</v>
      </c>
      <c r="AB55" s="3">
        <f>AB5*'Para reporte'!$F$4</f>
        <v>32.066666666666663</v>
      </c>
      <c r="AC55" s="3">
        <f>AC5*'Para reporte'!$F$4</f>
        <v>34.533333333333331</v>
      </c>
      <c r="AD55" s="3">
        <f>AD5*'Para reporte'!$F$4</f>
        <v>38.233333333333327</v>
      </c>
      <c r="AE55" s="3">
        <f>AE5*'Para reporte'!$F$4</f>
        <v>41.93333333333333</v>
      </c>
      <c r="AF55" s="3">
        <f>AF5*'Para reporte'!$F$4</f>
        <v>41.93333333333333</v>
      </c>
      <c r="AG55" s="3">
        <f>AG5*'Para reporte'!$F$4</f>
        <v>41.93333333333333</v>
      </c>
      <c r="AH55" s="3">
        <f>AH5*'Para reporte'!$F$4</f>
        <v>43.166666666666664</v>
      </c>
      <c r="AI55" s="3">
        <f>AI5*'Para reporte'!$F$4</f>
        <v>44.399999999999991</v>
      </c>
      <c r="AJ55" s="3">
        <f>AJ5*'Para reporte'!$F$4</f>
        <v>45.633333333333326</v>
      </c>
      <c r="AK55" s="3">
        <f>AK5*'Para reporte'!$F$4</f>
        <v>48.099999999999994</v>
      </c>
      <c r="AL55" s="3">
        <f>AL5*'Para reporte'!$F$4</f>
        <v>50.566666666666663</v>
      </c>
      <c r="AM55" s="3">
        <f>AM5*'Para reporte'!$F$4</f>
        <v>54.266666666666659</v>
      </c>
      <c r="AN55" s="3">
        <f>AN5*'Para reporte'!$F$4</f>
        <v>59.199999999999989</v>
      </c>
      <c r="AO55" s="3">
        <f>AO5*'Para reporte'!$F$4</f>
        <v>65.36666666666666</v>
      </c>
      <c r="AP55" s="3">
        <f>AP5*'Para reporte'!$F$4</f>
        <v>72.766666666666652</v>
      </c>
      <c r="AQ55" s="3">
        <f>AQ5*'Para reporte'!$F$4</f>
        <v>81.399999999999991</v>
      </c>
    </row>
    <row r="56" spans="1:43" x14ac:dyDescent="0.35">
      <c r="A56" s="11">
        <f>SUM(C56:E56)</f>
        <v>7443.1666666666679</v>
      </c>
      <c r="C56" s="4">
        <f>'Para reporte'!J26</f>
        <v>1562.2222222222224</v>
      </c>
      <c r="D56" s="4">
        <f>'Para reporte'!K26</f>
        <v>2666.8777777777782</v>
      </c>
      <c r="E56" s="4">
        <f>'Para reporte'!L26</f>
        <v>3214.0666666666671</v>
      </c>
      <c r="G56" s="4" t="str">
        <f>Vaciado!B11</f>
        <v>B</v>
      </c>
      <c r="H56" s="3">
        <f>H6*'Para reporte'!$F$5</f>
        <v>0</v>
      </c>
      <c r="I56" s="3">
        <f>I6*'Para reporte'!$F$5</f>
        <v>0</v>
      </c>
      <c r="J56" s="3">
        <f>J6*'Para reporte'!$F$5</f>
        <v>4.1111111111111116</v>
      </c>
      <c r="K56" s="3">
        <f>K6*'Para reporte'!$F$5</f>
        <v>8.2222222222222232</v>
      </c>
      <c r="L56" s="3">
        <f>L6*'Para reporte'!$F$5</f>
        <v>32.888888888888893</v>
      </c>
      <c r="M56" s="3">
        <f>M6*'Para reporte'!$F$5</f>
        <v>32.888888888888893</v>
      </c>
      <c r="N56" s="3">
        <f>N6*'Para reporte'!$F$5</f>
        <v>49.333333333333343</v>
      </c>
      <c r="O56" s="3">
        <f>O6*'Para reporte'!$F$5</f>
        <v>49.333333333333343</v>
      </c>
      <c r="P56" s="3">
        <f>P6*'Para reporte'!$F$5</f>
        <v>49.333333333333343</v>
      </c>
      <c r="Q56" s="3">
        <f>Q6*'Para reporte'!$F$5</f>
        <v>49.333333333333343</v>
      </c>
      <c r="R56" s="3">
        <f>R6*'Para reporte'!$F$5</f>
        <v>49.333333333333343</v>
      </c>
      <c r="S56" s="3">
        <f>S6*'Para reporte'!$F$5</f>
        <v>49.333333333333343</v>
      </c>
      <c r="T56" s="3">
        <f>T6*'Para reporte'!$F$5</f>
        <v>49.333333333333343</v>
      </c>
      <c r="U56" s="3">
        <f>U6*'Para reporte'!$F$5</f>
        <v>49.333333333333343</v>
      </c>
      <c r="V56" s="3">
        <f>V6*'Para reporte'!$F$5</f>
        <v>49.333333333333343</v>
      </c>
      <c r="W56" s="3">
        <f>W6*'Para reporte'!$F$5</f>
        <v>49.333333333333343</v>
      </c>
      <c r="X56" s="3">
        <f>X6*'Para reporte'!$F$5</f>
        <v>49.333333333333343</v>
      </c>
      <c r="Y56" s="3">
        <f>Y6*'Para reporte'!$F$5</f>
        <v>49.333333333333343</v>
      </c>
      <c r="Z56" s="3">
        <f>Z6*'Para reporte'!$F$5</f>
        <v>49.333333333333343</v>
      </c>
      <c r="AA56" s="3">
        <f>AA6*'Para reporte'!$F$5</f>
        <v>49.333333333333343</v>
      </c>
      <c r="AB56" s="3">
        <f>AB6*'Para reporte'!$F$5</f>
        <v>53.44444444444445</v>
      </c>
      <c r="AC56" s="3">
        <f>AC6*'Para reporte'!$F$5</f>
        <v>57.555555555555564</v>
      </c>
      <c r="AD56" s="3">
        <f>AD6*'Para reporte'!$F$5</f>
        <v>61.666666666666671</v>
      </c>
      <c r="AE56" s="3">
        <f>AE6*'Para reporte'!$F$5</f>
        <v>65.777777777777786</v>
      </c>
      <c r="AF56" s="3">
        <f>AF6*'Para reporte'!$F$5</f>
        <v>65.777777777777786</v>
      </c>
      <c r="AG56" s="3">
        <f>AG6*'Para reporte'!$F$5</f>
        <v>65.777777777777786</v>
      </c>
      <c r="AH56" s="3">
        <f>AH6*'Para reporte'!$F$5</f>
        <v>65.777777777777786</v>
      </c>
      <c r="AI56" s="3">
        <f>AI6*'Para reporte'!$F$5</f>
        <v>65.777777777777786</v>
      </c>
      <c r="AJ56" s="3">
        <f>AJ6*'Para reporte'!$F$5</f>
        <v>65.777777777777786</v>
      </c>
      <c r="AK56" s="3">
        <f>AK6*'Para reporte'!$F$5</f>
        <v>65.777777777777786</v>
      </c>
      <c r="AL56" s="3">
        <f>AL6*'Para reporte'!$F$5</f>
        <v>69.8888888888889</v>
      </c>
      <c r="AM56" s="3">
        <f>AM6*'Para reporte'!$F$5</f>
        <v>74.000000000000014</v>
      </c>
      <c r="AN56" s="3">
        <f>AN6*'Para reporte'!$F$5</f>
        <v>78.111111111111114</v>
      </c>
      <c r="AO56" s="3">
        <f>AO6*'Para reporte'!$F$5</f>
        <v>82.222222222222229</v>
      </c>
      <c r="AP56" s="3">
        <f>AP6*'Para reporte'!$F$5</f>
        <v>90.444444444444457</v>
      </c>
      <c r="AQ56" s="3">
        <f>AQ6*'Para reporte'!$F$5</f>
        <v>98.666666666666686</v>
      </c>
    </row>
    <row r="57" spans="1:43" x14ac:dyDescent="0.35">
      <c r="A57" s="11">
        <f>SUM(C57:E57)</f>
        <v>7443.1666666666679</v>
      </c>
      <c r="C57" s="4">
        <f>SUM(H60:S60)</f>
        <v>1562.2222222222224</v>
      </c>
      <c r="D57" s="4">
        <f>SUM(T60:AE60)</f>
        <v>2666.8777777777782</v>
      </c>
      <c r="E57" s="4">
        <f>SUM(AF60:AQ60)</f>
        <v>3214.0666666666671</v>
      </c>
      <c r="G57" s="4" t="str">
        <f>Vaciado!B12</f>
        <v>C</v>
      </c>
      <c r="H57" s="3">
        <f>H7*'Para reporte'!$F$6</f>
        <v>0</v>
      </c>
      <c r="I57" s="3">
        <f>I7*'Para reporte'!$F$6</f>
        <v>0</v>
      </c>
      <c r="J57" s="3">
        <f>J7*'Para reporte'!$F$6</f>
        <v>0</v>
      </c>
      <c r="K57" s="3">
        <f>K7*'Para reporte'!$F$6</f>
        <v>14.388888888888889</v>
      </c>
      <c r="L57" s="3">
        <f>L7*'Para reporte'!$F$6</f>
        <v>28.777777777777779</v>
      </c>
      <c r="M57" s="3">
        <f>M7*'Para reporte'!$F$6</f>
        <v>28.777777777777779</v>
      </c>
      <c r="N57" s="3">
        <f>N7*'Para reporte'!$F$6</f>
        <v>57.555555555555557</v>
      </c>
      <c r="O57" s="3">
        <f>O7*'Para reporte'!$F$6</f>
        <v>57.555555555555557</v>
      </c>
      <c r="P57" s="3">
        <f>P7*'Para reporte'!$F$6</f>
        <v>57.555555555555557</v>
      </c>
      <c r="Q57" s="3">
        <f>Q7*'Para reporte'!$F$6</f>
        <v>57.555555555555557</v>
      </c>
      <c r="R57" s="3">
        <f>R7*'Para reporte'!$F$6</f>
        <v>57.555555555555557</v>
      </c>
      <c r="S57" s="3">
        <f>S7*'Para reporte'!$F$6</f>
        <v>57.555555555555557</v>
      </c>
      <c r="T57" s="3">
        <f>T7*'Para reporte'!$F$6</f>
        <v>57.555555555555557</v>
      </c>
      <c r="U57" s="3">
        <f>U7*'Para reporte'!$F$6</f>
        <v>57.555555555555557</v>
      </c>
      <c r="V57" s="3">
        <f>V7*'Para reporte'!$F$6</f>
        <v>57.555555555555557</v>
      </c>
      <c r="W57" s="3">
        <f>W7*'Para reporte'!$F$6</f>
        <v>57.555555555555557</v>
      </c>
      <c r="X57" s="3">
        <f>X7*'Para reporte'!$F$6</f>
        <v>57.555555555555557</v>
      </c>
      <c r="Y57" s="3">
        <f>Y7*'Para reporte'!$F$6</f>
        <v>57.555555555555557</v>
      </c>
      <c r="Z57" s="3">
        <f>Z7*'Para reporte'!$F$6</f>
        <v>57.555555555555557</v>
      </c>
      <c r="AA57" s="3">
        <f>AA7*'Para reporte'!$F$6</f>
        <v>57.555555555555557</v>
      </c>
      <c r="AB57" s="3">
        <f>AB7*'Para reporte'!$F$6</f>
        <v>57.555555555555557</v>
      </c>
      <c r="AC57" s="3">
        <f>AC7*'Para reporte'!$F$6</f>
        <v>57.555555555555557</v>
      </c>
      <c r="AD57" s="3">
        <f>AD7*'Para reporte'!$F$6</f>
        <v>57.555555555555557</v>
      </c>
      <c r="AE57" s="3">
        <f>AE7*'Para reporte'!$F$6</f>
        <v>57.555555555555557</v>
      </c>
      <c r="AF57" s="3">
        <f>AF7*'Para reporte'!$F$6</f>
        <v>57.555555555555557</v>
      </c>
      <c r="AG57" s="3">
        <f>AG7*'Para reporte'!$F$6</f>
        <v>57.555555555555557</v>
      </c>
      <c r="AH57" s="3">
        <f>AH7*'Para reporte'!$F$6</f>
        <v>57.555555555555557</v>
      </c>
      <c r="AI57" s="3">
        <f>AI7*'Para reporte'!$F$6</f>
        <v>57.555555555555557</v>
      </c>
      <c r="AJ57" s="3">
        <f>AJ7*'Para reporte'!$F$6</f>
        <v>57.555555555555557</v>
      </c>
      <c r="AK57" s="3">
        <f>AK7*'Para reporte'!$F$6</f>
        <v>57.555555555555557</v>
      </c>
      <c r="AL57" s="3">
        <f>AL7*'Para reporte'!$F$6</f>
        <v>57.555555555555557</v>
      </c>
      <c r="AM57" s="3">
        <f>AM7*'Para reporte'!$F$6</f>
        <v>57.555555555555557</v>
      </c>
      <c r="AN57" s="3">
        <f>AN7*'Para reporte'!$F$6</f>
        <v>57.555555555555557</v>
      </c>
      <c r="AO57" s="3">
        <f>AO7*'Para reporte'!$F$6</f>
        <v>57.555555555555557</v>
      </c>
      <c r="AP57" s="3">
        <f>AP7*'Para reporte'!$F$6</f>
        <v>57.555555555555557</v>
      </c>
      <c r="AQ57" s="3">
        <f>AQ7*'Para reporte'!$F$6</f>
        <v>57.555555555555557</v>
      </c>
    </row>
    <row r="58" spans="1:43" x14ac:dyDescent="0.35">
      <c r="G58" s="4" t="str">
        <f>Vaciado!B13</f>
        <v>D</v>
      </c>
      <c r="H58" s="3">
        <f>H8*'Para reporte'!$F$7</f>
        <v>0</v>
      </c>
      <c r="I58" s="3">
        <f>I8*'Para reporte'!$F$7</f>
        <v>0</v>
      </c>
      <c r="J58" s="3">
        <f>J8*'Para reporte'!$F$7</f>
        <v>0</v>
      </c>
      <c r="K58" s="3">
        <f>K8*'Para reporte'!$F$7</f>
        <v>41.111111111111107</v>
      </c>
      <c r="L58" s="3">
        <f>L8*'Para reporte'!$F$7</f>
        <v>41.111111111111107</v>
      </c>
      <c r="M58" s="3">
        <f>M8*'Para reporte'!$F$7</f>
        <v>41.111111111111107</v>
      </c>
      <c r="N58" s="3">
        <f>N8*'Para reporte'!$F$7</f>
        <v>82.222222222222214</v>
      </c>
      <c r="O58" s="3">
        <f>O8*'Para reporte'!$F$7</f>
        <v>82.222222222222214</v>
      </c>
      <c r="P58" s="3">
        <f>P8*'Para reporte'!$F$7</f>
        <v>82.222222222222214</v>
      </c>
      <c r="Q58" s="3">
        <f>Q8*'Para reporte'!$F$7</f>
        <v>82.222222222222214</v>
      </c>
      <c r="R58" s="3">
        <f>R8*'Para reporte'!$F$7</f>
        <v>82.222222222222214</v>
      </c>
      <c r="S58" s="3">
        <f>S8*'Para reporte'!$F$7</f>
        <v>82.222222222222214</v>
      </c>
      <c r="T58" s="3">
        <f>T8*'Para reporte'!$F$7</f>
        <v>82.222222222222214</v>
      </c>
      <c r="U58" s="3">
        <f>U8*'Para reporte'!$F$7</f>
        <v>82.222222222222214</v>
      </c>
      <c r="V58" s="3">
        <f>V8*'Para reporte'!$F$7</f>
        <v>82.222222222222214</v>
      </c>
      <c r="W58" s="3">
        <f>W8*'Para reporte'!$F$7</f>
        <v>82.222222222222214</v>
      </c>
      <c r="X58" s="3">
        <f>X8*'Para reporte'!$F$7</f>
        <v>82.222222222222214</v>
      </c>
      <c r="Y58" s="3">
        <f>Y8*'Para reporte'!$F$7</f>
        <v>82.222222222222214</v>
      </c>
      <c r="Z58" s="3">
        <f>Z8*'Para reporte'!$F$7</f>
        <v>82.222222222222214</v>
      </c>
      <c r="AA58" s="3">
        <f>AA8*'Para reporte'!$F$7</f>
        <v>82.222222222222214</v>
      </c>
      <c r="AB58" s="3">
        <f>AB8*'Para reporte'!$F$7</f>
        <v>82.222222222222214</v>
      </c>
      <c r="AC58" s="3">
        <f>AC8*'Para reporte'!$F$7</f>
        <v>82.222222222222214</v>
      </c>
      <c r="AD58" s="3">
        <f>AD8*'Para reporte'!$F$7</f>
        <v>82.222222222222214</v>
      </c>
      <c r="AE58" s="3">
        <f>AE8*'Para reporte'!$F$7</f>
        <v>82.222222222222214</v>
      </c>
      <c r="AF58" s="3">
        <f>AF8*'Para reporte'!$F$7</f>
        <v>82.222222222222214</v>
      </c>
      <c r="AG58" s="3">
        <f>AG8*'Para reporte'!$F$7</f>
        <v>82.222222222222214</v>
      </c>
      <c r="AH58" s="3">
        <f>AH8*'Para reporte'!$F$7</f>
        <v>82.222222222222214</v>
      </c>
      <c r="AI58" s="3">
        <f>AI8*'Para reporte'!$F$7</f>
        <v>82.222222222222214</v>
      </c>
      <c r="AJ58" s="3">
        <f>AJ8*'Para reporte'!$F$7</f>
        <v>82.222222222222214</v>
      </c>
      <c r="AK58" s="3">
        <f>AK8*'Para reporte'!$F$7</f>
        <v>82.222222222222214</v>
      </c>
      <c r="AL58" s="3">
        <f>AL8*'Para reporte'!$F$7</f>
        <v>82.222222222222214</v>
      </c>
      <c r="AM58" s="3">
        <f>AM8*'Para reporte'!$F$7</f>
        <v>82.222222222222214</v>
      </c>
      <c r="AN58" s="3">
        <f>AN8*'Para reporte'!$F$7</f>
        <v>82.222222222222214</v>
      </c>
      <c r="AO58" s="3">
        <f>AO8*'Para reporte'!$F$7</f>
        <v>82.222222222222214</v>
      </c>
      <c r="AP58" s="3">
        <f>AP8*'Para reporte'!$F$7</f>
        <v>82.222222222222214</v>
      </c>
      <c r="AQ58" s="3">
        <f>AQ8*'Para reporte'!$F$7</f>
        <v>82.222222222222214</v>
      </c>
    </row>
    <row r="59" spans="1:43" x14ac:dyDescent="0.35">
      <c r="G59" s="4" t="str">
        <f>Vaciado!B14</f>
        <v>E</v>
      </c>
      <c r="H59" s="3">
        <f>H9*'Para reporte'!$F$8</f>
        <v>0</v>
      </c>
      <c r="I59" s="3">
        <f>I9*'Para reporte'!$F$8</f>
        <v>0</v>
      </c>
      <c r="J59" s="3">
        <f>J9*'Para reporte'!$F$8</f>
        <v>0</v>
      </c>
      <c r="K59" s="3">
        <f>K9*'Para reporte'!$F$8</f>
        <v>0</v>
      </c>
      <c r="L59" s="3">
        <f>L9*'Para reporte'!$F$8</f>
        <v>0</v>
      </c>
      <c r="M59" s="3">
        <f>M9*'Para reporte'!$F$8</f>
        <v>0</v>
      </c>
      <c r="N59" s="3">
        <f>N9*'Para reporte'!$F$8</f>
        <v>0</v>
      </c>
      <c r="O59" s="3">
        <f>O9*'Para reporte'!$F$8</f>
        <v>0</v>
      </c>
      <c r="P59" s="3">
        <f>P9*'Para reporte'!$F$8</f>
        <v>0</v>
      </c>
      <c r="Q59" s="3">
        <f>Q9*'Para reporte'!$F$8</f>
        <v>0</v>
      </c>
      <c r="R59" s="3">
        <f>R9*'Para reporte'!$F$8</f>
        <v>0</v>
      </c>
      <c r="S59" s="3">
        <f>S9*'Para reporte'!$F$8</f>
        <v>0</v>
      </c>
      <c r="T59" s="3">
        <f>T9*'Para reporte'!$F$8</f>
        <v>0</v>
      </c>
      <c r="U59" s="3">
        <f>U9*'Para reporte'!$F$8</f>
        <v>0</v>
      </c>
      <c r="V59" s="3">
        <f>V9*'Para reporte'!$F$8</f>
        <v>0</v>
      </c>
      <c r="W59" s="3">
        <f>W9*'Para reporte'!$F$8</f>
        <v>0</v>
      </c>
      <c r="X59" s="3">
        <f>X9*'Para reporte'!$F$8</f>
        <v>0</v>
      </c>
      <c r="Y59" s="3">
        <f>Y9*'Para reporte'!$F$8</f>
        <v>0</v>
      </c>
      <c r="Z59" s="3">
        <f>Z9*'Para reporte'!$F$8</f>
        <v>0</v>
      </c>
      <c r="AA59" s="3">
        <f>AA9*'Para reporte'!$F$8</f>
        <v>0</v>
      </c>
      <c r="AB59" s="3">
        <f>AB9*'Para reporte'!$F$8</f>
        <v>0</v>
      </c>
      <c r="AC59" s="3">
        <f>AC9*'Para reporte'!$F$8</f>
        <v>0</v>
      </c>
      <c r="AD59" s="3">
        <f>AD9*'Para reporte'!$F$8</f>
        <v>0</v>
      </c>
      <c r="AE59" s="3">
        <f>AE9*'Para reporte'!$F$8</f>
        <v>0</v>
      </c>
      <c r="AF59" s="3">
        <f>AF9*'Para reporte'!$F$8</f>
        <v>0</v>
      </c>
      <c r="AG59" s="3">
        <f>AG9*'Para reporte'!$F$8</f>
        <v>0</v>
      </c>
      <c r="AH59" s="3">
        <f>AH9*'Para reporte'!$F$8</f>
        <v>0</v>
      </c>
      <c r="AI59" s="3">
        <f>AI9*'Para reporte'!$F$8</f>
        <v>0</v>
      </c>
      <c r="AJ59" s="3">
        <f>AJ9*'Para reporte'!$F$8</f>
        <v>0</v>
      </c>
      <c r="AK59" s="3">
        <f>AK9*'Para reporte'!$F$8</f>
        <v>0</v>
      </c>
      <c r="AL59" s="3">
        <f>AL9*'Para reporte'!$F$8</f>
        <v>0</v>
      </c>
      <c r="AM59" s="3">
        <f>AM9*'Para reporte'!$F$8</f>
        <v>0</v>
      </c>
      <c r="AN59" s="3">
        <f>AN9*'Para reporte'!$F$8</f>
        <v>0</v>
      </c>
      <c r="AO59" s="3">
        <f>AO9*'Para reporte'!$F$8</f>
        <v>0</v>
      </c>
      <c r="AP59" s="3">
        <f>AP9*'Para reporte'!$F$8</f>
        <v>0</v>
      </c>
      <c r="AQ59" s="3">
        <f>AQ9*'Para reporte'!$F$8</f>
        <v>0</v>
      </c>
    </row>
    <row r="60" spans="1:43" x14ac:dyDescent="0.35">
      <c r="G60" s="10" t="s">
        <v>96</v>
      </c>
      <c r="H60" s="3">
        <f>SUM(H55:H59)</f>
        <v>1.2333333333333332</v>
      </c>
      <c r="I60" s="3">
        <f t="shared" ref="I60:AQ60" si="19">SUM(I55:I59)</f>
        <v>0</v>
      </c>
      <c r="J60" s="3">
        <f t="shared" si="19"/>
        <v>5.344444444444445</v>
      </c>
      <c r="K60" s="3">
        <f t="shared" si="19"/>
        <v>67.422222222222217</v>
      </c>
      <c r="L60" s="3">
        <f t="shared" si="19"/>
        <v>112.64444444444445</v>
      </c>
      <c r="M60" s="3">
        <f t="shared" si="19"/>
        <v>112.64444444444445</v>
      </c>
      <c r="N60" s="3">
        <f t="shared" si="19"/>
        <v>203.9111111111111</v>
      </c>
      <c r="O60" s="3">
        <f t="shared" si="19"/>
        <v>208.84444444444443</v>
      </c>
      <c r="P60" s="3">
        <f t="shared" si="19"/>
        <v>208.84444444444443</v>
      </c>
      <c r="Q60" s="3">
        <f t="shared" si="19"/>
        <v>213.77777777777777</v>
      </c>
      <c r="R60" s="3">
        <f t="shared" si="19"/>
        <v>213.77777777777777</v>
      </c>
      <c r="S60" s="3">
        <f t="shared" si="19"/>
        <v>213.77777777777777</v>
      </c>
      <c r="T60" s="3">
        <f t="shared" si="19"/>
        <v>213.77777777777777</v>
      </c>
      <c r="U60" s="3">
        <f t="shared" si="19"/>
        <v>213.77777777777777</v>
      </c>
      <c r="V60" s="3">
        <f t="shared" si="19"/>
        <v>213.77777777777777</v>
      </c>
      <c r="W60" s="3">
        <f t="shared" si="19"/>
        <v>213.77777777777777</v>
      </c>
      <c r="X60" s="3">
        <f t="shared" si="19"/>
        <v>215.01111111111112</v>
      </c>
      <c r="Y60" s="3">
        <f t="shared" si="19"/>
        <v>216.24444444444447</v>
      </c>
      <c r="Z60" s="3">
        <f t="shared" si="19"/>
        <v>217.47777777777776</v>
      </c>
      <c r="AA60" s="3">
        <f t="shared" si="19"/>
        <v>218.71111111111111</v>
      </c>
      <c r="AB60" s="3">
        <f t="shared" si="19"/>
        <v>225.28888888888889</v>
      </c>
      <c r="AC60" s="3">
        <f t="shared" si="19"/>
        <v>231.86666666666667</v>
      </c>
      <c r="AD60" s="3">
        <f t="shared" si="19"/>
        <v>239.67777777777781</v>
      </c>
      <c r="AE60" s="3">
        <f t="shared" si="19"/>
        <v>247.48888888888888</v>
      </c>
      <c r="AF60" s="3">
        <f t="shared" si="19"/>
        <v>247.48888888888888</v>
      </c>
      <c r="AG60" s="3">
        <f t="shared" si="19"/>
        <v>247.48888888888888</v>
      </c>
      <c r="AH60" s="3">
        <f t="shared" si="19"/>
        <v>248.72222222222223</v>
      </c>
      <c r="AI60" s="3">
        <f t="shared" si="19"/>
        <v>249.95555555555558</v>
      </c>
      <c r="AJ60" s="3">
        <f t="shared" si="19"/>
        <v>251.18888888888887</v>
      </c>
      <c r="AK60" s="3">
        <f t="shared" si="19"/>
        <v>253.65555555555557</v>
      </c>
      <c r="AL60" s="3">
        <f t="shared" si="19"/>
        <v>260.23333333333335</v>
      </c>
      <c r="AM60" s="3">
        <f t="shared" si="19"/>
        <v>268.04444444444448</v>
      </c>
      <c r="AN60" s="3">
        <f t="shared" si="19"/>
        <v>277.0888888888889</v>
      </c>
      <c r="AO60" s="3">
        <f t="shared" si="19"/>
        <v>287.36666666666667</v>
      </c>
      <c r="AP60" s="3">
        <f t="shared" si="19"/>
        <v>302.98888888888888</v>
      </c>
      <c r="AQ60" s="3">
        <f t="shared" si="19"/>
        <v>319.84444444444443</v>
      </c>
    </row>
    <row r="62" spans="1:43" x14ac:dyDescent="0.35">
      <c r="A62" t="s">
        <v>106</v>
      </c>
      <c r="G62" s="84" t="s">
        <v>107</v>
      </c>
    </row>
    <row r="63" spans="1:43" x14ac:dyDescent="0.35">
      <c r="C63" s="3">
        <v>2024</v>
      </c>
      <c r="D63" s="3">
        <v>2025</v>
      </c>
      <c r="E63" s="3">
        <v>2026</v>
      </c>
      <c r="G63" s="4" t="str">
        <f>Vaciado!B10</f>
        <v>A</v>
      </c>
      <c r="H63" s="3">
        <f>H16*'Para reporte'!$F$4</f>
        <v>0</v>
      </c>
      <c r="I63" s="3">
        <f>I16*'Para reporte'!$F$4</f>
        <v>0</v>
      </c>
      <c r="J63" s="3">
        <f>J16*'Para reporte'!$F$4</f>
        <v>0</v>
      </c>
      <c r="K63" s="3">
        <f>K16*'Para reporte'!$F$4</f>
        <v>0</v>
      </c>
      <c r="L63" s="3">
        <f>L16*'Para reporte'!$F$4</f>
        <v>0</v>
      </c>
      <c r="M63" s="3">
        <f>M16*'Para reporte'!$F$4</f>
        <v>0</v>
      </c>
      <c r="N63" s="3">
        <f>N16*'Para reporte'!$F$4</f>
        <v>0</v>
      </c>
      <c r="O63" s="3">
        <f>O16*'Para reporte'!$F$4</f>
        <v>0</v>
      </c>
      <c r="P63" s="3">
        <f>P16*'Para reporte'!$F$4</f>
        <v>0</v>
      </c>
      <c r="Q63" s="3">
        <f>Q16*'Para reporte'!$F$4</f>
        <v>0</v>
      </c>
      <c r="R63" s="3">
        <f>R16*'Para reporte'!$F$4</f>
        <v>0</v>
      </c>
      <c r="S63" s="3">
        <f>S16*'Para reporte'!$F$4</f>
        <v>0</v>
      </c>
      <c r="T63" s="3">
        <f>T16*'Para reporte'!$F$4</f>
        <v>0</v>
      </c>
      <c r="U63" s="3">
        <f>U16*'Para reporte'!$F$4</f>
        <v>0</v>
      </c>
      <c r="V63" s="3">
        <f>V16*'Para reporte'!$F$4</f>
        <v>0</v>
      </c>
      <c r="W63" s="3">
        <f>W16*'Para reporte'!$F$4</f>
        <v>0</v>
      </c>
      <c r="X63" s="3">
        <f>X16*'Para reporte'!$F$4</f>
        <v>0</v>
      </c>
      <c r="Y63" s="3">
        <f>Y16*'Para reporte'!$F$4</f>
        <v>0</v>
      </c>
      <c r="Z63" s="3">
        <f>Z16*'Para reporte'!$F$4</f>
        <v>0</v>
      </c>
      <c r="AA63" s="3">
        <f>AA16*'Para reporte'!$F$4</f>
        <v>0</v>
      </c>
      <c r="AB63" s="3">
        <f>AB16*'Para reporte'!$F$4</f>
        <v>0</v>
      </c>
      <c r="AC63" s="3">
        <f>AC16*'Para reporte'!$F$4</f>
        <v>0</v>
      </c>
      <c r="AD63" s="3">
        <f>AD16*'Para reporte'!$F$4</f>
        <v>0</v>
      </c>
      <c r="AE63" s="3">
        <f>AE16*'Para reporte'!$F$4</f>
        <v>0</v>
      </c>
      <c r="AF63" s="3">
        <f>AF16*'Para reporte'!$F$4</f>
        <v>0</v>
      </c>
      <c r="AG63" s="3">
        <f>AG16*'Para reporte'!$F$4</f>
        <v>0</v>
      </c>
      <c r="AH63" s="3">
        <f>AH16*'Para reporte'!$F$4</f>
        <v>0</v>
      </c>
      <c r="AI63" s="3">
        <f>AI16*'Para reporte'!$F$4</f>
        <v>0</v>
      </c>
      <c r="AJ63" s="3">
        <f>AJ16*'Para reporte'!$F$4</f>
        <v>0</v>
      </c>
      <c r="AK63" s="3">
        <f>AK16*'Para reporte'!$F$4</f>
        <v>0</v>
      </c>
      <c r="AL63" s="3">
        <f>AL16*'Para reporte'!$F$4</f>
        <v>0</v>
      </c>
      <c r="AM63" s="3">
        <f>AM16*'Para reporte'!$F$4</f>
        <v>0</v>
      </c>
      <c r="AN63" s="3">
        <f>AN16*'Para reporte'!$F$4</f>
        <v>0</v>
      </c>
      <c r="AO63" s="3">
        <f>AO16*'Para reporte'!$F$4</f>
        <v>0</v>
      </c>
      <c r="AP63" s="3">
        <f>AP16*'Para reporte'!$F$4</f>
        <v>0</v>
      </c>
      <c r="AQ63" s="3">
        <f>AQ16*'Para reporte'!$F$4</f>
        <v>0</v>
      </c>
    </row>
    <row r="64" spans="1:43" x14ac:dyDescent="0.35">
      <c r="A64" s="11" t="e">
        <f>SUM(C64:E64)</f>
        <v>#REF!</v>
      </c>
      <c r="C64" s="4" t="e">
        <f>'Para reporte'!#REF!</f>
        <v>#REF!</v>
      </c>
      <c r="D64" s="4" t="e">
        <f>'Para reporte'!#REF!</f>
        <v>#REF!</v>
      </c>
      <c r="E64" s="4" t="e">
        <f>'Para reporte'!#REF!</f>
        <v>#REF!</v>
      </c>
      <c r="G64" s="4" t="str">
        <f>Vaciado!B11</f>
        <v>B</v>
      </c>
      <c r="H64" s="3">
        <f>H17*'Para reporte'!$F$5</f>
        <v>0</v>
      </c>
      <c r="I64" s="3">
        <f>I17*'Para reporte'!$F$5</f>
        <v>0</v>
      </c>
      <c r="J64" s="3">
        <f>J17*'Para reporte'!$F$5</f>
        <v>0</v>
      </c>
      <c r="K64" s="3">
        <f>K17*'Para reporte'!$F$5</f>
        <v>0</v>
      </c>
      <c r="L64" s="3">
        <f>L17*'Para reporte'!$F$5</f>
        <v>0</v>
      </c>
      <c r="M64" s="3">
        <f>M17*'Para reporte'!$F$5</f>
        <v>0</v>
      </c>
      <c r="N64" s="3">
        <f>N17*'Para reporte'!$F$5</f>
        <v>0</v>
      </c>
      <c r="O64" s="3">
        <f>O17*'Para reporte'!$F$5</f>
        <v>0</v>
      </c>
      <c r="P64" s="3">
        <f>P17*'Para reporte'!$F$5</f>
        <v>0</v>
      </c>
      <c r="Q64" s="3">
        <f>Q17*'Para reporte'!$F$5</f>
        <v>0</v>
      </c>
      <c r="R64" s="3">
        <f>R17*'Para reporte'!$F$5</f>
        <v>0</v>
      </c>
      <c r="S64" s="3">
        <f>S17*'Para reporte'!$F$5</f>
        <v>0</v>
      </c>
      <c r="T64" s="3">
        <f>T17*'Para reporte'!$F$5</f>
        <v>0</v>
      </c>
      <c r="U64" s="3">
        <f>U17*'Para reporte'!$F$5</f>
        <v>0</v>
      </c>
      <c r="V64" s="3">
        <f>V17*'Para reporte'!$F$5</f>
        <v>0</v>
      </c>
      <c r="W64" s="3">
        <f>W17*'Para reporte'!$F$5</f>
        <v>0</v>
      </c>
      <c r="X64" s="3">
        <f>X17*'Para reporte'!$F$5</f>
        <v>0</v>
      </c>
      <c r="Y64" s="3">
        <f>Y17*'Para reporte'!$F$5</f>
        <v>0</v>
      </c>
      <c r="Z64" s="3">
        <f>Z17*'Para reporte'!$F$5</f>
        <v>0</v>
      </c>
      <c r="AA64" s="3">
        <f>AA17*'Para reporte'!$F$5</f>
        <v>0</v>
      </c>
      <c r="AB64" s="3">
        <f>AB17*'Para reporte'!$F$5</f>
        <v>0</v>
      </c>
      <c r="AC64" s="3">
        <f>AC17*'Para reporte'!$F$5</f>
        <v>0</v>
      </c>
      <c r="AD64" s="3">
        <f>AD17*'Para reporte'!$F$5</f>
        <v>0</v>
      </c>
      <c r="AE64" s="3">
        <f>AE17*'Para reporte'!$F$5</f>
        <v>0</v>
      </c>
      <c r="AF64" s="3">
        <f>AF17*'Para reporte'!$F$5</f>
        <v>0</v>
      </c>
      <c r="AG64" s="3">
        <f>AG17*'Para reporte'!$F$5</f>
        <v>0</v>
      </c>
      <c r="AH64" s="3">
        <f>AH17*'Para reporte'!$F$5</f>
        <v>0</v>
      </c>
      <c r="AI64" s="3">
        <f>AI17*'Para reporte'!$F$5</f>
        <v>0</v>
      </c>
      <c r="AJ64" s="3">
        <f>AJ17*'Para reporte'!$F$5</f>
        <v>0</v>
      </c>
      <c r="AK64" s="3">
        <f>AK17*'Para reporte'!$F$5</f>
        <v>0</v>
      </c>
      <c r="AL64" s="3">
        <f>AL17*'Para reporte'!$F$5</f>
        <v>0</v>
      </c>
      <c r="AM64" s="3">
        <f>AM17*'Para reporte'!$F$5</f>
        <v>0</v>
      </c>
      <c r="AN64" s="3">
        <f>AN17*'Para reporte'!$F$5</f>
        <v>0</v>
      </c>
      <c r="AO64" s="3">
        <f>AO17*'Para reporte'!$F$5</f>
        <v>0</v>
      </c>
      <c r="AP64" s="3">
        <f>AP17*'Para reporte'!$F$5</f>
        <v>0</v>
      </c>
      <c r="AQ64" s="3">
        <f>AQ17*'Para reporte'!$F$5</f>
        <v>0</v>
      </c>
    </row>
    <row r="65" spans="1:43" x14ac:dyDescent="0.35">
      <c r="A65" s="11">
        <f>SUM(C65:E65)</f>
        <v>0</v>
      </c>
      <c r="C65" s="4">
        <f>SUM(H68:S68)</f>
        <v>0</v>
      </c>
      <c r="D65" s="4">
        <f>SUM(T68:AE68)</f>
        <v>0</v>
      </c>
      <c r="E65" s="4">
        <f>SUM(AF68:AQ68)</f>
        <v>0</v>
      </c>
      <c r="G65" s="4" t="str">
        <f>Vaciado!B12</f>
        <v>C</v>
      </c>
      <c r="H65" s="3">
        <f>H18*'Para reporte'!$F$6</f>
        <v>0</v>
      </c>
      <c r="I65" s="3">
        <f>I18*'Para reporte'!$F$6</f>
        <v>0</v>
      </c>
      <c r="J65" s="3">
        <f>J18*'Para reporte'!$F$6</f>
        <v>0</v>
      </c>
      <c r="K65" s="3">
        <f>K18*'Para reporte'!$F$6</f>
        <v>0</v>
      </c>
      <c r="L65" s="3">
        <f>L18*'Para reporte'!$F$6</f>
        <v>0</v>
      </c>
      <c r="M65" s="3">
        <f>M18*'Para reporte'!$F$6</f>
        <v>0</v>
      </c>
      <c r="N65" s="3">
        <f>N18*'Para reporte'!$F$6</f>
        <v>0</v>
      </c>
      <c r="O65" s="3">
        <f>O18*'Para reporte'!$F$6</f>
        <v>0</v>
      </c>
      <c r="P65" s="3">
        <f>P18*'Para reporte'!$F$6</f>
        <v>0</v>
      </c>
      <c r="Q65" s="3">
        <f>Q18*'Para reporte'!$F$6</f>
        <v>0</v>
      </c>
      <c r="R65" s="3">
        <f>R18*'Para reporte'!$F$6</f>
        <v>0</v>
      </c>
      <c r="S65" s="3">
        <f>S18*'Para reporte'!$F$6</f>
        <v>0</v>
      </c>
      <c r="T65" s="3">
        <f>T18*'Para reporte'!$F$6</f>
        <v>0</v>
      </c>
      <c r="U65" s="3">
        <f>U18*'Para reporte'!$F$6</f>
        <v>0</v>
      </c>
      <c r="V65" s="3">
        <f>V18*'Para reporte'!$F$6</f>
        <v>0</v>
      </c>
      <c r="W65" s="3">
        <f>W18*'Para reporte'!$F$6</f>
        <v>0</v>
      </c>
      <c r="X65" s="3">
        <f>X18*'Para reporte'!$F$6</f>
        <v>0</v>
      </c>
      <c r="Y65" s="3">
        <f>Y18*'Para reporte'!$F$6</f>
        <v>0</v>
      </c>
      <c r="Z65" s="3">
        <f>Z18*'Para reporte'!$F$6</f>
        <v>0</v>
      </c>
      <c r="AA65" s="3">
        <f>AA18*'Para reporte'!$F$6</f>
        <v>0</v>
      </c>
      <c r="AB65" s="3">
        <f>AB18*'Para reporte'!$F$6</f>
        <v>0</v>
      </c>
      <c r="AC65" s="3">
        <f>AC18*'Para reporte'!$F$6</f>
        <v>0</v>
      </c>
      <c r="AD65" s="3">
        <f>AD18*'Para reporte'!$F$6</f>
        <v>0</v>
      </c>
      <c r="AE65" s="3">
        <f>AE18*'Para reporte'!$F$6</f>
        <v>0</v>
      </c>
      <c r="AF65" s="3">
        <f>AF18*'Para reporte'!$F$6</f>
        <v>0</v>
      </c>
      <c r="AG65" s="3">
        <f>AG18*'Para reporte'!$F$6</f>
        <v>0</v>
      </c>
      <c r="AH65" s="3">
        <f>AH18*'Para reporte'!$F$6</f>
        <v>0</v>
      </c>
      <c r="AI65" s="3">
        <f>AI18*'Para reporte'!$F$6</f>
        <v>0</v>
      </c>
      <c r="AJ65" s="3">
        <f>AJ18*'Para reporte'!$F$6</f>
        <v>0</v>
      </c>
      <c r="AK65" s="3">
        <f>AK18*'Para reporte'!$F$6</f>
        <v>0</v>
      </c>
      <c r="AL65" s="3">
        <f>AL18*'Para reporte'!$F$6</f>
        <v>0</v>
      </c>
      <c r="AM65" s="3">
        <f>AM18*'Para reporte'!$F$6</f>
        <v>0</v>
      </c>
      <c r="AN65" s="3">
        <f>AN18*'Para reporte'!$F$6</f>
        <v>0</v>
      </c>
      <c r="AO65" s="3">
        <f>AO18*'Para reporte'!$F$6</f>
        <v>0</v>
      </c>
      <c r="AP65" s="3">
        <f>AP18*'Para reporte'!$F$6</f>
        <v>0</v>
      </c>
      <c r="AQ65" s="3">
        <f>AQ18*'Para reporte'!$F$6</f>
        <v>0</v>
      </c>
    </row>
    <row r="66" spans="1:43" x14ac:dyDescent="0.35">
      <c r="G66" s="4" t="str">
        <f>Vaciado!B13</f>
        <v>D</v>
      </c>
      <c r="H66" s="3">
        <f>H19*'Para reporte'!$F$7</f>
        <v>0</v>
      </c>
      <c r="I66" s="3">
        <f>I19*'Para reporte'!$F$7</f>
        <v>0</v>
      </c>
      <c r="J66" s="3">
        <f>J19*'Para reporte'!$F$7</f>
        <v>0</v>
      </c>
      <c r="K66" s="3">
        <f>K19*'Para reporte'!$F$7</f>
        <v>0</v>
      </c>
      <c r="L66" s="3">
        <f>L19*'Para reporte'!$F$7</f>
        <v>0</v>
      </c>
      <c r="M66" s="3">
        <f>M19*'Para reporte'!$F$7</f>
        <v>0</v>
      </c>
      <c r="N66" s="3">
        <f>N19*'Para reporte'!$F$7</f>
        <v>0</v>
      </c>
      <c r="O66" s="3">
        <f>O19*'Para reporte'!$F$7</f>
        <v>0</v>
      </c>
      <c r="P66" s="3">
        <f>P19*'Para reporte'!$F$7</f>
        <v>0</v>
      </c>
      <c r="Q66" s="3">
        <f>Q19*'Para reporte'!$F$7</f>
        <v>0</v>
      </c>
      <c r="R66" s="3">
        <f>R19*'Para reporte'!$F$7</f>
        <v>0</v>
      </c>
      <c r="S66" s="3">
        <f>S19*'Para reporte'!$F$7</f>
        <v>0</v>
      </c>
      <c r="T66" s="3">
        <f>T19*'Para reporte'!$F$7</f>
        <v>0</v>
      </c>
      <c r="U66" s="3">
        <f>U19*'Para reporte'!$F$7</f>
        <v>0</v>
      </c>
      <c r="V66" s="3">
        <f>V19*'Para reporte'!$F$7</f>
        <v>0</v>
      </c>
      <c r="W66" s="3">
        <f>W19*'Para reporte'!$F$7</f>
        <v>0</v>
      </c>
      <c r="X66" s="3">
        <f>X19*'Para reporte'!$F$7</f>
        <v>0</v>
      </c>
      <c r="Y66" s="3">
        <f>Y19*'Para reporte'!$F$7</f>
        <v>0</v>
      </c>
      <c r="Z66" s="3">
        <f>Z19*'Para reporte'!$F$7</f>
        <v>0</v>
      </c>
      <c r="AA66" s="3">
        <f>AA19*'Para reporte'!$F$7</f>
        <v>0</v>
      </c>
      <c r="AB66" s="3">
        <f>AB19*'Para reporte'!$F$7</f>
        <v>0</v>
      </c>
      <c r="AC66" s="3">
        <f>AC19*'Para reporte'!$F$7</f>
        <v>0</v>
      </c>
      <c r="AD66" s="3">
        <f>AD19*'Para reporte'!$F$7</f>
        <v>0</v>
      </c>
      <c r="AE66" s="3">
        <f>AE19*'Para reporte'!$F$7</f>
        <v>0</v>
      </c>
      <c r="AF66" s="3">
        <f>AF19*'Para reporte'!$F$7</f>
        <v>0</v>
      </c>
      <c r="AG66" s="3">
        <f>AG19*'Para reporte'!$F$7</f>
        <v>0</v>
      </c>
      <c r="AH66" s="3">
        <f>AH19*'Para reporte'!$F$7</f>
        <v>0</v>
      </c>
      <c r="AI66" s="3">
        <f>AI19*'Para reporte'!$F$7</f>
        <v>0</v>
      </c>
      <c r="AJ66" s="3">
        <f>AJ19*'Para reporte'!$F$7</f>
        <v>0</v>
      </c>
      <c r="AK66" s="3">
        <f>AK19*'Para reporte'!$F$7</f>
        <v>0</v>
      </c>
      <c r="AL66" s="3">
        <f>AL19*'Para reporte'!$F$7</f>
        <v>0</v>
      </c>
      <c r="AM66" s="3">
        <f>AM19*'Para reporte'!$F$7</f>
        <v>0</v>
      </c>
      <c r="AN66" s="3">
        <f>AN19*'Para reporte'!$F$7</f>
        <v>0</v>
      </c>
      <c r="AO66" s="3">
        <f>AO19*'Para reporte'!$F$7</f>
        <v>0</v>
      </c>
      <c r="AP66" s="3">
        <f>AP19*'Para reporte'!$F$7</f>
        <v>0</v>
      </c>
      <c r="AQ66" s="3">
        <f>AQ19*'Para reporte'!$F$7</f>
        <v>0</v>
      </c>
    </row>
    <row r="67" spans="1:43" x14ac:dyDescent="0.35">
      <c r="G67" s="4" t="str">
        <f>Vaciado!B14</f>
        <v>E</v>
      </c>
      <c r="H67" s="3">
        <f>H20*'Para reporte'!$F$8</f>
        <v>0</v>
      </c>
      <c r="I67" s="3">
        <f>I20*'Para reporte'!$F$8</f>
        <v>0</v>
      </c>
      <c r="J67" s="3">
        <f>J20*'Para reporte'!$F$8</f>
        <v>0</v>
      </c>
      <c r="K67" s="3">
        <f>K20*'Para reporte'!$F$8</f>
        <v>0</v>
      </c>
      <c r="L67" s="3">
        <f>L20*'Para reporte'!$F$8</f>
        <v>0</v>
      </c>
      <c r="M67" s="3">
        <f>M20*'Para reporte'!$F$8</f>
        <v>0</v>
      </c>
      <c r="N67" s="3">
        <f>N20*'Para reporte'!$F$8</f>
        <v>0</v>
      </c>
      <c r="O67" s="3">
        <f>O20*'Para reporte'!$F$8</f>
        <v>0</v>
      </c>
      <c r="P67" s="3">
        <f>P20*'Para reporte'!$F$8</f>
        <v>0</v>
      </c>
      <c r="Q67" s="3">
        <f>Q20*'Para reporte'!$F$8</f>
        <v>0</v>
      </c>
      <c r="R67" s="3">
        <f>R20*'Para reporte'!$F$8</f>
        <v>0</v>
      </c>
      <c r="S67" s="3">
        <f>S20*'Para reporte'!$F$8</f>
        <v>0</v>
      </c>
      <c r="T67" s="3">
        <f>T20*'Para reporte'!$F$8</f>
        <v>0</v>
      </c>
      <c r="U67" s="3">
        <f>U20*'Para reporte'!$F$8</f>
        <v>0</v>
      </c>
      <c r="V67" s="3">
        <f>V20*'Para reporte'!$F$8</f>
        <v>0</v>
      </c>
      <c r="W67" s="3">
        <f>W20*'Para reporte'!$F$8</f>
        <v>0</v>
      </c>
      <c r="X67" s="3">
        <f>X20*'Para reporte'!$F$8</f>
        <v>0</v>
      </c>
      <c r="Y67" s="3">
        <f>Y20*'Para reporte'!$F$8</f>
        <v>0</v>
      </c>
      <c r="Z67" s="3">
        <f>Z20*'Para reporte'!$F$8</f>
        <v>0</v>
      </c>
      <c r="AA67" s="3">
        <f>AA20*'Para reporte'!$F$8</f>
        <v>0</v>
      </c>
      <c r="AB67" s="3">
        <f>AB20*'Para reporte'!$F$8</f>
        <v>0</v>
      </c>
      <c r="AC67" s="3">
        <f>AC20*'Para reporte'!$F$8</f>
        <v>0</v>
      </c>
      <c r="AD67" s="3">
        <f>AD20*'Para reporte'!$F$8</f>
        <v>0</v>
      </c>
      <c r="AE67" s="3">
        <f>AE20*'Para reporte'!$F$8</f>
        <v>0</v>
      </c>
      <c r="AF67" s="3">
        <f>AF20*'Para reporte'!$F$8</f>
        <v>0</v>
      </c>
      <c r="AG67" s="3">
        <f>AG20*'Para reporte'!$F$8</f>
        <v>0</v>
      </c>
      <c r="AH67" s="3">
        <f>AH20*'Para reporte'!$F$8</f>
        <v>0</v>
      </c>
      <c r="AI67" s="3">
        <f>AI20*'Para reporte'!$F$8</f>
        <v>0</v>
      </c>
      <c r="AJ67" s="3">
        <f>AJ20*'Para reporte'!$F$8</f>
        <v>0</v>
      </c>
      <c r="AK67" s="3">
        <f>AK20*'Para reporte'!$F$8</f>
        <v>0</v>
      </c>
      <c r="AL67" s="3">
        <f>AL20*'Para reporte'!$F$8</f>
        <v>0</v>
      </c>
      <c r="AM67" s="3">
        <f>AM20*'Para reporte'!$F$8</f>
        <v>0</v>
      </c>
      <c r="AN67" s="3">
        <f>AN20*'Para reporte'!$F$8</f>
        <v>0</v>
      </c>
      <c r="AO67" s="3">
        <f>AO20*'Para reporte'!$F$8</f>
        <v>0</v>
      </c>
      <c r="AP67" s="3">
        <f>AP20*'Para reporte'!$F$8</f>
        <v>0</v>
      </c>
      <c r="AQ67" s="3">
        <f>AQ20*'Para reporte'!$F$8</f>
        <v>0</v>
      </c>
    </row>
    <row r="68" spans="1:43" x14ac:dyDescent="0.35">
      <c r="G68" s="10" t="s">
        <v>96</v>
      </c>
      <c r="H68" s="3">
        <f>SUM(H63:H67)</f>
        <v>0</v>
      </c>
      <c r="I68" s="3">
        <f t="shared" ref="I68:AQ68" si="20">SUM(I63:I67)</f>
        <v>0</v>
      </c>
      <c r="J68" s="3">
        <f t="shared" si="20"/>
        <v>0</v>
      </c>
      <c r="K68" s="3">
        <f t="shared" si="20"/>
        <v>0</v>
      </c>
      <c r="L68" s="3">
        <f t="shared" si="20"/>
        <v>0</v>
      </c>
      <c r="M68" s="3">
        <f t="shared" si="20"/>
        <v>0</v>
      </c>
      <c r="N68" s="3">
        <f t="shared" si="20"/>
        <v>0</v>
      </c>
      <c r="O68" s="3">
        <f t="shared" si="20"/>
        <v>0</v>
      </c>
      <c r="P68" s="3">
        <f t="shared" si="20"/>
        <v>0</v>
      </c>
      <c r="Q68" s="3">
        <f t="shared" si="20"/>
        <v>0</v>
      </c>
      <c r="R68" s="3">
        <f t="shared" si="20"/>
        <v>0</v>
      </c>
      <c r="S68" s="3">
        <f t="shared" si="20"/>
        <v>0</v>
      </c>
      <c r="T68" s="3">
        <f t="shared" si="20"/>
        <v>0</v>
      </c>
      <c r="U68" s="3">
        <f t="shared" si="20"/>
        <v>0</v>
      </c>
      <c r="V68" s="3">
        <f t="shared" si="20"/>
        <v>0</v>
      </c>
      <c r="W68" s="3">
        <f t="shared" si="20"/>
        <v>0</v>
      </c>
      <c r="X68" s="3">
        <f t="shared" si="20"/>
        <v>0</v>
      </c>
      <c r="Y68" s="3">
        <f t="shared" si="20"/>
        <v>0</v>
      </c>
      <c r="Z68" s="3">
        <f t="shared" si="20"/>
        <v>0</v>
      </c>
      <c r="AA68" s="3">
        <f t="shared" si="20"/>
        <v>0</v>
      </c>
      <c r="AB68" s="3">
        <f t="shared" si="20"/>
        <v>0</v>
      </c>
      <c r="AC68" s="3">
        <f t="shared" si="20"/>
        <v>0</v>
      </c>
      <c r="AD68" s="3">
        <f t="shared" si="20"/>
        <v>0</v>
      </c>
      <c r="AE68" s="3">
        <f t="shared" si="20"/>
        <v>0</v>
      </c>
      <c r="AF68" s="3">
        <f t="shared" si="20"/>
        <v>0</v>
      </c>
      <c r="AG68" s="3">
        <f t="shared" si="20"/>
        <v>0</v>
      </c>
      <c r="AH68" s="3">
        <f t="shared" si="20"/>
        <v>0</v>
      </c>
      <c r="AI68" s="3">
        <f t="shared" si="20"/>
        <v>0</v>
      </c>
      <c r="AJ68" s="3">
        <f t="shared" si="20"/>
        <v>0</v>
      </c>
      <c r="AK68" s="3">
        <f t="shared" si="20"/>
        <v>0</v>
      </c>
      <c r="AL68" s="3">
        <f t="shared" si="20"/>
        <v>0</v>
      </c>
      <c r="AM68" s="3">
        <f t="shared" si="20"/>
        <v>0</v>
      </c>
      <c r="AN68" s="3">
        <f t="shared" si="20"/>
        <v>0</v>
      </c>
      <c r="AO68" s="3">
        <f t="shared" si="20"/>
        <v>0</v>
      </c>
      <c r="AP68" s="3">
        <f t="shared" si="20"/>
        <v>0</v>
      </c>
      <c r="AQ68" s="3">
        <f t="shared" si="20"/>
        <v>0</v>
      </c>
    </row>
    <row r="70" spans="1:43" x14ac:dyDescent="0.35">
      <c r="A70" t="s">
        <v>106</v>
      </c>
      <c r="G70" s="84" t="s">
        <v>108</v>
      </c>
    </row>
    <row r="71" spans="1:43" x14ac:dyDescent="0.35">
      <c r="C71" s="3">
        <v>2024</v>
      </c>
      <c r="D71" s="3">
        <v>2025</v>
      </c>
      <c r="E71" s="3">
        <v>2026</v>
      </c>
      <c r="G71" s="4" t="str">
        <f>Vaciado!B10</f>
        <v>A</v>
      </c>
      <c r="H71" s="3">
        <f>H32*'Para reporte'!$F$4</f>
        <v>0</v>
      </c>
      <c r="I71" s="3">
        <f>I32*'Para reporte'!$F$4</f>
        <v>0</v>
      </c>
      <c r="J71" s="3">
        <f>J32*'Para reporte'!$F$4</f>
        <v>0</v>
      </c>
      <c r="K71" s="3">
        <f>K32*'Para reporte'!$F$4</f>
        <v>0</v>
      </c>
      <c r="L71" s="3">
        <f>L32*'Para reporte'!$F$4</f>
        <v>0</v>
      </c>
      <c r="M71" s="3">
        <f>M32*'Para reporte'!$F$4</f>
        <v>0</v>
      </c>
      <c r="N71" s="3">
        <f>N32*'Para reporte'!$F$4</f>
        <v>0</v>
      </c>
      <c r="O71" s="3">
        <f>O32*'Para reporte'!$F$4</f>
        <v>0</v>
      </c>
      <c r="P71" s="3">
        <f>P32*'Para reporte'!$F$4</f>
        <v>0</v>
      </c>
      <c r="Q71" s="3">
        <f>Q32*'Para reporte'!$F$4</f>
        <v>0</v>
      </c>
      <c r="R71" s="3">
        <f>R32*'Para reporte'!$F$4</f>
        <v>0</v>
      </c>
      <c r="S71" s="3">
        <f>S32*'Para reporte'!$F$4</f>
        <v>0.36479966435913563</v>
      </c>
      <c r="T71" s="3">
        <f>T32*'Para reporte'!$F$4</f>
        <v>0</v>
      </c>
      <c r="U71" s="3">
        <f>U32*'Para reporte'!$F$4</f>
        <v>0.72959932871827127</v>
      </c>
      <c r="V71" s="3">
        <f>V32*'Para reporte'!$F$4</f>
        <v>2.5535976505139493</v>
      </c>
      <c r="W71" s="3">
        <f>W32*'Para reporte'!$F$4</f>
        <v>6.9311936228235771</v>
      </c>
      <c r="X71" s="3">
        <f>X32*'Para reporte'!$F$4</f>
        <v>6.9311936228235771</v>
      </c>
      <c r="Y71" s="3">
        <f>Y32*'Para reporte'!$F$4</f>
        <v>10.94398993077407</v>
      </c>
      <c r="Z71" s="3">
        <f>Z32*'Para reporte'!$F$4</f>
        <v>12.403188588210613</v>
      </c>
      <c r="AA71" s="3">
        <f>AA32*'Para reporte'!$F$4</f>
        <v>12.403188588210613</v>
      </c>
      <c r="AB71" s="3">
        <f>AB32*'Para reporte'!$F$4</f>
        <v>13.862387245647154</v>
      </c>
      <c r="AC71" s="3">
        <f>AC32*'Para reporte'!$F$4</f>
        <v>13.862387245647154</v>
      </c>
      <c r="AD71" s="3">
        <f>AD32*'Para reporte'!$F$4</f>
        <v>13.862387245647154</v>
      </c>
      <c r="AE71" s="3">
        <f>AE32*'Para reporte'!$F$4</f>
        <v>14.227186910006292</v>
      </c>
      <c r="AF71" s="3">
        <f>AF32*'Para reporte'!$F$4</f>
        <v>13.862387245647154</v>
      </c>
      <c r="AG71" s="3">
        <f>AG32*'Para reporte'!$F$4</f>
        <v>14.591986574365427</v>
      </c>
      <c r="AH71" s="3">
        <f>AH32*'Para reporte'!$F$4</f>
        <v>16.415984896161106</v>
      </c>
      <c r="AI71" s="3">
        <f>AI32*'Para reporte'!$F$4</f>
        <v>21.15838053282987</v>
      </c>
      <c r="AJ71" s="3">
        <f>AJ32*'Para reporte'!$F$4</f>
        <v>21.523180197189006</v>
      </c>
      <c r="AK71" s="3">
        <f>AK32*'Para reporte'!$F$4</f>
        <v>25.900776169498631</v>
      </c>
      <c r="AL71" s="3">
        <f>AL32*'Para reporte'!$F$4</f>
        <v>27.724774491294308</v>
      </c>
      <c r="AM71" s="3">
        <f>AM32*'Para reporte'!$F$4</f>
        <v>28.819173484371717</v>
      </c>
      <c r="AN71" s="3">
        <f>AN32*'Para reporte'!$F$4</f>
        <v>31.372771134885667</v>
      </c>
      <c r="AO71" s="3">
        <f>AO32*'Para reporte'!$F$4</f>
        <v>32.831969792322212</v>
      </c>
      <c r="AP71" s="3">
        <f>AP32*'Para reporte'!$F$4</f>
        <v>34.29116844975875</v>
      </c>
      <c r="AQ71" s="3">
        <f>AQ32*'Para reporte'!$F$4</f>
        <v>34.655968114117883</v>
      </c>
    </row>
    <row r="72" spans="1:43" x14ac:dyDescent="0.35">
      <c r="A72" s="11">
        <f>SUM(C72:E72)</f>
        <v>2646.5633522131302</v>
      </c>
      <c r="C72" s="4">
        <f>'Para reporte'!J27</f>
        <v>2.3420914621353859</v>
      </c>
      <c r="D72" s="4">
        <f>'Para reporte'!K27</f>
        <v>697.94325571638228</v>
      </c>
      <c r="E72" s="4">
        <f>'Para reporte'!L27</f>
        <v>1946.2780050346123</v>
      </c>
      <c r="G72" s="4" t="str">
        <f>Vaciado!B11</f>
        <v>B</v>
      </c>
      <c r="H72" s="3">
        <f>H33*'Para reporte'!$F$5</f>
        <v>0</v>
      </c>
      <c r="I72" s="3">
        <f>I33*'Para reporte'!$F$5</f>
        <v>0</v>
      </c>
      <c r="J72" s="3">
        <f>J33*'Para reporte'!$F$5</f>
        <v>0</v>
      </c>
      <c r="K72" s="3">
        <f>K33*'Para reporte'!$F$5</f>
        <v>0</v>
      </c>
      <c r="L72" s="3">
        <f>L33*'Para reporte'!$F$5</f>
        <v>0</v>
      </c>
      <c r="M72" s="3">
        <f>M33*'Para reporte'!$F$5</f>
        <v>0</v>
      </c>
      <c r="N72" s="3">
        <f>N33*'Para reporte'!$F$5</f>
        <v>0</v>
      </c>
      <c r="O72" s="3">
        <f>O33*'Para reporte'!$F$5</f>
        <v>0</v>
      </c>
      <c r="P72" s="3">
        <f>P33*'Para reporte'!$F$5</f>
        <v>0</v>
      </c>
      <c r="Q72" s="3">
        <f>Q33*'Para reporte'!$F$5</f>
        <v>0</v>
      </c>
      <c r="R72" s="3">
        <f>R33*'Para reporte'!$F$5</f>
        <v>0</v>
      </c>
      <c r="S72" s="3">
        <f>S33*'Para reporte'!$F$5</f>
        <v>0.59635689811901271</v>
      </c>
      <c r="T72" s="3">
        <f>T33*'Para reporte'!$F$5</f>
        <v>0</v>
      </c>
      <c r="U72" s="3">
        <f>U33*'Para reporte'!$F$5</f>
        <v>1.1927137962380254</v>
      </c>
      <c r="V72" s="3">
        <f>V33*'Para reporte'!$F$5</f>
        <v>4.1744982868330895</v>
      </c>
      <c r="W72" s="3">
        <f>W33*'Para reporte'!$F$5</f>
        <v>11.330781064261242</v>
      </c>
      <c r="X72" s="3">
        <f>X33*'Para reporte'!$F$5</f>
        <v>11.330781064261242</v>
      </c>
      <c r="Y72" s="3">
        <f>Y33*'Para reporte'!$F$5</f>
        <v>17.890706943570386</v>
      </c>
      <c r="Z72" s="3">
        <f>Z33*'Para reporte'!$F$5</f>
        <v>20.276134536046431</v>
      </c>
      <c r="AA72" s="3">
        <f>AA33*'Para reporte'!$F$5</f>
        <v>20.276134536046431</v>
      </c>
      <c r="AB72" s="3">
        <f>AB33*'Para reporte'!$F$5</f>
        <v>22.661562128522483</v>
      </c>
      <c r="AC72" s="3">
        <f>AC33*'Para reporte'!$F$5</f>
        <v>22.661562128522483</v>
      </c>
      <c r="AD72" s="3">
        <f>AD33*'Para reporte'!$F$5</f>
        <v>22.661562128522483</v>
      </c>
      <c r="AE72" s="3">
        <f>AE33*'Para reporte'!$F$5</f>
        <v>23.257919026641499</v>
      </c>
      <c r="AF72" s="3">
        <f>AF33*'Para reporte'!$F$5</f>
        <v>22.661562128522483</v>
      </c>
      <c r="AG72" s="3">
        <f>AG33*'Para reporte'!$F$5</f>
        <v>23.854275924760511</v>
      </c>
      <c r="AH72" s="3">
        <f>AH33*'Para reporte'!$F$5</f>
        <v>26.836060415355576</v>
      </c>
      <c r="AI72" s="3">
        <f>AI33*'Para reporte'!$F$5</f>
        <v>34.588700090902741</v>
      </c>
      <c r="AJ72" s="3">
        <f>AJ33*'Para reporte'!$F$5</f>
        <v>35.185056989021753</v>
      </c>
      <c r="AK72" s="3">
        <f>AK33*'Para reporte'!$F$5</f>
        <v>42.341339766449906</v>
      </c>
      <c r="AL72" s="3">
        <f>AL33*'Para reporte'!$F$5</f>
        <v>45.323124257044967</v>
      </c>
      <c r="AM72" s="3">
        <f>AM33*'Para reporte'!$F$5</f>
        <v>47.11219495140201</v>
      </c>
      <c r="AN72" s="3">
        <f>AN33*'Para reporte'!$F$5</f>
        <v>51.286693238235102</v>
      </c>
      <c r="AO72" s="3">
        <f>AO33*'Para reporte'!$F$5</f>
        <v>53.672120830711151</v>
      </c>
      <c r="AP72" s="3">
        <f>AP33*'Para reporte'!$F$5</f>
        <v>56.0575484231872</v>
      </c>
      <c r="AQ72" s="3">
        <f>AQ33*'Para reporte'!$F$5</f>
        <v>56.653905321306212</v>
      </c>
    </row>
    <row r="73" spans="1:43" x14ac:dyDescent="0.35">
      <c r="A73" s="11">
        <f>SUM(C73:E73)</f>
        <v>2646.5633522131316</v>
      </c>
      <c r="C73" s="4">
        <f>SUM(H76:S76)</f>
        <v>2.3420914621355151</v>
      </c>
      <c r="D73" s="4">
        <f>SUM(T76:AE76)</f>
        <v>697.94325571638342</v>
      </c>
      <c r="E73" s="4">
        <f>SUM(AF76:AQ76)</f>
        <v>1946.2780050346128</v>
      </c>
      <c r="G73" s="4" t="str">
        <f>Vaciado!B12</f>
        <v>C</v>
      </c>
      <c r="H73" s="3">
        <f>H34*'Para reporte'!$F$6</f>
        <v>0</v>
      </c>
      <c r="I73" s="3">
        <f>I34*'Para reporte'!$F$6</f>
        <v>0</v>
      </c>
      <c r="J73" s="3">
        <f>J34*'Para reporte'!$F$6</f>
        <v>0</v>
      </c>
      <c r="K73" s="3">
        <f>K34*'Para reporte'!$F$6</f>
        <v>0</v>
      </c>
      <c r="L73" s="3">
        <f>L34*'Para reporte'!$F$6</f>
        <v>0</v>
      </c>
      <c r="M73" s="3">
        <f>M34*'Para reporte'!$F$6</f>
        <v>0</v>
      </c>
      <c r="N73" s="3">
        <f>N34*'Para reporte'!$F$6</f>
        <v>0</v>
      </c>
      <c r="O73" s="3">
        <f>O34*'Para reporte'!$F$6</f>
        <v>0</v>
      </c>
      <c r="P73" s="3">
        <f>P34*'Para reporte'!$F$6</f>
        <v>0</v>
      </c>
      <c r="Q73" s="3">
        <f>Q34*'Para reporte'!$F$6</f>
        <v>0</v>
      </c>
      <c r="R73" s="3">
        <f>R34*'Para reporte'!$F$6</f>
        <v>0</v>
      </c>
      <c r="S73" s="3">
        <f>S34*'Para reporte'!$F$6</f>
        <v>0.56595692608908466</v>
      </c>
      <c r="T73" s="3">
        <f>T34*'Para reporte'!$F$6</f>
        <v>0</v>
      </c>
      <c r="U73" s="3">
        <f>U34*'Para reporte'!$F$6</f>
        <v>1.1319138521781693</v>
      </c>
      <c r="V73" s="3">
        <f>V34*'Para reporte'!$F$6</f>
        <v>3.9616984826235924</v>
      </c>
      <c r="W73" s="3">
        <f>W34*'Para reporte'!$F$6</f>
        <v>10.753181595692608</v>
      </c>
      <c r="X73" s="3">
        <f>X34*'Para reporte'!$F$6</f>
        <v>10.753181595692608</v>
      </c>
      <c r="Y73" s="3">
        <f>Y34*'Para reporte'!$F$6</f>
        <v>16.97870778267254</v>
      </c>
      <c r="Z73" s="3">
        <f>Z34*'Para reporte'!$F$6</f>
        <v>19.242535487028881</v>
      </c>
      <c r="AA73" s="3">
        <f>AA34*'Para reporte'!$F$6</f>
        <v>19.242535487028881</v>
      </c>
      <c r="AB73" s="3">
        <f>AB34*'Para reporte'!$F$6</f>
        <v>21.506363191385216</v>
      </c>
      <c r="AC73" s="3">
        <f>AC34*'Para reporte'!$F$6</f>
        <v>21.506363191385216</v>
      </c>
      <c r="AD73" s="3">
        <f>AD34*'Para reporte'!$F$6</f>
        <v>21.506363191385216</v>
      </c>
      <c r="AE73" s="3">
        <f>AE34*'Para reporte'!$F$6</f>
        <v>22.072320117474302</v>
      </c>
      <c r="AF73" s="3">
        <f>AF34*'Para reporte'!$F$6</f>
        <v>21.506363191385216</v>
      </c>
      <c r="AG73" s="3">
        <f>AG34*'Para reporte'!$F$6</f>
        <v>22.638277043563388</v>
      </c>
      <c r="AH73" s="3">
        <f>AH34*'Para reporte'!$F$6</f>
        <v>25.468061674008808</v>
      </c>
      <c r="AI73" s="3">
        <f>AI34*'Para reporte'!$F$6</f>
        <v>32.825501713166915</v>
      </c>
      <c r="AJ73" s="3">
        <f>AJ34*'Para reporte'!$F$6</f>
        <v>33.391458639255994</v>
      </c>
      <c r="AK73" s="3">
        <f>AK34*'Para reporte'!$F$6</f>
        <v>40.182941752325007</v>
      </c>
      <c r="AL73" s="3">
        <f>AL34*'Para reporte'!$F$6</f>
        <v>43.012726382770431</v>
      </c>
      <c r="AM73" s="3">
        <f>AM34*'Para reporte'!$F$6</f>
        <v>44.71059716103769</v>
      </c>
      <c r="AN73" s="3">
        <f>AN34*'Para reporte'!$F$6</f>
        <v>48.672295643661279</v>
      </c>
      <c r="AO73" s="3">
        <f>AO34*'Para reporte'!$F$6</f>
        <v>50.936123348017617</v>
      </c>
      <c r="AP73" s="3">
        <f>AP34*'Para reporte'!$F$6</f>
        <v>53.199951052373962</v>
      </c>
      <c r="AQ73" s="3">
        <f>AQ34*'Para reporte'!$F$6</f>
        <v>53.765907978463041</v>
      </c>
    </row>
    <row r="74" spans="1:43" x14ac:dyDescent="0.35">
      <c r="G74" s="4" t="str">
        <f>Vaciado!B13</f>
        <v>D</v>
      </c>
      <c r="H74" s="3">
        <f>H35*'Para reporte'!$F$7</f>
        <v>0</v>
      </c>
      <c r="I74" s="3">
        <f>I35*'Para reporte'!$F$7</f>
        <v>0</v>
      </c>
      <c r="J74" s="3">
        <f>J35*'Para reporte'!$F$7</f>
        <v>0</v>
      </c>
      <c r="K74" s="3">
        <f>K35*'Para reporte'!$F$7</f>
        <v>0</v>
      </c>
      <c r="L74" s="3">
        <f>L35*'Para reporte'!$F$7</f>
        <v>0</v>
      </c>
      <c r="M74" s="3">
        <f>M35*'Para reporte'!$F$7</f>
        <v>0</v>
      </c>
      <c r="N74" s="3">
        <f>N35*'Para reporte'!$F$7</f>
        <v>0</v>
      </c>
      <c r="O74" s="3">
        <f>O35*'Para reporte'!$F$7</f>
        <v>0</v>
      </c>
      <c r="P74" s="3">
        <f>P35*'Para reporte'!$F$7</f>
        <v>0</v>
      </c>
      <c r="Q74" s="3">
        <f>Q35*'Para reporte'!$F$7</f>
        <v>0</v>
      </c>
      <c r="R74" s="3">
        <f>R35*'Para reporte'!$F$7</f>
        <v>0</v>
      </c>
      <c r="S74" s="3">
        <f>S35*'Para reporte'!$F$7</f>
        <v>0.81497797356828194</v>
      </c>
      <c r="T74" s="3">
        <f>T35*'Para reporte'!$F$7</f>
        <v>0</v>
      </c>
      <c r="U74" s="3">
        <f>U35*'Para reporte'!$F$7</f>
        <v>1.6299559471365639</v>
      </c>
      <c r="V74" s="3">
        <f>V35*'Para reporte'!$F$7</f>
        <v>5.7048458149779737</v>
      </c>
      <c r="W74" s="3">
        <f>W35*'Para reporte'!$F$7</f>
        <v>15.484581497797357</v>
      </c>
      <c r="X74" s="3">
        <f>X35*'Para reporte'!$F$7</f>
        <v>15.484581497797357</v>
      </c>
      <c r="Y74" s="3">
        <f>Y35*'Para reporte'!$F$7</f>
        <v>24.44933920704846</v>
      </c>
      <c r="Z74" s="3">
        <f>Z35*'Para reporte'!$F$7</f>
        <v>27.709251101321584</v>
      </c>
      <c r="AA74" s="3">
        <f>AA35*'Para reporte'!$F$7</f>
        <v>27.709251101321584</v>
      </c>
      <c r="AB74" s="3">
        <f>AB35*'Para reporte'!$F$7</f>
        <v>30.969162995594715</v>
      </c>
      <c r="AC74" s="3">
        <f>AC35*'Para reporte'!$F$7</f>
        <v>30.969162995594715</v>
      </c>
      <c r="AD74" s="3">
        <f>AD35*'Para reporte'!$F$7</f>
        <v>30.969162995594715</v>
      </c>
      <c r="AE74" s="3">
        <f>AE35*'Para reporte'!$F$7</f>
        <v>31.784140969162994</v>
      </c>
      <c r="AF74" s="3">
        <f>AF35*'Para reporte'!$F$7</f>
        <v>30.969162995594715</v>
      </c>
      <c r="AG74" s="3">
        <f>AG35*'Para reporte'!$F$7</f>
        <v>32.599118942731273</v>
      </c>
      <c r="AH74" s="3">
        <f>AH35*'Para reporte'!$F$7</f>
        <v>36.674008810572687</v>
      </c>
      <c r="AI74" s="3">
        <f>AI35*'Para reporte'!$F$7</f>
        <v>47.268722466960348</v>
      </c>
      <c r="AJ74" s="3">
        <f>AJ35*'Para reporte'!$F$7</f>
        <v>48.083700440528631</v>
      </c>
      <c r="AK74" s="3">
        <f>AK35*'Para reporte'!$F$7</f>
        <v>57.863436123348016</v>
      </c>
      <c r="AL74" s="3">
        <f>AL35*'Para reporte'!$F$7</f>
        <v>61.93832599118943</v>
      </c>
      <c r="AM74" s="3">
        <f>AM35*'Para reporte'!$F$7</f>
        <v>64.383259911894271</v>
      </c>
      <c r="AN74" s="3">
        <f>AN35*'Para reporte'!$F$7</f>
        <v>70.088105726872243</v>
      </c>
      <c r="AO74" s="3">
        <f>AO35*'Para reporte'!$F$7</f>
        <v>73.348017621145374</v>
      </c>
      <c r="AP74" s="3">
        <f>AP35*'Para reporte'!$F$7</f>
        <v>76.60792951541849</v>
      </c>
      <c r="AQ74" s="3">
        <f>AQ35*'Para reporte'!$F$7</f>
        <v>77.42290748898678</v>
      </c>
    </row>
    <row r="75" spans="1:43" x14ac:dyDescent="0.35">
      <c r="G75" s="4" t="str">
        <f>Vaciado!B14</f>
        <v>E</v>
      </c>
      <c r="H75" s="3">
        <f>H36*'Para reporte'!$F$8</f>
        <v>0</v>
      </c>
      <c r="I75" s="3">
        <f>I36*'Para reporte'!$F$8</f>
        <v>0</v>
      </c>
      <c r="J75" s="3">
        <f>J36*'Para reporte'!$F$8</f>
        <v>0</v>
      </c>
      <c r="K75" s="3">
        <f>K36*'Para reporte'!$F$8</f>
        <v>0</v>
      </c>
      <c r="L75" s="3">
        <f>L36*'Para reporte'!$F$8</f>
        <v>0</v>
      </c>
      <c r="M75" s="3">
        <f>M36*'Para reporte'!$F$8</f>
        <v>0</v>
      </c>
      <c r="N75" s="3">
        <f>N36*'Para reporte'!$F$8</f>
        <v>0</v>
      </c>
      <c r="O75" s="3">
        <f>O36*'Para reporte'!$F$8</f>
        <v>0</v>
      </c>
      <c r="P75" s="3">
        <f>P36*'Para reporte'!$F$8</f>
        <v>0</v>
      </c>
      <c r="Q75" s="3">
        <f>Q36*'Para reporte'!$F$8</f>
        <v>0</v>
      </c>
      <c r="R75" s="3">
        <f>R36*'Para reporte'!$F$8</f>
        <v>0</v>
      </c>
      <c r="S75" s="3">
        <f>S36*'Para reporte'!$F$8</f>
        <v>0</v>
      </c>
      <c r="T75" s="3">
        <f>T36*'Para reporte'!$F$8</f>
        <v>0</v>
      </c>
      <c r="U75" s="3">
        <f>U36*'Para reporte'!$F$8</f>
        <v>0</v>
      </c>
      <c r="V75" s="3">
        <f>V36*'Para reporte'!$F$8</f>
        <v>0</v>
      </c>
      <c r="W75" s="3">
        <f>W36*'Para reporte'!$F$8</f>
        <v>0</v>
      </c>
      <c r="X75" s="3">
        <f>X36*'Para reporte'!$F$8</f>
        <v>0</v>
      </c>
      <c r="Y75" s="3">
        <f>Y36*'Para reporte'!$F$8</f>
        <v>0</v>
      </c>
      <c r="Z75" s="3">
        <f>Z36*'Para reporte'!$F$8</f>
        <v>0</v>
      </c>
      <c r="AA75" s="3">
        <f>AA36*'Para reporte'!$F$8</f>
        <v>0</v>
      </c>
      <c r="AB75" s="3">
        <f>AB36*'Para reporte'!$F$8</f>
        <v>0</v>
      </c>
      <c r="AC75" s="3">
        <f>AC36*'Para reporte'!$F$8</f>
        <v>0</v>
      </c>
      <c r="AD75" s="3">
        <f>AD36*'Para reporte'!$F$8</f>
        <v>0</v>
      </c>
      <c r="AE75" s="3">
        <f>AE36*'Para reporte'!$F$8</f>
        <v>0</v>
      </c>
      <c r="AF75" s="3">
        <f>AF36*'Para reporte'!$F$8</f>
        <v>0</v>
      </c>
      <c r="AG75" s="3">
        <f>AG36*'Para reporte'!$F$8</f>
        <v>0</v>
      </c>
      <c r="AH75" s="3">
        <f>AH36*'Para reporte'!$F$8</f>
        <v>0</v>
      </c>
      <c r="AI75" s="3">
        <f>AI36*'Para reporte'!$F$8</f>
        <v>0</v>
      </c>
      <c r="AJ75" s="3">
        <f>AJ36*'Para reporte'!$F$8</f>
        <v>0</v>
      </c>
      <c r="AK75" s="3">
        <f>AK36*'Para reporte'!$F$8</f>
        <v>0</v>
      </c>
      <c r="AL75" s="3">
        <f>AL36*'Para reporte'!$F$8</f>
        <v>0</v>
      </c>
      <c r="AM75" s="3">
        <f>AM36*'Para reporte'!$F$8</f>
        <v>0</v>
      </c>
      <c r="AN75" s="3">
        <f>AN36*'Para reporte'!$F$8</f>
        <v>0</v>
      </c>
      <c r="AO75" s="3">
        <f>AO36*'Para reporte'!$F$8</f>
        <v>0</v>
      </c>
      <c r="AP75" s="3">
        <f>AP36*'Para reporte'!$F$8</f>
        <v>0</v>
      </c>
      <c r="AQ75" s="3">
        <f>AQ36*'Para reporte'!$F$8</f>
        <v>0</v>
      </c>
    </row>
    <row r="76" spans="1:43" x14ac:dyDescent="0.35">
      <c r="G76" s="10" t="s">
        <v>96</v>
      </c>
      <c r="H76" s="3">
        <f>SUM(H71:H75)</f>
        <v>0</v>
      </c>
      <c r="I76" s="3">
        <f t="shared" ref="I76:AQ76" si="21">SUM(I71:I75)</f>
        <v>0</v>
      </c>
      <c r="J76" s="3">
        <f t="shared" si="21"/>
        <v>0</v>
      </c>
      <c r="K76" s="3">
        <f t="shared" si="21"/>
        <v>0</v>
      </c>
      <c r="L76" s="3">
        <f t="shared" si="21"/>
        <v>0</v>
      </c>
      <c r="M76" s="3">
        <f t="shared" si="21"/>
        <v>0</v>
      </c>
      <c r="N76" s="3">
        <f t="shared" si="21"/>
        <v>0</v>
      </c>
      <c r="O76" s="3">
        <f t="shared" si="21"/>
        <v>0</v>
      </c>
      <c r="P76" s="3">
        <f t="shared" si="21"/>
        <v>0</v>
      </c>
      <c r="Q76" s="3">
        <f t="shared" si="21"/>
        <v>0</v>
      </c>
      <c r="R76" s="3">
        <f t="shared" si="21"/>
        <v>0</v>
      </c>
      <c r="S76" s="3">
        <f t="shared" si="21"/>
        <v>2.3420914621355151</v>
      </c>
      <c r="T76" s="3">
        <f t="shared" si="21"/>
        <v>0</v>
      </c>
      <c r="U76" s="3">
        <f t="shared" si="21"/>
        <v>4.6841829242710302</v>
      </c>
      <c r="V76" s="3">
        <f t="shared" si="21"/>
        <v>16.394640234948604</v>
      </c>
      <c r="W76" s="3">
        <f t="shared" si="21"/>
        <v>44.499737780574783</v>
      </c>
      <c r="X76" s="3">
        <f t="shared" si="21"/>
        <v>44.499737780574783</v>
      </c>
      <c r="Y76" s="3">
        <f t="shared" si="21"/>
        <v>70.262743864065456</v>
      </c>
      <c r="Z76" s="3">
        <f t="shared" si="21"/>
        <v>79.631109712607511</v>
      </c>
      <c r="AA76" s="3">
        <f t="shared" si="21"/>
        <v>79.631109712607511</v>
      </c>
      <c r="AB76" s="3">
        <f t="shared" si="21"/>
        <v>88.999475561149566</v>
      </c>
      <c r="AC76" s="3">
        <f t="shared" si="21"/>
        <v>88.999475561149566</v>
      </c>
      <c r="AD76" s="3">
        <f t="shared" si="21"/>
        <v>88.999475561149566</v>
      </c>
      <c r="AE76" s="3">
        <f t="shared" si="21"/>
        <v>91.34156702328508</v>
      </c>
      <c r="AF76" s="3">
        <f t="shared" si="21"/>
        <v>88.999475561149566</v>
      </c>
      <c r="AG76" s="3">
        <f t="shared" si="21"/>
        <v>93.683658485420608</v>
      </c>
      <c r="AH76" s="3">
        <f t="shared" si="21"/>
        <v>105.39411579609818</v>
      </c>
      <c r="AI76" s="3">
        <f t="shared" si="21"/>
        <v>135.84130480385988</v>
      </c>
      <c r="AJ76" s="3">
        <f t="shared" si="21"/>
        <v>138.18339626599538</v>
      </c>
      <c r="AK76" s="3">
        <f t="shared" si="21"/>
        <v>166.28849381162155</v>
      </c>
      <c r="AL76" s="3">
        <f t="shared" si="21"/>
        <v>177.99895112229913</v>
      </c>
      <c r="AM76" s="3">
        <f t="shared" si="21"/>
        <v>185.02522550870569</v>
      </c>
      <c r="AN76" s="3">
        <f t="shared" si="21"/>
        <v>201.4198657436543</v>
      </c>
      <c r="AO76" s="3">
        <f t="shared" si="21"/>
        <v>210.78823159219635</v>
      </c>
      <c r="AP76" s="3">
        <f t="shared" si="21"/>
        <v>220.15659744073838</v>
      </c>
      <c r="AQ76" s="3">
        <f t="shared" si="21"/>
        <v>222.49868890287394</v>
      </c>
    </row>
  </sheetData>
  <mergeCells count="13">
    <mergeCell ref="AS3:BD3"/>
    <mergeCell ref="BE3:BP3"/>
    <mergeCell ref="BQ3:CB3"/>
    <mergeCell ref="G12:G13"/>
    <mergeCell ref="H12:S12"/>
    <mergeCell ref="T12:AE12"/>
    <mergeCell ref="AF12:AQ12"/>
    <mergeCell ref="AF3:AQ3"/>
    <mergeCell ref="C3:D4"/>
    <mergeCell ref="B3:B4"/>
    <mergeCell ref="G3:G4"/>
    <mergeCell ref="H3:S3"/>
    <mergeCell ref="T3:AE3"/>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8343-4D45-439F-A707-F6BA7CC296B0}">
  <dimension ref="A1:BZ40"/>
  <sheetViews>
    <sheetView topLeftCell="A28" workbookViewId="0"/>
  </sheetViews>
  <sheetFormatPr baseColWidth="10" defaultRowHeight="14.5" x14ac:dyDescent="0.35"/>
  <cols>
    <col min="1" max="1" width="10.6328125" bestFit="1" customWidth="1"/>
    <col min="2" max="2" width="4.26953125" bestFit="1" customWidth="1"/>
    <col min="3" max="3" width="4.36328125" bestFit="1" customWidth="1"/>
    <col min="4" max="4" width="8.453125" bestFit="1" customWidth="1"/>
    <col min="5" max="40" width="2.81640625" style="3" bestFit="1" customWidth="1"/>
    <col min="41" max="41" width="17.90625" style="9" bestFit="1" customWidth="1"/>
    <col min="43" max="78" width="4.1796875" style="3" customWidth="1"/>
  </cols>
  <sheetData>
    <row r="1" spans="1:78" x14ac:dyDescent="0.35">
      <c r="D1" s="10" t="s">
        <v>48</v>
      </c>
      <c r="E1" s="9">
        <f>P.Comercial!H28</f>
        <v>0.5</v>
      </c>
      <c r="F1" s="9">
        <f>P.Comercial!I28</f>
        <v>0</v>
      </c>
      <c r="G1" s="9">
        <f>P.Comercial!J28</f>
        <v>1</v>
      </c>
      <c r="H1" s="9">
        <f>P.Comercial!K28</f>
        <v>3.5</v>
      </c>
      <c r="I1" s="9">
        <f>P.Comercial!L28</f>
        <v>9.5</v>
      </c>
      <c r="J1" s="9">
        <f>P.Comercial!M28</f>
        <v>9.5</v>
      </c>
      <c r="K1" s="9">
        <f>P.Comercial!N28</f>
        <v>15</v>
      </c>
      <c r="L1" s="9">
        <f>P.Comercial!O28</f>
        <v>17</v>
      </c>
      <c r="M1" s="9">
        <f>P.Comercial!P28</f>
        <v>17</v>
      </c>
      <c r="N1" s="9">
        <f>P.Comercial!Q28</f>
        <v>19</v>
      </c>
      <c r="O1" s="9">
        <f>P.Comercial!R28</f>
        <v>19</v>
      </c>
      <c r="P1" s="9">
        <f>P.Comercial!S28</f>
        <v>19</v>
      </c>
      <c r="Q1" s="9">
        <f>P.Comercial!T28</f>
        <v>19</v>
      </c>
      <c r="R1" s="9">
        <f>P.Comercial!U28</f>
        <v>19</v>
      </c>
      <c r="S1" s="9">
        <f>P.Comercial!V28</f>
        <v>19</v>
      </c>
      <c r="T1" s="9">
        <f>P.Comercial!W28</f>
        <v>19</v>
      </c>
      <c r="U1" s="9">
        <f>P.Comercial!X28</f>
        <v>19.5</v>
      </c>
      <c r="V1" s="9">
        <f>P.Comercial!Y28</f>
        <v>20</v>
      </c>
      <c r="W1" s="9">
        <f>P.Comercial!Z28</f>
        <v>20.5</v>
      </c>
      <c r="X1" s="9">
        <f>P.Comercial!AA28</f>
        <v>21</v>
      </c>
      <c r="Y1" s="9">
        <f>P.Comercial!AB28</f>
        <v>22.5</v>
      </c>
      <c r="Z1" s="9">
        <f>P.Comercial!AC28</f>
        <v>24</v>
      </c>
      <c r="AA1" s="9">
        <f>P.Comercial!AD28</f>
        <v>26</v>
      </c>
      <c r="AB1" s="9">
        <f>P.Comercial!AE28</f>
        <v>28</v>
      </c>
      <c r="AC1" s="9">
        <f>P.Comercial!AF28</f>
        <v>28</v>
      </c>
      <c r="AD1" s="9">
        <f>P.Comercial!AG28</f>
        <v>28</v>
      </c>
      <c r="AE1" s="9">
        <f>P.Comercial!AH28</f>
        <v>28.5</v>
      </c>
      <c r="AF1" s="9">
        <f>P.Comercial!AI28</f>
        <v>29</v>
      </c>
      <c r="AG1" s="9">
        <f>P.Comercial!AJ28</f>
        <v>29.5</v>
      </c>
      <c r="AH1" s="9">
        <f>P.Comercial!AK28</f>
        <v>30.5</v>
      </c>
      <c r="AI1" s="9">
        <f>P.Comercial!AL28</f>
        <v>32</v>
      </c>
      <c r="AJ1" s="9">
        <f>P.Comercial!AM28</f>
        <v>34</v>
      </c>
      <c r="AK1" s="9">
        <f>P.Comercial!AN28</f>
        <v>36.5</v>
      </c>
      <c r="AL1" s="9">
        <f>P.Comercial!AO28</f>
        <v>39.5</v>
      </c>
      <c r="AM1" s="9">
        <f>P.Comercial!AP28</f>
        <v>43.5</v>
      </c>
      <c r="AN1" s="9">
        <f>P.Comercial!AQ28</f>
        <v>48</v>
      </c>
    </row>
    <row r="2" spans="1:78" x14ac:dyDescent="0.35">
      <c r="A2" t="s">
        <v>45</v>
      </c>
      <c r="C2" s="3" t="s">
        <v>44</v>
      </c>
      <c r="D2" s="3" t="s">
        <v>46</v>
      </c>
      <c r="E2" s="3">
        <v>1</v>
      </c>
      <c r="F2" s="3">
        <v>2</v>
      </c>
      <c r="G2" s="3">
        <v>3</v>
      </c>
      <c r="H2" s="3">
        <v>4</v>
      </c>
      <c r="I2" s="3">
        <v>5</v>
      </c>
      <c r="J2" s="3">
        <v>6</v>
      </c>
      <c r="K2" s="3">
        <v>7</v>
      </c>
      <c r="L2" s="3">
        <v>8</v>
      </c>
      <c r="M2" s="3">
        <v>9</v>
      </c>
      <c r="N2" s="3">
        <v>10</v>
      </c>
      <c r="O2" s="3">
        <v>11</v>
      </c>
      <c r="P2" s="3">
        <v>12</v>
      </c>
      <c r="Q2" s="3">
        <v>13</v>
      </c>
      <c r="R2" s="3">
        <v>14</v>
      </c>
      <c r="S2" s="3">
        <v>15</v>
      </c>
      <c r="T2" s="3">
        <v>16</v>
      </c>
      <c r="U2" s="3">
        <v>17</v>
      </c>
      <c r="V2" s="3">
        <v>18</v>
      </c>
      <c r="W2" s="3">
        <v>19</v>
      </c>
      <c r="X2" s="3">
        <v>20</v>
      </c>
      <c r="Y2" s="3">
        <v>21</v>
      </c>
      <c r="Z2" s="3">
        <v>22</v>
      </c>
      <c r="AA2" s="3">
        <v>23</v>
      </c>
      <c r="AB2" s="3">
        <v>24</v>
      </c>
      <c r="AC2" s="3">
        <v>25</v>
      </c>
      <c r="AD2" s="3">
        <v>26</v>
      </c>
      <c r="AE2" s="3">
        <v>27</v>
      </c>
      <c r="AF2" s="3">
        <v>28</v>
      </c>
      <c r="AG2" s="3">
        <v>29</v>
      </c>
      <c r="AH2" s="3">
        <v>30</v>
      </c>
      <c r="AI2" s="3">
        <v>31</v>
      </c>
      <c r="AJ2" s="3">
        <v>32</v>
      </c>
      <c r="AK2" s="3">
        <v>33</v>
      </c>
      <c r="AL2" s="3">
        <v>34</v>
      </c>
      <c r="AM2" s="3">
        <v>35</v>
      </c>
      <c r="AN2" s="3">
        <v>36</v>
      </c>
      <c r="AO2" s="9" t="s">
        <v>47</v>
      </c>
      <c r="AQ2" s="3">
        <v>1</v>
      </c>
      <c r="AR2" s="3">
        <v>2</v>
      </c>
      <c r="AS2" s="3">
        <v>3</v>
      </c>
      <c r="AT2" s="3">
        <v>4</v>
      </c>
      <c r="AU2" s="3">
        <v>5</v>
      </c>
      <c r="AV2" s="3">
        <v>6</v>
      </c>
      <c r="AW2" s="3">
        <v>7</v>
      </c>
      <c r="AX2" s="3">
        <v>8</v>
      </c>
      <c r="AY2" s="3">
        <v>9</v>
      </c>
      <c r="AZ2" s="3">
        <v>10</v>
      </c>
      <c r="BA2" s="3">
        <v>11</v>
      </c>
      <c r="BB2" s="3">
        <v>12</v>
      </c>
      <c r="BC2" s="3">
        <v>13</v>
      </c>
      <c r="BD2" s="3">
        <v>14</v>
      </c>
      <c r="BE2" s="3">
        <v>15</v>
      </c>
      <c r="BF2" s="3">
        <v>16</v>
      </c>
      <c r="BG2" s="3">
        <v>17</v>
      </c>
      <c r="BH2" s="3">
        <v>18</v>
      </c>
      <c r="BI2" s="3">
        <v>19</v>
      </c>
      <c r="BJ2" s="3">
        <v>20</v>
      </c>
      <c r="BK2" s="3">
        <v>21</v>
      </c>
      <c r="BL2" s="3">
        <v>22</v>
      </c>
      <c r="BM2" s="3">
        <v>23</v>
      </c>
      <c r="BN2" s="3">
        <v>24</v>
      </c>
      <c r="BO2" s="3">
        <v>25</v>
      </c>
      <c r="BP2" s="3">
        <v>26</v>
      </c>
      <c r="BQ2" s="3">
        <v>27</v>
      </c>
      <c r="BR2" s="3">
        <v>28</v>
      </c>
      <c r="BS2" s="3">
        <v>29</v>
      </c>
      <c r="BT2" s="3">
        <v>30</v>
      </c>
      <c r="BU2" s="3">
        <v>31</v>
      </c>
      <c r="BV2" s="3">
        <v>32</v>
      </c>
      <c r="BW2" s="3">
        <v>33</v>
      </c>
      <c r="BX2" s="3">
        <v>34</v>
      </c>
      <c r="BY2" s="3">
        <v>35</v>
      </c>
      <c r="BZ2" s="3">
        <v>36</v>
      </c>
    </row>
    <row r="3" spans="1:78" x14ac:dyDescent="0.35">
      <c r="A3" s="4">
        <f>Vaciado!D32</f>
        <v>12</v>
      </c>
      <c r="B3" s="27">
        <f>C3/$A$3</f>
        <v>8.3333333333333329E-2</v>
      </c>
      <c r="C3" s="3">
        <v>1</v>
      </c>
      <c r="D3" s="9">
        <f>E1</f>
        <v>0.5</v>
      </c>
      <c r="E3" s="3">
        <f>IF(B3=INT(B3),$D$3,0)</f>
        <v>0</v>
      </c>
      <c r="AO3" s="9">
        <f>SUM(E3:AN3)</f>
        <v>0</v>
      </c>
      <c r="AQ3" s="3">
        <f>AO3</f>
        <v>0</v>
      </c>
      <c r="AR3" s="3">
        <f>AO4</f>
        <v>0</v>
      </c>
      <c r="AS3" s="3">
        <f>AO5</f>
        <v>0</v>
      </c>
      <c r="AT3" s="3">
        <f>AO6</f>
        <v>0</v>
      </c>
      <c r="AU3" s="3">
        <f>AO7</f>
        <v>0</v>
      </c>
      <c r="AV3" s="3">
        <f>AO8</f>
        <v>0</v>
      </c>
      <c r="AW3" s="3">
        <f>AO9</f>
        <v>0</v>
      </c>
      <c r="AX3" s="3">
        <f>AO10</f>
        <v>0</v>
      </c>
      <c r="AY3" s="3">
        <f>AO11</f>
        <v>0</v>
      </c>
      <c r="AZ3" s="3">
        <f>AO12</f>
        <v>0</v>
      </c>
      <c r="BA3" s="3">
        <f>AO13</f>
        <v>0</v>
      </c>
      <c r="BB3" s="3">
        <f>AO14</f>
        <v>0.5</v>
      </c>
      <c r="BC3" s="3">
        <f>AO15</f>
        <v>0</v>
      </c>
      <c r="BD3" s="3">
        <f>AO16</f>
        <v>1</v>
      </c>
      <c r="BE3" s="3">
        <f>AO17</f>
        <v>3.5</v>
      </c>
      <c r="BF3" s="3">
        <f>AO18</f>
        <v>9.5</v>
      </c>
      <c r="BG3" s="3">
        <f>AO19</f>
        <v>9.5</v>
      </c>
      <c r="BH3" s="3">
        <f>AO20</f>
        <v>15</v>
      </c>
      <c r="BI3" s="3">
        <f>AO21</f>
        <v>17</v>
      </c>
      <c r="BJ3" s="3">
        <f>AO22</f>
        <v>17</v>
      </c>
      <c r="BK3" s="3">
        <f>AO23</f>
        <v>19</v>
      </c>
      <c r="BL3" s="3">
        <f>AO24</f>
        <v>19</v>
      </c>
      <c r="BM3" s="3">
        <f>AO25</f>
        <v>19</v>
      </c>
      <c r="BN3" s="3">
        <f>AO26</f>
        <v>19.5</v>
      </c>
      <c r="BO3" s="3">
        <f>AO27</f>
        <v>19</v>
      </c>
      <c r="BP3" s="3">
        <f>AO28</f>
        <v>20</v>
      </c>
      <c r="BQ3" s="3">
        <f>AO29</f>
        <v>22.5</v>
      </c>
      <c r="BR3" s="3">
        <f>AO30</f>
        <v>29</v>
      </c>
      <c r="BS3" s="3">
        <f>AO31</f>
        <v>29.5</v>
      </c>
      <c r="BT3" s="3">
        <f>AO32</f>
        <v>35.5</v>
      </c>
      <c r="BU3" s="3">
        <f>AO33</f>
        <v>38</v>
      </c>
      <c r="BV3" s="3">
        <f>AO34</f>
        <v>39.5</v>
      </c>
      <c r="BW3" s="3">
        <f>AO35</f>
        <v>43</v>
      </c>
      <c r="BX3" s="3">
        <f>AO36</f>
        <v>45</v>
      </c>
      <c r="BY3" s="3">
        <f>AO37</f>
        <v>47</v>
      </c>
      <c r="BZ3" s="3">
        <f>AO38</f>
        <v>47.5</v>
      </c>
    </row>
    <row r="4" spans="1:78" x14ac:dyDescent="0.35">
      <c r="B4" s="27">
        <f t="shared" ref="B4:B38" si="0">C4/$A$3</f>
        <v>0.16666666666666666</v>
      </c>
      <c r="C4" s="3">
        <v>2</v>
      </c>
      <c r="D4" s="9">
        <f>F1</f>
        <v>0</v>
      </c>
      <c r="E4" s="3">
        <f>IF(B4=INT(B4),$D$3,0)</f>
        <v>0</v>
      </c>
      <c r="F4" s="3">
        <f>IF(B3=INT(B3),$D$4,0)</f>
        <v>0</v>
      </c>
      <c r="AO4" s="9">
        <f t="shared" ref="AO4:AO37" si="1">SUM(E4:AN4)</f>
        <v>0</v>
      </c>
    </row>
    <row r="5" spans="1:78" x14ac:dyDescent="0.35">
      <c r="B5" s="27">
        <f t="shared" si="0"/>
        <v>0.25</v>
      </c>
      <c r="C5" s="3">
        <v>3</v>
      </c>
      <c r="D5" s="9">
        <f>G1</f>
        <v>1</v>
      </c>
      <c r="E5" s="3">
        <f t="shared" ref="E5:E38" si="2">IF(B5=INT(B5),$D$3,0)</f>
        <v>0</v>
      </c>
      <c r="F5" s="3">
        <f t="shared" ref="F5:F38" si="3">IF(B4=INT(B4),$D$4,0)</f>
        <v>0</v>
      </c>
      <c r="G5" s="3">
        <f>IF(B3=INT(B3),$D$5,0)</f>
        <v>0</v>
      </c>
      <c r="AO5" s="9">
        <f t="shared" si="1"/>
        <v>0</v>
      </c>
    </row>
    <row r="6" spans="1:78" x14ac:dyDescent="0.35">
      <c r="B6" s="27">
        <f t="shared" si="0"/>
        <v>0.33333333333333331</v>
      </c>
      <c r="C6" s="3">
        <v>4</v>
      </c>
      <c r="D6" s="9">
        <f>H1</f>
        <v>3.5</v>
      </c>
      <c r="E6" s="3">
        <f t="shared" si="2"/>
        <v>0</v>
      </c>
      <c r="F6" s="3">
        <f t="shared" si="3"/>
        <v>0</v>
      </c>
      <c r="G6" s="3">
        <f t="shared" ref="G6:G38" si="4">IF(B4=INT(B4),$D$5,0)</f>
        <v>0</v>
      </c>
      <c r="H6" s="3">
        <f>IF(B3=INT(B3),$D$6,0)</f>
        <v>0</v>
      </c>
      <c r="AO6" s="9">
        <f t="shared" si="1"/>
        <v>0</v>
      </c>
    </row>
    <row r="7" spans="1:78" x14ac:dyDescent="0.35">
      <c r="B7" s="27">
        <f t="shared" si="0"/>
        <v>0.41666666666666669</v>
      </c>
      <c r="C7" s="3">
        <v>5</v>
      </c>
      <c r="D7" s="9">
        <f>I1</f>
        <v>9.5</v>
      </c>
      <c r="E7" s="3">
        <f t="shared" si="2"/>
        <v>0</v>
      </c>
      <c r="F7" s="3">
        <f t="shared" si="3"/>
        <v>0</v>
      </c>
      <c r="G7" s="3">
        <f t="shared" si="4"/>
        <v>0</v>
      </c>
      <c r="H7" s="3">
        <f t="shared" ref="H7:H38" si="5">IF(B4=INT(B4),$D$6,0)</f>
        <v>0</v>
      </c>
      <c r="I7" s="3">
        <f>IF(B3=INT(B3),$D$7,0)</f>
        <v>0</v>
      </c>
      <c r="AO7" s="9">
        <f t="shared" si="1"/>
        <v>0</v>
      </c>
    </row>
    <row r="8" spans="1:78" x14ac:dyDescent="0.35">
      <c r="B8" s="27">
        <f t="shared" si="0"/>
        <v>0.5</v>
      </c>
      <c r="C8" s="3">
        <v>6</v>
      </c>
      <c r="D8" s="9">
        <f>J1</f>
        <v>9.5</v>
      </c>
      <c r="E8" s="3">
        <f t="shared" si="2"/>
        <v>0</v>
      </c>
      <c r="F8" s="3">
        <f t="shared" si="3"/>
        <v>0</v>
      </c>
      <c r="G8" s="3">
        <f t="shared" si="4"/>
        <v>0</v>
      </c>
      <c r="H8" s="3">
        <f t="shared" si="5"/>
        <v>0</v>
      </c>
      <c r="I8" s="3">
        <f t="shared" ref="I8:I38" si="6">IF(B4=INT(B4),$D$7,0)</f>
        <v>0</v>
      </c>
      <c r="J8" s="3">
        <f>IF(B3=INT(B3),$D$8,0)</f>
        <v>0</v>
      </c>
      <c r="AO8" s="9">
        <f t="shared" si="1"/>
        <v>0</v>
      </c>
    </row>
    <row r="9" spans="1:78" x14ac:dyDescent="0.35">
      <c r="B9" s="27">
        <f t="shared" si="0"/>
        <v>0.58333333333333337</v>
      </c>
      <c r="C9" s="3">
        <v>7</v>
      </c>
      <c r="D9" s="9">
        <f>K1</f>
        <v>15</v>
      </c>
      <c r="E9" s="3">
        <f t="shared" si="2"/>
        <v>0</v>
      </c>
      <c r="F9" s="3">
        <f t="shared" si="3"/>
        <v>0</v>
      </c>
      <c r="G9" s="3">
        <f t="shared" si="4"/>
        <v>0</v>
      </c>
      <c r="H9" s="3">
        <f t="shared" si="5"/>
        <v>0</v>
      </c>
      <c r="I9" s="3">
        <f t="shared" si="6"/>
        <v>0</v>
      </c>
      <c r="J9" s="3">
        <f t="shared" ref="J9:J38" si="7">IF(B4=INT(B4),$D$8,0)</f>
        <v>0</v>
      </c>
      <c r="K9" s="3">
        <f>IF(B3=INT(B3),$D$9,0)</f>
        <v>0</v>
      </c>
      <c r="AO9" s="9">
        <f t="shared" si="1"/>
        <v>0</v>
      </c>
    </row>
    <row r="10" spans="1:78" x14ac:dyDescent="0.35">
      <c r="B10" s="27">
        <f t="shared" si="0"/>
        <v>0.66666666666666663</v>
      </c>
      <c r="C10" s="3">
        <v>8</v>
      </c>
      <c r="D10" s="9">
        <f>L1</f>
        <v>17</v>
      </c>
      <c r="E10" s="3">
        <f t="shared" si="2"/>
        <v>0</v>
      </c>
      <c r="F10" s="3">
        <f t="shared" si="3"/>
        <v>0</v>
      </c>
      <c r="G10" s="3">
        <f t="shared" si="4"/>
        <v>0</v>
      </c>
      <c r="H10" s="3">
        <f t="shared" si="5"/>
        <v>0</v>
      </c>
      <c r="I10" s="3">
        <f t="shared" si="6"/>
        <v>0</v>
      </c>
      <c r="J10" s="3">
        <f t="shared" si="7"/>
        <v>0</v>
      </c>
      <c r="K10" s="3">
        <f t="shared" ref="K10:K38" si="8">IF(B4=INT(B4),$D$9,0)</f>
        <v>0</v>
      </c>
      <c r="L10" s="3">
        <f>IF(B3=INT(B3),$D$10,0)</f>
        <v>0</v>
      </c>
      <c r="AO10" s="9">
        <f t="shared" si="1"/>
        <v>0</v>
      </c>
    </row>
    <row r="11" spans="1:78" x14ac:dyDescent="0.35">
      <c r="B11" s="27">
        <f t="shared" si="0"/>
        <v>0.75</v>
      </c>
      <c r="C11" s="3">
        <v>9</v>
      </c>
      <c r="D11" s="9">
        <f>M1</f>
        <v>17</v>
      </c>
      <c r="E11" s="3">
        <f t="shared" si="2"/>
        <v>0</v>
      </c>
      <c r="F11" s="3">
        <f t="shared" si="3"/>
        <v>0</v>
      </c>
      <c r="G11" s="3">
        <f t="shared" si="4"/>
        <v>0</v>
      </c>
      <c r="H11" s="3">
        <f t="shared" si="5"/>
        <v>0</v>
      </c>
      <c r="I11" s="3">
        <f t="shared" si="6"/>
        <v>0</v>
      </c>
      <c r="J11" s="3">
        <f t="shared" si="7"/>
        <v>0</v>
      </c>
      <c r="K11" s="3">
        <f t="shared" si="8"/>
        <v>0</v>
      </c>
      <c r="L11" s="3">
        <f t="shared" ref="L11:L38" si="9">IF(B4=INT(B4),$D$10,0)</f>
        <v>0</v>
      </c>
      <c r="M11" s="3">
        <f>IF(B3=INT(B3),$D$11,0)</f>
        <v>0</v>
      </c>
      <c r="AO11" s="9">
        <f t="shared" si="1"/>
        <v>0</v>
      </c>
    </row>
    <row r="12" spans="1:78" x14ac:dyDescent="0.35">
      <c r="B12" s="27">
        <f t="shared" si="0"/>
        <v>0.83333333333333337</v>
      </c>
      <c r="C12" s="3">
        <v>10</v>
      </c>
      <c r="D12" s="9">
        <f>N1</f>
        <v>19</v>
      </c>
      <c r="E12" s="3">
        <f t="shared" si="2"/>
        <v>0</v>
      </c>
      <c r="F12" s="3">
        <f t="shared" si="3"/>
        <v>0</v>
      </c>
      <c r="G12" s="3">
        <f t="shared" si="4"/>
        <v>0</v>
      </c>
      <c r="H12" s="3">
        <f t="shared" si="5"/>
        <v>0</v>
      </c>
      <c r="I12" s="3">
        <f t="shared" si="6"/>
        <v>0</v>
      </c>
      <c r="J12" s="3">
        <f t="shared" si="7"/>
        <v>0</v>
      </c>
      <c r="K12" s="3">
        <f t="shared" si="8"/>
        <v>0</v>
      </c>
      <c r="L12" s="3">
        <f t="shared" si="9"/>
        <v>0</v>
      </c>
      <c r="M12" s="3">
        <f t="shared" ref="M12:M38" si="10">IF(B4=INT(B4),$D$11,0)</f>
        <v>0</v>
      </c>
      <c r="N12" s="3">
        <f>IF(B3=INT(B3),$D$12,0)</f>
        <v>0</v>
      </c>
      <c r="AO12" s="9">
        <f t="shared" si="1"/>
        <v>0</v>
      </c>
    </row>
    <row r="13" spans="1:78" x14ac:dyDescent="0.35">
      <c r="B13" s="27">
        <f t="shared" si="0"/>
        <v>0.91666666666666663</v>
      </c>
      <c r="C13" s="3">
        <v>11</v>
      </c>
      <c r="D13" s="9">
        <f>O1</f>
        <v>19</v>
      </c>
      <c r="E13" s="3">
        <f t="shared" si="2"/>
        <v>0</v>
      </c>
      <c r="F13" s="3">
        <f t="shared" si="3"/>
        <v>0</v>
      </c>
      <c r="G13" s="3">
        <f t="shared" si="4"/>
        <v>0</v>
      </c>
      <c r="H13" s="3">
        <f t="shared" si="5"/>
        <v>0</v>
      </c>
      <c r="I13" s="3">
        <f t="shared" si="6"/>
        <v>0</v>
      </c>
      <c r="J13" s="3">
        <f t="shared" si="7"/>
        <v>0</v>
      </c>
      <c r="K13" s="3">
        <f t="shared" si="8"/>
        <v>0</v>
      </c>
      <c r="L13" s="3">
        <f t="shared" si="9"/>
        <v>0</v>
      </c>
      <c r="M13" s="3">
        <f t="shared" si="10"/>
        <v>0</v>
      </c>
      <c r="N13" s="3">
        <f t="shared" ref="N13:N38" si="11">IF(B4=INT(B4),$D$12,0)</f>
        <v>0</v>
      </c>
      <c r="O13" s="3">
        <f>IF(B3=INT(B3),$D$13,0)</f>
        <v>0</v>
      </c>
      <c r="AO13" s="9">
        <f t="shared" si="1"/>
        <v>0</v>
      </c>
    </row>
    <row r="14" spans="1:78" x14ac:dyDescent="0.35">
      <c r="B14" s="27">
        <f t="shared" si="0"/>
        <v>1</v>
      </c>
      <c r="C14" s="3">
        <v>12</v>
      </c>
      <c r="D14" s="9">
        <f>P1</f>
        <v>19</v>
      </c>
      <c r="E14" s="3">
        <f t="shared" si="2"/>
        <v>0.5</v>
      </c>
      <c r="F14" s="3">
        <f t="shared" si="3"/>
        <v>0</v>
      </c>
      <c r="G14" s="3">
        <f t="shared" si="4"/>
        <v>0</v>
      </c>
      <c r="H14" s="3">
        <f t="shared" si="5"/>
        <v>0</v>
      </c>
      <c r="I14" s="3">
        <f t="shared" si="6"/>
        <v>0</v>
      </c>
      <c r="J14" s="3">
        <f t="shared" si="7"/>
        <v>0</v>
      </c>
      <c r="K14" s="3">
        <f t="shared" si="8"/>
        <v>0</v>
      </c>
      <c r="L14" s="3">
        <f t="shared" si="9"/>
        <v>0</v>
      </c>
      <c r="M14" s="3">
        <f t="shared" si="10"/>
        <v>0</v>
      </c>
      <c r="N14" s="3">
        <f t="shared" si="11"/>
        <v>0</v>
      </c>
      <c r="O14" s="3">
        <f t="shared" ref="O14:O38" si="12">IF(B4=INT(B4),$D$13,0)</f>
        <v>0</v>
      </c>
      <c r="P14" s="3">
        <f>IF(B3=INT(B3),$D$14,0)</f>
        <v>0</v>
      </c>
      <c r="AO14" s="9">
        <f t="shared" si="1"/>
        <v>0.5</v>
      </c>
    </row>
    <row r="15" spans="1:78" x14ac:dyDescent="0.35">
      <c r="B15" s="27">
        <f t="shared" si="0"/>
        <v>1.0833333333333333</v>
      </c>
      <c r="C15" s="3">
        <v>13</v>
      </c>
      <c r="D15" s="9">
        <f>Q1</f>
        <v>19</v>
      </c>
      <c r="E15" s="3">
        <f t="shared" si="2"/>
        <v>0</v>
      </c>
      <c r="F15" s="3">
        <f t="shared" si="3"/>
        <v>0</v>
      </c>
      <c r="G15" s="3">
        <f t="shared" si="4"/>
        <v>0</v>
      </c>
      <c r="H15" s="3">
        <f t="shared" si="5"/>
        <v>0</v>
      </c>
      <c r="I15" s="3">
        <f t="shared" si="6"/>
        <v>0</v>
      </c>
      <c r="J15" s="3">
        <f t="shared" si="7"/>
        <v>0</v>
      </c>
      <c r="K15" s="3">
        <f t="shared" si="8"/>
        <v>0</v>
      </c>
      <c r="L15" s="3">
        <f t="shared" si="9"/>
        <v>0</v>
      </c>
      <c r="M15" s="3">
        <f t="shared" si="10"/>
        <v>0</v>
      </c>
      <c r="N15" s="3">
        <f t="shared" si="11"/>
        <v>0</v>
      </c>
      <c r="O15" s="3">
        <f t="shared" si="12"/>
        <v>0</v>
      </c>
      <c r="P15" s="3">
        <f t="shared" ref="P15:P38" si="13">IF(B4=INT(B4),$D$14,0)</f>
        <v>0</v>
      </c>
      <c r="Q15" s="3">
        <f>IF(B3=INT(B3),$D$15,0)</f>
        <v>0</v>
      </c>
      <c r="AO15" s="9">
        <f t="shared" si="1"/>
        <v>0</v>
      </c>
    </row>
    <row r="16" spans="1:78" x14ac:dyDescent="0.35">
      <c r="B16" s="27">
        <f t="shared" si="0"/>
        <v>1.1666666666666667</v>
      </c>
      <c r="C16" s="3">
        <v>14</v>
      </c>
      <c r="D16" s="9">
        <f>R1</f>
        <v>19</v>
      </c>
      <c r="E16" s="3">
        <f t="shared" si="2"/>
        <v>0</v>
      </c>
      <c r="F16" s="3">
        <f t="shared" si="3"/>
        <v>0</v>
      </c>
      <c r="G16" s="3">
        <f t="shared" si="4"/>
        <v>1</v>
      </c>
      <c r="H16" s="3">
        <f t="shared" si="5"/>
        <v>0</v>
      </c>
      <c r="I16" s="3">
        <f t="shared" si="6"/>
        <v>0</v>
      </c>
      <c r="J16" s="3">
        <f t="shared" si="7"/>
        <v>0</v>
      </c>
      <c r="K16" s="3">
        <f t="shared" si="8"/>
        <v>0</v>
      </c>
      <c r="L16" s="3">
        <f t="shared" si="9"/>
        <v>0</v>
      </c>
      <c r="M16" s="3">
        <f t="shared" si="10"/>
        <v>0</v>
      </c>
      <c r="N16" s="3">
        <f t="shared" si="11"/>
        <v>0</v>
      </c>
      <c r="O16" s="3">
        <f t="shared" si="12"/>
        <v>0</v>
      </c>
      <c r="P16" s="3">
        <f t="shared" si="13"/>
        <v>0</v>
      </c>
      <c r="Q16" s="3">
        <f t="shared" ref="Q16:Q38" si="14">IF(B4=INT(B4),$D$15,0)</f>
        <v>0</v>
      </c>
      <c r="R16" s="3">
        <f>IF(B3=INT(B3),$D$16,0)</f>
        <v>0</v>
      </c>
      <c r="AO16" s="9">
        <f t="shared" si="1"/>
        <v>1</v>
      </c>
    </row>
    <row r="17" spans="2:41" x14ac:dyDescent="0.35">
      <c r="B17" s="27">
        <f t="shared" si="0"/>
        <v>1.25</v>
      </c>
      <c r="C17" s="3">
        <v>15</v>
      </c>
      <c r="D17" s="9">
        <f>S1</f>
        <v>19</v>
      </c>
      <c r="E17" s="3">
        <f t="shared" si="2"/>
        <v>0</v>
      </c>
      <c r="F17" s="3">
        <f t="shared" si="3"/>
        <v>0</v>
      </c>
      <c r="G17" s="3">
        <f t="shared" si="4"/>
        <v>0</v>
      </c>
      <c r="H17" s="3">
        <f t="shared" si="5"/>
        <v>3.5</v>
      </c>
      <c r="I17" s="3">
        <f t="shared" si="6"/>
        <v>0</v>
      </c>
      <c r="J17" s="3">
        <f t="shared" si="7"/>
        <v>0</v>
      </c>
      <c r="K17" s="3">
        <f t="shared" si="8"/>
        <v>0</v>
      </c>
      <c r="L17" s="3">
        <f t="shared" si="9"/>
        <v>0</v>
      </c>
      <c r="M17" s="3">
        <f t="shared" si="10"/>
        <v>0</v>
      </c>
      <c r="N17" s="3">
        <f t="shared" si="11"/>
        <v>0</v>
      </c>
      <c r="O17" s="3">
        <f t="shared" si="12"/>
        <v>0</v>
      </c>
      <c r="P17" s="3">
        <f t="shared" si="13"/>
        <v>0</v>
      </c>
      <c r="Q17" s="3">
        <f t="shared" si="14"/>
        <v>0</v>
      </c>
      <c r="R17" s="3">
        <f t="shared" ref="R17:R38" si="15">IF(B4=INT(B4),$D$16,0)</f>
        <v>0</v>
      </c>
      <c r="S17" s="3">
        <f>IF(B3=INT(B3),$D$17,0)</f>
        <v>0</v>
      </c>
      <c r="AO17" s="9">
        <f t="shared" si="1"/>
        <v>3.5</v>
      </c>
    </row>
    <row r="18" spans="2:41" x14ac:dyDescent="0.35">
      <c r="B18" s="27">
        <f t="shared" si="0"/>
        <v>1.3333333333333333</v>
      </c>
      <c r="C18" s="3">
        <v>16</v>
      </c>
      <c r="D18" s="9">
        <f>T1</f>
        <v>19</v>
      </c>
      <c r="E18" s="3">
        <f t="shared" si="2"/>
        <v>0</v>
      </c>
      <c r="F18" s="3">
        <f t="shared" si="3"/>
        <v>0</v>
      </c>
      <c r="G18" s="3">
        <f t="shared" si="4"/>
        <v>0</v>
      </c>
      <c r="H18" s="3">
        <f t="shared" si="5"/>
        <v>0</v>
      </c>
      <c r="I18" s="3">
        <f t="shared" si="6"/>
        <v>9.5</v>
      </c>
      <c r="J18" s="3">
        <f t="shared" si="7"/>
        <v>0</v>
      </c>
      <c r="K18" s="3">
        <f t="shared" si="8"/>
        <v>0</v>
      </c>
      <c r="L18" s="3">
        <f t="shared" si="9"/>
        <v>0</v>
      </c>
      <c r="M18" s="3">
        <f t="shared" si="10"/>
        <v>0</v>
      </c>
      <c r="N18" s="3">
        <f t="shared" si="11"/>
        <v>0</v>
      </c>
      <c r="O18" s="3">
        <f t="shared" si="12"/>
        <v>0</v>
      </c>
      <c r="P18" s="3">
        <f t="shared" si="13"/>
        <v>0</v>
      </c>
      <c r="Q18" s="3">
        <f t="shared" si="14"/>
        <v>0</v>
      </c>
      <c r="R18" s="3">
        <f t="shared" si="15"/>
        <v>0</v>
      </c>
      <c r="S18" s="3">
        <f t="shared" ref="S18:S38" si="16">IF(B4=INT(B4),$D$17,0)</f>
        <v>0</v>
      </c>
      <c r="T18" s="3">
        <f>IF(B3=INT(B3),$D$18,0)</f>
        <v>0</v>
      </c>
      <c r="AO18" s="9">
        <f t="shared" si="1"/>
        <v>9.5</v>
      </c>
    </row>
    <row r="19" spans="2:41" x14ac:dyDescent="0.35">
      <c r="B19" s="27">
        <f t="shared" si="0"/>
        <v>1.4166666666666667</v>
      </c>
      <c r="C19" s="3">
        <v>17</v>
      </c>
      <c r="D19" s="9">
        <f>U1</f>
        <v>19.5</v>
      </c>
      <c r="E19" s="3">
        <f t="shared" si="2"/>
        <v>0</v>
      </c>
      <c r="F19" s="3">
        <f t="shared" si="3"/>
        <v>0</v>
      </c>
      <c r="G19" s="3">
        <f t="shared" si="4"/>
        <v>0</v>
      </c>
      <c r="H19" s="3">
        <f t="shared" si="5"/>
        <v>0</v>
      </c>
      <c r="I19" s="3">
        <f t="shared" si="6"/>
        <v>0</v>
      </c>
      <c r="J19" s="3">
        <f t="shared" si="7"/>
        <v>9.5</v>
      </c>
      <c r="K19" s="3">
        <f t="shared" si="8"/>
        <v>0</v>
      </c>
      <c r="L19" s="3">
        <f t="shared" si="9"/>
        <v>0</v>
      </c>
      <c r="M19" s="3">
        <f t="shared" si="10"/>
        <v>0</v>
      </c>
      <c r="N19" s="3">
        <f t="shared" si="11"/>
        <v>0</v>
      </c>
      <c r="O19" s="3">
        <f t="shared" si="12"/>
        <v>0</v>
      </c>
      <c r="P19" s="3">
        <f t="shared" si="13"/>
        <v>0</v>
      </c>
      <c r="Q19" s="3">
        <f t="shared" si="14"/>
        <v>0</v>
      </c>
      <c r="R19" s="3">
        <f t="shared" si="15"/>
        <v>0</v>
      </c>
      <c r="S19" s="3">
        <f t="shared" si="16"/>
        <v>0</v>
      </c>
      <c r="T19" s="3">
        <f t="shared" ref="T19:T38" si="17">IF(B4=INT(B4),$D$18,0)</f>
        <v>0</v>
      </c>
      <c r="U19" s="3">
        <f>IF(B3=INT(B3),$D$19,0)</f>
        <v>0</v>
      </c>
      <c r="AO19" s="9">
        <f t="shared" si="1"/>
        <v>9.5</v>
      </c>
    </row>
    <row r="20" spans="2:41" x14ac:dyDescent="0.35">
      <c r="B20" s="27">
        <f t="shared" si="0"/>
        <v>1.5</v>
      </c>
      <c r="C20" s="3">
        <v>18</v>
      </c>
      <c r="D20" s="9">
        <f>V1</f>
        <v>20</v>
      </c>
      <c r="E20" s="3">
        <f t="shared" si="2"/>
        <v>0</v>
      </c>
      <c r="F20" s="3">
        <f t="shared" si="3"/>
        <v>0</v>
      </c>
      <c r="G20" s="3">
        <f t="shared" si="4"/>
        <v>0</v>
      </c>
      <c r="H20" s="3">
        <f t="shared" si="5"/>
        <v>0</v>
      </c>
      <c r="I20" s="3">
        <f t="shared" si="6"/>
        <v>0</v>
      </c>
      <c r="J20" s="3">
        <f t="shared" si="7"/>
        <v>0</v>
      </c>
      <c r="K20" s="3">
        <f t="shared" si="8"/>
        <v>15</v>
      </c>
      <c r="L20" s="3">
        <f t="shared" si="9"/>
        <v>0</v>
      </c>
      <c r="M20" s="3">
        <f t="shared" si="10"/>
        <v>0</v>
      </c>
      <c r="N20" s="3">
        <f t="shared" si="11"/>
        <v>0</v>
      </c>
      <c r="O20" s="3">
        <f t="shared" si="12"/>
        <v>0</v>
      </c>
      <c r="P20" s="3">
        <f t="shared" si="13"/>
        <v>0</v>
      </c>
      <c r="Q20" s="3">
        <f t="shared" si="14"/>
        <v>0</v>
      </c>
      <c r="R20" s="3">
        <f t="shared" si="15"/>
        <v>0</v>
      </c>
      <c r="S20" s="3">
        <f t="shared" si="16"/>
        <v>0</v>
      </c>
      <c r="T20" s="3">
        <f t="shared" si="17"/>
        <v>0</v>
      </c>
      <c r="U20" s="3">
        <f t="shared" ref="U20:U38" si="18">IF(B4=INT(B4),$D$19,0)</f>
        <v>0</v>
      </c>
      <c r="V20" s="3">
        <f>IF(B3=INT(B3),$D$20,0)</f>
        <v>0</v>
      </c>
      <c r="AO20" s="9">
        <f t="shared" si="1"/>
        <v>15</v>
      </c>
    </row>
    <row r="21" spans="2:41" x14ac:dyDescent="0.35">
      <c r="B21" s="27">
        <f t="shared" si="0"/>
        <v>1.5833333333333333</v>
      </c>
      <c r="C21" s="3">
        <v>19</v>
      </c>
      <c r="D21" s="9">
        <f>W1</f>
        <v>20.5</v>
      </c>
      <c r="E21" s="3">
        <f t="shared" si="2"/>
        <v>0</v>
      </c>
      <c r="F21" s="3">
        <f t="shared" si="3"/>
        <v>0</v>
      </c>
      <c r="G21" s="3">
        <f t="shared" si="4"/>
        <v>0</v>
      </c>
      <c r="H21" s="3">
        <f t="shared" si="5"/>
        <v>0</v>
      </c>
      <c r="I21" s="3">
        <f t="shared" si="6"/>
        <v>0</v>
      </c>
      <c r="J21" s="3">
        <f t="shared" si="7"/>
        <v>0</v>
      </c>
      <c r="K21" s="3">
        <f t="shared" si="8"/>
        <v>0</v>
      </c>
      <c r="L21" s="3">
        <f t="shared" si="9"/>
        <v>17</v>
      </c>
      <c r="M21" s="3">
        <f t="shared" si="10"/>
        <v>0</v>
      </c>
      <c r="N21" s="3">
        <f t="shared" si="11"/>
        <v>0</v>
      </c>
      <c r="O21" s="3">
        <f t="shared" si="12"/>
        <v>0</v>
      </c>
      <c r="P21" s="3">
        <f t="shared" si="13"/>
        <v>0</v>
      </c>
      <c r="Q21" s="3">
        <f t="shared" si="14"/>
        <v>0</v>
      </c>
      <c r="R21" s="3">
        <f t="shared" si="15"/>
        <v>0</v>
      </c>
      <c r="S21" s="3">
        <f t="shared" si="16"/>
        <v>0</v>
      </c>
      <c r="T21" s="3">
        <f t="shared" si="17"/>
        <v>0</v>
      </c>
      <c r="U21" s="3">
        <f t="shared" si="18"/>
        <v>0</v>
      </c>
      <c r="V21" s="3">
        <f t="shared" ref="V21:V38" si="19">IF(B4=INT(B4),$D$20,0)</f>
        <v>0</v>
      </c>
      <c r="W21" s="3">
        <f>IF(B3=INT(B3),$D$21,0)</f>
        <v>0</v>
      </c>
      <c r="AO21" s="9">
        <f t="shared" si="1"/>
        <v>17</v>
      </c>
    </row>
    <row r="22" spans="2:41" x14ac:dyDescent="0.35">
      <c r="B22" s="27">
        <f t="shared" si="0"/>
        <v>1.6666666666666667</v>
      </c>
      <c r="C22" s="3">
        <v>20</v>
      </c>
      <c r="D22" s="9">
        <f>X1</f>
        <v>21</v>
      </c>
      <c r="E22" s="3">
        <f t="shared" si="2"/>
        <v>0</v>
      </c>
      <c r="F22" s="3">
        <f t="shared" si="3"/>
        <v>0</v>
      </c>
      <c r="G22" s="3">
        <f t="shared" si="4"/>
        <v>0</v>
      </c>
      <c r="H22" s="3">
        <f t="shared" si="5"/>
        <v>0</v>
      </c>
      <c r="I22" s="3">
        <f t="shared" si="6"/>
        <v>0</v>
      </c>
      <c r="J22" s="3">
        <f t="shared" si="7"/>
        <v>0</v>
      </c>
      <c r="K22" s="3">
        <f t="shared" si="8"/>
        <v>0</v>
      </c>
      <c r="L22" s="3">
        <f t="shared" si="9"/>
        <v>0</v>
      </c>
      <c r="M22" s="3">
        <f t="shared" si="10"/>
        <v>17</v>
      </c>
      <c r="N22" s="3">
        <f t="shared" si="11"/>
        <v>0</v>
      </c>
      <c r="O22" s="3">
        <f t="shared" si="12"/>
        <v>0</v>
      </c>
      <c r="P22" s="3">
        <f t="shared" si="13"/>
        <v>0</v>
      </c>
      <c r="Q22" s="3">
        <f t="shared" si="14"/>
        <v>0</v>
      </c>
      <c r="R22" s="3">
        <f t="shared" si="15"/>
        <v>0</v>
      </c>
      <c r="S22" s="3">
        <f t="shared" si="16"/>
        <v>0</v>
      </c>
      <c r="T22" s="3">
        <f t="shared" si="17"/>
        <v>0</v>
      </c>
      <c r="U22" s="3">
        <f t="shared" si="18"/>
        <v>0</v>
      </c>
      <c r="V22" s="3">
        <f t="shared" si="19"/>
        <v>0</v>
      </c>
      <c r="W22" s="3">
        <f t="shared" ref="W22:W38" si="20">IF(B4=INT(B4),$D$21,0)</f>
        <v>0</v>
      </c>
      <c r="X22" s="3">
        <f>IF(B3=INT(B3),$D$22,0)</f>
        <v>0</v>
      </c>
      <c r="AO22" s="9">
        <f t="shared" si="1"/>
        <v>17</v>
      </c>
    </row>
    <row r="23" spans="2:41" x14ac:dyDescent="0.35">
      <c r="B23" s="27">
        <f t="shared" si="0"/>
        <v>1.75</v>
      </c>
      <c r="C23" s="3">
        <v>21</v>
      </c>
      <c r="D23" s="9">
        <f>Y1</f>
        <v>22.5</v>
      </c>
      <c r="E23" s="3">
        <f t="shared" si="2"/>
        <v>0</v>
      </c>
      <c r="F23" s="3">
        <f t="shared" si="3"/>
        <v>0</v>
      </c>
      <c r="G23" s="3">
        <f t="shared" si="4"/>
        <v>0</v>
      </c>
      <c r="H23" s="3">
        <f t="shared" si="5"/>
        <v>0</v>
      </c>
      <c r="I23" s="3">
        <f t="shared" si="6"/>
        <v>0</v>
      </c>
      <c r="J23" s="3">
        <f t="shared" si="7"/>
        <v>0</v>
      </c>
      <c r="K23" s="3">
        <f t="shared" si="8"/>
        <v>0</v>
      </c>
      <c r="L23" s="3">
        <f t="shared" si="9"/>
        <v>0</v>
      </c>
      <c r="M23" s="3">
        <f t="shared" si="10"/>
        <v>0</v>
      </c>
      <c r="N23" s="3">
        <f t="shared" si="11"/>
        <v>19</v>
      </c>
      <c r="O23" s="3">
        <f t="shared" si="12"/>
        <v>0</v>
      </c>
      <c r="P23" s="3">
        <f t="shared" si="13"/>
        <v>0</v>
      </c>
      <c r="Q23" s="3">
        <f t="shared" si="14"/>
        <v>0</v>
      </c>
      <c r="R23" s="3">
        <f t="shared" si="15"/>
        <v>0</v>
      </c>
      <c r="S23" s="3">
        <f t="shared" si="16"/>
        <v>0</v>
      </c>
      <c r="T23" s="3">
        <f t="shared" si="17"/>
        <v>0</v>
      </c>
      <c r="U23" s="3">
        <f t="shared" si="18"/>
        <v>0</v>
      </c>
      <c r="V23" s="3">
        <f t="shared" si="19"/>
        <v>0</v>
      </c>
      <c r="W23" s="3">
        <f t="shared" si="20"/>
        <v>0</v>
      </c>
      <c r="X23" s="3">
        <f t="shared" ref="X23:X38" si="21">IF(B4=INT(B4),$D$22,0)</f>
        <v>0</v>
      </c>
      <c r="Y23" s="3">
        <f>IF(B3=INT(B3),$D$23,0)</f>
        <v>0</v>
      </c>
      <c r="AO23" s="9">
        <f t="shared" si="1"/>
        <v>19</v>
      </c>
    </row>
    <row r="24" spans="2:41" x14ac:dyDescent="0.35">
      <c r="B24" s="27">
        <f t="shared" si="0"/>
        <v>1.8333333333333333</v>
      </c>
      <c r="C24" s="3">
        <v>22</v>
      </c>
      <c r="D24" s="9">
        <f>Z1</f>
        <v>24</v>
      </c>
      <c r="E24" s="3">
        <f t="shared" si="2"/>
        <v>0</v>
      </c>
      <c r="F24" s="3">
        <f t="shared" si="3"/>
        <v>0</v>
      </c>
      <c r="G24" s="3">
        <f t="shared" si="4"/>
        <v>0</v>
      </c>
      <c r="H24" s="3">
        <f t="shared" si="5"/>
        <v>0</v>
      </c>
      <c r="I24" s="3">
        <f t="shared" si="6"/>
        <v>0</v>
      </c>
      <c r="J24" s="3">
        <f t="shared" si="7"/>
        <v>0</v>
      </c>
      <c r="K24" s="3">
        <f t="shared" si="8"/>
        <v>0</v>
      </c>
      <c r="L24" s="3">
        <f t="shared" si="9"/>
        <v>0</v>
      </c>
      <c r="M24" s="3">
        <f t="shared" si="10"/>
        <v>0</v>
      </c>
      <c r="N24" s="3">
        <f t="shared" si="11"/>
        <v>0</v>
      </c>
      <c r="O24" s="3">
        <f t="shared" si="12"/>
        <v>19</v>
      </c>
      <c r="P24" s="3">
        <f t="shared" si="13"/>
        <v>0</v>
      </c>
      <c r="Q24" s="3">
        <f t="shared" si="14"/>
        <v>0</v>
      </c>
      <c r="R24" s="3">
        <f t="shared" si="15"/>
        <v>0</v>
      </c>
      <c r="S24" s="3">
        <f t="shared" si="16"/>
        <v>0</v>
      </c>
      <c r="T24" s="3">
        <f t="shared" si="17"/>
        <v>0</v>
      </c>
      <c r="U24" s="3">
        <f t="shared" si="18"/>
        <v>0</v>
      </c>
      <c r="V24" s="3">
        <f t="shared" si="19"/>
        <v>0</v>
      </c>
      <c r="W24" s="3">
        <f t="shared" si="20"/>
        <v>0</v>
      </c>
      <c r="X24" s="3">
        <f t="shared" si="21"/>
        <v>0</v>
      </c>
      <c r="Y24" s="3">
        <f t="shared" ref="Y24:Y38" si="22">IF(B4=INT(B4),$D$23,0)</f>
        <v>0</v>
      </c>
      <c r="Z24" s="3">
        <f>IF(B3=INT(B3),$D$24,0)</f>
        <v>0</v>
      </c>
      <c r="AO24" s="9">
        <f t="shared" si="1"/>
        <v>19</v>
      </c>
    </row>
    <row r="25" spans="2:41" x14ac:dyDescent="0.35">
      <c r="B25" s="27">
        <f t="shared" si="0"/>
        <v>1.9166666666666667</v>
      </c>
      <c r="C25" s="3">
        <v>23</v>
      </c>
      <c r="D25" s="9">
        <f>AA1</f>
        <v>26</v>
      </c>
      <c r="E25" s="3">
        <f t="shared" si="2"/>
        <v>0</v>
      </c>
      <c r="F25" s="3">
        <f t="shared" si="3"/>
        <v>0</v>
      </c>
      <c r="G25" s="3">
        <f t="shared" si="4"/>
        <v>0</v>
      </c>
      <c r="H25" s="3">
        <f t="shared" si="5"/>
        <v>0</v>
      </c>
      <c r="I25" s="3">
        <f t="shared" si="6"/>
        <v>0</v>
      </c>
      <c r="J25" s="3">
        <f t="shared" si="7"/>
        <v>0</v>
      </c>
      <c r="K25" s="3">
        <f t="shared" si="8"/>
        <v>0</v>
      </c>
      <c r="L25" s="3">
        <f t="shared" si="9"/>
        <v>0</v>
      </c>
      <c r="M25" s="3">
        <f t="shared" si="10"/>
        <v>0</v>
      </c>
      <c r="N25" s="3">
        <f t="shared" si="11"/>
        <v>0</v>
      </c>
      <c r="O25" s="3">
        <f t="shared" si="12"/>
        <v>0</v>
      </c>
      <c r="P25" s="3">
        <f t="shared" si="13"/>
        <v>19</v>
      </c>
      <c r="Q25" s="3">
        <f t="shared" si="14"/>
        <v>0</v>
      </c>
      <c r="R25" s="3">
        <f t="shared" si="15"/>
        <v>0</v>
      </c>
      <c r="S25" s="3">
        <f t="shared" si="16"/>
        <v>0</v>
      </c>
      <c r="T25" s="3">
        <f t="shared" si="17"/>
        <v>0</v>
      </c>
      <c r="U25" s="3">
        <f t="shared" si="18"/>
        <v>0</v>
      </c>
      <c r="V25" s="3">
        <f t="shared" si="19"/>
        <v>0</v>
      </c>
      <c r="W25" s="3">
        <f t="shared" si="20"/>
        <v>0</v>
      </c>
      <c r="X25" s="3">
        <f t="shared" si="21"/>
        <v>0</v>
      </c>
      <c r="Y25" s="3">
        <f t="shared" si="22"/>
        <v>0</v>
      </c>
      <c r="Z25" s="3">
        <f t="shared" ref="Z25:Z38" si="23">IF(B4=INT(B4),$D$24,0)</f>
        <v>0</v>
      </c>
      <c r="AA25" s="3">
        <f>IF(B3=INT(B3),$D$25,0)</f>
        <v>0</v>
      </c>
      <c r="AO25" s="9">
        <f t="shared" si="1"/>
        <v>19</v>
      </c>
    </row>
    <row r="26" spans="2:41" x14ac:dyDescent="0.35">
      <c r="B26" s="27">
        <f t="shared" si="0"/>
        <v>2</v>
      </c>
      <c r="C26" s="3">
        <v>24</v>
      </c>
      <c r="D26" s="9">
        <f>AB1</f>
        <v>28</v>
      </c>
      <c r="E26" s="3">
        <f t="shared" si="2"/>
        <v>0.5</v>
      </c>
      <c r="F26" s="3">
        <f t="shared" si="3"/>
        <v>0</v>
      </c>
      <c r="G26" s="3">
        <f t="shared" si="4"/>
        <v>0</v>
      </c>
      <c r="H26" s="3">
        <f t="shared" si="5"/>
        <v>0</v>
      </c>
      <c r="I26" s="3">
        <f t="shared" si="6"/>
        <v>0</v>
      </c>
      <c r="J26" s="3">
        <f t="shared" si="7"/>
        <v>0</v>
      </c>
      <c r="K26" s="3">
        <f t="shared" si="8"/>
        <v>0</v>
      </c>
      <c r="L26" s="3">
        <f t="shared" si="9"/>
        <v>0</v>
      </c>
      <c r="M26" s="3">
        <f t="shared" si="10"/>
        <v>0</v>
      </c>
      <c r="N26" s="3">
        <f t="shared" si="11"/>
        <v>0</v>
      </c>
      <c r="O26" s="3">
        <f t="shared" si="12"/>
        <v>0</v>
      </c>
      <c r="P26" s="3">
        <f t="shared" si="13"/>
        <v>0</v>
      </c>
      <c r="Q26" s="3">
        <f t="shared" si="14"/>
        <v>19</v>
      </c>
      <c r="R26" s="3">
        <f t="shared" si="15"/>
        <v>0</v>
      </c>
      <c r="S26" s="3">
        <f t="shared" si="16"/>
        <v>0</v>
      </c>
      <c r="T26" s="3">
        <f t="shared" si="17"/>
        <v>0</v>
      </c>
      <c r="U26" s="3">
        <f t="shared" si="18"/>
        <v>0</v>
      </c>
      <c r="V26" s="3">
        <f t="shared" si="19"/>
        <v>0</v>
      </c>
      <c r="W26" s="3">
        <f t="shared" si="20"/>
        <v>0</v>
      </c>
      <c r="X26" s="3">
        <f t="shared" si="21"/>
        <v>0</v>
      </c>
      <c r="Y26" s="3">
        <f t="shared" si="22"/>
        <v>0</v>
      </c>
      <c r="Z26" s="3">
        <f t="shared" si="23"/>
        <v>0</v>
      </c>
      <c r="AA26" s="3">
        <f t="shared" ref="AA26:AA38" si="24">IF(B4=INT(B4),$D$25,0)</f>
        <v>0</v>
      </c>
      <c r="AB26" s="3">
        <f>IF(B3=INT(B3),$D$26,0)</f>
        <v>0</v>
      </c>
      <c r="AO26" s="9">
        <f t="shared" si="1"/>
        <v>19.5</v>
      </c>
    </row>
    <row r="27" spans="2:41" x14ac:dyDescent="0.35">
      <c r="B27" s="27">
        <f t="shared" si="0"/>
        <v>2.0833333333333335</v>
      </c>
      <c r="C27" s="3">
        <v>25</v>
      </c>
      <c r="D27" s="9">
        <f>AC1</f>
        <v>28</v>
      </c>
      <c r="E27" s="3">
        <f t="shared" si="2"/>
        <v>0</v>
      </c>
      <c r="F27" s="3">
        <f t="shared" si="3"/>
        <v>0</v>
      </c>
      <c r="G27" s="3">
        <f t="shared" si="4"/>
        <v>0</v>
      </c>
      <c r="H27" s="3">
        <f t="shared" si="5"/>
        <v>0</v>
      </c>
      <c r="I27" s="3">
        <f t="shared" si="6"/>
        <v>0</v>
      </c>
      <c r="J27" s="3">
        <f t="shared" si="7"/>
        <v>0</v>
      </c>
      <c r="K27" s="3">
        <f t="shared" si="8"/>
        <v>0</v>
      </c>
      <c r="L27" s="3">
        <f t="shared" si="9"/>
        <v>0</v>
      </c>
      <c r="M27" s="3">
        <f t="shared" si="10"/>
        <v>0</v>
      </c>
      <c r="N27" s="3">
        <f t="shared" si="11"/>
        <v>0</v>
      </c>
      <c r="O27" s="3">
        <f t="shared" si="12"/>
        <v>0</v>
      </c>
      <c r="P27" s="3">
        <f t="shared" si="13"/>
        <v>0</v>
      </c>
      <c r="Q27" s="3">
        <f t="shared" si="14"/>
        <v>0</v>
      </c>
      <c r="R27" s="3">
        <f t="shared" si="15"/>
        <v>19</v>
      </c>
      <c r="S27" s="3">
        <f t="shared" si="16"/>
        <v>0</v>
      </c>
      <c r="T27" s="3">
        <f t="shared" si="17"/>
        <v>0</v>
      </c>
      <c r="U27" s="3">
        <f t="shared" si="18"/>
        <v>0</v>
      </c>
      <c r="V27" s="3">
        <f t="shared" si="19"/>
        <v>0</v>
      </c>
      <c r="W27" s="3">
        <f t="shared" si="20"/>
        <v>0</v>
      </c>
      <c r="X27" s="3">
        <f t="shared" si="21"/>
        <v>0</v>
      </c>
      <c r="Y27" s="3">
        <f t="shared" si="22"/>
        <v>0</v>
      </c>
      <c r="Z27" s="3">
        <f t="shared" si="23"/>
        <v>0</v>
      </c>
      <c r="AA27" s="3">
        <f t="shared" si="24"/>
        <v>0</v>
      </c>
      <c r="AB27" s="3">
        <f t="shared" ref="AB27:AB38" si="25">IF(B4=INT(B4),$D$26,0)</f>
        <v>0</v>
      </c>
      <c r="AC27" s="3">
        <f>IF(B3=INT(B3),$D$27,0)</f>
        <v>0</v>
      </c>
      <c r="AO27" s="9">
        <f t="shared" si="1"/>
        <v>19</v>
      </c>
    </row>
    <row r="28" spans="2:41" x14ac:dyDescent="0.35">
      <c r="B28" s="27">
        <f t="shared" si="0"/>
        <v>2.1666666666666665</v>
      </c>
      <c r="C28" s="3">
        <v>26</v>
      </c>
      <c r="D28" s="9">
        <f>AD1</f>
        <v>28</v>
      </c>
      <c r="E28" s="3">
        <f t="shared" si="2"/>
        <v>0</v>
      </c>
      <c r="F28" s="3">
        <f t="shared" si="3"/>
        <v>0</v>
      </c>
      <c r="G28" s="3">
        <f t="shared" si="4"/>
        <v>1</v>
      </c>
      <c r="H28" s="3">
        <f t="shared" si="5"/>
        <v>0</v>
      </c>
      <c r="I28" s="3">
        <f t="shared" si="6"/>
        <v>0</v>
      </c>
      <c r="J28" s="3">
        <f t="shared" si="7"/>
        <v>0</v>
      </c>
      <c r="K28" s="3">
        <f t="shared" si="8"/>
        <v>0</v>
      </c>
      <c r="L28" s="3">
        <f t="shared" si="9"/>
        <v>0</v>
      </c>
      <c r="M28" s="3">
        <f t="shared" si="10"/>
        <v>0</v>
      </c>
      <c r="N28" s="3">
        <f t="shared" si="11"/>
        <v>0</v>
      </c>
      <c r="O28" s="3">
        <f t="shared" si="12"/>
        <v>0</v>
      </c>
      <c r="P28" s="3">
        <f t="shared" si="13"/>
        <v>0</v>
      </c>
      <c r="Q28" s="3">
        <f t="shared" si="14"/>
        <v>0</v>
      </c>
      <c r="R28" s="3">
        <f t="shared" si="15"/>
        <v>0</v>
      </c>
      <c r="S28" s="3">
        <f t="shared" si="16"/>
        <v>19</v>
      </c>
      <c r="T28" s="3">
        <f t="shared" si="17"/>
        <v>0</v>
      </c>
      <c r="U28" s="3">
        <f t="shared" si="18"/>
        <v>0</v>
      </c>
      <c r="V28" s="3">
        <f t="shared" si="19"/>
        <v>0</v>
      </c>
      <c r="W28" s="3">
        <f t="shared" si="20"/>
        <v>0</v>
      </c>
      <c r="X28" s="3">
        <f t="shared" si="21"/>
        <v>0</v>
      </c>
      <c r="Y28" s="3">
        <f t="shared" si="22"/>
        <v>0</v>
      </c>
      <c r="Z28" s="3">
        <f t="shared" si="23"/>
        <v>0</v>
      </c>
      <c r="AA28" s="3">
        <f t="shared" si="24"/>
        <v>0</v>
      </c>
      <c r="AB28" s="3">
        <f t="shared" si="25"/>
        <v>0</v>
      </c>
      <c r="AC28" s="3">
        <f t="shared" ref="AC28:AC38" si="26">IF(B4=INT(B4),$D$27,0)</f>
        <v>0</v>
      </c>
      <c r="AD28" s="3">
        <f>IF(B3=INT(B3),$D$28,0)</f>
        <v>0</v>
      </c>
      <c r="AO28" s="9">
        <f t="shared" si="1"/>
        <v>20</v>
      </c>
    </row>
    <row r="29" spans="2:41" x14ac:dyDescent="0.35">
      <c r="B29" s="27">
        <f t="shared" si="0"/>
        <v>2.25</v>
      </c>
      <c r="C29" s="3">
        <v>27</v>
      </c>
      <c r="D29" s="9">
        <f>AE1</f>
        <v>28.5</v>
      </c>
      <c r="E29" s="3">
        <f t="shared" si="2"/>
        <v>0</v>
      </c>
      <c r="F29" s="3">
        <f t="shared" si="3"/>
        <v>0</v>
      </c>
      <c r="G29" s="3">
        <f t="shared" si="4"/>
        <v>0</v>
      </c>
      <c r="H29" s="3">
        <f t="shared" si="5"/>
        <v>3.5</v>
      </c>
      <c r="I29" s="3">
        <f t="shared" si="6"/>
        <v>0</v>
      </c>
      <c r="J29" s="3">
        <f t="shared" si="7"/>
        <v>0</v>
      </c>
      <c r="K29" s="3">
        <f t="shared" si="8"/>
        <v>0</v>
      </c>
      <c r="L29" s="3">
        <f t="shared" si="9"/>
        <v>0</v>
      </c>
      <c r="M29" s="3">
        <f t="shared" si="10"/>
        <v>0</v>
      </c>
      <c r="N29" s="3">
        <f t="shared" si="11"/>
        <v>0</v>
      </c>
      <c r="O29" s="3">
        <f t="shared" si="12"/>
        <v>0</v>
      </c>
      <c r="P29" s="3">
        <f t="shared" si="13"/>
        <v>0</v>
      </c>
      <c r="Q29" s="3">
        <f t="shared" si="14"/>
        <v>0</v>
      </c>
      <c r="R29" s="3">
        <f t="shared" si="15"/>
        <v>0</v>
      </c>
      <c r="S29" s="3">
        <f t="shared" si="16"/>
        <v>0</v>
      </c>
      <c r="T29" s="3">
        <f t="shared" si="17"/>
        <v>19</v>
      </c>
      <c r="U29" s="3">
        <f t="shared" si="18"/>
        <v>0</v>
      </c>
      <c r="V29" s="3">
        <f t="shared" si="19"/>
        <v>0</v>
      </c>
      <c r="W29" s="3">
        <f t="shared" si="20"/>
        <v>0</v>
      </c>
      <c r="X29" s="3">
        <f t="shared" si="21"/>
        <v>0</v>
      </c>
      <c r="Y29" s="3">
        <f t="shared" si="22"/>
        <v>0</v>
      </c>
      <c r="Z29" s="3">
        <f t="shared" si="23"/>
        <v>0</v>
      </c>
      <c r="AA29" s="3">
        <f t="shared" si="24"/>
        <v>0</v>
      </c>
      <c r="AB29" s="3">
        <f t="shared" si="25"/>
        <v>0</v>
      </c>
      <c r="AC29" s="3">
        <f t="shared" si="26"/>
        <v>0</v>
      </c>
      <c r="AD29" s="3">
        <f t="shared" ref="AD29:AD38" si="27">IF(B4=INT(B4),$D$28,0)</f>
        <v>0</v>
      </c>
      <c r="AE29" s="3">
        <f>IF(B3=INT(B3),$D$29,0)</f>
        <v>0</v>
      </c>
      <c r="AO29" s="9">
        <f t="shared" si="1"/>
        <v>22.5</v>
      </c>
    </row>
    <row r="30" spans="2:41" x14ac:dyDescent="0.35">
      <c r="B30" s="27">
        <f t="shared" si="0"/>
        <v>2.3333333333333335</v>
      </c>
      <c r="C30" s="3">
        <v>28</v>
      </c>
      <c r="D30" s="9">
        <f>AF1</f>
        <v>29</v>
      </c>
      <c r="E30" s="3">
        <f t="shared" si="2"/>
        <v>0</v>
      </c>
      <c r="F30" s="3">
        <f t="shared" si="3"/>
        <v>0</v>
      </c>
      <c r="G30" s="3">
        <f t="shared" si="4"/>
        <v>0</v>
      </c>
      <c r="H30" s="3">
        <f t="shared" si="5"/>
        <v>0</v>
      </c>
      <c r="I30" s="3">
        <f t="shared" si="6"/>
        <v>9.5</v>
      </c>
      <c r="J30" s="3">
        <f t="shared" si="7"/>
        <v>0</v>
      </c>
      <c r="K30" s="3">
        <f t="shared" si="8"/>
        <v>0</v>
      </c>
      <c r="L30" s="3">
        <f t="shared" si="9"/>
        <v>0</v>
      </c>
      <c r="M30" s="3">
        <f t="shared" si="10"/>
        <v>0</v>
      </c>
      <c r="N30" s="3">
        <f t="shared" si="11"/>
        <v>0</v>
      </c>
      <c r="O30" s="3">
        <f t="shared" si="12"/>
        <v>0</v>
      </c>
      <c r="P30" s="3">
        <f t="shared" si="13"/>
        <v>0</v>
      </c>
      <c r="Q30" s="3">
        <f t="shared" si="14"/>
        <v>0</v>
      </c>
      <c r="R30" s="3">
        <f t="shared" si="15"/>
        <v>0</v>
      </c>
      <c r="S30" s="3">
        <f t="shared" si="16"/>
        <v>0</v>
      </c>
      <c r="T30" s="3">
        <f t="shared" si="17"/>
        <v>0</v>
      </c>
      <c r="U30" s="3">
        <f t="shared" si="18"/>
        <v>19.5</v>
      </c>
      <c r="V30" s="3">
        <f t="shared" si="19"/>
        <v>0</v>
      </c>
      <c r="W30" s="3">
        <f t="shared" si="20"/>
        <v>0</v>
      </c>
      <c r="X30" s="3">
        <f t="shared" si="21"/>
        <v>0</v>
      </c>
      <c r="Y30" s="3">
        <f t="shared" si="22"/>
        <v>0</v>
      </c>
      <c r="Z30" s="3">
        <f t="shared" si="23"/>
        <v>0</v>
      </c>
      <c r="AA30" s="3">
        <f t="shared" si="24"/>
        <v>0</v>
      </c>
      <c r="AB30" s="3">
        <f t="shared" si="25"/>
        <v>0</v>
      </c>
      <c r="AC30" s="3">
        <f t="shared" si="26"/>
        <v>0</v>
      </c>
      <c r="AD30" s="3">
        <f t="shared" si="27"/>
        <v>0</v>
      </c>
      <c r="AE30" s="3">
        <f t="shared" ref="AE30:AE38" si="28">IF(B4=INT(B4),$D$29,0)</f>
        <v>0</v>
      </c>
      <c r="AF30" s="3">
        <f>IF(B3=INT(B3),$D$30,0)</f>
        <v>0</v>
      </c>
      <c r="AO30" s="9">
        <f t="shared" si="1"/>
        <v>29</v>
      </c>
    </row>
    <row r="31" spans="2:41" x14ac:dyDescent="0.35">
      <c r="B31" s="27">
        <f t="shared" si="0"/>
        <v>2.4166666666666665</v>
      </c>
      <c r="C31" s="3">
        <v>29</v>
      </c>
      <c r="D31" s="9">
        <f>AG1</f>
        <v>29.5</v>
      </c>
      <c r="E31" s="3">
        <f t="shared" si="2"/>
        <v>0</v>
      </c>
      <c r="F31" s="3">
        <f t="shared" si="3"/>
        <v>0</v>
      </c>
      <c r="G31" s="3">
        <f t="shared" si="4"/>
        <v>0</v>
      </c>
      <c r="H31" s="3">
        <f t="shared" si="5"/>
        <v>0</v>
      </c>
      <c r="I31" s="3">
        <f t="shared" si="6"/>
        <v>0</v>
      </c>
      <c r="J31" s="3">
        <f t="shared" si="7"/>
        <v>9.5</v>
      </c>
      <c r="K31" s="3">
        <f t="shared" si="8"/>
        <v>0</v>
      </c>
      <c r="L31" s="3">
        <f t="shared" si="9"/>
        <v>0</v>
      </c>
      <c r="M31" s="3">
        <f t="shared" si="10"/>
        <v>0</v>
      </c>
      <c r="N31" s="3">
        <f t="shared" si="11"/>
        <v>0</v>
      </c>
      <c r="O31" s="3">
        <f t="shared" si="12"/>
        <v>0</v>
      </c>
      <c r="P31" s="3">
        <f t="shared" si="13"/>
        <v>0</v>
      </c>
      <c r="Q31" s="3">
        <f t="shared" si="14"/>
        <v>0</v>
      </c>
      <c r="R31" s="3">
        <f t="shared" si="15"/>
        <v>0</v>
      </c>
      <c r="S31" s="3">
        <f t="shared" si="16"/>
        <v>0</v>
      </c>
      <c r="T31" s="3">
        <f t="shared" si="17"/>
        <v>0</v>
      </c>
      <c r="U31" s="3">
        <f t="shared" si="18"/>
        <v>0</v>
      </c>
      <c r="V31" s="3">
        <f t="shared" si="19"/>
        <v>20</v>
      </c>
      <c r="W31" s="3">
        <f t="shared" si="20"/>
        <v>0</v>
      </c>
      <c r="X31" s="3">
        <f t="shared" si="21"/>
        <v>0</v>
      </c>
      <c r="Y31" s="3">
        <f t="shared" si="22"/>
        <v>0</v>
      </c>
      <c r="Z31" s="3">
        <f t="shared" si="23"/>
        <v>0</v>
      </c>
      <c r="AA31" s="3">
        <f t="shared" si="24"/>
        <v>0</v>
      </c>
      <c r="AB31" s="3">
        <f t="shared" si="25"/>
        <v>0</v>
      </c>
      <c r="AC31" s="3">
        <f t="shared" si="26"/>
        <v>0</v>
      </c>
      <c r="AD31" s="3">
        <f t="shared" si="27"/>
        <v>0</v>
      </c>
      <c r="AE31" s="3">
        <f t="shared" si="28"/>
        <v>0</v>
      </c>
      <c r="AF31" s="3">
        <f t="shared" ref="AF31:AF38" si="29">IF(B4=INT(B4),$D$30,0)</f>
        <v>0</v>
      </c>
      <c r="AG31" s="3">
        <f>IF(B3=INT(B3),$D$31,0)</f>
        <v>0</v>
      </c>
      <c r="AO31" s="9">
        <f t="shared" si="1"/>
        <v>29.5</v>
      </c>
    </row>
    <row r="32" spans="2:41" x14ac:dyDescent="0.35">
      <c r="B32" s="27">
        <f t="shared" si="0"/>
        <v>2.5</v>
      </c>
      <c r="C32" s="3">
        <v>30</v>
      </c>
      <c r="D32" s="9">
        <f>AH1</f>
        <v>30.5</v>
      </c>
      <c r="E32" s="3">
        <f t="shared" si="2"/>
        <v>0</v>
      </c>
      <c r="F32" s="3">
        <f t="shared" si="3"/>
        <v>0</v>
      </c>
      <c r="G32" s="3">
        <f t="shared" si="4"/>
        <v>0</v>
      </c>
      <c r="H32" s="3">
        <f t="shared" si="5"/>
        <v>0</v>
      </c>
      <c r="I32" s="3">
        <f t="shared" si="6"/>
        <v>0</v>
      </c>
      <c r="J32" s="3">
        <f t="shared" si="7"/>
        <v>0</v>
      </c>
      <c r="K32" s="3">
        <f t="shared" si="8"/>
        <v>15</v>
      </c>
      <c r="L32" s="3">
        <f t="shared" si="9"/>
        <v>0</v>
      </c>
      <c r="M32" s="3">
        <f t="shared" si="10"/>
        <v>0</v>
      </c>
      <c r="N32" s="3">
        <f t="shared" si="11"/>
        <v>0</v>
      </c>
      <c r="O32" s="3">
        <f t="shared" si="12"/>
        <v>0</v>
      </c>
      <c r="P32" s="3">
        <f t="shared" si="13"/>
        <v>0</v>
      </c>
      <c r="Q32" s="3">
        <f t="shared" si="14"/>
        <v>0</v>
      </c>
      <c r="R32" s="3">
        <f t="shared" si="15"/>
        <v>0</v>
      </c>
      <c r="S32" s="3">
        <f t="shared" si="16"/>
        <v>0</v>
      </c>
      <c r="T32" s="3">
        <f t="shared" si="17"/>
        <v>0</v>
      </c>
      <c r="U32" s="3">
        <f t="shared" si="18"/>
        <v>0</v>
      </c>
      <c r="V32" s="3">
        <f t="shared" si="19"/>
        <v>0</v>
      </c>
      <c r="W32" s="3">
        <f t="shared" si="20"/>
        <v>20.5</v>
      </c>
      <c r="X32" s="3">
        <f t="shared" si="21"/>
        <v>0</v>
      </c>
      <c r="Y32" s="3">
        <f t="shared" si="22"/>
        <v>0</v>
      </c>
      <c r="Z32" s="3">
        <f t="shared" si="23"/>
        <v>0</v>
      </c>
      <c r="AA32" s="3">
        <f t="shared" si="24"/>
        <v>0</v>
      </c>
      <c r="AB32" s="3">
        <f t="shared" si="25"/>
        <v>0</v>
      </c>
      <c r="AC32" s="3">
        <f t="shared" si="26"/>
        <v>0</v>
      </c>
      <c r="AD32" s="3">
        <f t="shared" si="27"/>
        <v>0</v>
      </c>
      <c r="AE32" s="3">
        <f t="shared" si="28"/>
        <v>0</v>
      </c>
      <c r="AF32" s="3">
        <f t="shared" si="29"/>
        <v>0</v>
      </c>
      <c r="AG32" s="3">
        <f t="shared" ref="AG32:AG38" si="30">IF(B4=INT(B4),$D$31,0)</f>
        <v>0</v>
      </c>
      <c r="AH32" s="3">
        <f>IF(B3=INT(B3),$D$32,0)</f>
        <v>0</v>
      </c>
      <c r="AO32" s="9">
        <f t="shared" si="1"/>
        <v>35.5</v>
      </c>
    </row>
    <row r="33" spans="2:41" x14ac:dyDescent="0.35">
      <c r="B33" s="27">
        <f t="shared" si="0"/>
        <v>2.5833333333333335</v>
      </c>
      <c r="C33" s="3">
        <v>31</v>
      </c>
      <c r="D33" s="9">
        <f>AI1</f>
        <v>32</v>
      </c>
      <c r="E33" s="3">
        <f t="shared" si="2"/>
        <v>0</v>
      </c>
      <c r="F33" s="3">
        <f t="shared" si="3"/>
        <v>0</v>
      </c>
      <c r="G33" s="3">
        <f t="shared" si="4"/>
        <v>0</v>
      </c>
      <c r="H33" s="3">
        <f t="shared" si="5"/>
        <v>0</v>
      </c>
      <c r="I33" s="3">
        <f t="shared" si="6"/>
        <v>0</v>
      </c>
      <c r="J33" s="3">
        <f t="shared" si="7"/>
        <v>0</v>
      </c>
      <c r="K33" s="3">
        <f t="shared" si="8"/>
        <v>0</v>
      </c>
      <c r="L33" s="3">
        <f t="shared" si="9"/>
        <v>17</v>
      </c>
      <c r="M33" s="3">
        <f t="shared" si="10"/>
        <v>0</v>
      </c>
      <c r="N33" s="3">
        <f t="shared" si="11"/>
        <v>0</v>
      </c>
      <c r="O33" s="3">
        <f t="shared" si="12"/>
        <v>0</v>
      </c>
      <c r="P33" s="3">
        <f t="shared" si="13"/>
        <v>0</v>
      </c>
      <c r="Q33" s="3">
        <f t="shared" si="14"/>
        <v>0</v>
      </c>
      <c r="R33" s="3">
        <f t="shared" si="15"/>
        <v>0</v>
      </c>
      <c r="S33" s="3">
        <f t="shared" si="16"/>
        <v>0</v>
      </c>
      <c r="T33" s="3">
        <f t="shared" si="17"/>
        <v>0</v>
      </c>
      <c r="U33" s="3">
        <f t="shared" si="18"/>
        <v>0</v>
      </c>
      <c r="V33" s="3">
        <f t="shared" si="19"/>
        <v>0</v>
      </c>
      <c r="W33" s="3">
        <f t="shared" si="20"/>
        <v>0</v>
      </c>
      <c r="X33" s="3">
        <f t="shared" si="21"/>
        <v>21</v>
      </c>
      <c r="Y33" s="3">
        <f t="shared" si="22"/>
        <v>0</v>
      </c>
      <c r="Z33" s="3">
        <f t="shared" si="23"/>
        <v>0</v>
      </c>
      <c r="AA33" s="3">
        <f t="shared" si="24"/>
        <v>0</v>
      </c>
      <c r="AB33" s="3">
        <f t="shared" si="25"/>
        <v>0</v>
      </c>
      <c r="AC33" s="3">
        <f t="shared" si="26"/>
        <v>0</v>
      </c>
      <c r="AD33" s="3">
        <f t="shared" si="27"/>
        <v>0</v>
      </c>
      <c r="AE33" s="3">
        <f t="shared" si="28"/>
        <v>0</v>
      </c>
      <c r="AF33" s="3">
        <f t="shared" si="29"/>
        <v>0</v>
      </c>
      <c r="AG33" s="3">
        <f t="shared" si="30"/>
        <v>0</v>
      </c>
      <c r="AH33" s="3">
        <f t="shared" ref="AH33:AH38" si="31">IF(B4=INT(B4),$D$32,0)</f>
        <v>0</v>
      </c>
      <c r="AI33" s="3">
        <f t="shared" ref="AI33:AI38" si="32">IF(B3=INT(B3),$D$33,0)</f>
        <v>0</v>
      </c>
      <c r="AO33" s="9">
        <f t="shared" si="1"/>
        <v>38</v>
      </c>
    </row>
    <row r="34" spans="2:41" x14ac:dyDescent="0.35">
      <c r="B34" s="27">
        <f t="shared" si="0"/>
        <v>2.6666666666666665</v>
      </c>
      <c r="C34" s="3">
        <v>32</v>
      </c>
      <c r="D34" s="9">
        <f>AJ1</f>
        <v>34</v>
      </c>
      <c r="E34" s="3">
        <f t="shared" si="2"/>
        <v>0</v>
      </c>
      <c r="F34" s="3">
        <f t="shared" si="3"/>
        <v>0</v>
      </c>
      <c r="G34" s="3">
        <f t="shared" si="4"/>
        <v>0</v>
      </c>
      <c r="H34" s="3">
        <f t="shared" si="5"/>
        <v>0</v>
      </c>
      <c r="I34" s="3">
        <f t="shared" si="6"/>
        <v>0</v>
      </c>
      <c r="J34" s="3">
        <f t="shared" si="7"/>
        <v>0</v>
      </c>
      <c r="K34" s="3">
        <f t="shared" si="8"/>
        <v>0</v>
      </c>
      <c r="L34" s="3">
        <f t="shared" si="9"/>
        <v>0</v>
      </c>
      <c r="M34" s="3">
        <f t="shared" si="10"/>
        <v>17</v>
      </c>
      <c r="N34" s="3">
        <f t="shared" si="11"/>
        <v>0</v>
      </c>
      <c r="O34" s="3">
        <f t="shared" si="12"/>
        <v>0</v>
      </c>
      <c r="P34" s="3">
        <f t="shared" si="13"/>
        <v>0</v>
      </c>
      <c r="Q34" s="3">
        <f t="shared" si="14"/>
        <v>0</v>
      </c>
      <c r="R34" s="3">
        <f t="shared" si="15"/>
        <v>0</v>
      </c>
      <c r="S34" s="3">
        <f t="shared" si="16"/>
        <v>0</v>
      </c>
      <c r="T34" s="3">
        <f t="shared" si="17"/>
        <v>0</v>
      </c>
      <c r="U34" s="3">
        <f t="shared" si="18"/>
        <v>0</v>
      </c>
      <c r="V34" s="3">
        <f t="shared" si="19"/>
        <v>0</v>
      </c>
      <c r="W34" s="3">
        <f t="shared" si="20"/>
        <v>0</v>
      </c>
      <c r="X34" s="3">
        <f t="shared" si="21"/>
        <v>0</v>
      </c>
      <c r="Y34" s="3">
        <f t="shared" si="22"/>
        <v>22.5</v>
      </c>
      <c r="Z34" s="3">
        <f t="shared" si="23"/>
        <v>0</v>
      </c>
      <c r="AA34" s="3">
        <f t="shared" si="24"/>
        <v>0</v>
      </c>
      <c r="AB34" s="3">
        <f t="shared" si="25"/>
        <v>0</v>
      </c>
      <c r="AC34" s="3">
        <f t="shared" si="26"/>
        <v>0</v>
      </c>
      <c r="AD34" s="3">
        <f t="shared" si="27"/>
        <v>0</v>
      </c>
      <c r="AE34" s="3">
        <f t="shared" si="28"/>
        <v>0</v>
      </c>
      <c r="AF34" s="3">
        <f t="shared" si="29"/>
        <v>0</v>
      </c>
      <c r="AG34" s="3">
        <f t="shared" si="30"/>
        <v>0</v>
      </c>
      <c r="AH34" s="3">
        <f t="shared" si="31"/>
        <v>0</v>
      </c>
      <c r="AI34" s="3">
        <f t="shared" si="32"/>
        <v>0</v>
      </c>
      <c r="AJ34" s="3">
        <f>IF(B3=INT(B3),$D$34,0)</f>
        <v>0</v>
      </c>
      <c r="AO34" s="9">
        <f t="shared" si="1"/>
        <v>39.5</v>
      </c>
    </row>
    <row r="35" spans="2:41" x14ac:dyDescent="0.35">
      <c r="B35" s="27">
        <f t="shared" si="0"/>
        <v>2.75</v>
      </c>
      <c r="C35" s="3">
        <v>33</v>
      </c>
      <c r="D35" s="9">
        <f>AK1</f>
        <v>36.5</v>
      </c>
      <c r="E35" s="3">
        <f t="shared" si="2"/>
        <v>0</v>
      </c>
      <c r="F35" s="3">
        <f t="shared" si="3"/>
        <v>0</v>
      </c>
      <c r="G35" s="3">
        <f t="shared" si="4"/>
        <v>0</v>
      </c>
      <c r="H35" s="3">
        <f t="shared" si="5"/>
        <v>0</v>
      </c>
      <c r="I35" s="3">
        <f t="shared" si="6"/>
        <v>0</v>
      </c>
      <c r="J35" s="3">
        <f t="shared" si="7"/>
        <v>0</v>
      </c>
      <c r="K35" s="3">
        <f t="shared" si="8"/>
        <v>0</v>
      </c>
      <c r="L35" s="3">
        <f t="shared" si="9"/>
        <v>0</v>
      </c>
      <c r="M35" s="3">
        <f t="shared" si="10"/>
        <v>0</v>
      </c>
      <c r="N35" s="3">
        <f t="shared" si="11"/>
        <v>19</v>
      </c>
      <c r="O35" s="3">
        <f t="shared" si="12"/>
        <v>0</v>
      </c>
      <c r="P35" s="3">
        <f t="shared" si="13"/>
        <v>0</v>
      </c>
      <c r="Q35" s="3">
        <f t="shared" si="14"/>
        <v>0</v>
      </c>
      <c r="R35" s="3">
        <f t="shared" si="15"/>
        <v>0</v>
      </c>
      <c r="S35" s="3">
        <f t="shared" si="16"/>
        <v>0</v>
      </c>
      <c r="T35" s="3">
        <f t="shared" si="17"/>
        <v>0</v>
      </c>
      <c r="U35" s="3">
        <f t="shared" si="18"/>
        <v>0</v>
      </c>
      <c r="V35" s="3">
        <f t="shared" si="19"/>
        <v>0</v>
      </c>
      <c r="W35" s="3">
        <f t="shared" si="20"/>
        <v>0</v>
      </c>
      <c r="X35" s="3">
        <f t="shared" si="21"/>
        <v>0</v>
      </c>
      <c r="Y35" s="3">
        <f t="shared" si="22"/>
        <v>0</v>
      </c>
      <c r="Z35" s="3">
        <f t="shared" si="23"/>
        <v>24</v>
      </c>
      <c r="AA35" s="3">
        <f t="shared" si="24"/>
        <v>0</v>
      </c>
      <c r="AB35" s="3">
        <f t="shared" si="25"/>
        <v>0</v>
      </c>
      <c r="AC35" s="3">
        <f t="shared" si="26"/>
        <v>0</v>
      </c>
      <c r="AD35" s="3">
        <f t="shared" si="27"/>
        <v>0</v>
      </c>
      <c r="AE35" s="3">
        <f t="shared" si="28"/>
        <v>0</v>
      </c>
      <c r="AF35" s="3">
        <f t="shared" si="29"/>
        <v>0</v>
      </c>
      <c r="AG35" s="3">
        <f t="shared" si="30"/>
        <v>0</v>
      </c>
      <c r="AH35" s="3">
        <f t="shared" si="31"/>
        <v>0</v>
      </c>
      <c r="AI35" s="3">
        <f t="shared" si="32"/>
        <v>0</v>
      </c>
      <c r="AJ35" s="3">
        <f>IF(B4=INT(B4),$D$34,0)</f>
        <v>0</v>
      </c>
      <c r="AK35" s="3">
        <f>IF(B3=INT(B3),$D$35,0)</f>
        <v>0</v>
      </c>
      <c r="AO35" s="9">
        <f t="shared" si="1"/>
        <v>43</v>
      </c>
    </row>
    <row r="36" spans="2:41" x14ac:dyDescent="0.35">
      <c r="B36" s="27">
        <f t="shared" si="0"/>
        <v>2.8333333333333335</v>
      </c>
      <c r="C36" s="3">
        <v>34</v>
      </c>
      <c r="D36" s="9">
        <f>AL1</f>
        <v>39.5</v>
      </c>
      <c r="E36" s="3">
        <f t="shared" si="2"/>
        <v>0</v>
      </c>
      <c r="F36" s="3">
        <f t="shared" si="3"/>
        <v>0</v>
      </c>
      <c r="G36" s="3">
        <f t="shared" si="4"/>
        <v>0</v>
      </c>
      <c r="H36" s="3">
        <f t="shared" si="5"/>
        <v>0</v>
      </c>
      <c r="I36" s="3">
        <f t="shared" si="6"/>
        <v>0</v>
      </c>
      <c r="J36" s="3">
        <f t="shared" si="7"/>
        <v>0</v>
      </c>
      <c r="K36" s="3">
        <f t="shared" si="8"/>
        <v>0</v>
      </c>
      <c r="L36" s="3">
        <f t="shared" si="9"/>
        <v>0</v>
      </c>
      <c r="M36" s="3">
        <f t="shared" si="10"/>
        <v>0</v>
      </c>
      <c r="N36" s="3">
        <f t="shared" si="11"/>
        <v>0</v>
      </c>
      <c r="O36" s="3">
        <f t="shared" si="12"/>
        <v>19</v>
      </c>
      <c r="P36" s="3">
        <f t="shared" si="13"/>
        <v>0</v>
      </c>
      <c r="Q36" s="3">
        <f t="shared" si="14"/>
        <v>0</v>
      </c>
      <c r="R36" s="3">
        <f t="shared" si="15"/>
        <v>0</v>
      </c>
      <c r="S36" s="3">
        <f t="shared" si="16"/>
        <v>0</v>
      </c>
      <c r="T36" s="3">
        <f t="shared" si="17"/>
        <v>0</v>
      </c>
      <c r="U36" s="3">
        <f t="shared" si="18"/>
        <v>0</v>
      </c>
      <c r="V36" s="3">
        <f t="shared" si="19"/>
        <v>0</v>
      </c>
      <c r="W36" s="3">
        <f t="shared" si="20"/>
        <v>0</v>
      </c>
      <c r="X36" s="3">
        <f t="shared" si="21"/>
        <v>0</v>
      </c>
      <c r="Y36" s="3">
        <f t="shared" si="22"/>
        <v>0</v>
      </c>
      <c r="Z36" s="3">
        <f t="shared" si="23"/>
        <v>0</v>
      </c>
      <c r="AA36" s="3">
        <f t="shared" si="24"/>
        <v>26</v>
      </c>
      <c r="AB36" s="3">
        <f t="shared" si="25"/>
        <v>0</v>
      </c>
      <c r="AC36" s="3">
        <f t="shared" si="26"/>
        <v>0</v>
      </c>
      <c r="AD36" s="3">
        <f t="shared" si="27"/>
        <v>0</v>
      </c>
      <c r="AE36" s="3">
        <f t="shared" si="28"/>
        <v>0</v>
      </c>
      <c r="AF36" s="3">
        <f t="shared" si="29"/>
        <v>0</v>
      </c>
      <c r="AG36" s="3">
        <f t="shared" si="30"/>
        <v>0</v>
      </c>
      <c r="AH36" s="3">
        <f t="shared" si="31"/>
        <v>0</v>
      </c>
      <c r="AI36" s="3">
        <f t="shared" si="32"/>
        <v>0</v>
      </c>
      <c r="AJ36" s="3">
        <f>IF(B5=INT(B5),$D$34,0)</f>
        <v>0</v>
      </c>
      <c r="AK36" s="3">
        <f>IF(B4=INT(B4),$D$35,0)</f>
        <v>0</v>
      </c>
      <c r="AL36" s="3">
        <f>IF(B3=INT(B3),$D$36,0)</f>
        <v>0</v>
      </c>
      <c r="AO36" s="9">
        <f t="shared" si="1"/>
        <v>45</v>
      </c>
    </row>
    <row r="37" spans="2:41" x14ac:dyDescent="0.35">
      <c r="B37" s="27">
        <f t="shared" si="0"/>
        <v>2.9166666666666665</v>
      </c>
      <c r="C37" s="3">
        <v>35</v>
      </c>
      <c r="D37" s="9">
        <f>AM1</f>
        <v>43.5</v>
      </c>
      <c r="E37" s="3">
        <f t="shared" si="2"/>
        <v>0</v>
      </c>
      <c r="F37" s="3">
        <f t="shared" si="3"/>
        <v>0</v>
      </c>
      <c r="G37" s="3">
        <f t="shared" si="4"/>
        <v>0</v>
      </c>
      <c r="H37" s="3">
        <f t="shared" si="5"/>
        <v>0</v>
      </c>
      <c r="I37" s="3">
        <f t="shared" si="6"/>
        <v>0</v>
      </c>
      <c r="J37" s="3">
        <f t="shared" si="7"/>
        <v>0</v>
      </c>
      <c r="K37" s="3">
        <f t="shared" si="8"/>
        <v>0</v>
      </c>
      <c r="L37" s="3">
        <f t="shared" si="9"/>
        <v>0</v>
      </c>
      <c r="M37" s="3">
        <f t="shared" si="10"/>
        <v>0</v>
      </c>
      <c r="N37" s="3">
        <f t="shared" si="11"/>
        <v>0</v>
      </c>
      <c r="O37" s="3">
        <f t="shared" si="12"/>
        <v>0</v>
      </c>
      <c r="P37" s="3">
        <f t="shared" si="13"/>
        <v>19</v>
      </c>
      <c r="Q37" s="3">
        <f t="shared" si="14"/>
        <v>0</v>
      </c>
      <c r="R37" s="3">
        <f t="shared" si="15"/>
        <v>0</v>
      </c>
      <c r="S37" s="3">
        <f t="shared" si="16"/>
        <v>0</v>
      </c>
      <c r="T37" s="3">
        <f t="shared" si="17"/>
        <v>0</v>
      </c>
      <c r="U37" s="3">
        <f t="shared" si="18"/>
        <v>0</v>
      </c>
      <c r="V37" s="3">
        <f t="shared" si="19"/>
        <v>0</v>
      </c>
      <c r="W37" s="3">
        <f t="shared" si="20"/>
        <v>0</v>
      </c>
      <c r="X37" s="3">
        <f t="shared" si="21"/>
        <v>0</v>
      </c>
      <c r="Y37" s="3">
        <f t="shared" si="22"/>
        <v>0</v>
      </c>
      <c r="Z37" s="3">
        <f t="shared" si="23"/>
        <v>0</v>
      </c>
      <c r="AA37" s="3">
        <f t="shared" si="24"/>
        <v>0</v>
      </c>
      <c r="AB37" s="3">
        <f t="shared" si="25"/>
        <v>28</v>
      </c>
      <c r="AC37" s="3">
        <f t="shared" si="26"/>
        <v>0</v>
      </c>
      <c r="AD37" s="3">
        <f t="shared" si="27"/>
        <v>0</v>
      </c>
      <c r="AE37" s="3">
        <f t="shared" si="28"/>
        <v>0</v>
      </c>
      <c r="AF37" s="3">
        <f t="shared" si="29"/>
        <v>0</v>
      </c>
      <c r="AG37" s="3">
        <f t="shared" si="30"/>
        <v>0</v>
      </c>
      <c r="AH37" s="3">
        <f t="shared" si="31"/>
        <v>0</v>
      </c>
      <c r="AI37" s="3">
        <f t="shared" si="32"/>
        <v>0</v>
      </c>
      <c r="AJ37" s="3">
        <f>IF(B6=INT(B6),$D$34,0)</f>
        <v>0</v>
      </c>
      <c r="AK37" s="3">
        <f>IF(B5=INT(B5),$D$35,0)</f>
        <v>0</v>
      </c>
      <c r="AL37" s="3">
        <f>IF(B4=INT(B4),$D$36,0)</f>
        <v>0</v>
      </c>
      <c r="AM37" s="3">
        <f>IF(B3=INT(B3),$D$37,0)</f>
        <v>0</v>
      </c>
      <c r="AO37" s="9">
        <f t="shared" si="1"/>
        <v>47</v>
      </c>
    </row>
    <row r="38" spans="2:41" x14ac:dyDescent="0.35">
      <c r="B38" s="27">
        <f t="shared" si="0"/>
        <v>3</v>
      </c>
      <c r="C38" s="3">
        <v>36</v>
      </c>
      <c r="D38" s="9">
        <f>AN1</f>
        <v>48</v>
      </c>
      <c r="E38" s="3">
        <f t="shared" si="2"/>
        <v>0.5</v>
      </c>
      <c r="F38" s="3">
        <f t="shared" si="3"/>
        <v>0</v>
      </c>
      <c r="G38" s="3">
        <f t="shared" si="4"/>
        <v>0</v>
      </c>
      <c r="H38" s="3">
        <f t="shared" si="5"/>
        <v>0</v>
      </c>
      <c r="I38" s="3">
        <f t="shared" si="6"/>
        <v>0</v>
      </c>
      <c r="J38" s="3">
        <f t="shared" si="7"/>
        <v>0</v>
      </c>
      <c r="K38" s="3">
        <f t="shared" si="8"/>
        <v>0</v>
      </c>
      <c r="L38" s="3">
        <f t="shared" si="9"/>
        <v>0</v>
      </c>
      <c r="M38" s="3">
        <f t="shared" si="10"/>
        <v>0</v>
      </c>
      <c r="N38" s="3">
        <f t="shared" si="11"/>
        <v>0</v>
      </c>
      <c r="O38" s="3">
        <f t="shared" si="12"/>
        <v>0</v>
      </c>
      <c r="P38" s="3">
        <f t="shared" si="13"/>
        <v>0</v>
      </c>
      <c r="Q38" s="3">
        <f t="shared" si="14"/>
        <v>19</v>
      </c>
      <c r="R38" s="3">
        <f t="shared" si="15"/>
        <v>0</v>
      </c>
      <c r="S38" s="3">
        <f t="shared" si="16"/>
        <v>0</v>
      </c>
      <c r="T38" s="3">
        <f t="shared" si="17"/>
        <v>0</v>
      </c>
      <c r="U38" s="3">
        <f t="shared" si="18"/>
        <v>0</v>
      </c>
      <c r="V38" s="3">
        <f t="shared" si="19"/>
        <v>0</v>
      </c>
      <c r="W38" s="3">
        <f t="shared" si="20"/>
        <v>0</v>
      </c>
      <c r="X38" s="3">
        <f t="shared" si="21"/>
        <v>0</v>
      </c>
      <c r="Y38" s="3">
        <f t="shared" si="22"/>
        <v>0</v>
      </c>
      <c r="Z38" s="3">
        <f t="shared" si="23"/>
        <v>0</v>
      </c>
      <c r="AA38" s="3">
        <f t="shared" si="24"/>
        <v>0</v>
      </c>
      <c r="AB38" s="3">
        <f t="shared" si="25"/>
        <v>0</v>
      </c>
      <c r="AC38" s="3">
        <f t="shared" si="26"/>
        <v>28</v>
      </c>
      <c r="AD38" s="3">
        <f t="shared" si="27"/>
        <v>0</v>
      </c>
      <c r="AE38" s="3">
        <f t="shared" si="28"/>
        <v>0</v>
      </c>
      <c r="AF38" s="3">
        <f t="shared" si="29"/>
        <v>0</v>
      </c>
      <c r="AG38" s="3">
        <f t="shared" si="30"/>
        <v>0</v>
      </c>
      <c r="AH38" s="3">
        <f t="shared" si="31"/>
        <v>0</v>
      </c>
      <c r="AI38" s="3">
        <f t="shared" si="32"/>
        <v>0</v>
      </c>
      <c r="AJ38" s="3">
        <f>IF(B7=INT(B7),$D$34,0)</f>
        <v>0</v>
      </c>
      <c r="AK38" s="3">
        <f>IF(B6=INT(B6),$D$35,0)</f>
        <v>0</v>
      </c>
      <c r="AL38" s="3">
        <f>IF(B5=INT(B5),$D$36,0)</f>
        <v>0</v>
      </c>
      <c r="AM38" s="3">
        <f>IF(B4=INT(B4),$D$37,0)</f>
        <v>0</v>
      </c>
      <c r="AN38" s="3">
        <f>IF(B3=INT(B3),$D$38,0)</f>
        <v>0</v>
      </c>
      <c r="AO38" s="9">
        <f>SUM(E38:AN38)</f>
        <v>47.5</v>
      </c>
    </row>
    <row r="39" spans="2:41" x14ac:dyDescent="0.35">
      <c r="C39" s="3"/>
    </row>
    <row r="40" spans="2:41" x14ac:dyDescent="0.35">
      <c r="C40"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2779-191A-4393-A516-1A4B54B76FA6}">
  <dimension ref="B2:E22"/>
  <sheetViews>
    <sheetView topLeftCell="A2" workbookViewId="0"/>
  </sheetViews>
  <sheetFormatPr baseColWidth="10" defaultRowHeight="14.5" x14ac:dyDescent="0.35"/>
  <cols>
    <col min="2" max="2" width="14.36328125" bestFit="1" customWidth="1"/>
  </cols>
  <sheetData>
    <row r="2" spans="2:5" x14ac:dyDescent="0.35">
      <c r="B2" t="s">
        <v>4</v>
      </c>
      <c r="C2" s="4">
        <v>100000</v>
      </c>
      <c r="D2" s="4">
        <v>1000000</v>
      </c>
    </row>
    <row r="3" spans="2:5" x14ac:dyDescent="0.35">
      <c r="B3" t="s">
        <v>215</v>
      </c>
      <c r="C3" s="6">
        <f>((C2*Vaciado!D16)/1000)/Vaciado!D17</f>
        <v>4111.1111111111113</v>
      </c>
      <c r="D3" s="6">
        <f>((D2*Vaciado!D16)/1000)/Vaciado!D17</f>
        <v>41111.111111111109</v>
      </c>
    </row>
    <row r="5" spans="2:5" x14ac:dyDescent="0.35">
      <c r="B5" t="s">
        <v>216</v>
      </c>
      <c r="C5" s="1">
        <v>36806</v>
      </c>
    </row>
    <row r="6" spans="2:5" x14ac:dyDescent="0.35">
      <c r="B6" t="s">
        <v>217</v>
      </c>
      <c r="D6" s="3" t="s">
        <v>4</v>
      </c>
      <c r="E6" t="s">
        <v>301</v>
      </c>
    </row>
    <row r="7" spans="2:5" x14ac:dyDescent="0.35">
      <c r="B7">
        <v>2024</v>
      </c>
      <c r="C7" s="110">
        <v>4.2000000000000003E-2</v>
      </c>
      <c r="D7" s="6">
        <f>C5*(1+C7)</f>
        <v>38351.851999999999</v>
      </c>
      <c r="E7" s="6">
        <f>((D7*$C$2)/Vaciado!$D$17)/1000</f>
        <v>4261.3168888888886</v>
      </c>
    </row>
    <row r="8" spans="2:5" x14ac:dyDescent="0.35">
      <c r="B8">
        <v>2025</v>
      </c>
      <c r="C8" s="110">
        <v>0.03</v>
      </c>
      <c r="D8" s="6">
        <f>D7*(1+C8)</f>
        <v>39502.40756</v>
      </c>
      <c r="E8" s="6">
        <f>((D8*$C$2)/Vaciado!$D$17)/1000</f>
        <v>4389.1563955555557</v>
      </c>
    </row>
    <row r="9" spans="2:5" x14ac:dyDescent="0.35">
      <c r="B9">
        <v>2026</v>
      </c>
      <c r="C9" s="110">
        <v>0.03</v>
      </c>
      <c r="D9" s="6">
        <f>D8*(1+C9)</f>
        <v>40687.479786800002</v>
      </c>
      <c r="E9" s="6">
        <f>((D9*$C$2)/Vaciado!$D$17)/1000</f>
        <v>4520.8310874222225</v>
      </c>
    </row>
    <row r="10" spans="2:5" x14ac:dyDescent="0.35">
      <c r="E10" s="6">
        <f>SUM(E7:E9)</f>
        <v>13171.304371866667</v>
      </c>
    </row>
    <row r="12" spans="2:5" x14ac:dyDescent="0.35">
      <c r="C12" s="3">
        <v>2024</v>
      </c>
      <c r="D12" s="3">
        <v>2025</v>
      </c>
      <c r="E12" s="3">
        <v>2026</v>
      </c>
    </row>
    <row r="13" spans="2:5" x14ac:dyDescent="0.35">
      <c r="B13" s="117" t="s">
        <v>303</v>
      </c>
      <c r="C13" s="6">
        <f>'Para reporte'!K55</f>
        <v>1564.5643136843578</v>
      </c>
      <c r="D13" s="6">
        <f>'Para reporte'!L55</f>
        <v>3364.8210334941605</v>
      </c>
      <c r="E13" s="6">
        <f>'Para reporte'!M55</f>
        <v>5160.3446717012785</v>
      </c>
    </row>
    <row r="14" spans="2:5" x14ac:dyDescent="0.35">
      <c r="B14" s="117" t="s">
        <v>302</v>
      </c>
      <c r="C14" s="6">
        <f>'Para reporte'!K94+'Para reporte'!K95+'Para reporte'!K96</f>
        <v>1406.921511083141</v>
      </c>
      <c r="D14" s="6">
        <f>'Para reporte'!L94+'Para reporte'!L95+'Para reporte'!L96</f>
        <v>2709.1093027760289</v>
      </c>
      <c r="E14" s="6">
        <f>'Para reporte'!M94+'Para reporte'!M95+'Para reporte'!M96</f>
        <v>3982.7353767568693</v>
      </c>
    </row>
    <row r="15" spans="2:5" x14ac:dyDescent="0.35">
      <c r="B15" s="117" t="s">
        <v>295</v>
      </c>
      <c r="C15" s="6">
        <f>C13-C14</f>
        <v>157.64280260121677</v>
      </c>
      <c r="D15" s="6">
        <f>D13-D14</f>
        <v>655.71173071813155</v>
      </c>
      <c r="E15" s="6">
        <f>E13-E14</f>
        <v>1177.6092949444092</v>
      </c>
    </row>
    <row r="16" spans="2:5" x14ac:dyDescent="0.35">
      <c r="B16" s="117" t="s">
        <v>219</v>
      </c>
      <c r="C16">
        <f>C13/C14</f>
        <v>1.112048043447607</v>
      </c>
      <c r="D16">
        <f>D13/D14</f>
        <v>1.2420395995267606</v>
      </c>
      <c r="E16">
        <f>E13/E14</f>
        <v>1.2956785182909474</v>
      </c>
    </row>
    <row r="17" spans="2:5" x14ac:dyDescent="0.35">
      <c r="B17" s="117" t="s">
        <v>294</v>
      </c>
      <c r="C17" s="6">
        <v>0</v>
      </c>
      <c r="D17" s="6">
        <v>0</v>
      </c>
      <c r="E17" s="6">
        <v>1000</v>
      </c>
    </row>
    <row r="18" spans="2:5" x14ac:dyDescent="0.35">
      <c r="B18" s="117" t="s">
        <v>219</v>
      </c>
      <c r="C18" s="8">
        <f>IF(C17=0,0,(C13-C17)/C17)</f>
        <v>0</v>
      </c>
      <c r="D18" s="8">
        <f>IF(D17=0,0,(D13-D17)/D17)</f>
        <v>0</v>
      </c>
      <c r="E18" s="8">
        <f>IF(E17=0,0,(E13-E17)/E17)</f>
        <v>4.1603446717012789</v>
      </c>
    </row>
    <row r="19" spans="2:5" x14ac:dyDescent="0.35">
      <c r="B19" s="117" t="s">
        <v>304</v>
      </c>
      <c r="C19" s="6">
        <f>E7</f>
        <v>4261.3168888888886</v>
      </c>
      <c r="D19" s="6">
        <f>E8</f>
        <v>4389.1563955555557</v>
      </c>
      <c r="E19" s="6">
        <f>E9</f>
        <v>4520.8310874222225</v>
      </c>
    </row>
    <row r="20" spans="2:5" x14ac:dyDescent="0.35">
      <c r="B20" s="117" t="s">
        <v>219</v>
      </c>
      <c r="C20" s="6">
        <f>C13-C19</f>
        <v>-2696.7525752045308</v>
      </c>
      <c r="D20" s="6">
        <f>D13-D19</f>
        <v>-1024.3353620613952</v>
      </c>
      <c r="E20" s="6">
        <f>E13-E19</f>
        <v>639.51358427905598</v>
      </c>
    </row>
    <row r="21" spans="2:5" x14ac:dyDescent="0.35">
      <c r="B21" s="117" t="s">
        <v>219</v>
      </c>
      <c r="C21" s="8">
        <f>C20/C19</f>
        <v>-0.6328448800032076</v>
      </c>
      <c r="D21" s="8">
        <f>D20/D19</f>
        <v>-0.23337864267006608</v>
      </c>
      <c r="E21" s="8">
        <f>E20/E19</f>
        <v>0.14145929629140525</v>
      </c>
    </row>
    <row r="22" spans="2:5" x14ac:dyDescent="0.35">
      <c r="B22" s="117" t="s">
        <v>37</v>
      </c>
      <c r="C22" s="6">
        <f>Dashboard!C25/'Para reporte'!J3</f>
        <v>1.4810655303824907</v>
      </c>
      <c r="D22" s="6">
        <f>Dashboard!D25/'Para reporte'!K3</f>
        <v>1.5210238719133631</v>
      </c>
      <c r="E22" s="6">
        <f>Dashboard!E25/'Para reporte'!L3</f>
        <v>1.449831074251779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A963-95BB-4E5B-AAEB-C0882D6D4FB5}">
  <dimension ref="A1:E13"/>
  <sheetViews>
    <sheetView workbookViewId="0">
      <selection activeCell="A9" sqref="A9:E13"/>
    </sheetView>
  </sheetViews>
  <sheetFormatPr baseColWidth="10" defaultRowHeight="14.5" x14ac:dyDescent="0.35"/>
  <cols>
    <col min="1" max="1" width="17.08984375" bestFit="1" customWidth="1"/>
    <col min="2" max="5" width="10.90625" style="3"/>
  </cols>
  <sheetData>
    <row r="1" spans="1:5" ht="43.5" x14ac:dyDescent="0.35">
      <c r="A1" s="265" t="s">
        <v>263</v>
      </c>
      <c r="B1" s="265" t="s">
        <v>436</v>
      </c>
      <c r="C1" s="265" t="s">
        <v>437</v>
      </c>
      <c r="D1" s="265" t="s">
        <v>381</v>
      </c>
      <c r="E1" s="265" t="s">
        <v>438</v>
      </c>
    </row>
    <row r="2" spans="1:5" x14ac:dyDescent="0.35">
      <c r="A2" s="266" t="s">
        <v>441</v>
      </c>
      <c r="B2" s="267">
        <f>Vaciado!E5</f>
        <v>2183.3686176998935</v>
      </c>
      <c r="C2" s="267">
        <f>B2</f>
        <v>2183.3686176998935</v>
      </c>
      <c r="D2" s="267">
        <f>B2</f>
        <v>2183.3686176998935</v>
      </c>
      <c r="E2" s="268">
        <f>(D2-Vaciado!$E$5)/Vaciado!$E$5</f>
        <v>0</v>
      </c>
    </row>
    <row r="3" spans="1:5" x14ac:dyDescent="0.35">
      <c r="A3" s="29" t="s">
        <v>435</v>
      </c>
      <c r="B3" s="269">
        <v>0.1</v>
      </c>
      <c r="C3" s="269">
        <v>0</v>
      </c>
      <c r="D3" s="32">
        <v>2655</v>
      </c>
      <c r="E3" s="22">
        <f>(D3-Vaciado!$E$5)/Vaciado!$E$5</f>
        <v>0.21601088266852278</v>
      </c>
    </row>
    <row r="4" spans="1:5" x14ac:dyDescent="0.35">
      <c r="A4" s="19" t="s">
        <v>45</v>
      </c>
      <c r="B4" s="40">
        <v>12</v>
      </c>
      <c r="C4" s="40">
        <v>6</v>
      </c>
      <c r="D4" s="99">
        <v>3286</v>
      </c>
      <c r="E4" s="159">
        <f>(D4-Vaciado!$E$5)/Vaciado!$E$5</f>
        <v>0.50501384574341457</v>
      </c>
    </row>
    <row r="5" spans="1:5" x14ac:dyDescent="0.35">
      <c r="A5" s="19" t="s">
        <v>68</v>
      </c>
      <c r="B5" s="162">
        <v>0.5</v>
      </c>
      <c r="C5" s="162">
        <v>0.2</v>
      </c>
      <c r="D5" s="99">
        <v>2579</v>
      </c>
      <c r="E5" s="159">
        <f>(D5-Vaciado!$E$5)/Vaciado!$E$5</f>
        <v>0.18120228489722043</v>
      </c>
    </row>
    <row r="6" spans="1:5" x14ac:dyDescent="0.35">
      <c r="A6" s="270" t="s">
        <v>439</v>
      </c>
      <c r="B6" s="271">
        <f>'MAP VALUE'!J20</f>
        <v>0.11459869211711081</v>
      </c>
      <c r="C6" s="272">
        <v>0.125</v>
      </c>
      <c r="D6" s="33">
        <v>2240</v>
      </c>
      <c r="E6" s="273">
        <f>(D6-Vaciado!$E$5)/Vaciado!$E$5</f>
        <v>2.5937618522595483E-2</v>
      </c>
    </row>
    <row r="9" spans="1:5" ht="43.5" x14ac:dyDescent="0.35">
      <c r="A9" s="277" t="s">
        <v>263</v>
      </c>
      <c r="B9" s="277" t="s">
        <v>436</v>
      </c>
      <c r="C9" s="277" t="s">
        <v>442</v>
      </c>
      <c r="D9" s="277" t="s">
        <v>443</v>
      </c>
      <c r="E9" s="277" t="s">
        <v>42</v>
      </c>
    </row>
    <row r="10" spans="1:5" x14ac:dyDescent="0.35">
      <c r="A10" s="29" t="s">
        <v>266</v>
      </c>
      <c r="B10" s="18">
        <f>'MAP VALUE'!D11</f>
        <v>1589</v>
      </c>
      <c r="C10" s="274">
        <v>294</v>
      </c>
      <c r="D10" s="22">
        <f>(C10-B10)/B10</f>
        <v>-0.81497797356828194</v>
      </c>
      <c r="E10" s="32">
        <v>0</v>
      </c>
    </row>
    <row r="11" spans="1:5" x14ac:dyDescent="0.35">
      <c r="A11" s="19" t="s">
        <v>98</v>
      </c>
      <c r="B11" s="275">
        <v>24.79</v>
      </c>
      <c r="C11" s="275">
        <v>1.83</v>
      </c>
      <c r="D11" s="159">
        <f>(C11-B11)/B11</f>
        <v>-0.92617991125453814</v>
      </c>
      <c r="E11" s="99">
        <v>0</v>
      </c>
    </row>
    <row r="12" spans="1:5" x14ac:dyDescent="0.35">
      <c r="A12" s="19" t="s">
        <v>373</v>
      </c>
      <c r="B12" s="275">
        <v>7.3</v>
      </c>
      <c r="C12" s="275">
        <v>5</v>
      </c>
      <c r="D12" s="159">
        <f>(C12-B12)/B12</f>
        <v>-0.31506849315068491</v>
      </c>
      <c r="E12" s="99">
        <v>0</v>
      </c>
    </row>
    <row r="13" spans="1:5" x14ac:dyDescent="0.35">
      <c r="A13" s="270" t="s">
        <v>45</v>
      </c>
      <c r="B13" s="276">
        <v>1.47</v>
      </c>
      <c r="C13" s="276">
        <v>0.53</v>
      </c>
      <c r="D13" s="273">
        <f>(C13-B13)/B13</f>
        <v>-0.6394557823129251</v>
      </c>
      <c r="E13" s="33">
        <v>0</v>
      </c>
    </row>
  </sheetData>
  <conditionalFormatting sqref="E3">
    <cfRule type="iconSet" priority="7">
      <iconSet iconSet="3Arrows">
        <cfvo type="percent" val="0"/>
        <cfvo type="percent" val="33"/>
        <cfvo type="percent" val="67"/>
      </iconSet>
    </cfRule>
  </conditionalFormatting>
  <conditionalFormatting sqref="E3:E6">
    <cfRule type="iconSet" priority="8">
      <iconSet iconSet="3Arrows">
        <cfvo type="percent" val="0"/>
        <cfvo type="percent" val="33"/>
        <cfvo type="percent" val="67"/>
      </iconSet>
    </cfRule>
  </conditionalFormatting>
  <conditionalFormatting sqref="E4">
    <cfRule type="iconSet" priority="6">
      <iconSet iconSet="3Arrows">
        <cfvo type="percent" val="0"/>
        <cfvo type="percent" val="33"/>
        <cfvo type="percent" val="67"/>
      </iconSet>
    </cfRule>
  </conditionalFormatting>
  <conditionalFormatting sqref="E5">
    <cfRule type="iconSet" priority="5">
      <iconSet iconSet="3Arrows">
        <cfvo type="percent" val="0"/>
        <cfvo type="percent" val="33"/>
        <cfvo type="percent" val="67"/>
      </iconSet>
    </cfRule>
  </conditionalFormatting>
  <conditionalFormatting sqref="E6">
    <cfRule type="iconSet" priority="4">
      <iconSet iconSet="3Arrows">
        <cfvo type="percent" val="0"/>
        <cfvo type="percent" val="33"/>
        <cfvo type="percent" val="67"/>
      </iconSet>
    </cfRule>
  </conditionalFormatting>
  <conditionalFormatting sqref="K3">
    <cfRule type="iconSet" priority="1">
      <iconSet iconSet="3Arrows">
        <cfvo type="percent" val="0"/>
        <cfvo type="percent" val="33"/>
        <cfvo type="percent" val="67"/>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Gráficos</vt:lpstr>
      </vt:variant>
      <vt:variant>
        <vt:i4>2</vt:i4>
      </vt:variant>
    </vt:vector>
  </HeadingPairs>
  <TitlesOfParts>
    <vt:vector size="14" baseType="lpstr">
      <vt:lpstr>Vaciado</vt:lpstr>
      <vt:lpstr>Indicadores</vt:lpstr>
      <vt:lpstr>Dashboard</vt:lpstr>
      <vt:lpstr>Unit Economics</vt:lpstr>
      <vt:lpstr>MAP VALUE</vt:lpstr>
      <vt:lpstr>Cap.Table</vt:lpstr>
      <vt:lpstr>Para reporte</vt:lpstr>
      <vt:lpstr>Flujos</vt:lpstr>
      <vt:lpstr>P.Comercial</vt:lpstr>
      <vt:lpstr>Recurrencia</vt:lpstr>
      <vt:lpstr>Metas</vt:lpstr>
      <vt:lpstr>Sensibilidad</vt:lpstr>
      <vt:lpstr>Gráfico1</vt:lpstr>
      <vt:lpstr>Gráfico2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Maureira B.</dc:creator>
  <cp:lastModifiedBy>Alejandro Maureira B.</cp:lastModifiedBy>
  <dcterms:created xsi:type="dcterms:W3CDTF">2023-12-04T15:44:15Z</dcterms:created>
  <dcterms:modified xsi:type="dcterms:W3CDTF">2024-04-10T23:47:51Z</dcterms:modified>
</cp:coreProperties>
</file>