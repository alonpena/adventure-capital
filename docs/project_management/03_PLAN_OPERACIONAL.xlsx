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d912f6797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3302238c9e14815"/>
    <x:sheet xmlns:r="http://schemas.openxmlformats.org/officeDocument/2006/relationships" name="EDT Y TAREAS" sheetId="2" r:id="R5793189c6ce14f4c"/>
    <x:sheet xmlns:r="http://schemas.openxmlformats.org/officeDocument/2006/relationships" name="CARTA GANTT" sheetId="3" r:id="Rc9fd885b7fa247b0"/>
    <x:sheet xmlns:r="http://schemas.openxmlformats.org/officeDocument/2006/relationships" name="RECURSOS" sheetId="4" r:id="R48d7b88ba43c4320"/>
    <x:sheet xmlns:r="http://schemas.openxmlformats.org/officeDocument/2006/relationships" name="PRESUPUESTO" sheetId="5" r:id="R81899f24bba448e9"/>
    <x:sheet xmlns:r="http://schemas.openxmlformats.org/officeDocument/2006/relationships" name="RIESGOS" sheetId="6" r:id="Rc1210ce862544491"/>
    <x:sheet xmlns:r="http://schemas.openxmlformats.org/officeDocument/2006/relationships" name="HITOS Y CONTROL" sheetId="7" r:id="R36bd359c0229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&quot;$&quot;#,##0"/>
    <x:numFmt numFmtId="202" formatCode="0%"/>
    <x:numFmt numFmtId="203" formatCode="0.0"/>
    <x:numFmt numFmtId="204" formatCode=";;;"/>
  </x:numFmts>
  <x:fonts count="11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b/>
      <x:sz val="16"/>
      <x:name val="Arial"/>
    </x:font>
    <x:font>
      <x:b/>
      <x:sz val="16"/>
      <x:color rgb="FF17324D"/>
      <x:name val="Arial"/>
    </x:font>
    <x:font>
      <x:sz val="10"/>
      <x:color rgb="FF174DA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24D"/>
      </x:patternFill>
    </x:fill>
    <x:fill>
      <x:patternFill patternType="solid">
        <x:fgColor rgb="FFED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2" fillId="4" borderId="0" xfId="0" applyNumberFormat="1" applyFont="1" applyFill="1" applyBorder="1" applyAlignment="1">
      <x:alignment vertical="center" wrapText="1"/>
    </x:xf>
    <x:xf numFmtId="202" fontId="2" fillId="4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4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2" fontId="6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204" fontId="2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201" fontId="6" fillId="2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6" fillId="2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201" fontId="6" fillId="4" borderId="0" xfId="0" applyNumberFormat="1" applyFont="1" applyFill="1" applyBorder="1" applyAlignment="1">
      <x:alignment vertical="center" wrapText="1"/>
    </x:xf>
    <x:xf numFmtId="201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</x:font>
      <x:fill>
        <x:patternFill patternType="solid">
          <x:bgColor rgb="FFF6D6D8"/>
        </x:patternFill>
      </x:fill>
    </x:dxf>
    <x:dxf>
      <x:fill>
        <x:patternFill patternType="solid">
          <x:bgColor rgb="FFB84B54"/>
        </x:patternFill>
      </x:fill>
    </x:dxf>
    <x:dxf>
      <x:fill>
        <x:patternFill patternType="solid">
          <x:bgColor rgb="FF608CAE"/>
        </x:patternFill>
      </x:fill>
    </x:dxf>
    <x:dxf>
      <x:fill>
        <x:patternFill patternType="solid">
          <x:bgColor rgb="FFF6D6D8"/>
        </x:patternFill>
      </x:fill>
    </x:dxf>
    <x:dxf>
      <x:fill>
        <x:patternFill patternType="solid">
          <x:bgColor rgb="FFF6D6D8"/>
        </x:patternFill>
      </x:fill>
    </x:dxf>
    <x:dxf>
      <x:fill>
        <x:patternFill patternType="solid">
          <x:bgColor rgb="FFF6D6D8"/>
        </x:patternFill>
      </x:fill>
    </x:dxf>
    <x:dxf>
      <x:fill>
        <x:patternFill patternType="solid">
          <x:bgColor rgb="FFF6D6D8"/>
        </x:patternFill>
      </x:fill>
    </x:dxf>
    <x:dxf>
      <x:fill>
        <x:patternFill patternType="solid">
          <x:bgColor rgb="FFF6D6D8"/>
        </x:patternFill>
      </x:fill>
    </x:dxf>
    <x:dxf>
      <x:fill>
        <x:patternFill patternType="solid">
          <x:bgColor rgb="FFF6D6D8"/>
        </x:patternFill>
      </x:fill>
    </x:dxf>
    <x:dxf>
      <x:fill>
        <x:patternFill patternType="solid">
          <x:bgColor rgb="FFF6D6D8"/>
        </x:patternFill>
      </x:fill>
    </x:dxf>
    <x:dxf>
      <x:fill>
        <x:patternFill patternType="solid">
          <x:bgColor rgb="FFF6D6D8"/>
        </x:patternFill>
      </x:fill>
    </x:dxf>
    <x:dxf>
      <x:fill>
        <x:patternFill patternType="solid">
          <x:bgColor rgb="FF2C785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2bffbc8f644fa1" /><Relationship Type="http://schemas.openxmlformats.org/officeDocument/2006/relationships/theme" Target="/xl/theme/theme1.xml" Id="R2bf716a431554f26" /><Relationship Type="http://schemas.openxmlformats.org/officeDocument/2006/relationships/sharedStrings" Target="/xl/sharedStrings.xml" Id="R35a6712677c64342" /><Relationship Type="http://schemas.openxmlformats.org/officeDocument/2006/relationships/worksheet" Target="/xl/worksheets/sheet1.xml" Id="R23302238c9e14815" /><Relationship Type="http://schemas.openxmlformats.org/officeDocument/2006/relationships/worksheet" Target="/xl/worksheets/sheet2.xml" Id="R5793189c6ce14f4c" /><Relationship Type="http://schemas.openxmlformats.org/officeDocument/2006/relationships/worksheet" Target="/xl/worksheets/sheet3.xml" Id="Rc9fd885b7fa247b0" /><Relationship Type="http://schemas.openxmlformats.org/officeDocument/2006/relationships/worksheet" Target="/xl/worksheets/sheet4.xml" Id="R48d7b88ba43c4320" /><Relationship Type="http://schemas.openxmlformats.org/officeDocument/2006/relationships/worksheet" Target="/xl/worksheets/sheet5.xml" Id="R81899f24bba448e9" /><Relationship Type="http://schemas.openxmlformats.org/officeDocument/2006/relationships/worksheet" Target="/xl/worksheets/sheet6.xml" Id="Rc1210ce862544491" /><Relationship Type="http://schemas.openxmlformats.org/officeDocument/2006/relationships/worksheet" Target="/xl/worksheets/sheet7.xml" Id="R36bd359c022946f2" /></Relationships>
</file>

<file path=xl/tables/table1.xml><?xml version="1.0" encoding="utf-8"?>
<x:table xmlns:x="http://schemas.openxmlformats.org/spreadsheetml/2006/main" id="1" name="TaskRegister" displayName="TaskRegister" ref="A5:AR52" headerRowCount="1" totalsRowCount="0" totalsRowShown="0">
  <x:tableColumns count="44">
    <x:tableColumn id="1" name="ID"/>
    <x:tableColumn id="2" name="Código EDT"/>
    <x:tableColumn id="3" name="Etapa"/>
    <x:tableColumn id="4" name="Módulo"/>
    <x:tableColumn id="5" name="Tarea"/>
    <x:tableColumn id="6" name="Descripción"/>
    <x:tableColumn id="7" name="Entregable"/>
    <x:tableColumn id="8" name="Responsable"/>
    <x:tableColumn id="9" name="Colaborador"/>
    <x:tableColumn id="10" name="Predecesoras"/>
    <x:tableColumn id="11" name="Tipo de dependencia"/>
    <x:tableColumn id="12" name="Esfuerzo estimado (horas)"/>
    <x:tableColumn id="13" name="Duración (días hábiles)"/>
    <x:tableColumn id="14" name="Inicio temprano"/>
    <x:tableColumn id="15" name="Fin temprano"/>
    <x:tableColumn id="16" name="Inicio tardío"/>
    <x:tableColumn id="17" name="Fin tardío"/>
    <x:tableColumn id="18" name="Holgura (días)"/>
    <x:tableColumn id="19" name="Ruta crítica"/>
    <x:tableColumn id="20" name="Semana inicio"/>
    <x:tableColumn id="21" name="Semana término"/>
    <x:tableColumn id="22" name="Estado"/>
    <x:tableColumn id="23" name="Avance"/>
    <x:tableColumn id="24" name="Criterio de aceptación"/>
    <x:tableColumn id="25" name="Prioridad"/>
    <x:tableColumn id="26" name="Días-persona (8 h)"/>
    <x:tableColumn id="27" name="Optimista (días)"/>
    <x:tableColumn id="28" name="Conservadora (días)"/>
    <x:tableColumn id="29" name="Recursos necesarios"/>
    <x:tableColumn id="30" name="AP h"/>
    <x:tableColumn id="31" name="AM h"/>
    <x:tableColumn id="32" name="BE h"/>
    <x:tableColumn id="33" name="FE h"/>
    <x:tableColumn id="34" name="UX h"/>
    <x:tableColumn id="35" name="QA h"/>
    <x:tableColumn id="36" name="OP h"/>
    <x:tableColumn id="37" name="ES día 0"/>
    <x:tableColumn id="38" name="EF exclusivo"/>
    <x:tableColumn id="39" name="LS día 0"/>
    <x:tableColumn id="40" name="LF exclusivo"/>
    <x:tableColumn id="41" name="Inicio red vigente"/>
    <x:tableColumn id="42" name="Fin red vigente"/>
    <x:tableColumn id="43" name="Diferencia red"/>
    <x:tableColumn id="44" name="Reserv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3e9f11b59a43a3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40" hidden="0" customWidth="1"/>
    <x:col min="4" max="4" width="20" hidden="0" customWidth="1"/>
    <x:col min="5" max="5" width="28" hidden="0" customWidth="1"/>
    <x:col min="6" max="6" width="68" hidden="0" customWidth="1"/>
    <x:col min="7" max="7" width="16" hidden="0" customWidth="1"/>
    <x:col min="8" max="8" width="16" hidden="0" customWidth="1"/>
    <x:col min="9" max="9" width="16" hidden="0" customWidth="1"/>
    <x:col min="10" max="10" width="25" hidden="0" customWidth="1"/>
    <x:col min="11" max="11" width="16" hidden="0" customWidth="1"/>
    <x:col min="12" max="12" width="16" hidden="0" customWidth="1"/>
  </x:cols>
  <x:sheetData>
    <x:row r="1" ht="24" customHeight="1">
      <x:c r="A1" s="6" t="str">
        <x:v>ADVENTURE CAPITAL · Plan operacional de ocho meses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4" customHeight="1">
      <x:c r="A3" s="3" t="str">
        <x:v>Inicio contractual (ejemplo editable)</x:v>
      </x:c>
      <x:c r="B3" s="3"/>
      <x:c r="C3" s="3"/>
      <x:c r="D3" s="9" t="d">
        <x:v>2026-11-02T00:00:00.000Z</x:v>
      </x:c>
      <x:c r="E3" s="3"/>
      <x:c r="F3" s="3" t="str">
        <x:v>Amarillo: editable · Azul: enlace/cálculo</x:v>
      </x:c>
      <x:c r="G3" s="3"/>
      <x:c r="H3" s="3"/>
      <x:c r="I3" s="3"/>
      <x:c r="J3" s="3"/>
      <x:c r="K3" s="3"/>
      <x:c r="L3" s="3"/>
    </x:row>
    <x:row r="4" ht="24" customHeight="1">
      <x:c r="A4" s="3" t="str">
        <x:v>Meses de horizonte</x:v>
      </x:c>
      <x:c r="B4" s="3"/>
      <x:c r="C4" s="3"/>
      <x:c r="D4" s="8" t="n">
        <x:v>8</x:v>
      </x:c>
      <x:c r="E4" s="3"/>
      <x:c r="F4" s="3" t="str">
        <x:v>CPM: días hábiles, lunes–viernes; feriados editables en J6:J25.</x:v>
      </x:c>
      <x:c r="G4" s="3"/>
      <x:c r="H4" s="3"/>
      <x:c r="I4" s="3"/>
      <x:c r="J4" s="3" t="str">
        <x:v>Feriados / días no laborables</x:v>
      </x:c>
      <x:c r="K4" s="3"/>
      <x:c r="L4" s="3"/>
    </x:row>
    <x:row r="5" ht="24" customHeight="1">
      <x:c r="A5" s="3" t="str">
        <x:v>Fin contractual</x:v>
      </x:c>
      <x:c r="B5" s="3"/>
      <x:c r="C5" s="3"/>
      <x:c r="D5" s="10" t="n">
        <x:f>EDATE(D3,D4)-1</x:f>
        <x:v>46569</x:v>
      </x:c>
      <x:c r="E5" s="3"/>
      <x:c r="F5" s="3" t="str">
        <x:v>Fecha inicial de ejemplo; no equivale a adjudicación ni inicio aprobado.</x:v>
      </x:c>
      <x:c r="G5" s="3"/>
      <x:c r="H5" s="3"/>
      <x:c r="I5" s="3"/>
      <x:c r="J5" s="3"/>
      <x:c r="K5" s="3"/>
      <x:c r="L5" s="3"/>
    </x:row>
    <x:row r="6" ht="24" customHeight="1">
      <x:c r="A6" s="3" t="str">
        <x:v>Fin previsto</x:v>
      </x:c>
      <x:c r="B6" s="3"/>
      <x:c r="C6" s="3"/>
      <x:c r="D6" s="10" t="n">
        <x:f>WORKDAY(D3-1,MAX('EDT Y TAREAS'!AN6:AN52),J6:J25)</x:f>
        <x:v>46548</x:v>
      </x:c>
      <x:c r="E6" s="3"/>
      <x:c r="F6" s="3"/>
      <x:c r="G6" s="3"/>
      <x:c r="H6" s="3"/>
      <x:c r="I6" s="3"/>
      <x:c r="J6" s="9"/>
      <x:c r="K6" s="3"/>
      <x:c r="L6" s="3"/>
    </x:row>
    <x:row r="7" ht="24" customHeight="1">
      <x:c r="A7" s="3" t="str">
        <x:v>Reserva restante (días hábiles)</x:v>
      </x:c>
      <x:c r="B7" s="3"/>
      <x:c r="C7" s="3"/>
      <x:c r="D7" s="3" t="n">
        <x:f>NETWORKDAYS(D3,D5,J6:J25)-MAX('EDT Y TAREAS'!AN6:AN52)</x:f>
        <x:v>15</x:v>
      </x:c>
      <x:c r="E7" s="3"/>
      <x:c r="F7" s="3"/>
      <x:c r="G7" s="3"/>
      <x:c r="H7" s="3"/>
      <x:c r="I7" s="3"/>
      <x:c r="J7" s="9"/>
      <x:c r="K7" s="3"/>
      <x:c r="L7" s="3"/>
    </x:row>
    <x:row r="8" ht="24" customHeight="1">
      <x:c r="A8" s="3" t="str">
        <x:v>Esfuerzo de tareas (h-persona)</x:v>
      </x:c>
      <x:c r="B8" s="3"/>
      <x:c r="C8" s="3"/>
      <x:c r="D8" s="3" t="n">
        <x:f>SUM('EDT Y TAREAS'!L6:L52)</x:f>
        <x:v>2030</x:v>
      </x:c>
      <x:c r="E8" s="3"/>
      <x:c r="F8" s="3"/>
      <x:c r="G8" s="3"/>
      <x:c r="H8" s="3"/>
      <x:c r="I8" s="3"/>
      <x:c r="J8" s="9"/>
      <x:c r="K8" s="3"/>
      <x:c r="L8" s="3"/>
    </x:row>
    <x:row r="9" ht="24" customHeight="1">
      <x:c r="A9" s="3" t="str">
        <x:v>Esfuerzo total, coordinación incluida</x:v>
      </x:c>
      <x:c r="B9" s="3"/>
      <x:c r="C9" s="3"/>
      <x:c r="D9" s="3" t="n">
        <x:f>SUM('RECURSOS'!D6:D12)</x:f>
        <x:v>2193</x:v>
      </x:c>
      <x:c r="E9" s="3"/>
      <x:c r="F9" s="3"/>
      <x:c r="G9" s="3"/>
      <x:c r="H9" s="3"/>
      <x:c r="I9" s="3"/>
      <x:c r="J9" s="9"/>
      <x:c r="K9" s="3"/>
      <x:c r="L9" s="3"/>
    </x:row>
    <x:row r="10" ht="24" customHeight="1">
      <x:c r="A10" s="3" t="str">
        <x:v>Presupuesto caja referencial (CLP)</x:v>
      </x:c>
      <x:c r="B10" s="3"/>
      <x:c r="C10" s="3"/>
      <x:c r="D10" s="11" t="n">
        <x:f>'PRESUPUESTO'!F19</x:f>
        <x:v>55510500</x:v>
      </x:c>
      <x:c r="E10" s="3"/>
      <x:c r="F10" s="3"/>
      <x:c r="G10" s="3"/>
      <x:c r="H10" s="3"/>
      <x:c r="I10" s="3"/>
      <x:c r="J10" s="9"/>
      <x:c r="K10" s="3"/>
      <x:c r="L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9"/>
      <x:c r="K11" s="3"/>
      <x:c r="L11" s="3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9"/>
      <x:c r="K12" s="3"/>
      <x:c r="L12" s="3"/>
    </x:row>
    <x:row r="13" ht="42" customHeight="1">
      <x:c r="A13" s="15" t="str">
        <x:v>Etapa</x:v>
      </x:c>
      <x:c r="B13" s="15" t="str">
        <x:v>Objetivo</x:v>
      </x:c>
      <x:c r="C13" s="15" t="str">
        <x:v>Entregable principal</x:v>
      </x:c>
      <x:c r="D13" s="15" t="str">
        <x:v>Fin previsto</x:v>
      </x:c>
      <x:c r="E13" s="15" t="str">
        <x:v>Responsable</x:v>
      </x:c>
      <x:c r="F13" s="3"/>
      <x:c r="G13" s="3"/>
      <x:c r="H13" s="3"/>
      <x:c r="I13" s="3"/>
      <x:c r="J13" s="9"/>
      <x:c r="K13" s="3"/>
      <x:c r="L13" s="3"/>
    </x:row>
    <x:row r="14" ht="60" customHeight="1">
      <x:c r="A14" s="18" t="str">
        <x:v>1. Encuadre</x:v>
      </x:c>
      <x:c r="B14" s="18" t="str">
        <x:v>Aprobar producto y proveedor</x:v>
      </x:c>
      <x:c r="C14" s="18" t="str">
        <x:v>Contrato, requisitos y fronteras</x:v>
      </x:c>
      <x:c r="D14" s="19" t="n">
        <x:f>MAX('EDT Y TAREAS'!O6,'EDT Y TAREAS'!O7,'EDT Y TAREAS'!O8,'EDT Y TAREAS'!O9,'EDT Y TAREAS'!O10,'EDT Y TAREAS'!O11,'EDT Y TAREAS'!O12)</x:f>
        <x:v>46363</x:v>
      </x:c>
      <x:c r="E14" s="18" t="str">
        <x:v>Alejandro + Alonso</x:v>
      </x:c>
      <x:c r="F14" s="3"/>
      <x:c r="G14" s="3"/>
      <x:c r="H14" s="3"/>
      <x:c r="I14" s="3"/>
      <x:c r="J14" s="9"/>
      <x:c r="K14" s="3"/>
      <x:c r="L14" s="3"/>
    </x:row>
    <x:row r="15" ht="60" customHeight="1">
      <x:c r="A15" s="16" t="str">
        <x:v>2. Validación científica</x:v>
      </x:c>
      <x:c r="B15" s="16" t="str">
        <x:v>Corregir y delimitar metodología</x:v>
      </x:c>
      <x:c r="C15" s="16" t="str">
        <x:v>Motor y métricas verificables</x:v>
      </x:c>
      <x:c r="D15" s="17" t="n">
        <x:f>MAX('EDT Y TAREAS'!O13,'EDT Y TAREAS'!O14,'EDT Y TAREAS'!O15,'EDT Y TAREAS'!O16,'EDT Y TAREAS'!O17,'EDT Y TAREAS'!O18,'EDT Y TAREAS'!O19,'EDT Y TAREAS'!O20,'EDT Y TAREAS'!O21)</x:f>
        <x:v>46447</x:v>
      </x:c>
      <x:c r="E15" s="16" t="str">
        <x:v>Alonso</x:v>
      </x:c>
      <x:c r="F15" s="3"/>
      <x:c r="G15" s="3"/>
      <x:c r="H15" s="3"/>
      <x:c r="I15" s="3"/>
      <x:c r="J15" s="9"/>
      <x:c r="K15" s="3"/>
      <x:c r="L15" s="3"/>
    </x:row>
    <x:row r="16" ht="60" customHeight="1">
      <x:c r="A16" s="18" t="str">
        <x:v>3. Producto SaaS</x:v>
      </x:c>
      <x:c r="B16" s="18" t="str">
        <x:v>Empaquetar motor con acceso seguro</x:v>
      </x:c>
      <x:c r="C16" s="18" t="str">
        <x:v>Recorrido multiusuario y operación</x:v>
      </x:c>
      <x:c r="D16" s="19" t="n">
        <x:f>MAX('EDT Y TAREAS'!O22,'EDT Y TAREAS'!O23,'EDT Y TAREAS'!O24,'EDT Y TAREAS'!O25,'EDT Y TAREAS'!O26,'EDT Y TAREAS'!O27,'EDT Y TAREAS'!O28,'EDT Y TAREAS'!O29,'EDT Y TAREAS'!O30,'EDT Y TAREAS'!O31,'EDT Y TAREAS'!O32,'EDT Y TAREAS'!O33,'EDT Y TAREAS'!O34,'EDT Y TAREAS'!O35,'EDT Y TAREAS'!O36,'EDT Y TAREAS'!O37,'EDT Y TAREAS'!O38)</x:f>
        <x:v>46468</x:v>
      </x:c>
      <x:c r="E16" s="18" t="str">
        <x:v>Empresa</x:v>
      </x:c>
      <x:c r="F16" s="3"/>
      <x:c r="G16" s="3"/>
      <x:c r="H16" s="3"/>
      <x:c r="I16" s="3"/>
      <x:c r="J16" s="9"/>
      <x:c r="K16" s="3"/>
      <x:c r="L16" s="3"/>
    </x:row>
    <x:row r="17" ht="60" customHeight="1">
      <x:c r="A17" s="16" t="str">
        <x:v>4. Piloto y calidad</x:v>
      </x:c>
      <x:c r="B17" s="16" t="str">
        <x:v>Verificar uso, exactitud y compra</x:v>
      </x:c>
      <x:c r="C17" s="16" t="str">
        <x:v>Tres organizaciones y dos rondas</x:v>
      </x:c>
      <x:c r="D17" s="17" t="n">
        <x:f>MAX('EDT Y TAREAS'!O39,'EDT Y TAREAS'!O40,'EDT Y TAREAS'!O41,'EDT Y TAREAS'!O42,'EDT Y TAREAS'!O43,'EDT Y TAREAS'!O44,'EDT Y TAREAS'!O45,'EDT Y TAREAS'!O46)</x:f>
        <x:v>46517</x:v>
      </x:c>
      <x:c r="E17" s="16" t="str">
        <x:v>Empresa + Alonso</x:v>
      </x:c>
      <x:c r="F17" s="3"/>
      <x:c r="G17" s="3"/>
      <x:c r="H17" s="3"/>
      <x:c r="I17" s="3"/>
      <x:c r="J17" s="9"/>
      <x:c r="K17" s="3"/>
      <x:c r="L17" s="3"/>
    </x:row>
    <x:row r="18" ht="60" customHeight="1">
      <x:c r="A18" s="18" t="str">
        <x:v>5. Entrega comercial</x:v>
      </x:c>
      <x:c r="B18" s="18" t="str">
        <x:v>Lanzar y transferir operación</x:v>
      </x:c>
      <x:c r="C18" s="18" t="str">
        <x:v>Versión aceptada y oferta comercial</x:v>
      </x:c>
      <x:c r="D18" s="19" t="n">
        <x:f>MAX('EDT Y TAREAS'!O47,'EDT Y TAREAS'!O48,'EDT Y TAREAS'!O49,'EDT Y TAREAS'!O50,'EDT Y TAREAS'!O51,'EDT Y TAREAS'!O52)</x:f>
        <x:v>46548</x:v>
      </x:c>
      <x:c r="E18" s="18" t="str">
        <x:v>Alejandro</x:v>
      </x:c>
      <x:c r="F18" s="3"/>
      <x:c r="G18" s="3"/>
      <x:c r="H18" s="3"/>
      <x:c r="I18" s="3"/>
      <x:c r="J18" s="9"/>
      <x:c r="K18" s="3"/>
      <x:c r="L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9"/>
      <x:c r="K19" s="3"/>
      <x:c r="L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9"/>
      <x:c r="K20" s="3"/>
      <x:c r="L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9"/>
      <x:c r="K21" s="3"/>
      <x:c r="L21" s="3"/>
    </x:row>
    <x:row r="22" ht="24" customHeight="1">
      <x:c r="A22" s="3" t="str">
        <x:v>Producto: SaaS acotado de planificación, escenarios y reportes para startups/consultores.</x:v>
      </x:c>
      <x:c r="B22" s="3"/>
      <x:c r="C22" s="3"/>
      <x:c r="D22" s="3"/>
      <x:c r="E22" s="3"/>
      <x:c r="F22" s="3"/>
      <x:c r="G22" s="3"/>
      <x:c r="H22" s="3"/>
      <x:c r="I22" s="3"/>
      <x:c r="J22" s="9"/>
      <x:c r="K22" s="3"/>
      <x:c r="L22" s="3"/>
    </x:row>
    <x:row r="23" ht="24" customHeight="1">
      <x:c r="A23" s="3" t="str">
        <x:v>Alonso: ciencia y aceptación técnica. Empresa: SaaS, UI/UX, perfiles, QA e infraestructura.</x:v>
      </x:c>
      <x:c r="B23" s="3"/>
      <x:c r="C23" s="3"/>
      <x:c r="D23" s="3"/>
      <x:c r="E23" s="3"/>
      <x:c r="F23" s="3"/>
      <x:c r="G23" s="3"/>
      <x:c r="H23" s="3"/>
      <x:c r="I23" s="3"/>
      <x:c r="J23" s="9"/>
      <x:c r="K23" s="3"/>
      <x:c r="L23" s="3"/>
    </x:row>
    <x:row r="24" ht="24" customHeight="1">
      <x:c r="A24" s="3" t="str">
        <x:v>Edite duración, horas por recurso, avance y fecha; CPM, Gantt, cargas y presupuesto se recalculan.</x:v>
      </x:c>
      <x:c r="B24" s="3"/>
      <x:c r="C24" s="3"/>
      <x:c r="D24" s="3"/>
      <x:c r="E24" s="3"/>
      <x:c r="F24" s="3"/>
      <x:c r="G24" s="3"/>
      <x:c r="H24" s="3"/>
      <x:c r="I24" s="3"/>
      <x:c r="J24" s="9"/>
      <x:c r="K24" s="3"/>
      <x:c r="L24" s="3"/>
    </x:row>
    <x:row r="25" ht="24" customHeight="1">
      <x:c r="A25" s="3" t="str">
        <x:v>Predecesoras: guardar Excel → tools/refresh_from_xlsx.py → regenerar. Nuevas tareas se agregan al JSON.</x:v>
      </x:c>
      <x:c r="B25" s="3"/>
      <x:c r="C25" s="3"/>
      <x:c r="D25" s="3"/>
      <x:c r="E25" s="3"/>
      <x:c r="F25" s="3"/>
      <x:c r="G25" s="3"/>
      <x:c r="H25" s="3"/>
      <x:c r="I25" s="3"/>
      <x:c r="J25" s="9"/>
      <x:c r="K25" s="3"/>
      <x:c r="L25" s="3"/>
    </x:row>
    <x:row r="26" ht="24" customHeight="1">
      <x:c r="A26" s="3" t="str">
        <x:v>Las predecesoras J/K muestran la red vigente. No ordene físicamente EDT; use filtros.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4" customHeight="1">
      <x:c r="A27" s="3" t="str">
        <x:v>T=técnica, V=validación, C=contrato, R=recurso. R representa un conflicto real de capacidad.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4" customHeight="1">
      <x:c r="A28" s="3" t="str">
        <x:v>Holgura respecto del fin más temprano de la red nivelada; reserva contractual aparece arriba.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4" customHeight="1">
      <x:c r="A29" s="3" t="str">
        <x:v>La nivelación es heurística y se recalcula con script; Excel alerta sobrecargas tras editar.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4" customHeight="1">
      <x:c r="A30" s="3" t="str">
        <x:v>Duraciones O/P/C son rangos de planificación, no intervalos estadísticos ni garantía del plazo.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4" customHeight="1">
      <x:c r="A31" s="3" t="str">
        <x:v>Alonso reserva 40 h/semana: 36 para tareas y 2 coordinación; el resto para interrupciones.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4" customHeight="1">
      <x:c r="A32" s="3" t="str">
        <x:v>Pilotos de 5 días requieren 3 organizaciones preagendadas; sin ese compromiso consumirán reserva.</x:v>
      </x:c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4" customHeight="1">
      <x:c r="A33" s="3" t="str">
        <x:v>M4 se investiga sin bloquear el MVP determinista; publicación requiere aprobación científica.</x:v>
      </x:c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4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4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4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4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4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4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4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4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4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4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4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24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4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4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4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24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 ht="24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24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24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24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1" hidden="0" customWidth="1"/>
    <x:col min="3" max="3" width="24" hidden="0" customWidth="1"/>
    <x:col min="4" max="4" width="20" hidden="0" customWidth="1"/>
    <x:col min="5" max="5" width="48" hidden="0" customWidth="1"/>
    <x:col min="6" max="6" width="58" hidden="0" customWidth="1"/>
    <x:col min="7" max="7" width="45" hidden="0" customWidth="1"/>
    <x:col min="8" max="8" width="28" hidden="0" customWidth="1"/>
    <x:col min="9" max="9" width="20" hidden="0" customWidth="1"/>
    <x:col min="10" max="10" width="2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72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34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 ht="24" customHeight="1">
      <x:c r="A1" s="6" t="str">
        <x:v>EDT · tareas, esfuerzo y red CPM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</x:row>
    <x:row r="3" ht="24" customHeight="1">
      <x:c r="A3" s="3" t="str">
        <x:v>Duración y esfuerzo independientes. Editar horas por recurso en AD:AJ; L se calcula. Inicio/fin son fechas.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</x:row>
    <x:row r="4" ht="24" customHeight="1">
      <x:c r="A4" s="3" t="str">
        <x:v>J/K: enlaces FS y tipos; al cambiarlos ejecutar actualización. Fechas/holguras se basan en la red vigente.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</x:row>
    <x:row r="5" ht="42" customHeight="1">
      <x:c r="A5" s="15" t="str">
        <x:v>ID</x:v>
      </x:c>
      <x:c r="B5" s="15" t="str">
        <x:v>Código EDT</x:v>
      </x:c>
      <x:c r="C5" s="15" t="str">
        <x:v>Etapa</x:v>
      </x:c>
      <x:c r="D5" s="15" t="str">
        <x:v>Módulo</x:v>
      </x:c>
      <x:c r="E5" s="15" t="str">
        <x:v>Tarea</x:v>
      </x:c>
      <x:c r="F5" s="15" t="str">
        <x:v>Descripción</x:v>
      </x:c>
      <x:c r="G5" s="15" t="str">
        <x:v>Entregable</x:v>
      </x:c>
      <x:c r="H5" s="15" t="str">
        <x:v>Responsable</x:v>
      </x:c>
      <x:c r="I5" s="15" t="str">
        <x:v>Colaborador</x:v>
      </x:c>
      <x:c r="J5" s="15" t="str">
        <x:v>Predecesoras</x:v>
      </x:c>
      <x:c r="K5" s="15" t="str">
        <x:v>Tipo de dependencia</x:v>
      </x:c>
      <x:c r="L5" s="15" t="str">
        <x:v>Esfuerzo estimado (horas)</x:v>
      </x:c>
      <x:c r="M5" s="15" t="str">
        <x:v>Duración (días hábiles)</x:v>
      </x:c>
      <x:c r="N5" s="15" t="str">
        <x:v>Inicio temprano</x:v>
      </x:c>
      <x:c r="O5" s="15" t="str">
        <x:v>Fin temprano</x:v>
      </x:c>
      <x:c r="P5" s="15" t="str">
        <x:v>Inicio tardío</x:v>
      </x:c>
      <x:c r="Q5" s="15" t="str">
        <x:v>Fin tardío</x:v>
      </x:c>
      <x:c r="R5" s="15" t="str">
        <x:v>Holgura (días)</x:v>
      </x:c>
      <x:c r="S5" s="15" t="str">
        <x:v>Ruta crítica</x:v>
      </x:c>
      <x:c r="T5" s="15" t="str">
        <x:v>Semana inicio</x:v>
      </x:c>
      <x:c r="U5" s="15" t="str">
        <x:v>Semana término</x:v>
      </x:c>
      <x:c r="V5" s="15" t="str">
        <x:v>Estado</x:v>
      </x:c>
      <x:c r="W5" s="15" t="str">
        <x:v>Avance</x:v>
      </x:c>
      <x:c r="X5" s="15" t="str">
        <x:v>Criterio de aceptación</x:v>
      </x:c>
      <x:c r="Y5" s="15" t="str">
        <x:v>Prioridad</x:v>
      </x:c>
      <x:c r="Z5" s="15" t="str">
        <x:v>Días-persona (8 h)</x:v>
      </x:c>
      <x:c r="AA5" s="15" t="str">
        <x:v>Optimista (días)</x:v>
      </x:c>
      <x:c r="AB5" s="15" t="str">
        <x:v>Conservadora (días)</x:v>
      </x:c>
      <x:c r="AC5" s="15" t="str">
        <x:v>Recursos necesarios</x:v>
      </x:c>
      <x:c r="AD5" s="15" t="str">
        <x:v>AP h</x:v>
      </x:c>
      <x:c r="AE5" s="15" t="str">
        <x:v>AM h</x:v>
      </x:c>
      <x:c r="AF5" s="15" t="str">
        <x:v>BE h</x:v>
      </x:c>
      <x:c r="AG5" s="15" t="str">
        <x:v>FE h</x:v>
      </x:c>
      <x:c r="AH5" s="15" t="str">
        <x:v>UX h</x:v>
      </x:c>
      <x:c r="AI5" s="15" t="str">
        <x:v>QA h</x:v>
      </x:c>
      <x:c r="AJ5" s="15" t="str">
        <x:v>OP h</x:v>
      </x:c>
      <x:c r="AK5" s="15" t="str">
        <x:v>ES día 0</x:v>
      </x:c>
      <x:c r="AL5" s="15" t="str">
        <x:v>EF exclusivo</x:v>
      </x:c>
      <x:c r="AM5" s="15" t="str">
        <x:v>LS día 0</x:v>
      </x:c>
      <x:c r="AN5" s="15" t="str">
        <x:v>LF exclusivo</x:v>
      </x:c>
      <x:c r="AO5" s="15" t="str">
        <x:v>Inicio red vigente</x:v>
      </x:c>
      <x:c r="AP5" s="15" t="str">
        <x:v>Fin red vigente</x:v>
      </x:c>
      <x:c r="AQ5" s="15" t="str">
        <x:v>Diferencia red</x:v>
      </x:c>
      <x:c r="AR5" s="15" t="str">
        <x:v>Reserva</x:v>
      </x:c>
      <x:c r="AS5" s="3"/>
    </x:row>
    <x:row r="6" ht="64" customHeight="1">
      <x:c r="A6" s="18" t="str">
        <x:v>T01</x:v>
      </x:c>
      <x:c r="B6" s="18" t="str">
        <x:v>1.01</x:v>
      </x:c>
      <x:c r="C6" s="18" t="str">
        <x:v>Encuadre</x:v>
      </x:c>
      <x:c r="D6" s="18" t="str">
        <x:v>Dirección</x:v>
      </x:c>
      <x:c r="E6" s="18" t="str">
        <x:v>Confirmar segmento y problema pagable</x:v>
      </x:c>
      <x:c r="F6" s="18" t="str">
        <x:v>Confirmar segmento y problema pagable; revisar evidencia y registrar decisión.</x:v>
      </x:c>
      <x:c r="G6" s="18" t="str">
        <x:v>Ficha de producto y exclusiones</x:v>
      </x:c>
      <x:c r="H6" s="18" t="str">
        <x:v>Alejandro Maureira</x:v>
      </x:c>
      <x:c r="I6" s="18" t="str">
        <x:v>AP</x:v>
      </x:c>
      <x:c r="J6" s="25" t="str"/>
      <x:c r="K6" s="25" t="str"/>
      <x:c r="L6" s="18" t="n">
        <x:f>SUM(AD6:AJ6)</x:f>
        <x:v>10</x:v>
      </x:c>
      <x:c r="M6" s="25" t="n">
        <x:v>5</x:v>
      </x:c>
      <x:c r="N6" s="19" t="n">
        <x:f>WORKDAY('RESUMEN'!$D$3-1,AK6+1,'RESUMEN'!$J$6:$J$25)</x:f>
        <x:v>46328</x:v>
      </x:c>
      <x:c r="O6" s="19" t="n">
        <x:f>WORKDAY('RESUMEN'!$D$3-1,AL6+0,'RESUMEN'!$J$6:$J$25)</x:f>
        <x:v>46332</x:v>
      </x:c>
      <x:c r="P6" s="19" t="n">
        <x:f>WORKDAY('RESUMEN'!$D$3-1,AM6+1,'RESUMEN'!$J$6:$J$25)</x:f>
        <x:v>46328</x:v>
      </x:c>
      <x:c r="Q6" s="19" t="n">
        <x:f>WORKDAY('RESUMEN'!$D$3-1,AN6+0,'RESUMEN'!$J$6:$J$25)</x:f>
        <x:v>46332</x:v>
      </x:c>
      <x:c r="R6" s="18" t="n">
        <x:f>AM6-AK6</x:f>
        <x:v>0</x:v>
      </x:c>
      <x:c r="S6" s="18" t="str">
        <x:f>IF(R6=0,"Sí","No")</x:f>
        <x:v>Sí</x:v>
      </x:c>
      <x:c r="T6" s="18" t="n">
        <x:f>INT((N6-'RESUMEN'!$D$3)/7)+1</x:f>
        <x:v>1</x:v>
      </x:c>
      <x:c r="U6" s="18" t="n">
        <x:f>INT((O6-'RESUMEN'!$D$3)/7)+1</x:f>
        <x:v>1</x:v>
      </x:c>
      <x:c r="V6" s="25" t="str">
        <x:v>No iniciada</x:v>
      </x:c>
      <x:c r="W6" s="27" t="n">
        <x:v>0</x:v>
      </x:c>
      <x:c r="X6" s="18" t="str">
        <x:v>Alejandro aprueba un comprador inicial y 3 problemas priorizados</x:v>
      </x:c>
      <x:c r="Y6" s="18" t="str">
        <x:v>P0</x:v>
      </x:c>
      <x:c r="Z6" s="22" t="n">
        <x:f>L6/8</x:f>
        <x:v>1.25</x:v>
      </x:c>
      <x:c r="AA6" s="25" t="n">
        <x:v>4</x:v>
      </x:c>
      <x:c r="AB6" s="25" t="n">
        <x:v>8</x:v>
      </x:c>
      <x:c r="AC6" s="18" t="str">
        <x:v>Repo, staging y casos sintéticos</x:v>
      </x:c>
      <x:c r="AD6" s="25" t="n">
        <x:v>4</x:v>
      </x:c>
      <x:c r="AE6" s="25" t="n">
        <x:v>6</x:v>
      </x:c>
      <x:c r="AF6" s="25" t="n">
        <x:v>0</x:v>
      </x:c>
      <x:c r="AG6" s="25" t="n">
        <x:v>0</x:v>
      </x:c>
      <x:c r="AH6" s="25" t="n">
        <x:v>0</x:v>
      </x:c>
      <x:c r="AI6" s="25" t="n">
        <x:v>0</x:v>
      </x:c>
      <x:c r="AJ6" s="25" t="n">
        <x:v>0</x:v>
      </x:c>
      <x:c r="AK6" s="18" t="n">
        <x:f>0</x:f>
        <x:v>0</x:v>
      </x:c>
      <x:c r="AL6" s="18" t="n">
        <x:f>AK6+M6</x:f>
        <x:v>5</x:v>
      </x:c>
      <x:c r="AM6" s="18" t="n">
        <x:f>AN6-M6</x:f>
        <x:v>0</x:v>
      </x:c>
      <x:c r="AN6" s="18" t="n">
        <x:f>MIN(AM8)</x:f>
        <x:v>5</x:v>
      </x:c>
      <x:c r="AO6" s="18" t="n">
        <x:v>0</x:v>
      </x:c>
      <x:c r="AP6" s="18" t="n">
        <x:v>5</x:v>
      </x:c>
      <x:c r="AQ6" s="18" t="n">
        <x:f>AK6-AO6</x:f>
        <x:v>0</x:v>
      </x:c>
      <x:c r="AR6" s="18" t="n">
        <x:f>'RESUMEN'!$D$7</x:f>
        <x:v>15</x:v>
      </x:c>
      <x:c r="AS6" s="3"/>
    </x:row>
    <x:row r="7" ht="64" customHeight="1">
      <x:c r="A7" s="16" t="str">
        <x:v>T02</x:v>
      </x:c>
      <x:c r="B7" s="16" t="str">
        <x:v>1.02</x:v>
      </x:c>
      <x:c r="C7" s="16" t="str">
        <x:v>Encuadre</x:v>
      </x:c>
      <x:c r="D7" s="16" t="str">
        <x:v>Ciencia</x:v>
      </x:c>
      <x:c r="E7" s="16" t="str">
        <x:v>Reproducir fallos y congelar línea base</x:v>
      </x:c>
      <x:c r="F7" s="16" t="str">
        <x:v>Reproducir fallos y congelar línea base; revisar evidencia y registrar decisión.</x:v>
      </x:c>
      <x:c r="G7" s="16" t="str">
        <x:v>Casos reproducibles y métricas</x:v>
      </x:c>
      <x:c r="H7" s="16" t="str">
        <x:v>Alonso Peña</x:v>
      </x:c>
      <x:c r="I7" s="16" t="str"/>
      <x:c r="J7" s="25" t="str"/>
      <x:c r="K7" s="25" t="str"/>
      <x:c r="L7" s="16" t="n">
        <x:f>SUM(AD7:AJ7)</x:f>
        <x:v>28</x:v>
      </x:c>
      <x:c r="M7" s="25" t="n">
        <x:v>5</x:v>
      </x:c>
      <x:c r="N7" s="17" t="n">
        <x:f>WORKDAY('RESUMEN'!$D$3-1,AK7+1,'RESUMEN'!$J$6:$J$25)</x:f>
        <x:v>46328</x:v>
      </x:c>
      <x:c r="O7" s="17" t="n">
        <x:f>WORKDAY('RESUMEN'!$D$3-1,AL7+0,'RESUMEN'!$J$6:$J$25)</x:f>
        <x:v>46332</x:v>
      </x:c>
      <x:c r="P7" s="17" t="n">
        <x:f>WORKDAY('RESUMEN'!$D$3-1,AM7+1,'RESUMEN'!$J$6:$J$25)</x:f>
        <x:v>46338</x:v>
      </x:c>
      <x:c r="Q7" s="17" t="n">
        <x:f>WORKDAY('RESUMEN'!$D$3-1,AN7+0,'RESUMEN'!$J$6:$J$25)</x:f>
        <x:v>46344</x:v>
      </x:c>
      <x:c r="R7" s="16" t="n">
        <x:f>AM7-AK7</x:f>
        <x:v>8</x:v>
      </x:c>
      <x:c r="S7" s="16" t="str">
        <x:f>IF(R7=0,"Sí","No")</x:f>
        <x:v>No</x:v>
      </x:c>
      <x:c r="T7" s="16" t="n">
        <x:f>INT((N7-'RESUMEN'!$D$3)/7)+1</x:f>
        <x:v>1</x:v>
      </x:c>
      <x:c r="U7" s="16" t="n">
        <x:f>INT((O7-'RESUMEN'!$D$3)/7)+1</x:f>
        <x:v>1</x:v>
      </x:c>
      <x:c r="V7" s="25" t="str">
        <x:v>No iniciada</x:v>
      </x:c>
      <x:c r="W7" s="27" t="n">
        <x:v>0</x:v>
      </x:c>
      <x:c r="X7" s="16" t="str">
        <x:v>Guardar commit, entorno, 3 casos de referencia y fallos sin ocultarlos</x:v>
      </x:c>
      <x:c r="Y7" s="16" t="str">
        <x:v>P0</x:v>
      </x:c>
      <x:c r="Z7" s="23" t="n">
        <x:f>L7/8</x:f>
        <x:v>3.5</x:v>
      </x:c>
      <x:c r="AA7" s="25" t="n">
        <x:v>4</x:v>
      </x:c>
      <x:c r="AB7" s="25" t="n">
        <x:v>8</x:v>
      </x:c>
      <x:c r="AC7" s="16" t="str">
        <x:v>Repo, staging y casos sintéticos</x:v>
      </x:c>
      <x:c r="AD7" s="25" t="n">
        <x:v>28</x:v>
      </x:c>
      <x:c r="AE7" s="25" t="n">
        <x:v>0</x:v>
      </x:c>
      <x:c r="AF7" s="25" t="n">
        <x:v>0</x:v>
      </x:c>
      <x:c r="AG7" s="25" t="n">
        <x:v>0</x:v>
      </x:c>
      <x:c r="AH7" s="25" t="n">
        <x:v>0</x:v>
      </x:c>
      <x:c r="AI7" s="25" t="n">
        <x:v>0</x:v>
      </x:c>
      <x:c r="AJ7" s="25" t="n">
        <x:v>0</x:v>
      </x:c>
      <x:c r="AK7" s="16" t="n">
        <x:f>0</x:f>
        <x:v>0</x:v>
      </x:c>
      <x:c r="AL7" s="16" t="n">
        <x:f>AK7+M7</x:f>
        <x:v>5</x:v>
      </x:c>
      <x:c r="AM7" s="16" t="n">
        <x:f>AN7-M7</x:f>
        <x:v>8</x:v>
      </x:c>
      <x:c r="AN7" s="16" t="n">
        <x:f>MIN(AM11,AM13)</x:f>
        <x:v>13</x:v>
      </x:c>
      <x:c r="AO7" s="16" t="n">
        <x:v>0</x:v>
      </x:c>
      <x:c r="AP7" s="16" t="n">
        <x:v>5</x:v>
      </x:c>
      <x:c r="AQ7" s="16" t="n">
        <x:f>AK7-AO7</x:f>
        <x:v>0</x:v>
      </x:c>
      <x:c r="AR7" s="16" t="n">
        <x:f>'RESUMEN'!$D$7</x:f>
        <x:v>15</x:v>
      </x:c>
      <x:c r="AS7" s="3"/>
    </x:row>
    <x:row r="8" ht="64" customHeight="1">
      <x:c r="A8" s="18" t="str">
        <x:v>T03</x:v>
      </x:c>
      <x:c r="B8" s="18" t="str">
        <x:v>1.03</x:v>
      </x:c>
      <x:c r="C8" s="18" t="str">
        <x:v>Encuadre</x:v>
      </x:c>
      <x:c r="D8" s="18" t="str">
        <x:v>Proveedor</x:v>
      </x:c>
      <x:c r="E8" s="18" t="str">
        <x:v>Preparar encargo y evaluar proveedor</x:v>
      </x:c>
      <x:c r="F8" s="18" t="str">
        <x:v>Preparar encargo y evaluar proveedor; revisar evidencia y registrar decisión.</x:v>
      </x:c>
      <x:c r="G8" s="18" t="str">
        <x:v>Encargo técnico y matriz de evaluación</x:v>
      </x:c>
      <x:c r="H8" s="18" t="str">
        <x:v>Alejandro Maureira</x:v>
      </x:c>
      <x:c r="I8" s="18" t="str">
        <x:v>AP</x:v>
      </x:c>
      <x:c r="J8" s="25" t="str">
        <x:v>T01</x:v>
      </x:c>
      <x:c r="K8" s="25" t="str">
        <x:v>V</x:v>
      </x:c>
      <x:c r="L8" s="18" t="n">
        <x:f>SUM(AD8:AJ8)</x:f>
        <x:v>12</x:v>
      </x:c>
      <x:c r="M8" s="25" t="n">
        <x:v>5</x:v>
      </x:c>
      <x:c r="N8" s="19" t="n">
        <x:f>WORKDAY('RESUMEN'!$D$3-1,AK8+1,'RESUMEN'!$J$6:$J$25)</x:f>
        <x:v>46335</x:v>
      </x:c>
      <x:c r="O8" s="19" t="n">
        <x:f>WORKDAY('RESUMEN'!$D$3-1,AL8+0,'RESUMEN'!$J$6:$J$25)</x:f>
        <x:v>46339</x:v>
      </x:c>
      <x:c r="P8" s="19" t="n">
        <x:f>WORKDAY('RESUMEN'!$D$3-1,AM8+1,'RESUMEN'!$J$6:$J$25)</x:f>
        <x:v>46335</x:v>
      </x:c>
      <x:c r="Q8" s="19" t="n">
        <x:f>WORKDAY('RESUMEN'!$D$3-1,AN8+0,'RESUMEN'!$J$6:$J$25)</x:f>
        <x:v>46339</x:v>
      </x:c>
      <x:c r="R8" s="18" t="n">
        <x:f>AM8-AK8</x:f>
        <x:v>0</x:v>
      </x:c>
      <x:c r="S8" s="18" t="str">
        <x:f>IF(R8=0,"Sí","No")</x:f>
        <x:v>Sí</x:v>
      </x:c>
      <x:c r="T8" s="18" t="n">
        <x:f>INT((N8-'RESUMEN'!$D$3)/7)+1</x:f>
        <x:v>2</x:v>
      </x:c>
      <x:c r="U8" s="18" t="n">
        <x:f>INT((O8-'RESUMEN'!$D$3)/7)+1</x:f>
        <x:v>2</x:v>
      </x:c>
      <x:c r="V8" s="25" t="str">
        <x:v>No iniciada</x:v>
      </x:c>
      <x:c r="W8" s="27" t="n">
        <x:v>0</x:v>
      </x:c>
      <x:c r="X8" s="18" t="str">
        <x:v>Comparar 2 propuestas por entregables; código, cuentas y datos de Adventure Capital</x:v>
      </x:c>
      <x:c r="Y8" s="18" t="str">
        <x:v>P0</x:v>
      </x:c>
      <x:c r="Z8" s="22" t="n">
        <x:f>L8/8</x:f>
        <x:v>1.5</x:v>
      </x:c>
      <x:c r="AA8" s="25" t="n">
        <x:v>4</x:v>
      </x:c>
      <x:c r="AB8" s="25" t="n">
        <x:v>8</x:v>
      </x:c>
      <x:c r="AC8" s="18" t="str">
        <x:v>Repo, staging y casos sintéticos</x:v>
      </x:c>
      <x:c r="AD8" s="25" t="n">
        <x:v>6</x:v>
      </x:c>
      <x:c r="AE8" s="25" t="n">
        <x:v>6</x:v>
      </x:c>
      <x:c r="AF8" s="25" t="n">
        <x:v>0</x:v>
      </x:c>
      <x:c r="AG8" s="25" t="n">
        <x:v>0</x:v>
      </x:c>
      <x:c r="AH8" s="25" t="n">
        <x:v>0</x:v>
      </x:c>
      <x:c r="AI8" s="25" t="n">
        <x:v>0</x:v>
      </x:c>
      <x:c r="AJ8" s="25" t="n">
        <x:v>0</x:v>
      </x:c>
      <x:c r="AK8" s="18" t="n">
        <x:f>MAX(AL6)</x:f>
        <x:v>5</x:v>
      </x:c>
      <x:c r="AL8" s="18" t="n">
        <x:f>AK8+M8</x:f>
        <x:v>10</x:v>
      </x:c>
      <x:c r="AM8" s="18" t="n">
        <x:f>AN8-M8</x:f>
        <x:v>5</x:v>
      </x:c>
      <x:c r="AN8" s="18" t="n">
        <x:f>MIN(AM9)</x:f>
        <x:v>10</x:v>
      </x:c>
      <x:c r="AO8" s="18" t="n">
        <x:v>5</x:v>
      </x:c>
      <x:c r="AP8" s="18" t="n">
        <x:v>10</x:v>
      </x:c>
      <x:c r="AQ8" s="18" t="n">
        <x:f>AK8-AO8</x:f>
        <x:v>0</x:v>
      </x:c>
      <x:c r="AR8" s="18" t="n">
        <x:f>'RESUMEN'!$D$7</x:f>
        <x:v>15</x:v>
      </x:c>
      <x:c r="AS8" s="3"/>
    </x:row>
    <x:row r="9" ht="64" customHeight="1">
      <x:c r="A9" s="16" t="str">
        <x:v>T04</x:v>
      </x:c>
      <x:c r="B9" s="16" t="str">
        <x:v>1.04</x:v>
      </x:c>
      <x:c r="C9" s="16" t="str">
        <x:v>Encuadre</x:v>
      </x:c>
      <x:c r="D9" s="16" t="str">
        <x:v>Proveedor</x:v>
      </x:c>
      <x:c r="E9" s="16" t="str">
        <x:v>Cerrar contrato y reservar equipo</x:v>
      </x:c>
      <x:c r="F9" s="16" t="str">
        <x:v>Cerrar contrato y reservar equipo; revisar evidencia y registrar decisión.</x:v>
      </x:c>
      <x:c r="G9" s="16" t="str">
        <x:v>Contrato e hitos de aceptación</x:v>
      </x:c>
      <x:c r="H9" s="16" t="str">
        <x:v>Alejandro Maureira</x:v>
      </x:c>
      <x:c r="I9" s="16" t="str">
        <x:v>AP</x:v>
      </x:c>
      <x:c r="J9" s="25" t="str">
        <x:v>T03</x:v>
      </x:c>
      <x:c r="K9" s="25" t="str">
        <x:v>C</x:v>
      </x:c>
      <x:c r="L9" s="16" t="n">
        <x:f>SUM(AD9:AJ9)</x:f>
        <x:v>6</x:v>
      </x:c>
      <x:c r="M9" s="25" t="n">
        <x:v>3</x:v>
      </x:c>
      <x:c r="N9" s="17" t="n">
        <x:f>WORKDAY('RESUMEN'!$D$3-1,AK9+1,'RESUMEN'!$J$6:$J$25)</x:f>
        <x:v>46342</x:v>
      </x:c>
      <x:c r="O9" s="17" t="n">
        <x:f>WORKDAY('RESUMEN'!$D$3-1,AL9+0,'RESUMEN'!$J$6:$J$25)</x:f>
        <x:v>46344</x:v>
      </x:c>
      <x:c r="P9" s="17" t="n">
        <x:f>WORKDAY('RESUMEN'!$D$3-1,AM9+1,'RESUMEN'!$J$6:$J$25)</x:f>
        <x:v>46342</x:v>
      </x:c>
      <x:c r="Q9" s="17" t="n">
        <x:f>WORKDAY('RESUMEN'!$D$3-1,AN9+0,'RESUMEN'!$J$6:$J$25)</x:f>
        <x:v>46344</x:v>
      </x:c>
      <x:c r="R9" s="16" t="n">
        <x:f>AM9-AK9</x:f>
        <x:v>0</x:v>
      </x:c>
      <x:c r="S9" s="16" t="str">
        <x:f>IF(R9=0,"Sí","No")</x:f>
        <x:v>Sí</x:v>
      </x:c>
      <x:c r="T9" s="16" t="n">
        <x:f>INT((N9-'RESUMEN'!$D$3)/7)+1</x:f>
        <x:v>3</x:v>
      </x:c>
      <x:c r="U9" s="16" t="n">
        <x:f>INT((O9-'RESUMEN'!$D$3)/7)+1</x:f>
        <x:v>3</x:v>
      </x:c>
      <x:c r="V9" s="25" t="str">
        <x:v>No iniciada</x:v>
      </x:c>
      <x:c r="W9" s="27" t="n">
        <x:v>0</x:v>
      </x:c>
      <x:c r="X9" s="16" t="str">
        <x:v>Perfiles nominados; QA distinto del autor; propiedad, salida y garantía acordadas</x:v>
      </x:c>
      <x:c r="Y9" s="16" t="str">
        <x:v>P0</x:v>
      </x:c>
      <x:c r="Z9" s="23" t="n">
        <x:f>L9/8</x:f>
        <x:v>0.75</x:v>
      </x:c>
      <x:c r="AA9" s="25" t="n">
        <x:v>2</x:v>
      </x:c>
      <x:c r="AB9" s="25" t="n">
        <x:v>4</x:v>
      </x:c>
      <x:c r="AC9" s="16" t="str">
        <x:v>Repo, staging y casos sintéticos</x:v>
      </x:c>
      <x:c r="AD9" s="25" t="n">
        <x:v>2</x:v>
      </x:c>
      <x:c r="AE9" s="25" t="n">
        <x:v>4</x:v>
      </x:c>
      <x:c r="AF9" s="25" t="n">
        <x:v>0</x:v>
      </x:c>
      <x:c r="AG9" s="25" t="n">
        <x:v>0</x:v>
      </x:c>
      <x:c r="AH9" s="25" t="n">
        <x:v>0</x:v>
      </x:c>
      <x:c r="AI9" s="25" t="n">
        <x:v>0</x:v>
      </x:c>
      <x:c r="AJ9" s="25" t="n">
        <x:v>0</x:v>
      </x:c>
      <x:c r="AK9" s="16" t="n">
        <x:f>MAX(AL8)</x:f>
        <x:v>10</x:v>
      </x:c>
      <x:c r="AL9" s="16" t="n">
        <x:f>AK9+M9</x:f>
        <x:v>13</x:v>
      </x:c>
      <x:c r="AM9" s="16" t="n">
        <x:f>AN9-M9</x:f>
        <x:v>10</x:v>
      </x:c>
      <x:c r="AN9" s="16" t="n">
        <x:f>MIN(AM10,AM11,AM16)</x:f>
        <x:v>13</x:v>
      </x:c>
      <x:c r="AO9" s="16" t="n">
        <x:v>10</x:v>
      </x:c>
      <x:c r="AP9" s="16" t="n">
        <x:v>13</x:v>
      </x:c>
      <x:c r="AQ9" s="16" t="n">
        <x:f>AK9-AO9</x:f>
        <x:v>0</x:v>
      </x:c>
      <x:c r="AR9" s="16" t="n">
        <x:f>'RESUMEN'!$D$7</x:f>
        <x:v>15</x:v>
      </x:c>
      <x:c r="AS9" s="3"/>
    </x:row>
    <x:row r="10" ht="64" customHeight="1">
      <x:c r="A10" s="18" t="str">
        <x:v>T05</x:v>
      </x:c>
      <x:c r="B10" s="18" t="str">
        <x:v>1.05</x:v>
      </x:c>
      <x:c r="C10" s="18" t="str">
        <x:v>Encuadre</x:v>
      </x:c>
      <x:c r="D10" s="18" t="str">
        <x:v>Producto</x:v>
      </x:c>
      <x:c r="E10" s="18" t="str">
        <x:v>Entrevistar usuarios y levantar recorrido</x:v>
      </x:c>
      <x:c r="F10" s="18" t="str">
        <x:v>Entrevistar usuarios y levantar recorrido; revisar evidencia y registrar decisión.</x:v>
      </x:c>
      <x:c r="G10" s="18" t="str">
        <x:v>5 entrevistas y mapa de uso</x:v>
      </x:c>
      <x:c r="H10" s="18" t="str">
        <x:v>Empresa · UX</x:v>
      </x:c>
      <x:c r="I10" s="18" t="str">
        <x:v>AM, AP</x:v>
      </x:c>
      <x:c r="J10" s="25" t="str">
        <x:v>T04</x:v>
      </x:c>
      <x:c r="K10" s="25" t="str">
        <x:v>C</x:v>
      </x:c>
      <x:c r="L10" s="18" t="n">
        <x:f>SUM(AD10:AJ10)</x:f>
        <x:v>40</x:v>
      </x:c>
      <x:c r="M10" s="25" t="n">
        <x:v>10</x:v>
      </x:c>
      <x:c r="N10" s="19" t="n">
        <x:f>WORKDAY('RESUMEN'!$D$3-1,AK10+1,'RESUMEN'!$J$6:$J$25)</x:f>
        <x:v>46345</x:v>
      </x:c>
      <x:c r="O10" s="19" t="n">
        <x:f>WORKDAY('RESUMEN'!$D$3-1,AL10+0,'RESUMEN'!$J$6:$J$25)</x:f>
        <x:v>46358</x:v>
      </x:c>
      <x:c r="P10" s="19" t="n">
        <x:f>WORKDAY('RESUMEN'!$D$3-1,AM10+1,'RESUMEN'!$J$6:$J$25)</x:f>
        <x:v>46345</x:v>
      </x:c>
      <x:c r="Q10" s="19" t="n">
        <x:f>WORKDAY('RESUMEN'!$D$3-1,AN10+0,'RESUMEN'!$J$6:$J$25)</x:f>
        <x:v>46358</x:v>
      </x:c>
      <x:c r="R10" s="18" t="n">
        <x:f>AM10-AK10</x:f>
        <x:v>0</x:v>
      </x:c>
      <x:c r="S10" s="18" t="str">
        <x:f>IF(R10=0,"Sí","No")</x:f>
        <x:v>Sí</x:v>
      </x:c>
      <x:c r="T10" s="18" t="n">
        <x:f>INT((N10-'RESUMEN'!$D$3)/7)+1</x:f>
        <x:v>3</x:v>
      </x:c>
      <x:c r="U10" s="18" t="n">
        <x:f>INT((O10-'RESUMEN'!$D$3)/7)+1</x:f>
        <x:v>5</x:v>
      </x:c>
      <x:c r="V10" s="25" t="str">
        <x:v>No iniciada</x:v>
      </x:c>
      <x:c r="W10" s="27" t="n">
        <x:v>0</x:v>
      </x:c>
      <x:c r="X10" s="18" t="str">
        <x:v>Al menos 3 emprendedores y 2 consultores; registrar evidencia y fricciones</x:v>
      </x:c>
      <x:c r="Y10" s="18" t="str">
        <x:v>P0</x:v>
      </x:c>
      <x:c r="Z10" s="22" t="n">
        <x:f>L10/8</x:f>
        <x:v>5</x:v>
      </x:c>
      <x:c r="AA10" s="25" t="n">
        <x:v>8</x:v>
      </x:c>
      <x:c r="AB10" s="25" t="n">
        <x:v>15</x:v>
      </x:c>
      <x:c r="AC10" s="18" t="str">
        <x:v>Repo, staging y casos sintéticos</x:v>
      </x:c>
      <x:c r="AD10" s="25" t="n">
        <x:v>8</x:v>
      </x:c>
      <x:c r="AE10" s="25" t="n">
        <x:v>8</x:v>
      </x:c>
      <x:c r="AF10" s="25" t="n">
        <x:v>0</x:v>
      </x:c>
      <x:c r="AG10" s="25" t="n">
        <x:v>0</x:v>
      </x:c>
      <x:c r="AH10" s="25" t="n">
        <x:v>24</x:v>
      </x:c>
      <x:c r="AI10" s="25" t="n">
        <x:v>0</x:v>
      </x:c>
      <x:c r="AJ10" s="25" t="n">
        <x:v>0</x:v>
      </x:c>
      <x:c r="AK10" s="18" t="n">
        <x:f>MAX(AL9)</x:f>
        <x:v>13</x:v>
      </x:c>
      <x:c r="AL10" s="18" t="n">
        <x:f>AK10+M10</x:f>
        <x:v>23</x:v>
      </x:c>
      <x:c r="AM10" s="18" t="n">
        <x:f>AN10-M10</x:f>
        <x:v>13</x:v>
      </x:c>
      <x:c r="AN10" s="18" t="n">
        <x:f>MIN(AM12,AM14)</x:f>
        <x:v>23</x:v>
      </x:c>
      <x:c r="AO10" s="18" t="n">
        <x:v>13</x:v>
      </x:c>
      <x:c r="AP10" s="18" t="n">
        <x:v>23</x:v>
      </x:c>
      <x:c r="AQ10" s="18" t="n">
        <x:f>AK10-AO10</x:f>
        <x:v>0</x:v>
      </x:c>
      <x:c r="AR10" s="18" t="n">
        <x:f>'RESUMEN'!$D$7</x:f>
        <x:v>15</x:v>
      </x:c>
      <x:c r="AS10" s="3"/>
    </x:row>
    <x:row r="11" ht="64" customHeight="1">
      <x:c r="A11" s="16" t="str">
        <x:v>T06</x:v>
      </x:c>
      <x:c r="B11" s="16" t="str">
        <x:v>1.06</x:v>
      </x:c>
      <x:c r="C11" s="16" t="str">
        <x:v>Encuadre</x:v>
      </x:c>
      <x:c r="D11" s="16" t="str">
        <x:v>Arquitectura</x:v>
      </x:c>
      <x:c r="E11" s="16" t="str">
        <x:v>Diseñar contratos del motor y fronteras</x:v>
      </x:c>
      <x:c r="F11" s="16" t="str">
        <x:v>Diseñar contratos del motor y fronteras; revisar evidencia y registrar decisión.</x:v>
      </x:c>
      <x:c r="G11" s="16" t="str">
        <x:v>Contrato versionado y ADR propuesto</x:v>
      </x:c>
      <x:c r="H11" s="16" t="str">
        <x:v>Empresa · backend</x:v>
      </x:c>
      <x:c r="I11" s="16" t="str">
        <x:v>AP, OP</x:v>
      </x:c>
      <x:c r="J11" s="25" t="str">
        <x:v>T04, T02</x:v>
      </x:c>
      <x:c r="K11" s="25" t="str">
        <x:v>C, T</x:v>
      </x:c>
      <x:c r="L11" s="16" t="n">
        <x:f>SUM(AD11:AJ11)</x:f>
        <x:v>72</x:v>
      </x:c>
      <x:c r="M11" s="25" t="n">
        <x:v>10</x:v>
      </x:c>
      <x:c r="N11" s="17" t="n">
        <x:f>WORKDAY('RESUMEN'!$D$3-1,AK11+1,'RESUMEN'!$J$6:$J$25)</x:f>
        <x:v>46345</x:v>
      </x:c>
      <x:c r="O11" s="17" t="n">
        <x:f>WORKDAY('RESUMEN'!$D$3-1,AL11+0,'RESUMEN'!$J$6:$J$25)</x:f>
        <x:v>46358</x:v>
      </x:c>
      <x:c r="P11" s="17" t="n">
        <x:f>WORKDAY('RESUMEN'!$D$3-1,AM11+1,'RESUMEN'!$J$6:$J$25)</x:f>
        <x:v>46345</x:v>
      </x:c>
      <x:c r="Q11" s="17" t="n">
        <x:f>WORKDAY('RESUMEN'!$D$3-1,AN11+0,'RESUMEN'!$J$6:$J$25)</x:f>
        <x:v>46358</x:v>
      </x:c>
      <x:c r="R11" s="16" t="n">
        <x:f>AM11-AK11</x:f>
        <x:v>0</x:v>
      </x:c>
      <x:c r="S11" s="16" t="str">
        <x:f>IF(R11=0,"Sí","No")</x:f>
        <x:v>Sí</x:v>
      </x:c>
      <x:c r="T11" s="16" t="n">
        <x:f>INT((N11-'RESUMEN'!$D$3)/7)+1</x:f>
        <x:v>3</x:v>
      </x:c>
      <x:c r="U11" s="16" t="n">
        <x:f>INT((O11-'RESUMEN'!$D$3)/7)+1</x:f>
        <x:v>5</x:v>
      </x:c>
      <x:c r="V11" s="25" t="str">
        <x:v>No iniciada</x:v>
      </x:c>
      <x:c r="W11" s="27" t="n">
        <x:v>0</x:v>
      </x:c>
      <x:c r="X11" s="16" t="str">
        <x:v>Definir entrada, salida, estados solver, ownership y errores; revisión de Alonso</x:v>
      </x:c>
      <x:c r="Y11" s="16" t="str">
        <x:v>P0</x:v>
      </x:c>
      <x:c r="Z11" s="23" t="n">
        <x:f>L11/8</x:f>
        <x:v>9</x:v>
      </x:c>
      <x:c r="AA11" s="25" t="n">
        <x:v>8</x:v>
      </x:c>
      <x:c r="AB11" s="25" t="n">
        <x:v>15</x:v>
      </x:c>
      <x:c r="AC11" s="16" t="str">
        <x:v>Repo, staging y casos sintéticos</x:v>
      </x:c>
      <x:c r="AD11" s="25" t="n">
        <x:v>24</x:v>
      </x:c>
      <x:c r="AE11" s="25" t="n">
        <x:v>0</x:v>
      </x:c>
      <x:c r="AF11" s="25" t="n">
        <x:v>40</x:v>
      </x:c>
      <x:c r="AG11" s="25" t="n">
        <x:v>0</x:v>
      </x:c>
      <x:c r="AH11" s="25" t="n">
        <x:v>0</x:v>
      </x:c>
      <x:c r="AI11" s="25" t="n">
        <x:v>0</x:v>
      </x:c>
      <x:c r="AJ11" s="25" t="n">
        <x:v>8</x:v>
      </x:c>
      <x:c r="AK11" s="16" t="n">
        <x:f>MAX(AL9,AL7)</x:f>
        <x:v>13</x:v>
      </x:c>
      <x:c r="AL11" s="16" t="n">
        <x:f>AK11+M11</x:f>
        <x:v>23</x:v>
      </x:c>
      <x:c r="AM11" s="16" t="n">
        <x:f>AN11-M11</x:f>
        <x:v>13</x:v>
      </x:c>
      <x:c r="AN11" s="16" t="n">
        <x:f>MIN(AM12,AM21,AM24,AM25,AM33)</x:f>
        <x:v>23</x:v>
      </x:c>
      <x:c r="AO11" s="16" t="n">
        <x:v>13</x:v>
      </x:c>
      <x:c r="AP11" s="16" t="n">
        <x:v>23</x:v>
      </x:c>
      <x:c r="AQ11" s="16" t="n">
        <x:f>AK11-AO11</x:f>
        <x:v>0</x:v>
      </x:c>
      <x:c r="AR11" s="16" t="n">
        <x:f>'RESUMEN'!$D$7</x:f>
        <x:v>15</x:v>
      </x:c>
      <x:c r="AS11" s="3"/>
    </x:row>
    <x:row r="12" ht="64" customHeight="1">
      <x:c r="A12" s="18" t="str">
        <x:v>T07</x:v>
      </x:c>
      <x:c r="B12" s="18" t="str">
        <x:v>1.07</x:v>
      </x:c>
      <x:c r="C12" s="18" t="str">
        <x:v>Encuadre</x:v>
      </x:c>
      <x:c r="D12" s="18" t="str">
        <x:v>Producto</x:v>
      </x:c>
      <x:c r="E12" s="18" t="str">
        <x:v>Aprobar MVP y criterios de salida</x:v>
      </x:c>
      <x:c r="F12" s="18" t="str">
        <x:v>Aprobar MVP y criterios de salida; revisar evidencia y registrar decisión.</x:v>
      </x:c>
      <x:c r="G12" s="18" t="str">
        <x:v>Backlog contractual aprobado</x:v>
      </x:c>
      <x:c r="H12" s="18" t="str">
        <x:v>Alejandro Maureira</x:v>
      </x:c>
      <x:c r="I12" s="18" t="str">
        <x:v>AP, UX</x:v>
      </x:c>
      <x:c r="J12" s="25" t="str">
        <x:v>T05, T06</x:v>
      </x:c>
      <x:c r="K12" s="25" t="str">
        <x:v>V, V</x:v>
      </x:c>
      <x:c r="L12" s="18" t="n">
        <x:f>SUM(AD12:AJ12)</x:f>
        <x:v>12</x:v>
      </x:c>
      <x:c r="M12" s="25" t="n">
        <x:v>3</x:v>
      </x:c>
      <x:c r="N12" s="19" t="n">
        <x:f>WORKDAY('RESUMEN'!$D$3-1,AK12+1,'RESUMEN'!$J$6:$J$25)</x:f>
        <x:v>46359</x:v>
      </x:c>
      <x:c r="O12" s="19" t="n">
        <x:f>WORKDAY('RESUMEN'!$D$3-1,AL12+0,'RESUMEN'!$J$6:$J$25)</x:f>
        <x:v>46363</x:v>
      </x:c>
      <x:c r="P12" s="19" t="n">
        <x:f>WORKDAY('RESUMEN'!$D$3-1,AM12+1,'RESUMEN'!$J$6:$J$25)</x:f>
        <x:v>46359</x:v>
      </x:c>
      <x:c r="Q12" s="19" t="n">
        <x:f>WORKDAY('RESUMEN'!$D$3-1,AN12+0,'RESUMEN'!$J$6:$J$25)</x:f>
        <x:v>46363</x:v>
      </x:c>
      <x:c r="R12" s="18" t="n">
        <x:f>AM12-AK12</x:f>
        <x:v>0</x:v>
      </x:c>
      <x:c r="S12" s="18" t="str">
        <x:f>IF(R12=0,"Sí","No")</x:f>
        <x:v>Sí</x:v>
      </x:c>
      <x:c r="T12" s="18" t="n">
        <x:f>INT((N12-'RESUMEN'!$D$3)/7)+1</x:f>
        <x:v>5</x:v>
      </x:c>
      <x:c r="U12" s="18" t="n">
        <x:f>INT((O12-'RESUMEN'!$D$3)/7)+1</x:f>
        <x:v>6</x:v>
      </x:c>
      <x:c r="V12" s="25" t="str">
        <x:v>No iniciada</x:v>
      </x:c>
      <x:c r="W12" s="27" t="n">
        <x:v>0</x:v>
      </x:c>
      <x:c r="X12" s="18" t="str">
        <x:v>Distinguir piloto asistido y SaaS; aprobar límites y objetivos medibles</x:v>
      </x:c>
      <x:c r="Y12" s="18" t="str">
        <x:v>P0</x:v>
      </x:c>
      <x:c r="Z12" s="22" t="n">
        <x:f>L12/8</x:f>
        <x:v>1.5</x:v>
      </x:c>
      <x:c r="AA12" s="25" t="n">
        <x:v>2</x:v>
      </x:c>
      <x:c r="AB12" s="25" t="n">
        <x:v>4</x:v>
      </x:c>
      <x:c r="AC12" s="18" t="str">
        <x:v>Repo, staging y casos sintéticos</x:v>
      </x:c>
      <x:c r="AD12" s="25" t="n">
        <x:v>4</x:v>
      </x:c>
      <x:c r="AE12" s="25" t="n">
        <x:v>4</x:v>
      </x:c>
      <x:c r="AF12" s="25" t="n">
        <x:v>0</x:v>
      </x:c>
      <x:c r="AG12" s="25" t="n">
        <x:v>0</x:v>
      </x:c>
      <x:c r="AH12" s="25" t="n">
        <x:v>4</x:v>
      </x:c>
      <x:c r="AI12" s="25" t="n">
        <x:v>0</x:v>
      </x:c>
      <x:c r="AJ12" s="25" t="n">
        <x:v>0</x:v>
      </x:c>
      <x:c r="AK12" s="18" t="n">
        <x:f>MAX(AL10,AL11)</x:f>
        <x:v>23</x:v>
      </x:c>
      <x:c r="AL12" s="18" t="n">
        <x:f>AK12+M12</x:f>
        <x:v>26</x:v>
      </x:c>
      <x:c r="AM12" s="18" t="n">
        <x:f>AN12-M12</x:f>
        <x:v>23</x:v>
      </x:c>
      <x:c r="AN12" s="18" t="n">
        <x:f>MIN(AM21,AM22,AM25,AM37,AM38)</x:f>
        <x:v>26</x:v>
      </x:c>
      <x:c r="AO12" s="18" t="n">
        <x:v>23</x:v>
      </x:c>
      <x:c r="AP12" s="18" t="n">
        <x:v>26</x:v>
      </x:c>
      <x:c r="AQ12" s="18" t="n">
        <x:f>AK12-AO12</x:f>
        <x:v>0</x:v>
      </x:c>
      <x:c r="AR12" s="18" t="n">
        <x:f>'RESUMEN'!$D$7</x:f>
        <x:v>15</x:v>
      </x:c>
      <x:c r="AS12" s="3"/>
    </x:row>
    <x:row r="13" ht="64" customHeight="1">
      <x:c r="A13" s="16" t="str">
        <x:v>T08</x:v>
      </x:c>
      <x:c r="B13" s="16" t="str">
        <x:v>2.01</x:v>
      </x:c>
      <x:c r="C13" s="16" t="str">
        <x:v>Validación científica</x:v>
      </x:c>
      <x:c r="D13" s="16" t="str">
        <x:v>Ciencia</x:v>
      </x:c>
      <x:c r="E13" s="16" t="str">
        <x:v>Definir rangos y unidades por variable</x:v>
      </x:c>
      <x:c r="F13" s="16" t="str">
        <x:v>Definir rangos y unidades por variable; revisar evidencia y registrar decisión.</x:v>
      </x:c>
      <x:c r="G13" s="16" t="str">
        <x:v>Diccionario de validación</x:v>
      </x:c>
      <x:c r="H13" s="16" t="str">
        <x:v>Alonso Peña</x:v>
      </x:c>
      <x:c r="I13" s="16" t="str"/>
      <x:c r="J13" s="25" t="str">
        <x:v>T02</x:v>
      </x:c>
      <x:c r="K13" s="25" t="str">
        <x:v>T</x:v>
      </x:c>
      <x:c r="L13" s="16" t="n">
        <x:f>SUM(AD13:AJ13)</x:f>
        <x:v>24</x:v>
      </x:c>
      <x:c r="M13" s="25" t="n">
        <x:v>5</x:v>
      </x:c>
      <x:c r="N13" s="17" t="n">
        <x:f>WORKDAY('RESUMEN'!$D$3-1,AK13+1,'RESUMEN'!$J$6:$J$25)</x:f>
        <x:v>46335</x:v>
      </x:c>
      <x:c r="O13" s="17" t="n">
        <x:f>WORKDAY('RESUMEN'!$D$3-1,AL13+0,'RESUMEN'!$J$6:$J$25)</x:f>
        <x:v>46339</x:v>
      </x:c>
      <x:c r="P13" s="17" t="n">
        <x:f>WORKDAY('RESUMEN'!$D$3-1,AM13+1,'RESUMEN'!$J$6:$J$25)</x:f>
        <x:v>46357</x:v>
      </x:c>
      <x:c r="Q13" s="17" t="n">
        <x:f>WORKDAY('RESUMEN'!$D$3-1,AN13+0,'RESUMEN'!$J$6:$J$25)</x:f>
        <x:v>46363</x:v>
      </x:c>
      <x:c r="R13" s="16" t="n">
        <x:f>AM13-AK13</x:f>
        <x:v>16</x:v>
      </x:c>
      <x:c r="S13" s="16" t="str">
        <x:f>IF(R13=0,"Sí","No")</x:f>
        <x:v>No</x:v>
      </x:c>
      <x:c r="T13" s="16" t="n">
        <x:f>INT((N13-'RESUMEN'!$D$3)/7)+1</x:f>
        <x:v>2</x:v>
      </x:c>
      <x:c r="U13" s="16" t="n">
        <x:f>INT((O13-'RESUMEN'!$D$3)/7)+1</x:f>
        <x:v>2</x:v>
      </x:c>
      <x:c r="V13" s="25" t="str">
        <x:v>No iniciada</x:v>
      </x:c>
      <x:c r="W13" s="27" t="n">
        <x:v>0</x:v>
      </x:c>
      <x:c r="X13" s="16" t="str">
        <x:v>Finitud, signos, tasas, periodicidad y supuestos con ejemplos válidos/ inválidos</x:v>
      </x:c>
      <x:c r="Y13" s="16" t="str">
        <x:v>P0</x:v>
      </x:c>
      <x:c r="Z13" s="23" t="n">
        <x:f>L13/8</x:f>
        <x:v>3</x:v>
      </x:c>
      <x:c r="AA13" s="25" t="n">
        <x:v>4</x:v>
      </x:c>
      <x:c r="AB13" s="25" t="n">
        <x:v>8</x:v>
      </x:c>
      <x:c r="AC13" s="16" t="str">
        <x:v>Repo, staging y casos sintéticos</x:v>
      </x:c>
      <x:c r="AD13" s="25" t="n">
        <x:v>24</x:v>
      </x:c>
      <x:c r="AE13" s="25" t="n">
        <x:v>0</x:v>
      </x:c>
      <x:c r="AF13" s="25" t="n">
        <x:v>0</x:v>
      </x:c>
      <x:c r="AG13" s="25" t="n">
        <x:v>0</x:v>
      </x:c>
      <x:c r="AH13" s="25" t="n">
        <x:v>0</x:v>
      </x:c>
      <x:c r="AI13" s="25" t="n">
        <x:v>0</x:v>
      </x:c>
      <x:c r="AJ13" s="25" t="n">
        <x:v>0</x:v>
      </x:c>
      <x:c r="AK13" s="16" t="n">
        <x:f>MAX(AL7)</x:f>
        <x:v>5</x:v>
      </x:c>
      <x:c r="AL13" s="16" t="n">
        <x:f>AK13+M13</x:f>
        <x:v>10</x:v>
      </x:c>
      <x:c r="AM13" s="16" t="n">
        <x:f>AN13-M13</x:f>
        <x:v>21</x:v>
      </x:c>
      <x:c r="AN13" s="16" t="n">
        <x:f>MIN(AM14,AM16,AM21)</x:f>
        <x:v>26</x:v>
      </x:c>
      <x:c r="AO13" s="16" t="n">
        <x:v>5</x:v>
      </x:c>
      <x:c r="AP13" s="16" t="n">
        <x:v>10</x:v>
      </x:c>
      <x:c r="AQ13" s="16" t="n">
        <x:f>AK13-AO13</x:f>
        <x:v>0</x:v>
      </x:c>
      <x:c r="AR13" s="16" t="n">
        <x:f>'RESUMEN'!$D$7</x:f>
        <x:v>15</x:v>
      </x:c>
      <x:c r="AS13" s="3"/>
    </x:row>
    <x:row r="14" ht="64" customHeight="1">
      <x:c r="A14" s="18" t="str">
        <x:v>T09</x:v>
      </x:c>
      <x:c r="B14" s="18" t="str">
        <x:v>2.02</x:v>
      </x:c>
      <x:c r="C14" s="18" t="str">
        <x:v>Validación científica</x:v>
      </x:c>
      <x:c r="D14" s="18" t="str">
        <x:v>Ciencia</x:v>
      </x:c>
      <x:c r="E14" s="18" t="str">
        <x:v>Cerrar brechas de validación de entradas</x:v>
      </x:c>
      <x:c r="F14" s="18" t="str">
        <x:v>Cerrar brechas de validación de entradas; revisar evidencia y registrar decisión.</x:v>
      </x:c>
      <x:c r="G14" s="18" t="str">
        <x:v>Validador y pruebas negativas</x:v>
      </x:c>
      <x:c r="H14" s="18" t="str">
        <x:v>Alonso Peña</x:v>
      </x:c>
      <x:c r="I14" s="18" t="str"/>
      <x:c r="J14" s="25" t="str">
        <x:v>T08, T05, T16</x:v>
      </x:c>
      <x:c r="K14" s="25" t="str">
        <x:v>T, R, R</x:v>
      </x:c>
      <x:c r="L14" s="18" t="n">
        <x:f>SUM(AD14:AJ14)</x:f>
        <x:v>48</x:v>
      </x:c>
      <x:c r="M14" s="25" t="n">
        <x:v>10</x:v>
      </x:c>
      <x:c r="N14" s="19" t="n">
        <x:f>WORKDAY('RESUMEN'!$D$3-1,AK14+1,'RESUMEN'!$J$6:$J$25)</x:f>
        <x:v>46371</x:v>
      </x:c>
      <x:c r="O14" s="19" t="n">
        <x:f>WORKDAY('RESUMEN'!$D$3-1,AL14+0,'RESUMEN'!$J$6:$J$25)</x:f>
        <x:v>46384</x:v>
      </x:c>
      <x:c r="P14" s="19" t="n">
        <x:f>WORKDAY('RESUMEN'!$D$3-1,AM14+1,'RESUMEN'!$J$6:$J$25)</x:f>
        <x:v>46371</x:v>
      </x:c>
      <x:c r="Q14" s="19" t="n">
        <x:f>WORKDAY('RESUMEN'!$D$3-1,AN14+0,'RESUMEN'!$J$6:$J$25)</x:f>
        <x:v>46384</x:v>
      </x:c>
      <x:c r="R14" s="18" t="n">
        <x:f>AM14-AK14</x:f>
        <x:v>0</x:v>
      </x:c>
      <x:c r="S14" s="18" t="str">
        <x:f>IF(R14=0,"Sí","No")</x:f>
        <x:v>Sí</x:v>
      </x:c>
      <x:c r="T14" s="18" t="n">
        <x:f>INT((N14-'RESUMEN'!$D$3)/7)+1</x:f>
        <x:v>7</x:v>
      </x:c>
      <x:c r="U14" s="18" t="n">
        <x:f>INT((O14-'RESUMEN'!$D$3)/7)+1</x:f>
        <x:v>9</x:v>
      </x:c>
      <x:c r="V14" s="25" t="str">
        <x:v>No iniciada</x:v>
      </x:c>
      <x:c r="W14" s="27" t="n">
        <x:v>0</x:v>
      </x:c>
      <x:c r="X14" s="18" t="str">
        <x:v>NaN, churn &gt;1, alpha &gt;1 y adquisición negativa rechazados o justificados</x:v>
      </x:c>
      <x:c r="Y14" s="18" t="str">
        <x:v>P0</x:v>
      </x:c>
      <x:c r="Z14" s="22" t="n">
        <x:f>L14/8</x:f>
        <x:v>6</x:v>
      </x:c>
      <x:c r="AA14" s="25" t="n">
        <x:v>8</x:v>
      </x:c>
      <x:c r="AB14" s="25" t="n">
        <x:v>15</x:v>
      </x:c>
      <x:c r="AC14" s="18" t="str">
        <x:v>Repo, staging y casos sintéticos</x:v>
      </x:c>
      <x:c r="AD14" s="25" t="n">
        <x:v>48</x:v>
      </x:c>
      <x:c r="AE14" s="25" t="n">
        <x:v>0</x:v>
      </x:c>
      <x:c r="AF14" s="25" t="n">
        <x:v>0</x:v>
      </x:c>
      <x:c r="AG14" s="25" t="n">
        <x:v>0</x:v>
      </x:c>
      <x:c r="AH14" s="25" t="n">
        <x:v>0</x:v>
      </x:c>
      <x:c r="AI14" s="25" t="n">
        <x:v>0</x:v>
      </x:c>
      <x:c r="AJ14" s="25" t="n">
        <x:v>0</x:v>
      </x:c>
      <x:c r="AK14" s="18" t="n">
        <x:f>MAX(AL13,AL10,AL21)</x:f>
        <x:v>31</x:v>
      </x:c>
      <x:c r="AL14" s="18" t="n">
        <x:f>AK14+M14</x:f>
        <x:v>41</x:v>
      </x:c>
      <x:c r="AM14" s="18" t="n">
        <x:f>AN14-M14</x:f>
        <x:v>31</x:v>
      </x:c>
      <x:c r="AN14" s="18" t="n">
        <x:f>MIN(AM15,AM30)</x:f>
        <x:v>41</x:v>
      </x:c>
      <x:c r="AO14" s="18" t="n">
        <x:v>31</x:v>
      </x:c>
      <x:c r="AP14" s="18" t="n">
        <x:v>41</x:v>
      </x:c>
      <x:c r="AQ14" s="18" t="n">
        <x:f>AK14-AO14</x:f>
        <x:v>0</x:v>
      </x:c>
      <x:c r="AR14" s="18" t="n">
        <x:f>'RESUMEN'!$D$7</x:f>
        <x:v>15</x:v>
      </x:c>
      <x:c r="AS14" s="3"/>
    </x:row>
    <x:row r="15" ht="64" customHeight="1">
      <x:c r="A15" s="16" t="str">
        <x:v>T10</x:v>
      </x:c>
      <x:c r="B15" s="16" t="str">
        <x:v>2.03</x:v>
      </x:c>
      <x:c r="C15" s="16" t="str">
        <x:v>Validación científica</x:v>
      </x:c>
      <x:c r="D15" s="16" t="str">
        <x:v>Ciencia</x:v>
      </x:c>
      <x:c r="E15" s="16" t="str">
        <x:v>Conciliar etapa fija y canales MILP</x:v>
      </x:c>
      <x:c r="F15" s="16" t="str">
        <x:v>Conciliar etapa fija y canales MILP; revisar evidencia y registrar decisión.</x:v>
      </x:c>
      <x:c r="G15" s="16" t="str">
        <x:v>Contrato de adquisición fija</x:v>
      </x:c>
      <x:c r="H15" s="16" t="str">
        <x:v>Alonso Peña</x:v>
      </x:c>
      <x:c r="I15" s="16" t="str"/>
      <x:c r="J15" s="25" t="str">
        <x:v>T09</x:v>
      </x:c>
      <x:c r="K15" s="25" t="str">
        <x:v>T</x:v>
      </x:c>
      <x:c r="L15" s="16" t="n">
        <x:f>SUM(AD15:AJ15)</x:f>
        <x:v>48</x:v>
      </x:c>
      <x:c r="M15" s="25" t="n">
        <x:v>10</x:v>
      </x:c>
      <x:c r="N15" s="17" t="n">
        <x:f>WORKDAY('RESUMEN'!$D$3-1,AK15+1,'RESUMEN'!$J$6:$J$25)</x:f>
        <x:v>46385</x:v>
      </x:c>
      <x:c r="O15" s="17" t="n">
        <x:f>WORKDAY('RESUMEN'!$D$3-1,AL15+0,'RESUMEN'!$J$6:$J$25)</x:f>
        <x:v>46398</x:v>
      </x:c>
      <x:c r="P15" s="17" t="n">
        <x:f>WORKDAY('RESUMEN'!$D$3-1,AM15+1,'RESUMEN'!$J$6:$J$25)</x:f>
        <x:v>46385</x:v>
      </x:c>
      <x:c r="Q15" s="17" t="n">
        <x:f>WORKDAY('RESUMEN'!$D$3-1,AN15+0,'RESUMEN'!$J$6:$J$25)</x:f>
        <x:v>46398</x:v>
      </x:c>
      <x:c r="R15" s="16" t="n">
        <x:f>AM15-AK15</x:f>
        <x:v>0</x:v>
      </x:c>
      <x:c r="S15" s="16" t="str">
        <x:f>IF(R15=0,"Sí","No")</x:f>
        <x:v>Sí</x:v>
      </x:c>
      <x:c r="T15" s="16" t="n">
        <x:f>INT((N15-'RESUMEN'!$D$3)/7)+1</x:f>
        <x:v>9</x:v>
      </x:c>
      <x:c r="U15" s="16" t="n">
        <x:f>INT((O15-'RESUMEN'!$D$3)/7)+1</x:f>
        <x:v>11</x:v>
      </x:c>
      <x:c r="V15" s="25" t="str">
        <x:v>No iniciada</x:v>
      </x:c>
      <x:c r="W15" s="27" t="n">
        <x:v>0</x:v>
      </x:c>
      <x:c r="X15" s="16" t="str">
        <x:v>CAC y EBITDA meses 1–12 coinciden bajo mix fijo; decidir qué mix se optimiza</x:v>
      </x:c>
      <x:c r="Y15" s="16" t="str">
        <x:v>P0</x:v>
      </x:c>
      <x:c r="Z15" s="23" t="n">
        <x:f>L15/8</x:f>
        <x:v>6</x:v>
      </x:c>
      <x:c r="AA15" s="25" t="n">
        <x:v>8</x:v>
      </x:c>
      <x:c r="AB15" s="25" t="n">
        <x:v>15</x:v>
      </x:c>
      <x:c r="AC15" s="16" t="str">
        <x:v>Repo, staging y casos sintéticos</x:v>
      </x:c>
      <x:c r="AD15" s="25" t="n">
        <x:v>48</x:v>
      </x:c>
      <x:c r="AE15" s="25" t="n">
        <x:v>0</x:v>
      </x:c>
      <x:c r="AF15" s="25" t="n">
        <x:v>0</x:v>
      </x:c>
      <x:c r="AG15" s="25" t="n">
        <x:v>0</x:v>
      </x:c>
      <x:c r="AH15" s="25" t="n">
        <x:v>0</x:v>
      </x:c>
      <x:c r="AI15" s="25" t="n">
        <x:v>0</x:v>
      </x:c>
      <x:c r="AJ15" s="25" t="n">
        <x:v>0</x:v>
      </x:c>
      <x:c r="AK15" s="16" t="n">
        <x:f>MAX(AL14)</x:f>
        <x:v>41</x:v>
      </x:c>
      <x:c r="AL15" s="16" t="n">
        <x:f>AK15+M15</x:f>
        <x:v>51</x:v>
      </x:c>
      <x:c r="AM15" s="16" t="n">
        <x:f>AN15-M15</x:f>
        <x:v>41</x:v>
      </x:c>
      <x:c r="AN15" s="16" t="n">
        <x:f>MIN(AM17)</x:f>
        <x:v>51</x:v>
      </x:c>
      <x:c r="AO15" s="16" t="n">
        <x:v>41</x:v>
      </x:c>
      <x:c r="AP15" s="16" t="n">
        <x:v>51</x:v>
      </x:c>
      <x:c r="AQ15" s="16" t="n">
        <x:f>AK15-AO15</x:f>
        <x:v>0</x:v>
      </x:c>
      <x:c r="AR15" s="16" t="n">
        <x:f>'RESUMEN'!$D$7</x:f>
        <x:v>15</x:v>
      </x:c>
      <x:c r="AS15" s="3"/>
    </x:row>
    <x:row r="16" ht="64" customHeight="1">
      <x:c r="A16" s="18" t="str">
        <x:v>T11</x:v>
      </x:c>
      <x:c r="B16" s="18" t="str">
        <x:v>2.04</x:v>
      </x:c>
      <x:c r="C16" s="18" t="str">
        <x:v>Validación científica</x:v>
      </x:c>
      <x:c r="D16" s="18" t="str">
        <x:v>Ciencia</x:v>
      </x:c>
      <x:c r="E16" s="18" t="str">
        <x:v>Acordar caja, financiación y DCF</x:v>
      </x:c>
      <x:c r="F16" s="18" t="str">
        <x:v>Acordar caja, financiación y DCF; revisar evidencia y registrar decisión.</x:v>
      </x:c>
      <x:c r="G16" s="18" t="str">
        <x:v>Nota metodológica aprobada</x:v>
      </x:c>
      <x:c r="H16" s="18" t="str">
        <x:v>Alonso Peña</x:v>
      </x:c>
      <x:c r="I16" s="18" t="str">
        <x:v>AM</x:v>
      </x:c>
      <x:c r="J16" s="25" t="str">
        <x:v>T08, T04</x:v>
      </x:c>
      <x:c r="K16" s="25" t="str">
        <x:v>T, R</x:v>
      </x:c>
      <x:c r="L16" s="18" t="n">
        <x:f>SUM(AD16:AJ16)</x:f>
        <x:v>24</x:v>
      </x:c>
      <x:c r="M16" s="25" t="n">
        <x:v>5</x:v>
      </x:c>
      <x:c r="N16" s="19" t="n">
        <x:f>WORKDAY('RESUMEN'!$D$3-1,AK16+1,'RESUMEN'!$J$6:$J$25)</x:f>
        <x:v>46345</x:v>
      </x:c>
      <x:c r="O16" s="19" t="n">
        <x:f>WORKDAY('RESUMEN'!$D$3-1,AL16+0,'RESUMEN'!$J$6:$J$25)</x:f>
        <x:v>46351</x:v>
      </x:c>
      <x:c r="P16" s="19" t="n">
        <x:f>WORKDAY('RESUMEN'!$D$3-1,AM16+1,'RESUMEN'!$J$6:$J$25)</x:f>
        <x:v>46392</x:v>
      </x:c>
      <x:c r="Q16" s="19" t="n">
        <x:f>WORKDAY('RESUMEN'!$D$3-1,AN16+0,'RESUMEN'!$J$6:$J$25)</x:f>
        <x:v>46398</x:v>
      </x:c>
      <x:c r="R16" s="18" t="n">
        <x:f>AM16-AK16</x:f>
        <x:v>33</x:v>
      </x:c>
      <x:c r="S16" s="18" t="str">
        <x:f>IF(R16=0,"Sí","No")</x:f>
        <x:v>No</x:v>
      </x:c>
      <x:c r="T16" s="18" t="n">
        <x:f>INT((N16-'RESUMEN'!$D$3)/7)+1</x:f>
        <x:v>3</x:v>
      </x:c>
      <x:c r="U16" s="18" t="n">
        <x:f>INT((O16-'RESUMEN'!$D$3)/7)+1</x:f>
        <x:v>4</x:v>
      </x:c>
      <x:c r="V16" s="25" t="str">
        <x:v>No iniciada</x:v>
      </x:c>
      <x:c r="W16" s="27" t="n">
        <x:v>0</x:v>
      </x:c>
      <x:c r="X16" s="18" t="str">
        <x:v>Distinguir VAN/EV, suelo −VC, financiación mínima y FCFF; no prometer equivalencias</x:v>
      </x:c>
      <x:c r="Y16" s="18" t="str">
        <x:v>P0</x:v>
      </x:c>
      <x:c r="Z16" s="22" t="n">
        <x:f>L16/8</x:f>
        <x:v>3</x:v>
      </x:c>
      <x:c r="AA16" s="25" t="n">
        <x:v>4</x:v>
      </x:c>
      <x:c r="AB16" s="25" t="n">
        <x:v>8</x:v>
      </x:c>
      <x:c r="AC16" s="18" t="str">
        <x:v>Repo, staging y casos sintéticos</x:v>
      </x:c>
      <x:c r="AD16" s="25" t="n">
        <x:v>20</x:v>
      </x:c>
      <x:c r="AE16" s="25" t="n">
        <x:v>4</x:v>
      </x:c>
      <x:c r="AF16" s="25" t="n">
        <x:v>0</x:v>
      </x:c>
      <x:c r="AG16" s="25" t="n">
        <x:v>0</x:v>
      </x:c>
      <x:c r="AH16" s="25" t="n">
        <x:v>0</x:v>
      </x:c>
      <x:c r="AI16" s="25" t="n">
        <x:v>0</x:v>
      </x:c>
      <x:c r="AJ16" s="25" t="n">
        <x:v>0</x:v>
      </x:c>
      <x:c r="AK16" s="18" t="n">
        <x:f>MAX(AL13,AL9)</x:f>
        <x:v>13</x:v>
      </x:c>
      <x:c r="AL16" s="18" t="n">
        <x:f>AK16+M16</x:f>
        <x:v>18</x:v>
      </x:c>
      <x:c r="AM16" s="18" t="n">
        <x:f>AN16-M16</x:f>
        <x:v>46</x:v>
      </x:c>
      <x:c r="AN16" s="18" t="n">
        <x:f>MIN(AM17)</x:f>
        <x:v>51</x:v>
      </x:c>
      <x:c r="AO16" s="18" t="n">
        <x:v>13</x:v>
      </x:c>
      <x:c r="AP16" s="18" t="n">
        <x:v>18</x:v>
      </x:c>
      <x:c r="AQ16" s="18" t="n">
        <x:f>AK16-AO16</x:f>
        <x:v>0</x:v>
      </x:c>
      <x:c r="AR16" s="18" t="n">
        <x:f>'RESUMEN'!$D$7</x:f>
        <x:v>15</x:v>
      </x:c>
      <x:c r="AS16" s="3"/>
    </x:row>
    <x:row r="17" ht="64" customHeight="1">
      <x:c r="A17" s="16" t="str">
        <x:v>T12</x:v>
      </x:c>
      <x:c r="B17" s="16" t="str">
        <x:v>2.05</x:v>
      </x:c>
      <x:c r="C17" s="16" t="str">
        <x:v>Validación científica</x:v>
      </x:c>
      <x:c r="D17" s="16" t="str">
        <x:v>Ciencia</x:v>
      </x:c>
      <x:c r="E17" s="16" t="str">
        <x:v>Alinear valoración y unit economics</x:v>
      </x:c>
      <x:c r="F17" s="16" t="str">
        <x:v>Alinear valoración y unit economics; revisar evidencia y registrar decisión.</x:v>
      </x:c>
      <x:c r="G17" s="16" t="str">
        <x:v>Métricas trazables y regresión</x:v>
      </x:c>
      <x:c r="H17" s="16" t="str">
        <x:v>Alonso Peña</x:v>
      </x:c>
      <x:c r="I17" s="16" t="str"/>
      <x:c r="J17" s="25" t="str">
        <x:v>T10, T11</x:v>
      </x:c>
      <x:c r="K17" s="25" t="str">
        <x:v>T, V</x:v>
      </x:c>
      <x:c r="L17" s="16" t="n">
        <x:f>SUM(AD17:AJ17)</x:f>
        <x:v>48</x:v>
      </x:c>
      <x:c r="M17" s="25" t="n">
        <x:v>10</x:v>
      </x:c>
      <x:c r="N17" s="17" t="n">
        <x:f>WORKDAY('RESUMEN'!$D$3-1,AK17+1,'RESUMEN'!$J$6:$J$25)</x:f>
        <x:v>46399</x:v>
      </x:c>
      <x:c r="O17" s="17" t="n">
        <x:f>WORKDAY('RESUMEN'!$D$3-1,AL17+0,'RESUMEN'!$J$6:$J$25)</x:f>
        <x:v>46412</x:v>
      </x:c>
      <x:c r="P17" s="17" t="n">
        <x:f>WORKDAY('RESUMEN'!$D$3-1,AM17+1,'RESUMEN'!$J$6:$J$25)</x:f>
        <x:v>46399</x:v>
      </x:c>
      <x:c r="Q17" s="17" t="n">
        <x:f>WORKDAY('RESUMEN'!$D$3-1,AN17+0,'RESUMEN'!$J$6:$J$25)</x:f>
        <x:v>46412</x:v>
      </x:c>
      <x:c r="R17" s="16" t="n">
        <x:f>AM17-AK17</x:f>
        <x:v>0</x:v>
      </x:c>
      <x:c r="S17" s="16" t="str">
        <x:f>IF(R17=0,"Sí","No")</x:f>
        <x:v>Sí</x:v>
      </x:c>
      <x:c r="T17" s="16" t="n">
        <x:f>INT((N17-'RESUMEN'!$D$3)/7)+1</x:f>
        <x:v>11</x:v>
      </x:c>
      <x:c r="U17" s="16" t="n">
        <x:f>INT((O17-'RESUMEN'!$D$3)/7)+1</x:f>
        <x:v>13</x:v>
      </x:c>
      <x:c r="V17" s="25" t="str">
        <x:v>No iniciada</x:v>
      </x:c>
      <x:c r="W17" s="27" t="n">
        <x:v>0</x:v>
      </x:c>
      <x:c r="X17" s="16" t="str">
        <x:v>Casos manuales multiservicio, terminal y horizonte parcial reconciliados</x:v>
      </x:c>
      <x:c r="Y17" s="16" t="str">
        <x:v>P0</x:v>
      </x:c>
      <x:c r="Z17" s="23" t="n">
        <x:f>L17/8</x:f>
        <x:v>6</x:v>
      </x:c>
      <x:c r="AA17" s="25" t="n">
        <x:v>8</x:v>
      </x:c>
      <x:c r="AB17" s="25" t="n">
        <x:v>15</x:v>
      </x:c>
      <x:c r="AC17" s="16" t="str">
        <x:v>Repo, staging y casos sintéticos</x:v>
      </x:c>
      <x:c r="AD17" s="25" t="n">
        <x:v>48</x:v>
      </x:c>
      <x:c r="AE17" s="25" t="n">
        <x:v>0</x:v>
      </x:c>
      <x:c r="AF17" s="25" t="n">
        <x:v>0</x:v>
      </x:c>
      <x:c r="AG17" s="25" t="n">
        <x:v>0</x:v>
      </x:c>
      <x:c r="AH17" s="25" t="n">
        <x:v>0</x:v>
      </x:c>
      <x:c r="AI17" s="25" t="n">
        <x:v>0</x:v>
      </x:c>
      <x:c r="AJ17" s="25" t="n">
        <x:v>0</x:v>
      </x:c>
      <x:c r="AK17" s="16" t="n">
        <x:f>MAX(AL15,AL16)</x:f>
        <x:v>51</x:v>
      </x:c>
      <x:c r="AL17" s="16" t="n">
        <x:f>AK17+M17</x:f>
        <x:v>61</x:v>
      </x:c>
      <x:c r="AM17" s="16" t="n">
        <x:f>AN17-M17</x:f>
        <x:v>51</x:v>
      </x:c>
      <x:c r="AN17" s="16" t="n">
        <x:f>MIN(AM18,AM20,AM30)</x:f>
        <x:v>61</x:v>
      </x:c>
      <x:c r="AO17" s="16" t="n">
        <x:v>51</x:v>
      </x:c>
      <x:c r="AP17" s="16" t="n">
        <x:v>61</x:v>
      </x:c>
      <x:c r="AQ17" s="16" t="n">
        <x:f>AK17-AO17</x:f>
        <x:v>0</x:v>
      </x:c>
      <x:c r="AR17" s="16" t="n">
        <x:f>'RESUMEN'!$D$7</x:f>
        <x:v>15</x:v>
      </x:c>
      <x:c r="AS17" s="3"/>
    </x:row>
    <x:row r="18" ht="64" customHeight="1">
      <x:c r="A18" s="18" t="str">
        <x:v>T13</x:v>
      </x:c>
      <x:c r="B18" s="18" t="str">
        <x:v>2.06</x:v>
      </x:c>
      <x:c r="C18" s="18" t="str">
        <x:v>Validación científica</x:v>
      </x:c>
      <x:c r="D18" s="18" t="str">
        <x:v>Ciencia</x:v>
      </x:c>
      <x:c r="E18" s="18" t="str">
        <x:v>Revisar paridad determinista y estocástica</x:v>
      </x:c>
      <x:c r="F18" s="18" t="str">
        <x:v>Revisar paridad determinista y estocástica; revisar evidencia y registrar decisión.</x:v>
      </x:c>
      <x:c r="G18" s="18" t="str">
        <x:v>Matriz M1/M4 y límites de uso</x:v>
      </x:c>
      <x:c r="H18" s="18" t="str">
        <x:v>Alonso Peña</x:v>
      </x:c>
      <x:c r="I18" s="18" t="str"/>
      <x:c r="J18" s="25" t="str">
        <x:v>T12, T15</x:v>
      </x:c>
      <x:c r="K18" s="25" t="str">
        <x:v>T, R</x:v>
      </x:c>
      <x:c r="L18" s="18" t="n">
        <x:f>SUM(AD18:AJ18)</x:f>
        <x:v>48</x:v>
      </x:c>
      <x:c r="M18" s="25" t="n">
        <x:v>10</x:v>
      </x:c>
      <x:c r="N18" s="19" t="n">
        <x:f>WORKDAY('RESUMEN'!$D$3-1,AK18+1,'RESUMEN'!$J$6:$J$25)</x:f>
        <x:v>46420</x:v>
      </x:c>
      <x:c r="O18" s="19" t="n">
        <x:f>WORKDAY('RESUMEN'!$D$3-1,AL18+0,'RESUMEN'!$J$6:$J$25)</x:f>
        <x:v>46433</x:v>
      </x:c>
      <x:c r="P18" s="19" t="n">
        <x:f>WORKDAY('RESUMEN'!$D$3-1,AM18+1,'RESUMEN'!$J$6:$J$25)</x:f>
        <x:v>46521</x:v>
      </x:c>
      <x:c r="Q18" s="19" t="n">
        <x:f>WORKDAY('RESUMEN'!$D$3-1,AN18+0,'RESUMEN'!$J$6:$J$25)</x:f>
        <x:v>46534</x:v>
      </x:c>
      <x:c r="R18" s="18" t="n">
        <x:f>AM18-AK18</x:f>
        <x:v>73</x:v>
      </x:c>
      <x:c r="S18" s="18" t="str">
        <x:f>IF(R18=0,"Sí","No")</x:f>
        <x:v>No</x:v>
      </x:c>
      <x:c r="T18" s="18" t="n">
        <x:f>INT((N18-'RESUMEN'!$D$3)/7)+1</x:f>
        <x:v>14</x:v>
      </x:c>
      <x:c r="U18" s="18" t="n">
        <x:f>INT((O18-'RESUMEN'!$D$3)/7)+1</x:f>
        <x:v>16</x:v>
      </x:c>
      <x:c r="V18" s="25" t="str">
        <x:v>No iniciada</x:v>
      </x:c>
      <x:c r="W18" s="27" t="n">
        <x:v>0</x:v>
      </x:c>
      <x:c r="X18" s="18" t="str">
        <x:v>Escenario degenerado comparable; diferencias de decisión y objetivo declaradas</x:v>
      </x:c>
      <x:c r="Y18" s="18" t="str">
        <x:v>P0</x:v>
      </x:c>
      <x:c r="Z18" s="22" t="n">
        <x:f>L18/8</x:f>
        <x:v>6</x:v>
      </x:c>
      <x:c r="AA18" s="25" t="n">
        <x:v>8</x:v>
      </x:c>
      <x:c r="AB18" s="25" t="n">
        <x:v>15</x:v>
      </x:c>
      <x:c r="AC18" s="18" t="str">
        <x:v>Repo, staging y casos sintéticos</x:v>
      </x:c>
      <x:c r="AD18" s="25" t="n">
        <x:v>48</x:v>
      </x:c>
      <x:c r="AE18" s="25" t="n">
        <x:v>0</x:v>
      </x:c>
      <x:c r="AF18" s="25" t="n">
        <x:v>0</x:v>
      </x:c>
      <x:c r="AG18" s="25" t="n">
        <x:v>0</x:v>
      </x:c>
      <x:c r="AH18" s="25" t="n">
        <x:v>0</x:v>
      </x:c>
      <x:c r="AI18" s="25" t="n">
        <x:v>0</x:v>
      </x:c>
      <x:c r="AJ18" s="25" t="n">
        <x:v>0</x:v>
      </x:c>
      <x:c r="AK18" s="18" t="n">
        <x:f>MAX(AL17,AL20)</x:f>
        <x:v>66</x:v>
      </x:c>
      <x:c r="AL18" s="18" t="n">
        <x:f>AK18+M18</x:f>
        <x:v>76</x:v>
      </x:c>
      <x:c r="AM18" s="18" t="n">
        <x:f>AN18-M18</x:f>
        <x:v>139</x:v>
      </x:c>
      <x:c r="AN18" s="18" t="n">
        <x:f>MIN(AM19)</x:f>
        <x:v>149</x:v>
      </x:c>
      <x:c r="AO18" s="18" t="n">
        <x:v>66</x:v>
      </x:c>
      <x:c r="AP18" s="18" t="n">
        <x:v>76</x:v>
      </x:c>
      <x:c r="AQ18" s="18" t="n">
        <x:f>AK18-AO18</x:f>
        <x:v>0</x:v>
      </x:c>
      <x:c r="AR18" s="18" t="n">
        <x:f>'RESUMEN'!$D$7</x:f>
        <x:v>15</x:v>
      </x:c>
      <x:c r="AS18" s="3"/>
    </x:row>
    <x:row r="19" ht="64" customHeight="1">
      <x:c r="A19" s="16" t="str">
        <x:v>T14</x:v>
      </x:c>
      <x:c r="B19" s="16" t="str">
        <x:v>2.07</x:v>
      </x:c>
      <x:c r="C19" s="16" t="str">
        <x:v>Validación científica</x:v>
      </x:c>
      <x:c r="D19" s="16" t="str">
        <x:v>Ciencia</x:v>
      </x:c>
      <x:c r="E19" s="16" t="str">
        <x:v>Validar escenarios fuera de muestra</x:v>
      </x:c>
      <x:c r="F19" s="16" t="str">
        <x:v>Validar escenarios fuera de muestra; revisar evidencia y registrar decisión.</x:v>
      </x:c>
      <x:c r="G19" s="16" t="str">
        <x:v>Informe de estabilidad y tiempos</x:v>
      </x:c>
      <x:c r="H19" s="16" t="str">
        <x:v>Alonso Peña</x:v>
      </x:c>
      <x:c r="I19" s="16" t="str"/>
      <x:c r="J19" s="25" t="str">
        <x:v>T13</x:v>
      </x:c>
      <x:c r="K19" s="25" t="str">
        <x:v>T</x:v>
      </x:c>
      <x:c r="L19" s="16" t="n">
        <x:f>SUM(AD19:AJ19)</x:f>
        <x:v>40</x:v>
      </x:c>
      <x:c r="M19" s="25" t="n">
        <x:v>10</x:v>
      </x:c>
      <x:c r="N19" s="17" t="n">
        <x:f>WORKDAY('RESUMEN'!$D$3-1,AK19+1,'RESUMEN'!$J$6:$J$25)</x:f>
        <x:v>46434</x:v>
      </x:c>
      <x:c r="O19" s="17" t="n">
        <x:f>WORKDAY('RESUMEN'!$D$3-1,AL19+0,'RESUMEN'!$J$6:$J$25)</x:f>
        <x:v>46447</x:v>
      </x:c>
      <x:c r="P19" s="17" t="n">
        <x:f>WORKDAY('RESUMEN'!$D$3-1,AM19+1,'RESUMEN'!$J$6:$J$25)</x:f>
        <x:v>46535</x:v>
      </x:c>
      <x:c r="Q19" s="17" t="n">
        <x:f>WORKDAY('RESUMEN'!$D$3-1,AN19+0,'RESUMEN'!$J$6:$J$25)</x:f>
        <x:v>46548</x:v>
      </x:c>
      <x:c r="R19" s="16" t="n">
        <x:f>AM19-AK19</x:f>
        <x:v>73</x:v>
      </x:c>
      <x:c r="S19" s="16" t="str">
        <x:f>IF(R19=0,"Sí","No")</x:f>
        <x:v>No</x:v>
      </x:c>
      <x:c r="T19" s="16" t="n">
        <x:f>INT((N19-'RESUMEN'!$D$3)/7)+1</x:f>
        <x:v>16</x:v>
      </x:c>
      <x:c r="U19" s="16" t="n">
        <x:f>INT((O19-'RESUMEN'!$D$3)/7)+1</x:f>
        <x:v>18</x:v>
      </x:c>
      <x:c r="V19" s="25" t="str">
        <x:v>No iniciada</x:v>
      </x:c>
      <x:c r="W19" s="27" t="n">
        <x:v>0</x:v>
      </x:c>
      <x:c r="X19" s="16" t="str">
        <x:v>Semillas separadas, CVaR y sensibilidad al tamaño muestral; sin afirmar garantía robusta</x:v>
      </x:c>
      <x:c r="Y19" s="16" t="str">
        <x:v>P0</x:v>
      </x:c>
      <x:c r="Z19" s="23" t="n">
        <x:f>L19/8</x:f>
        <x:v>5</x:v>
      </x:c>
      <x:c r="AA19" s="25" t="n">
        <x:v>8</x:v>
      </x:c>
      <x:c r="AB19" s="25" t="n">
        <x:v>15</x:v>
      </x:c>
      <x:c r="AC19" s="16" t="str">
        <x:v>Repo, staging y casos sintéticos</x:v>
      </x:c>
      <x:c r="AD19" s="25" t="n">
        <x:v>40</x:v>
      </x:c>
      <x:c r="AE19" s="25" t="n">
        <x:v>0</x:v>
      </x:c>
      <x:c r="AF19" s="25" t="n">
        <x:v>0</x:v>
      </x:c>
      <x:c r="AG19" s="25" t="n">
        <x:v>0</x:v>
      </x:c>
      <x:c r="AH19" s="25" t="n">
        <x:v>0</x:v>
      </x:c>
      <x:c r="AI19" s="25" t="n">
        <x:v>0</x:v>
      </x:c>
      <x:c r="AJ19" s="25" t="n">
        <x:v>0</x:v>
      </x:c>
      <x:c r="AK19" s="16" t="n">
        <x:f>MAX(AL18)</x:f>
        <x:v>76</x:v>
      </x:c>
      <x:c r="AL19" s="16" t="n">
        <x:f>AK19+M19</x:f>
        <x:v>86</x:v>
      </x:c>
      <x:c r="AM19" s="16" t="n">
        <x:f>AN19-M19</x:f>
        <x:v>149</x:v>
      </x:c>
      <x:c r="AN19" s="16" t="n">
        <x:f>MAX(AL$6:AL$52)</x:f>
        <x:v>159</x:v>
      </x:c>
      <x:c r="AO19" s="16" t="n">
        <x:v>76</x:v>
      </x:c>
      <x:c r="AP19" s="16" t="n">
        <x:v>86</x:v>
      </x:c>
      <x:c r="AQ19" s="16" t="n">
        <x:f>AK19-AO19</x:f>
        <x:v>0</x:v>
      </x:c>
      <x:c r="AR19" s="16" t="n">
        <x:f>'RESUMEN'!$D$7</x:f>
        <x:v>15</x:v>
      </x:c>
      <x:c r="AS19" s="3"/>
    </x:row>
    <x:row r="20" ht="64" customHeight="1">
      <x:c r="A20" s="18" t="str">
        <x:v>T15</x:v>
      </x:c>
      <x:c r="B20" s="18" t="str">
        <x:v>2.08</x:v>
      </x:c>
      <x:c r="C20" s="18" t="str">
        <x:v>Validación científica</x:v>
      </x:c>
      <x:c r="D20" s="18" t="str">
        <x:v>Ciencia</x:v>
      </x:c>
      <x:c r="E20" s="18" t="str">
        <x:v>Congelar versión científica para piloto</x:v>
      </x:c>
      <x:c r="F20" s="18" t="str">
        <x:v>Congelar versión científica para piloto; revisar evidencia y registrar decisión.</x:v>
      </x:c>
      <x:c r="G20" s="18" t="str">
        <x:v>Versión y conjunto de casos patrón</x:v>
      </x:c>
      <x:c r="H20" s="18" t="str">
        <x:v>Alonso Peña</x:v>
      </x:c>
      <x:c r="I20" s="18" t="str">
        <x:v>QA</x:v>
      </x:c>
      <x:c r="J20" s="25" t="str">
        <x:v>T12</x:v>
      </x:c>
      <x:c r="K20" s="25" t="str">
        <x:v>V</x:v>
      </x:c>
      <x:c r="L20" s="18" t="n">
        <x:f>SUM(AD20:AJ20)</x:f>
        <x:v>32</x:v>
      </x:c>
      <x:c r="M20" s="25" t="n">
        <x:v>5</x:v>
      </x:c>
      <x:c r="N20" s="19" t="n">
        <x:f>WORKDAY('RESUMEN'!$D$3-1,AK20+1,'RESUMEN'!$J$6:$J$25)</x:f>
        <x:v>46413</x:v>
      </x:c>
      <x:c r="O20" s="19" t="n">
        <x:f>WORKDAY('RESUMEN'!$D$3-1,AL20+0,'RESUMEN'!$J$6:$J$25)</x:f>
        <x:v>46419</x:v>
      </x:c>
      <x:c r="P20" s="19" t="n">
        <x:f>WORKDAY('RESUMEN'!$D$3-1,AM20+1,'RESUMEN'!$J$6:$J$25)</x:f>
        <x:v>46479</x:v>
      </x:c>
      <x:c r="Q20" s="19" t="n">
        <x:f>WORKDAY('RESUMEN'!$D$3-1,AN20+0,'RESUMEN'!$J$6:$J$25)</x:f>
        <x:v>46485</x:v>
      </x:c>
      <x:c r="R20" s="18" t="n">
        <x:f>AM20-AK20</x:f>
        <x:v>48</x:v>
      </x:c>
      <x:c r="S20" s="18" t="str">
        <x:f>IF(R20=0,"Sí","No")</x:f>
        <x:v>No</x:v>
      </x:c>
      <x:c r="T20" s="18" t="n">
        <x:f>INT((N20-'RESUMEN'!$D$3)/7)+1</x:f>
        <x:v>13</x:v>
      </x:c>
      <x:c r="U20" s="18" t="n">
        <x:f>INT((O20-'RESUMEN'!$D$3)/7)+1</x:f>
        <x:v>14</x:v>
      </x:c>
      <x:c r="V20" s="25" t="str">
        <x:v>No iniciada</x:v>
      </x:c>
      <x:c r="W20" s="27" t="n">
        <x:v>0</x:v>
      </x:c>
      <x:c r="X20" s="18" t="str">
        <x:v>3 casos patrón reproducibles; errores materiales cerrados o módulo excluido</x:v>
      </x:c>
      <x:c r="Y20" s="18" t="str">
        <x:v>P0</x:v>
      </x:c>
      <x:c r="Z20" s="22" t="n">
        <x:f>L20/8</x:f>
        <x:v>4</x:v>
      </x:c>
      <x:c r="AA20" s="25" t="n">
        <x:v>4</x:v>
      </x:c>
      <x:c r="AB20" s="25" t="n">
        <x:v>8</x:v>
      </x:c>
      <x:c r="AC20" s="18" t="str">
        <x:v>Repo, staging y casos sintéticos</x:v>
      </x:c>
      <x:c r="AD20" s="25" t="n">
        <x:v>20</x:v>
      </x:c>
      <x:c r="AE20" s="25" t="n">
        <x:v>0</x:v>
      </x:c>
      <x:c r="AF20" s="25" t="n">
        <x:v>0</x:v>
      </x:c>
      <x:c r="AG20" s="25" t="n">
        <x:v>0</x:v>
      </x:c>
      <x:c r="AH20" s="25" t="n">
        <x:v>0</x:v>
      </x:c>
      <x:c r="AI20" s="25" t="n">
        <x:v>12</x:v>
      </x:c>
      <x:c r="AJ20" s="25" t="n">
        <x:v>0</x:v>
      </x:c>
      <x:c r="AK20" s="18" t="n">
        <x:f>MAX(AL17)</x:f>
        <x:v>61</x:v>
      </x:c>
      <x:c r="AL20" s="18" t="n">
        <x:f>AK20+M20</x:f>
        <x:v>66</x:v>
      </x:c>
      <x:c r="AM20" s="18" t="n">
        <x:f>AN20-M20</x:f>
        <x:v>109</x:v>
      </x:c>
      <x:c r="AN20" s="18" t="n">
        <x:f>MIN(AM18,AM43)</x:f>
        <x:v>114</x:v>
      </x:c>
      <x:c r="AO20" s="18" t="n">
        <x:v>61</x:v>
      </x:c>
      <x:c r="AP20" s="18" t="n">
        <x:v>66</x:v>
      </x:c>
      <x:c r="AQ20" s="18" t="n">
        <x:f>AK20-AO20</x:f>
        <x:v>0</x:v>
      </x:c>
      <x:c r="AR20" s="18" t="n">
        <x:f>'RESUMEN'!$D$7</x:f>
        <x:v>15</x:v>
      </x:c>
      <x:c r="AS20" s="3"/>
    </x:row>
    <x:row r="21" ht="64" customHeight="1">
      <x:c r="A21" s="16" t="str">
        <x:v>T16</x:v>
      </x:c>
      <x:c r="B21" s="16" t="str">
        <x:v>2.09</x:v>
      </x:c>
      <x:c r="C21" s="16" t="str">
        <x:v>Validación científica</x:v>
      </x:c>
      <x:c r="D21" s="16" t="str">
        <x:v>Ciencia</x:v>
      </x:c>
      <x:c r="E21" s="16" t="str">
        <x:v>Diseñar comparación y negociación de supuestos</x:v>
      </x:c>
      <x:c r="F21" s="16" t="str">
        <x:v>Diseñar comparación y negociación de supuestos; revisar evidencia y registrar decisión.</x:v>
      </x:c>
      <x:c r="G21" s="16" t="str">
        <x:v>Contrato de escenarios</x:v>
      </x:c>
      <x:c r="H21" s="16" t="str">
        <x:v>Alonso Peña</x:v>
      </x:c>
      <x:c r="I21" s="16" t="str">
        <x:v>AM</x:v>
      </x:c>
      <x:c r="J21" s="25" t="str">
        <x:v>T06, T08, T07</x:v>
      </x:c>
      <x:c r="K21" s="25" t="str">
        <x:v>T, T, R</x:v>
      </x:c>
      <x:c r="L21" s="16" t="n">
        <x:f>SUM(AD21:AJ21)</x:f>
        <x:v>24</x:v>
      </x:c>
      <x:c r="M21" s="25" t="n">
        <x:v>5</x:v>
      </x:c>
      <x:c r="N21" s="17" t="n">
        <x:f>WORKDAY('RESUMEN'!$D$3-1,AK21+1,'RESUMEN'!$J$6:$J$25)</x:f>
        <x:v>46364</x:v>
      </x:c>
      <x:c r="O21" s="17" t="n">
        <x:f>WORKDAY('RESUMEN'!$D$3-1,AL21+0,'RESUMEN'!$J$6:$J$25)</x:f>
        <x:v>46370</x:v>
      </x:c>
      <x:c r="P21" s="17" t="n">
        <x:f>WORKDAY('RESUMEN'!$D$3-1,AM21+1,'RESUMEN'!$J$6:$J$25)</x:f>
        <x:v>46364</x:v>
      </x:c>
      <x:c r="Q21" s="17" t="n">
        <x:f>WORKDAY('RESUMEN'!$D$3-1,AN21+0,'RESUMEN'!$J$6:$J$25)</x:f>
        <x:v>46370</x:v>
      </x:c>
      <x:c r="R21" s="16" t="n">
        <x:f>AM21-AK21</x:f>
        <x:v>0</x:v>
      </x:c>
      <x:c r="S21" s="16" t="str">
        <x:f>IF(R21=0,"Sí","No")</x:f>
        <x:v>Sí</x:v>
      </x:c>
      <x:c r="T21" s="16" t="n">
        <x:f>INT((N21-'RESUMEN'!$D$3)/7)+1</x:f>
        <x:v>6</x:v>
      </x:c>
      <x:c r="U21" s="16" t="n">
        <x:f>INT((O21-'RESUMEN'!$D$3)/7)+1</x:f>
        <x:v>7</x:v>
      </x:c>
      <x:c r="V21" s="25" t="str">
        <x:v>No iniciada</x:v>
      </x:c>
      <x:c r="W21" s="27" t="n">
        <x:v>0</x:v>
      </x:c>
      <x:c r="X21" s="16" t="str">
        <x:v>Comparar versiones con mismas unidades, horizonte y método; rastrear cambios</x:v>
      </x:c>
      <x:c r="Y21" s="16" t="str">
        <x:v>P0</x:v>
      </x:c>
      <x:c r="Z21" s="23" t="n">
        <x:f>L21/8</x:f>
        <x:v>3</x:v>
      </x:c>
      <x:c r="AA21" s="25" t="n">
        <x:v>4</x:v>
      </x:c>
      <x:c r="AB21" s="25" t="n">
        <x:v>8</x:v>
      </x:c>
      <x:c r="AC21" s="16" t="str">
        <x:v>Repo, staging y casos sintéticos</x:v>
      </x:c>
      <x:c r="AD21" s="25" t="n">
        <x:v>20</x:v>
      </x:c>
      <x:c r="AE21" s="25" t="n">
        <x:v>4</x:v>
      </x:c>
      <x:c r="AF21" s="25" t="n">
        <x:v>0</x:v>
      </x:c>
      <x:c r="AG21" s="25" t="n">
        <x:v>0</x:v>
      </x:c>
      <x:c r="AH21" s="25" t="n">
        <x:v>0</x:v>
      </x:c>
      <x:c r="AI21" s="25" t="n">
        <x:v>0</x:v>
      </x:c>
      <x:c r="AJ21" s="25" t="n">
        <x:v>0</x:v>
      </x:c>
      <x:c r="AK21" s="16" t="n">
        <x:f>MAX(AL11,AL13,AL12)</x:f>
        <x:v>26</x:v>
      </x:c>
      <x:c r="AL21" s="16" t="n">
        <x:f>AK21+M21</x:f>
        <x:v>31</x:v>
      </x:c>
      <x:c r="AM21" s="16" t="n">
        <x:f>AN21-M21</x:f>
        <x:v>26</x:v>
      </x:c>
      <x:c r="AN21" s="16" t="n">
        <x:f>MIN(AM14,AM26,AM38)</x:f>
        <x:v>31</x:v>
      </x:c>
      <x:c r="AO21" s="16" t="n">
        <x:v>26</x:v>
      </x:c>
      <x:c r="AP21" s="16" t="n">
        <x:v>31</x:v>
      </x:c>
      <x:c r="AQ21" s="16" t="n">
        <x:f>AK21-AO21</x:f>
        <x:v>0</x:v>
      </x:c>
      <x:c r="AR21" s="16" t="n">
        <x:f>'RESUMEN'!$D$7</x:f>
        <x:v>15</x:v>
      </x:c>
      <x:c r="AS21" s="3"/>
    </x:row>
    <x:row r="22" ht="64" customHeight="1">
      <x:c r="A22" s="18" t="str">
        <x:v>T17</x:v>
      </x:c>
      <x:c r="B22" s="18" t="str">
        <x:v>3.01</x:v>
      </x:c>
      <x:c r="C22" s="18" t="str">
        <x:v>Producto SaaS</x:v>
      </x:c>
      <x:c r="D22" s="18" t="str">
        <x:v>UX</x:v>
      </x:c>
      <x:c r="E22" s="18" t="str">
        <x:v>Prototipar captura y explicación de resultados</x:v>
      </x:c>
      <x:c r="F22" s="18" t="str">
        <x:v>Prototipar captura y explicación de resultados; revisar evidencia y registrar decisión.</x:v>
      </x:c>
      <x:c r="G22" s="18" t="str">
        <x:v>Prototipo navegable</x:v>
      </x:c>
      <x:c r="H22" s="18" t="str">
        <x:v>Empresa · UX</x:v>
      </x:c>
      <x:c r="I22" s="18" t="str">
        <x:v>AP</x:v>
      </x:c>
      <x:c r="J22" s="25" t="str">
        <x:v>T07</x:v>
      </x:c>
      <x:c r="K22" s="25" t="str">
        <x:v>V</x:v>
      </x:c>
      <x:c r="L22" s="18" t="n">
        <x:f>SUM(AD22:AJ22)</x:f>
        <x:v>40</x:v>
      </x:c>
      <x:c r="M22" s="25" t="n">
        <x:v>10</x:v>
      </x:c>
      <x:c r="N22" s="19" t="n">
        <x:f>WORKDAY('RESUMEN'!$D$3-1,AK22+1,'RESUMEN'!$J$6:$J$25)</x:f>
        <x:v>46364</x:v>
      </x:c>
      <x:c r="O22" s="19" t="n">
        <x:f>WORKDAY('RESUMEN'!$D$3-1,AL22+0,'RESUMEN'!$J$6:$J$25)</x:f>
        <x:v>46377</x:v>
      </x:c>
      <x:c r="P22" s="19" t="n">
        <x:f>WORKDAY('RESUMEN'!$D$3-1,AM22+1,'RESUMEN'!$J$6:$J$25)</x:f>
        <x:v>46378</x:v>
      </x:c>
      <x:c r="Q22" s="19" t="n">
        <x:f>WORKDAY('RESUMEN'!$D$3-1,AN22+0,'RESUMEN'!$J$6:$J$25)</x:f>
        <x:v>46391</x:v>
      </x:c>
      <x:c r="R22" s="18" t="n">
        <x:f>AM22-AK22</x:f>
        <x:v>10</x:v>
      </x:c>
      <x:c r="S22" s="18" t="str">
        <x:f>IF(R22=0,"Sí","No")</x:f>
        <x:v>No</x:v>
      </x:c>
      <x:c r="T22" s="18" t="n">
        <x:f>INT((N22-'RESUMEN'!$D$3)/7)+1</x:f>
        <x:v>6</x:v>
      </x:c>
      <x:c r="U22" s="18" t="n">
        <x:f>INT((O22-'RESUMEN'!$D$3)/7)+1</x:f>
        <x:v>8</x:v>
      </x:c>
      <x:c r="V22" s="25" t="str">
        <x:v>No iniciada</x:v>
      </x:c>
      <x:c r="W22" s="27" t="n">
        <x:v>0</x:v>
      </x:c>
      <x:c r="X22" s="18" t="str">
        <x:v>Alta, datos, ejecutar, error, comparar y descargar cubiertos</x:v>
      </x:c>
      <x:c r="Y22" s="18" t="str">
        <x:v>P0</x:v>
      </x:c>
      <x:c r="Z22" s="22" t="n">
        <x:f>L22/8</x:f>
        <x:v>5</x:v>
      </x:c>
      <x:c r="AA22" s="25" t="n">
        <x:v>8</x:v>
      </x:c>
      <x:c r="AB22" s="25" t="n">
        <x:v>15</x:v>
      </x:c>
      <x:c r="AC22" s="18" t="str">
        <x:v>Repo, staging y casos sintéticos</x:v>
      </x:c>
      <x:c r="AD22" s="25" t="n">
        <x:v>8</x:v>
      </x:c>
      <x:c r="AE22" s="25" t="n">
        <x:v>0</x:v>
      </x:c>
      <x:c r="AF22" s="25" t="n">
        <x:v>0</x:v>
      </x:c>
      <x:c r="AG22" s="25" t="n">
        <x:v>0</x:v>
      </x:c>
      <x:c r="AH22" s="25" t="n">
        <x:v>32</x:v>
      </x:c>
      <x:c r="AI22" s="25" t="n">
        <x:v>0</x:v>
      </x:c>
      <x:c r="AJ22" s="25" t="n">
        <x:v>0</x:v>
      </x:c>
      <x:c r="AK22" s="18" t="n">
        <x:f>MAX(AL12)</x:f>
        <x:v>26</x:v>
      </x:c>
      <x:c r="AL22" s="18" t="n">
        <x:f>AK22+M22</x:f>
        <x:v>36</x:v>
      </x:c>
      <x:c r="AM22" s="18" t="n">
        <x:f>AN22-M22</x:f>
        <x:v>36</x:v>
      </x:c>
      <x:c r="AN22" s="18" t="n">
        <x:f>MIN(AM23)</x:f>
        <x:v>46</x:v>
      </x:c>
      <x:c r="AO22" s="18" t="n">
        <x:v>26</x:v>
      </x:c>
      <x:c r="AP22" s="18" t="n">
        <x:v>36</x:v>
      </x:c>
      <x:c r="AQ22" s="18" t="n">
        <x:f>AK22-AO22</x:f>
        <x:v>0</x:v>
      </x:c>
      <x:c r="AR22" s="18" t="n">
        <x:f>'RESUMEN'!$D$7</x:f>
        <x:v>15</x:v>
      </x:c>
      <x:c r="AS22" s="3"/>
    </x:row>
    <x:row r="23" ht="64" customHeight="1">
      <x:c r="A23" s="16" t="str">
        <x:v>T18</x:v>
      </x:c>
      <x:c r="B23" s="16" t="str">
        <x:v>3.02</x:v>
      </x:c>
      <x:c r="C23" s="16" t="str">
        <x:v>Producto SaaS</x:v>
      </x:c>
      <x:c r="D23" s="16" t="str">
        <x:v>UX</x:v>
      </x:c>
      <x:c r="E23" s="16" t="str">
        <x:v>Probar prototipo con cinco usuarios</x:v>
      </x:c>
      <x:c r="F23" s="16" t="str">
        <x:v>Probar prototipo con cinco usuarios; revisar evidencia y registrar decisión.</x:v>
      </x:c>
      <x:c r="G23" s="16" t="str">
        <x:v>Registro de tareas y ajustes</x:v>
      </x:c>
      <x:c r="H23" s="16" t="str">
        <x:v>Empresa · UX</x:v>
      </x:c>
      <x:c r="I23" s="16" t="str">
        <x:v>AM, AP</x:v>
      </x:c>
      <x:c r="J23" s="25" t="str">
        <x:v>T17</x:v>
      </x:c>
      <x:c r="K23" s="25" t="str">
        <x:v>T</x:v>
      </x:c>
      <x:c r="L23" s="16" t="n">
        <x:f>SUM(AD23:AJ23)</x:f>
        <x:v>20</x:v>
      </x:c>
      <x:c r="M23" s="25" t="n">
        <x:v>5</x:v>
      </x:c>
      <x:c r="N23" s="17" t="n">
        <x:f>WORKDAY('RESUMEN'!$D$3-1,AK23+1,'RESUMEN'!$J$6:$J$25)</x:f>
        <x:v>46378</x:v>
      </x:c>
      <x:c r="O23" s="17" t="n">
        <x:f>WORKDAY('RESUMEN'!$D$3-1,AL23+0,'RESUMEN'!$J$6:$J$25)</x:f>
        <x:v>46384</x:v>
      </x:c>
      <x:c r="P23" s="17" t="n">
        <x:f>WORKDAY('RESUMEN'!$D$3-1,AM23+1,'RESUMEN'!$J$6:$J$25)</x:f>
        <x:v>46392</x:v>
      </x:c>
      <x:c r="Q23" s="17" t="n">
        <x:f>WORKDAY('RESUMEN'!$D$3-1,AN23+0,'RESUMEN'!$J$6:$J$25)</x:f>
        <x:v>46398</x:v>
      </x:c>
      <x:c r="R23" s="16" t="n">
        <x:f>AM23-AK23</x:f>
        <x:v>10</x:v>
      </x:c>
      <x:c r="S23" s="16" t="str">
        <x:f>IF(R23=0,"Sí","No")</x:f>
        <x:v>No</x:v>
      </x:c>
      <x:c r="T23" s="16" t="n">
        <x:f>INT((N23-'RESUMEN'!$D$3)/7)+1</x:f>
        <x:v>8</x:v>
      </x:c>
      <x:c r="U23" s="16" t="n">
        <x:f>INT((O23-'RESUMEN'!$D$3)/7)+1</x:f>
        <x:v>9</x:v>
      </x:c>
      <x:c r="V23" s="25" t="str">
        <x:v>No iniciada</x:v>
      </x:c>
      <x:c r="W23" s="27" t="n">
        <x:v>0</x:v>
      </x:c>
      <x:c r="X23" s="16" t="str">
        <x:v>4/5 completan captura guiada sin ayuda crítica; registrar tiempo y errores</x:v>
      </x:c>
      <x:c r="Y23" s="16" t="str">
        <x:v>P0</x:v>
      </x:c>
      <x:c r="Z23" s="23" t="n">
        <x:f>L23/8</x:f>
        <x:v>2.5</x:v>
      </x:c>
      <x:c r="AA23" s="25" t="n">
        <x:v>4</x:v>
      </x:c>
      <x:c r="AB23" s="25" t="n">
        <x:v>8</x:v>
      </x:c>
      <x:c r="AC23" s="16" t="str">
        <x:v>Repo, staging y casos sintéticos</x:v>
      </x:c>
      <x:c r="AD23" s="25" t="n">
        <x:v>4</x:v>
      </x:c>
      <x:c r="AE23" s="25" t="n">
        <x:v>4</x:v>
      </x:c>
      <x:c r="AF23" s="25" t="n">
        <x:v>0</x:v>
      </x:c>
      <x:c r="AG23" s="25" t="n">
        <x:v>0</x:v>
      </x:c>
      <x:c r="AH23" s="25" t="n">
        <x:v>12</x:v>
      </x:c>
      <x:c r="AI23" s="25" t="n">
        <x:v>0</x:v>
      </x:c>
      <x:c r="AJ23" s="25" t="n">
        <x:v>0</x:v>
      </x:c>
      <x:c r="AK23" s="16" t="n">
        <x:f>MAX(AL22)</x:f>
        <x:v>36</x:v>
      </x:c>
      <x:c r="AL23" s="16" t="n">
        <x:f>AK23+M23</x:f>
        <x:v>41</x:v>
      </x:c>
      <x:c r="AM23" s="16" t="n">
        <x:f>AN23-M23</x:f>
        <x:v>46</x:v>
      </x:c>
      <x:c r="AN23" s="16" t="n">
        <x:f>MIN(AM29)</x:f>
        <x:v>51</x:v>
      </x:c>
      <x:c r="AO23" s="16" t="n">
        <x:v>36</x:v>
      </x:c>
      <x:c r="AP23" s="16" t="n">
        <x:v>41</x:v>
      </x:c>
      <x:c r="AQ23" s="16" t="n">
        <x:f>AK23-AO23</x:f>
        <x:v>0</x:v>
      </x:c>
      <x:c r="AR23" s="16" t="n">
        <x:f>'RESUMEN'!$D$7</x:f>
        <x:v>15</x:v>
      </x:c>
      <x:c r="AS23" s="3"/>
    </x:row>
    <x:row r="24" ht="64" customHeight="1">
      <x:c r="A24" s="18" t="str">
        <x:v>T19</x:v>
      </x:c>
      <x:c r="B24" s="18" t="str">
        <x:v>3.03</x:v>
      </x:c>
      <x:c r="C24" s="18" t="str">
        <x:v>Producto SaaS</x:v>
      </x:c>
      <x:c r="D24" s="18" t="str">
        <x:v>Infraestructura</x:v>
      </x:c>
      <x:c r="E24" s="18" t="str">
        <x:v>Preparar CI, entornos y secretos</x:v>
      </x:c>
      <x:c r="F24" s="18" t="str">
        <x:v>Preparar CI, entornos y secretos; revisar evidencia y registrar decisión.</x:v>
      </x:c>
      <x:c r="G24" s="18" t="str">
        <x:v>Staging y pipeline de despliegue</x:v>
      </x:c>
      <x:c r="H24" s="18" t="str">
        <x:v>Empresa · operación</x:v>
      </x:c>
      <x:c r="I24" s="18" t="str">
        <x:v>BE</x:v>
      </x:c>
      <x:c r="J24" s="25" t="str">
        <x:v>T06</x:v>
      </x:c>
      <x:c r="K24" s="25" t="str">
        <x:v>T</x:v>
      </x:c>
      <x:c r="L24" s="18" t="n">
        <x:f>SUM(AD24:AJ24)</x:f>
        <x:v>40</x:v>
      </x:c>
      <x:c r="M24" s="25" t="n">
        <x:v>10</x:v>
      </x:c>
      <x:c r="N24" s="19" t="n">
        <x:f>WORKDAY('RESUMEN'!$D$3-1,AK24+1,'RESUMEN'!$J$6:$J$25)</x:f>
        <x:v>46359</x:v>
      </x:c>
      <x:c r="O24" s="19" t="n">
        <x:f>WORKDAY('RESUMEN'!$D$3-1,AL24+0,'RESUMEN'!$J$6:$J$25)</x:f>
        <x:v>46372</x:v>
      </x:c>
      <x:c r="P24" s="19" t="n">
        <x:f>WORKDAY('RESUMEN'!$D$3-1,AM24+1,'RESUMEN'!$J$6:$J$25)</x:f>
        <x:v>46399</x:v>
      </x:c>
      <x:c r="Q24" s="19" t="n">
        <x:f>WORKDAY('RESUMEN'!$D$3-1,AN24+0,'RESUMEN'!$J$6:$J$25)</x:f>
        <x:v>46412</x:v>
      </x:c>
      <x:c r="R24" s="18" t="n">
        <x:f>AM24-AK24</x:f>
        <x:v>28</x:v>
      </x:c>
      <x:c r="S24" s="18" t="str">
        <x:f>IF(R24=0,"Sí","No")</x:f>
        <x:v>No</x:v>
      </x:c>
      <x:c r="T24" s="18" t="n">
        <x:f>INT((N24-'RESUMEN'!$D$3)/7)+1</x:f>
        <x:v>5</x:v>
      </x:c>
      <x:c r="U24" s="18" t="n">
        <x:f>INT((O24-'RESUMEN'!$D$3)/7)+1</x:f>
        <x:v>7</x:v>
      </x:c>
      <x:c r="V24" s="25" t="str">
        <x:v>No iniciada</x:v>
      </x:c>
      <x:c r="W24" s="27" t="n">
        <x:v>0</x:v>
      </x:c>
      <x:c r="X24" s="18" t="str">
        <x:v>Instalación limpia, lock reproducible, escaneo dependencias y rollback básico</x:v>
      </x:c>
      <x:c r="Y24" s="18" t="str">
        <x:v>P0</x:v>
      </x:c>
      <x:c r="Z24" s="22" t="n">
        <x:f>L24/8</x:f>
        <x:v>5</x:v>
      </x:c>
      <x:c r="AA24" s="25" t="n">
        <x:v>8</x:v>
      </x:c>
      <x:c r="AB24" s="25" t="n">
        <x:v>15</x:v>
      </x:c>
      <x:c r="AC24" s="18" t="str">
        <x:v>Repo, staging y casos sintéticos</x:v>
      </x:c>
      <x:c r="AD24" s="25" t="n">
        <x:v>0</x:v>
      </x:c>
      <x:c r="AE24" s="25" t="n">
        <x:v>0</x:v>
      </x:c>
      <x:c r="AF24" s="25" t="n">
        <x:v>12</x:v>
      </x:c>
      <x:c r="AG24" s="25" t="n">
        <x:v>0</x:v>
      </x:c>
      <x:c r="AH24" s="25" t="n">
        <x:v>0</x:v>
      </x:c>
      <x:c r="AI24" s="25" t="n">
        <x:v>0</x:v>
      </x:c>
      <x:c r="AJ24" s="25" t="n">
        <x:v>28</x:v>
      </x:c>
      <x:c r="AK24" s="18" t="n">
        <x:f>MAX(AL11)</x:f>
        <x:v>23</x:v>
      </x:c>
      <x:c r="AL24" s="18" t="n">
        <x:f>AK24+M24</x:f>
        <x:v>33</x:v>
      </x:c>
      <x:c r="AM24" s="18" t="n">
        <x:f>AN24-M24</x:f>
        <x:v>51</x:v>
      </x:c>
      <x:c r="AN24" s="18" t="n">
        <x:f>MIN(AM27,AM33,AM36)</x:f>
        <x:v>61</x:v>
      </x:c>
      <x:c r="AO24" s="18" t="n">
        <x:v>23</x:v>
      </x:c>
      <x:c r="AP24" s="18" t="n">
        <x:v>33</x:v>
      </x:c>
      <x:c r="AQ24" s="18" t="n">
        <x:f>AK24-AO24</x:f>
        <x:v>0</x:v>
      </x:c>
      <x:c r="AR24" s="18" t="n">
        <x:f>'RESUMEN'!$D$7</x:f>
        <x:v>15</x:v>
      </x:c>
      <x:c r="AS24" s="3"/>
    </x:row>
    <x:row r="25" ht="64" customHeight="1">
      <x:c r="A25" s="16" t="str">
        <x:v>T20</x:v>
      </x:c>
      <x:c r="B25" s="16" t="str">
        <x:v>3.04</x:v>
      </x:c>
      <x:c r="C25" s="16" t="str">
        <x:v>Producto SaaS</x:v>
      </x:c>
      <x:c r="D25" s="16" t="str">
        <x:v>Backend</x:v>
      </x:c>
      <x:c r="E25" s="16" t="str">
        <x:v>Crear organizaciones, usuarios y permisos</x:v>
      </x:c>
      <x:c r="F25" s="16" t="str">
        <x:v>Crear organizaciones, usuarios y permisos; revisar evidencia y registrar decisión.</x:v>
      </x:c>
      <x:c r="G25" s="16" t="str">
        <x:v>Modelo multiusuario y pruebas</x:v>
      </x:c>
      <x:c r="H25" s="16" t="str">
        <x:v>Empresa · backend</x:v>
      </x:c>
      <x:c r="I25" s="16" t="str">
        <x:v>QA</x:v>
      </x:c>
      <x:c r="J25" s="25" t="str">
        <x:v>T06, T07</x:v>
      </x:c>
      <x:c r="K25" s="25" t="str">
        <x:v>T, V</x:v>
      </x:c>
      <x:c r="L25" s="16" t="n">
        <x:f>SUM(AD25:AJ25)</x:f>
        <x:v>64</x:v>
      </x:c>
      <x:c r="M25" s="25" t="n">
        <x:v>10</x:v>
      </x:c>
      <x:c r="N25" s="17" t="n">
        <x:f>WORKDAY('RESUMEN'!$D$3-1,AK25+1,'RESUMEN'!$J$6:$J$25)</x:f>
        <x:v>46364</x:v>
      </x:c>
      <x:c r="O25" s="17" t="n">
        <x:f>WORKDAY('RESUMEN'!$D$3-1,AL25+0,'RESUMEN'!$J$6:$J$25)</x:f>
        <x:v>46377</x:v>
      </x:c>
      <x:c r="P25" s="17" t="n">
        <x:f>WORKDAY('RESUMEN'!$D$3-1,AM25+1,'RESUMEN'!$J$6:$J$25)</x:f>
        <x:v>46385</x:v>
      </x:c>
      <x:c r="Q25" s="17" t="n">
        <x:f>WORKDAY('RESUMEN'!$D$3-1,AN25+0,'RESUMEN'!$J$6:$J$25)</x:f>
        <x:v>46398</x:v>
      </x:c>
      <x:c r="R25" s="16" t="n">
        <x:f>AM25-AK25</x:f>
        <x:v>15</x:v>
      </x:c>
      <x:c r="S25" s="16" t="str">
        <x:f>IF(R25=0,"Sí","No")</x:f>
        <x:v>No</x:v>
      </x:c>
      <x:c r="T25" s="16" t="n">
        <x:f>INT((N25-'RESUMEN'!$D$3)/7)+1</x:f>
        <x:v>6</x:v>
      </x:c>
      <x:c r="U25" s="16" t="n">
        <x:f>INT((O25-'RESUMEN'!$D$3)/7)+1</x:f>
        <x:v>8</x:v>
      </x:c>
      <x:c r="V25" s="25" t="str">
        <x:v>No iniciada</x:v>
      </x:c>
      <x:c r="W25" s="27" t="n">
        <x:v>0</x:v>
      </x:c>
      <x:c r="X25" s="16" t="str">
        <x:v>Administrador, analista y lector; acceso denegado entre organizaciones</x:v>
      </x:c>
      <x:c r="Y25" s="16" t="str">
        <x:v>P0</x:v>
      </x:c>
      <x:c r="Z25" s="23" t="n">
        <x:f>L25/8</x:f>
        <x:v>8</x:v>
      </x:c>
      <x:c r="AA25" s="25" t="n">
        <x:v>8</x:v>
      </x:c>
      <x:c r="AB25" s="25" t="n">
        <x:v>15</x:v>
      </x:c>
      <x:c r="AC25" s="16" t="str">
        <x:v>Repo, staging y casos sintéticos</x:v>
      </x:c>
      <x:c r="AD25" s="25" t="n">
        <x:v>0</x:v>
      </x:c>
      <x:c r="AE25" s="25" t="n">
        <x:v>0</x:v>
      </x:c>
      <x:c r="AF25" s="25" t="n">
        <x:v>56</x:v>
      </x:c>
      <x:c r="AG25" s="25" t="n">
        <x:v>0</x:v>
      </x:c>
      <x:c r="AH25" s="25" t="n">
        <x:v>0</x:v>
      </x:c>
      <x:c r="AI25" s="25" t="n">
        <x:v>8</x:v>
      </x:c>
      <x:c r="AJ25" s="25" t="n">
        <x:v>0</x:v>
      </x:c>
      <x:c r="AK25" s="16" t="n">
        <x:f>MAX(AL11,AL12)</x:f>
        <x:v>26</x:v>
      </x:c>
      <x:c r="AL25" s="16" t="n">
        <x:f>AK25+M25</x:f>
        <x:v>36</x:v>
      </x:c>
      <x:c r="AM25" s="16" t="n">
        <x:f>AN25-M25</x:f>
        <x:v>41</x:v>
      </x:c>
      <x:c r="AN25" s="16" t="n">
        <x:f>MIN(AM26,AM27,AM29,AM33)</x:f>
        <x:v>51</x:v>
      </x:c>
      <x:c r="AO25" s="16" t="n">
        <x:v>26</x:v>
      </x:c>
      <x:c r="AP25" s="16" t="n">
        <x:v>36</x:v>
      </x:c>
      <x:c r="AQ25" s="16" t="n">
        <x:f>AK25-AO25</x:f>
        <x:v>0</x:v>
      </x:c>
      <x:c r="AR25" s="16" t="n">
        <x:f>'RESUMEN'!$D$7</x:f>
        <x:v>15</x:v>
      </x:c>
      <x:c r="AS25" s="3"/>
    </x:row>
    <x:row r="26" ht="64" customHeight="1">
      <x:c r="A26" s="18" t="str">
        <x:v>T21</x:v>
      </x:c>
      <x:c r="B26" s="18" t="str">
        <x:v>3.05</x:v>
      </x:c>
      <x:c r="C26" s="18" t="str">
        <x:v>Producto SaaS</x:v>
      </x:c>
      <x:c r="D26" s="18" t="str">
        <x:v>Backend</x:v>
      </x:c>
      <x:c r="E26" s="18" t="str">
        <x:v>Persistir escenarios y versiones inmutables</x:v>
      </x:c>
      <x:c r="F26" s="18" t="str">
        <x:v>Persistir escenarios y versiones inmutables; revisar evidencia y registrar decisión.</x:v>
      </x:c>
      <x:c r="G26" s="18" t="str">
        <x:v>Persistencia y migración inicial</x:v>
      </x:c>
      <x:c r="H26" s="18" t="str">
        <x:v>Empresa · backend</x:v>
      </x:c>
      <x:c r="I26" s="18" t="str">
        <x:v>AP</x:v>
      </x:c>
      <x:c r="J26" s="25" t="str">
        <x:v>T20, T16</x:v>
      </x:c>
      <x:c r="K26" s="25" t="str">
        <x:v>T, T</x:v>
      </x:c>
      <x:c r="L26" s="18" t="n">
        <x:f>SUM(AD26:AJ26)</x:f>
        <x:v>64</x:v>
      </x:c>
      <x:c r="M26" s="25" t="n">
        <x:v>10</x:v>
      </x:c>
      <x:c r="N26" s="19" t="n">
        <x:f>WORKDAY('RESUMEN'!$D$3-1,AK26+1,'RESUMEN'!$J$6:$J$25)</x:f>
        <x:v>46378</x:v>
      </x:c>
      <x:c r="O26" s="19" t="n">
        <x:f>WORKDAY('RESUMEN'!$D$3-1,AL26+0,'RESUMEN'!$J$6:$J$25)</x:f>
        <x:v>46391</x:v>
      </x:c>
      <x:c r="P26" s="19" t="n">
        <x:f>WORKDAY('RESUMEN'!$D$3-1,AM26+1,'RESUMEN'!$J$6:$J$25)</x:f>
        <x:v>46399</x:v>
      </x:c>
      <x:c r="Q26" s="19" t="n">
        <x:f>WORKDAY('RESUMEN'!$D$3-1,AN26+0,'RESUMEN'!$J$6:$J$25)</x:f>
        <x:v>46412</x:v>
      </x:c>
      <x:c r="R26" s="18" t="n">
        <x:f>AM26-AK26</x:f>
        <x:v>15</x:v>
      </x:c>
      <x:c r="S26" s="18" t="str">
        <x:f>IF(R26=0,"Sí","No")</x:f>
        <x:v>No</x:v>
      </x:c>
      <x:c r="T26" s="18" t="n">
        <x:f>INT((N26-'RESUMEN'!$D$3)/7)+1</x:f>
        <x:v>8</x:v>
      </x:c>
      <x:c r="U26" s="18" t="n">
        <x:f>INT((O26-'RESUMEN'!$D$3)/7)+1</x:f>
        <x:v>10</x:v>
      </x:c>
      <x:c r="V26" s="25" t="str">
        <x:v>No iniciada</x:v>
      </x:c>
      <x:c r="W26" s="27" t="n">
        <x:v>0</x:v>
      </x:c>
      <x:c r="X26" s="18" t="str">
        <x:v>Versión/hash del input y motor; trazabilidad de autor y sin sobrescribir ejecuciones</x:v>
      </x:c>
      <x:c r="Y26" s="18" t="str">
        <x:v>P0</x:v>
      </x:c>
      <x:c r="Z26" s="22" t="n">
        <x:f>L26/8</x:f>
        <x:v>8</x:v>
      </x:c>
      <x:c r="AA26" s="25" t="n">
        <x:v>8</x:v>
      </x:c>
      <x:c r="AB26" s="25" t="n">
        <x:v>15</x:v>
      </x:c>
      <x:c r="AC26" s="18" t="str">
        <x:v>Repo, staging y casos sintéticos</x:v>
      </x:c>
      <x:c r="AD26" s="25" t="n">
        <x:v>8</x:v>
      </x:c>
      <x:c r="AE26" s="25" t="n">
        <x:v>0</x:v>
      </x:c>
      <x:c r="AF26" s="25" t="n">
        <x:v>56</x:v>
      </x:c>
      <x:c r="AG26" s="25" t="n">
        <x:v>0</x:v>
      </x:c>
      <x:c r="AH26" s="25" t="n">
        <x:v>0</x:v>
      </x:c>
      <x:c r="AI26" s="25" t="n">
        <x:v>0</x:v>
      </x:c>
      <x:c r="AJ26" s="25" t="n">
        <x:v>0</x:v>
      </x:c>
      <x:c r="AK26" s="18" t="n">
        <x:f>MAX(AL25,AL21)</x:f>
        <x:v>36</x:v>
      </x:c>
      <x:c r="AL26" s="18" t="n">
        <x:f>AK26+M26</x:f>
        <x:v>46</x:v>
      </x:c>
      <x:c r="AM26" s="18" t="n">
        <x:f>AN26-M26</x:f>
        <x:v>51</x:v>
      </x:c>
      <x:c r="AN26" s="18" t="n">
        <x:f>MIN(AM27,AM28,AM33,AM36)</x:f>
        <x:v>61</x:v>
      </x:c>
      <x:c r="AO26" s="18" t="n">
        <x:v>36</x:v>
      </x:c>
      <x:c r="AP26" s="18" t="n">
        <x:v>46</x:v>
      </x:c>
      <x:c r="AQ26" s="18" t="n">
        <x:f>AK26-AO26</x:f>
        <x:v>0</x:v>
      </x:c>
      <x:c r="AR26" s="18" t="n">
        <x:f>'RESUMEN'!$D$7</x:f>
        <x:v>15</x:v>
      </x:c>
      <x:c r="AS26" s="3"/>
    </x:row>
    <x:row r="27" ht="64" customHeight="1">
      <x:c r="A27" s="16" t="str">
        <x:v>T22</x:v>
      </x:c>
      <x:c r="B27" s="16" t="str">
        <x:v>3.06</x:v>
      </x:c>
      <x:c r="C27" s="16" t="str">
        <x:v>Producto SaaS</x:v>
      </x:c>
      <x:c r="D27" s="16" t="str">
        <x:v>Backend</x:v>
      </x:c>
      <x:c r="E27" s="16" t="str">
        <x:v>Implementar cola y ciclo de trabajos</x:v>
      </x:c>
      <x:c r="F27" s="16" t="str">
        <x:v>Implementar cola y ciclo de trabajos; revisar evidencia y registrar decisión.</x:v>
      </x:c>
      <x:c r="G27" s="16" t="str">
        <x:v>Worker aislado y estados de ejecución</x:v>
      </x:c>
      <x:c r="H27" s="16" t="str">
        <x:v>Empresa · backend</x:v>
      </x:c>
      <x:c r="I27" s="16" t="str">
        <x:v>OP</x:v>
      </x:c>
      <x:c r="J27" s="25" t="str">
        <x:v>T20, T19, T21</x:v>
      </x:c>
      <x:c r="K27" s="25" t="str">
        <x:v>T, T, R</x:v>
      </x:c>
      <x:c r="L27" s="16" t="n">
        <x:f>SUM(AD27:AJ27)</x:f>
        <x:v>68</x:v>
      </x:c>
      <x:c r="M27" s="25" t="n">
        <x:v>10</x:v>
      </x:c>
      <x:c r="N27" s="17" t="n">
        <x:f>WORKDAY('RESUMEN'!$D$3-1,AK27+1,'RESUMEN'!$J$6:$J$25)</x:f>
        <x:v>46392</x:v>
      </x:c>
      <x:c r="O27" s="17" t="n">
        <x:f>WORKDAY('RESUMEN'!$D$3-1,AL27+0,'RESUMEN'!$J$6:$J$25)</x:f>
        <x:v>46405</x:v>
      </x:c>
      <x:c r="P27" s="17" t="n">
        <x:f>WORKDAY('RESUMEN'!$D$3-1,AM27+1,'RESUMEN'!$J$6:$J$25)</x:f>
        <x:v>46413</x:v>
      </x:c>
      <x:c r="Q27" s="17" t="n">
        <x:f>WORKDAY('RESUMEN'!$D$3-1,AN27+0,'RESUMEN'!$J$6:$J$25)</x:f>
        <x:v>46426</x:v>
      </x:c>
      <x:c r="R27" s="16" t="n">
        <x:f>AM27-AK27</x:f>
        <x:v>15</x:v>
      </x:c>
      <x:c r="S27" s="16" t="str">
        <x:f>IF(R27=0,"Sí","No")</x:f>
        <x:v>No</x:v>
      </x:c>
      <x:c r="T27" s="16" t="n">
        <x:f>INT((N27-'RESUMEN'!$D$3)/7)+1</x:f>
        <x:v>10</x:v>
      </x:c>
      <x:c r="U27" s="16" t="n">
        <x:f>INT((O27-'RESUMEN'!$D$3)/7)+1</x:f>
        <x:v>12</x:v>
      </x:c>
      <x:c r="V27" s="25" t="str">
        <x:v>No iniciada</x:v>
      </x:c>
      <x:c r="W27" s="27" t="n">
        <x:v>0</x:v>
      </x:c>
      <x:c r="X27" s="16" t="str">
        <x:v>Timeout, cancelación, reintento idempotente, pérdida de worker y recuperación probados</x:v>
      </x:c>
      <x:c r="Y27" s="16" t="str">
        <x:v>P0</x:v>
      </x:c>
      <x:c r="Z27" s="23" t="n">
        <x:f>L27/8</x:f>
        <x:v>8.5</x:v>
      </x:c>
      <x:c r="AA27" s="25" t="n">
        <x:v>8</x:v>
      </x:c>
      <x:c r="AB27" s="25" t="n">
        <x:v>15</x:v>
      </x:c>
      <x:c r="AC27" s="16" t="str">
        <x:v>Repo, staging y casos sintéticos</x:v>
      </x:c>
      <x:c r="AD27" s="25" t="n">
        <x:v>0</x:v>
      </x:c>
      <x:c r="AE27" s="25" t="n">
        <x:v>0</x:v>
      </x:c>
      <x:c r="AF27" s="25" t="n">
        <x:v>56</x:v>
      </x:c>
      <x:c r="AG27" s="25" t="n">
        <x:v>0</x:v>
      </x:c>
      <x:c r="AH27" s="25" t="n">
        <x:v>0</x:v>
      </x:c>
      <x:c r="AI27" s="25" t="n">
        <x:v>0</x:v>
      </x:c>
      <x:c r="AJ27" s="25" t="n">
        <x:v>12</x:v>
      </x:c>
      <x:c r="AK27" s="16" t="n">
        <x:f>MAX(AL25,AL24,AL26)</x:f>
        <x:v>46</x:v>
      </x:c>
      <x:c r="AL27" s="16" t="n">
        <x:f>AK27+M27</x:f>
        <x:v>56</x:v>
      </x:c>
      <x:c r="AM27" s="16" t="n">
        <x:f>AN27-M27</x:f>
        <x:v>61</x:v>
      </x:c>
      <x:c r="AN27" s="16" t="n">
        <x:f>MIN(AM28,AM31,AM33,AM35)</x:f>
        <x:v>71</x:v>
      </x:c>
      <x:c r="AO27" s="16" t="n">
        <x:v>46</x:v>
      </x:c>
      <x:c r="AP27" s="16" t="n">
        <x:v>56</x:v>
      </x:c>
      <x:c r="AQ27" s="16" t="n">
        <x:f>AK27-AO27</x:f>
        <x:v>0</x:v>
      </x:c>
      <x:c r="AR27" s="16" t="n">
        <x:f>'RESUMEN'!$D$7</x:f>
        <x:v>15</x:v>
      </x:c>
      <x:c r="AS27" s="3"/>
    </x:row>
    <x:row r="28" ht="64" customHeight="1">
      <x:c r="A28" s="18" t="str">
        <x:v>T23</x:v>
      </x:c>
      <x:c r="B28" s="18" t="str">
        <x:v>3.07</x:v>
      </x:c>
      <x:c r="C28" s="18" t="str">
        <x:v>Producto SaaS</x:v>
      </x:c>
      <x:c r="D28" s="18" t="str">
        <x:v>Backend</x:v>
      </x:c>
      <x:c r="E28" s="18" t="str">
        <x:v>Integrar motor y artefactos privados</x:v>
      </x:c>
      <x:c r="F28" s="18" t="str">
        <x:v>Integrar motor y artefactos privados; revisar evidencia y registrar decisión.</x:v>
      </x:c>
      <x:c r="G28" s="18" t="str">
        <x:v>Ejecución completa desde API</x:v>
      </x:c>
      <x:c r="H28" s="18" t="str">
        <x:v>Empresa · backend</x:v>
      </x:c>
      <x:c r="I28" s="18" t="str">
        <x:v>AP, OP</x:v>
      </x:c>
      <x:c r="J28" s="25" t="str">
        <x:v>T21, T22</x:v>
      </x:c>
      <x:c r="K28" s="25" t="str">
        <x:v>T, T</x:v>
      </x:c>
      <x:c r="L28" s="18" t="n">
        <x:f>SUM(AD28:AJ28)</x:f>
        <x:v>72</x:v>
      </x:c>
      <x:c r="M28" s="25" t="n">
        <x:v>10</x:v>
      </x:c>
      <x:c r="N28" s="19" t="n">
        <x:f>WORKDAY('RESUMEN'!$D$3-1,AK28+1,'RESUMEN'!$J$6:$J$25)</x:f>
        <x:v>46406</x:v>
      </x:c>
      <x:c r="O28" s="19" t="n">
        <x:f>WORKDAY('RESUMEN'!$D$3-1,AL28+0,'RESUMEN'!$J$6:$J$25)</x:f>
        <x:v>46419</x:v>
      </x:c>
      <x:c r="P28" s="19" t="n">
        <x:f>WORKDAY('RESUMEN'!$D$3-1,AM28+1,'RESUMEN'!$J$6:$J$25)</x:f>
        <x:v>46427</x:v>
      </x:c>
      <x:c r="Q28" s="19" t="n">
        <x:f>WORKDAY('RESUMEN'!$D$3-1,AN28+0,'RESUMEN'!$J$6:$J$25)</x:f>
        <x:v>46440</x:v>
      </x:c>
      <x:c r="R28" s="18" t="n">
        <x:f>AM28-AK28</x:f>
        <x:v>15</x:v>
      </x:c>
      <x:c r="S28" s="18" t="str">
        <x:f>IF(R28=0,"Sí","No")</x:f>
        <x:v>No</x:v>
      </x:c>
      <x:c r="T28" s="18" t="n">
        <x:f>INT((N28-'RESUMEN'!$D$3)/7)+1</x:f>
        <x:v>12</x:v>
      </x:c>
      <x:c r="U28" s="18" t="n">
        <x:f>INT((O28-'RESUMEN'!$D$3)/7)+1</x:f>
        <x:v>14</x:v>
      </x:c>
      <x:c r="V28" s="25" t="str">
        <x:v>No iniciada</x:v>
      </x:c>
      <x:c r="W28" s="27" t="n">
        <x:v>0</x:v>
      </x:c>
      <x:c r="X28" s="18" t="str">
        <x:v>Cada job usa espacio aislado; solver status visible; descargas autorizadas</x:v>
      </x:c>
      <x:c r="Y28" s="18" t="str">
        <x:v>P0</x:v>
      </x:c>
      <x:c r="Z28" s="22" t="n">
        <x:f>L28/8</x:f>
        <x:v>9</x:v>
      </x:c>
      <x:c r="AA28" s="25" t="n">
        <x:v>8</x:v>
      </x:c>
      <x:c r="AB28" s="25" t="n">
        <x:v>15</x:v>
      </x:c>
      <x:c r="AC28" s="18" t="str">
        <x:v>Repo, staging y casos sintéticos</x:v>
      </x:c>
      <x:c r="AD28" s="25" t="n">
        <x:v>16</x:v>
      </x:c>
      <x:c r="AE28" s="25" t="n">
        <x:v>0</x:v>
      </x:c>
      <x:c r="AF28" s="25" t="n">
        <x:v>48</x:v>
      </x:c>
      <x:c r="AG28" s="25" t="n">
        <x:v>0</x:v>
      </x:c>
      <x:c r="AH28" s="25" t="n">
        <x:v>0</x:v>
      </x:c>
      <x:c r="AI28" s="25" t="n">
        <x:v>0</x:v>
      </x:c>
      <x:c r="AJ28" s="25" t="n">
        <x:v>8</x:v>
      </x:c>
      <x:c r="AK28" s="18" t="n">
        <x:f>MAX(AL26,AL27)</x:f>
        <x:v>56</x:v>
      </x:c>
      <x:c r="AL28" s="18" t="n">
        <x:f>AK28+M28</x:f>
        <x:v>66</x:v>
      </x:c>
      <x:c r="AM28" s="18" t="n">
        <x:f>AN28-M28</x:f>
        <x:v>71</x:v>
      </x:c>
      <x:c r="AN28" s="18" t="n">
        <x:f>MIN(AM32,AM33,AM35)</x:f>
        <x:v>81</x:v>
      </x:c>
      <x:c r="AO28" s="18" t="n">
        <x:v>56</x:v>
      </x:c>
      <x:c r="AP28" s="18" t="n">
        <x:v>66</x:v>
      </x:c>
      <x:c r="AQ28" s="18" t="n">
        <x:f>AK28-AO28</x:f>
        <x:v>0</x:v>
      </x:c>
      <x:c r="AR28" s="18" t="n">
        <x:f>'RESUMEN'!$D$7</x:f>
        <x:v>15</x:v>
      </x:c>
      <x:c r="AS28" s="3"/>
    </x:row>
    <x:row r="29" ht="64" customHeight="1">
      <x:c r="A29" s="16" t="str">
        <x:v>T24</x:v>
      </x:c>
      <x:c r="B29" s="16" t="str">
        <x:v>3.08</x:v>
      </x:c>
      <x:c r="C29" s="16" t="str">
        <x:v>Producto SaaS</x:v>
      </x:c>
      <x:c r="D29" s="16" t="str">
        <x:v>Frontend</x:v>
      </x:c>
      <x:c r="E29" s="16" t="str">
        <x:v>Implementar acceso y navegación por perfil</x:v>
      </x:c>
      <x:c r="F29" s="16" t="str">
        <x:v>Implementar acceso y navegación por perfil; revisar evidencia y registrar decisión.</x:v>
      </x:c>
      <x:c r="G29" s="16" t="str">
        <x:v>Interfaz autenticada</x:v>
      </x:c>
      <x:c r="H29" s="16" t="str">
        <x:v>Empresa · frontend</x:v>
      </x:c>
      <x:c r="I29" s="16" t="str">
        <x:v>UX</x:v>
      </x:c>
      <x:c r="J29" s="25" t="str">
        <x:v>T18, T20</x:v>
      </x:c>
      <x:c r="K29" s="25" t="str">
        <x:v>V, T</x:v>
      </x:c>
      <x:c r="L29" s="16" t="n">
        <x:f>SUM(AD29:AJ29)</x:f>
        <x:v>56</x:v>
      </x:c>
      <x:c r="M29" s="25" t="n">
        <x:v>10</x:v>
      </x:c>
      <x:c r="N29" s="17" t="n">
        <x:f>WORKDAY('RESUMEN'!$D$3-1,AK29+1,'RESUMEN'!$J$6:$J$25)</x:f>
        <x:v>46385</x:v>
      </x:c>
      <x:c r="O29" s="17" t="n">
        <x:f>WORKDAY('RESUMEN'!$D$3-1,AL29+0,'RESUMEN'!$J$6:$J$25)</x:f>
        <x:v>46398</x:v>
      </x:c>
      <x:c r="P29" s="17" t="n">
        <x:f>WORKDAY('RESUMEN'!$D$3-1,AM29+1,'RESUMEN'!$J$6:$J$25)</x:f>
        <x:v>46399</x:v>
      </x:c>
      <x:c r="Q29" s="17" t="n">
        <x:f>WORKDAY('RESUMEN'!$D$3-1,AN29+0,'RESUMEN'!$J$6:$J$25)</x:f>
        <x:v>46412</x:v>
      </x:c>
      <x:c r="R29" s="16" t="n">
        <x:f>AM29-AK29</x:f>
        <x:v>10</x:v>
      </x:c>
      <x:c r="S29" s="16" t="str">
        <x:f>IF(R29=0,"Sí","No")</x:f>
        <x:v>No</x:v>
      </x:c>
      <x:c r="T29" s="16" t="n">
        <x:f>INT((N29-'RESUMEN'!$D$3)/7)+1</x:f>
        <x:v>9</x:v>
      </x:c>
      <x:c r="U29" s="16" t="n">
        <x:f>INT((O29-'RESUMEN'!$D$3)/7)+1</x:f>
        <x:v>11</x:v>
      </x:c>
      <x:c r="V29" s="25" t="str">
        <x:v>No iniciada</x:v>
      </x:c>
      <x:c r="W29" s="27" t="n">
        <x:v>0</x:v>
      </x:c>
      <x:c r="X29" s="16" t="str">
        <x:v>Estados vacíos y errores; rol lector no edita ni ejecuta</x:v>
      </x:c>
      <x:c r="Y29" s="16" t="str">
        <x:v>P0</x:v>
      </x:c>
      <x:c r="Z29" s="23" t="n">
        <x:f>L29/8</x:f>
        <x:v>7</x:v>
      </x:c>
      <x:c r="AA29" s="25" t="n">
        <x:v>8</x:v>
      </x:c>
      <x:c r="AB29" s="25" t="n">
        <x:v>15</x:v>
      </x:c>
      <x:c r="AC29" s="16" t="str">
        <x:v>Repo, staging y casos sintéticos</x:v>
      </x:c>
      <x:c r="AD29" s="25" t="n">
        <x:v>0</x:v>
      </x:c>
      <x:c r="AE29" s="25" t="n">
        <x:v>0</x:v>
      </x:c>
      <x:c r="AF29" s="25" t="n">
        <x:v>0</x:v>
      </x:c>
      <x:c r="AG29" s="25" t="n">
        <x:v>48</x:v>
      </x:c>
      <x:c r="AH29" s="25" t="n">
        <x:v>8</x:v>
      </x:c>
      <x:c r="AI29" s="25" t="n">
        <x:v>0</x:v>
      </x:c>
      <x:c r="AJ29" s="25" t="n">
        <x:v>0</x:v>
      </x:c>
      <x:c r="AK29" s="16" t="n">
        <x:f>MAX(AL23,AL25)</x:f>
        <x:v>41</x:v>
      </x:c>
      <x:c r="AL29" s="16" t="n">
        <x:f>AK29+M29</x:f>
        <x:v>51</x:v>
      </x:c>
      <x:c r="AM29" s="16" t="n">
        <x:f>AN29-M29</x:f>
        <x:v>51</x:v>
      </x:c>
      <x:c r="AN29" s="16" t="n">
        <x:f>MIN(AM30)</x:f>
        <x:v>61</x:v>
      </x:c>
      <x:c r="AO29" s="16" t="n">
        <x:v>41</x:v>
      </x:c>
      <x:c r="AP29" s="16" t="n">
        <x:v>51</x:v>
      </x:c>
      <x:c r="AQ29" s="16" t="n">
        <x:f>AK29-AO29</x:f>
        <x:v>0</x:v>
      </x:c>
      <x:c r="AR29" s="16" t="n">
        <x:f>'RESUMEN'!$D$7</x:f>
        <x:v>15</x:v>
      </x:c>
      <x:c r="AS29" s="3"/>
    </x:row>
    <x:row r="30" ht="64" customHeight="1">
      <x:c r="A30" s="18" t="str">
        <x:v>T25</x:v>
      </x:c>
      <x:c r="B30" s="18" t="str">
        <x:v>3.09</x:v>
      </x:c>
      <x:c r="C30" s="18" t="str">
        <x:v>Producto SaaS</x:v>
      </x:c>
      <x:c r="D30" s="18" t="str">
        <x:v>Frontend</x:v>
      </x:c>
      <x:c r="E30" s="18" t="str">
        <x:v>Implementar formulario con validación guiada</x:v>
      </x:c>
      <x:c r="F30" s="18" t="str">
        <x:v>Implementar formulario con validación guiada; revisar evidencia y registrar decisión.</x:v>
      </x:c>
      <x:c r="G30" s="18" t="str">
        <x:v>Captura validada y ayudas</x:v>
      </x:c>
      <x:c r="H30" s="18" t="str">
        <x:v>Empresa · frontend</x:v>
      </x:c>
      <x:c r="I30" s="18" t="str">
        <x:v>UX, AP</x:v>
      </x:c>
      <x:c r="J30" s="25" t="str">
        <x:v>T24, T09, T12</x:v>
      </x:c>
      <x:c r="K30" s="25" t="str">
        <x:v>T, T, R</x:v>
      </x:c>
      <x:c r="L30" s="18" t="n">
        <x:f>SUM(AD30:AJ30)</x:f>
        <x:v>76</x:v>
      </x:c>
      <x:c r="M30" s="25" t="n">
        <x:v>10</x:v>
      </x:c>
      <x:c r="N30" s="19" t="n">
        <x:f>WORKDAY('RESUMEN'!$D$3-1,AK30+1,'RESUMEN'!$J$6:$J$25)</x:f>
        <x:v>46413</x:v>
      </x:c>
      <x:c r="O30" s="19" t="n">
        <x:f>WORKDAY('RESUMEN'!$D$3-1,AL30+0,'RESUMEN'!$J$6:$J$25)</x:f>
        <x:v>46426</x:v>
      </x:c>
      <x:c r="P30" s="19" t="n">
        <x:f>WORKDAY('RESUMEN'!$D$3-1,AM30+1,'RESUMEN'!$J$6:$J$25)</x:f>
        <x:v>46413</x:v>
      </x:c>
      <x:c r="Q30" s="19" t="n">
        <x:f>WORKDAY('RESUMEN'!$D$3-1,AN30+0,'RESUMEN'!$J$6:$J$25)</x:f>
        <x:v>46426</x:v>
      </x:c>
      <x:c r="R30" s="18" t="n">
        <x:f>AM30-AK30</x:f>
        <x:v>0</x:v>
      </x:c>
      <x:c r="S30" s="18" t="str">
        <x:f>IF(R30=0,"Sí","No")</x:f>
        <x:v>Sí</x:v>
      </x:c>
      <x:c r="T30" s="18" t="n">
        <x:f>INT((N30-'RESUMEN'!$D$3)/7)+1</x:f>
        <x:v>13</x:v>
      </x:c>
      <x:c r="U30" s="18" t="n">
        <x:f>INT((O30-'RESUMEN'!$D$3)/7)+1</x:f>
        <x:v>15</x:v>
      </x:c>
      <x:c r="V30" s="25" t="str">
        <x:v>No iniciada</x:v>
      </x:c>
      <x:c r="W30" s="27" t="n">
        <x:v>0</x:v>
      </x:c>
      <x:c r="X30" s="18" t="str">
        <x:v>Unidades explícitas, errores junto al campo, import/export no pierde valores</x:v>
      </x:c>
      <x:c r="Y30" s="18" t="str">
        <x:v>P0</x:v>
      </x:c>
      <x:c r="Z30" s="22" t="n">
        <x:f>L30/8</x:f>
        <x:v>9.5</x:v>
      </x:c>
      <x:c r="AA30" s="25" t="n">
        <x:v>8</x:v>
      </x:c>
      <x:c r="AB30" s="25" t="n">
        <x:v>15</x:v>
      </x:c>
      <x:c r="AC30" s="18" t="str">
        <x:v>Repo, staging y casos sintéticos</x:v>
      </x:c>
      <x:c r="AD30" s="25" t="n">
        <x:v>12</x:v>
      </x:c>
      <x:c r="AE30" s="25" t="n">
        <x:v>0</x:v>
      </x:c>
      <x:c r="AF30" s="25" t="n">
        <x:v>0</x:v>
      </x:c>
      <x:c r="AG30" s="25" t="n">
        <x:v>56</x:v>
      </x:c>
      <x:c r="AH30" s="25" t="n">
        <x:v>8</x:v>
      </x:c>
      <x:c r="AI30" s="25" t="n">
        <x:v>0</x:v>
      </x:c>
      <x:c r="AJ30" s="25" t="n">
        <x:v>0</x:v>
      </x:c>
      <x:c r="AK30" s="18" t="n">
        <x:f>MAX(AL29,AL14,AL17)</x:f>
        <x:v>61</x:v>
      </x:c>
      <x:c r="AL30" s="18" t="n">
        <x:f>AK30+M30</x:f>
        <x:v>71</x:v>
      </x:c>
      <x:c r="AM30" s="18" t="n">
        <x:f>AN30-M30</x:f>
        <x:v>61</x:v>
      </x:c>
      <x:c r="AN30" s="18" t="n">
        <x:f>MIN(AM31)</x:f>
        <x:v>71</x:v>
      </x:c>
      <x:c r="AO30" s="18" t="n">
        <x:v>61</x:v>
      </x:c>
      <x:c r="AP30" s="18" t="n">
        <x:v>71</x:v>
      </x:c>
      <x:c r="AQ30" s="18" t="n">
        <x:f>AK30-AO30</x:f>
        <x:v>0</x:v>
      </x:c>
      <x:c r="AR30" s="18" t="n">
        <x:f>'RESUMEN'!$D$7</x:f>
        <x:v>15</x:v>
      </x:c>
      <x:c r="AS30" s="3"/>
    </x:row>
    <x:row r="31" ht="64" customHeight="1">
      <x:c r="A31" s="16" t="str">
        <x:v>T26</x:v>
      </x:c>
      <x:c r="B31" s="16" t="str">
        <x:v>3.10</x:v>
      </x:c>
      <x:c r="C31" s="16" t="str">
        <x:v>Producto SaaS</x:v>
      </x:c>
      <x:c r="D31" s="16" t="str">
        <x:v>Frontend</x:v>
      </x:c>
      <x:c r="E31" s="16" t="str">
        <x:v>Integrar ejecución y seguimiento del trabajo</x:v>
      </x:c>
      <x:c r="F31" s="16" t="str">
        <x:v>Integrar ejecución y seguimiento del trabajo; revisar evidencia y registrar decisión.</x:v>
      </x:c>
      <x:c r="G31" s="16" t="str">
        <x:v>Pantalla de ejecuciones</x:v>
      </x:c>
      <x:c r="H31" s="16" t="str">
        <x:v>Empresa · frontend</x:v>
      </x:c>
      <x:c r="I31" s="16" t="str">
        <x:v>BE</x:v>
      </x:c>
      <x:c r="J31" s="25" t="str">
        <x:v>T25, T22</x:v>
      </x:c>
      <x:c r="K31" s="25" t="str">
        <x:v>T, T</x:v>
      </x:c>
      <x:c r="L31" s="16" t="n">
        <x:f>SUM(AD31:AJ31)</x:f>
        <x:v>56</x:v>
      </x:c>
      <x:c r="M31" s="25" t="n">
        <x:v>10</x:v>
      </x:c>
      <x:c r="N31" s="17" t="n">
        <x:f>WORKDAY('RESUMEN'!$D$3-1,AK31+1,'RESUMEN'!$J$6:$J$25)</x:f>
        <x:v>46427</x:v>
      </x:c>
      <x:c r="O31" s="17" t="n">
        <x:f>WORKDAY('RESUMEN'!$D$3-1,AL31+0,'RESUMEN'!$J$6:$J$25)</x:f>
        <x:v>46440</x:v>
      </x:c>
      <x:c r="P31" s="17" t="n">
        <x:f>WORKDAY('RESUMEN'!$D$3-1,AM31+1,'RESUMEN'!$J$6:$J$25)</x:f>
        <x:v>46427</x:v>
      </x:c>
      <x:c r="Q31" s="17" t="n">
        <x:f>WORKDAY('RESUMEN'!$D$3-1,AN31+0,'RESUMEN'!$J$6:$J$25)</x:f>
        <x:v>46440</x:v>
      </x:c>
      <x:c r="R31" s="16" t="n">
        <x:f>AM31-AK31</x:f>
        <x:v>0</x:v>
      </x:c>
      <x:c r="S31" s="16" t="str">
        <x:f>IF(R31=0,"Sí","No")</x:f>
        <x:v>Sí</x:v>
      </x:c>
      <x:c r="T31" s="16" t="n">
        <x:f>INT((N31-'RESUMEN'!$D$3)/7)+1</x:f>
        <x:v>15</x:v>
      </x:c>
      <x:c r="U31" s="16" t="n">
        <x:f>INT((O31-'RESUMEN'!$D$3)/7)+1</x:f>
        <x:v>17</x:v>
      </x:c>
      <x:c r="V31" s="25" t="str">
        <x:v>No iniciada</x:v>
      </x:c>
      <x:c r="W31" s="27" t="n">
        <x:v>0</x:v>
      </x:c>
      <x:c r="X31" s="16" t="str">
        <x:v>Salir del navegador no pierde trabajo; progreso y errores accionables</x:v>
      </x:c>
      <x:c r="Y31" s="16" t="str">
        <x:v>P0</x:v>
      </x:c>
      <x:c r="Z31" s="23" t="n">
        <x:f>L31/8</x:f>
        <x:v>7</x:v>
      </x:c>
      <x:c r="AA31" s="25" t="n">
        <x:v>8</x:v>
      </x:c>
      <x:c r="AB31" s="25" t="n">
        <x:v>15</x:v>
      </x:c>
      <x:c r="AC31" s="16" t="str">
        <x:v>Repo, staging y casos sintéticos</x:v>
      </x:c>
      <x:c r="AD31" s="25" t="n">
        <x:v>0</x:v>
      </x:c>
      <x:c r="AE31" s="25" t="n">
        <x:v>0</x:v>
      </x:c>
      <x:c r="AF31" s="25" t="n">
        <x:v>8</x:v>
      </x:c>
      <x:c r="AG31" s="25" t="n">
        <x:v>48</x:v>
      </x:c>
      <x:c r="AH31" s="25" t="n">
        <x:v>0</x:v>
      </x:c>
      <x:c r="AI31" s="25" t="n">
        <x:v>0</x:v>
      </x:c>
      <x:c r="AJ31" s="25" t="n">
        <x:v>0</x:v>
      </x:c>
      <x:c r="AK31" s="16" t="n">
        <x:f>MAX(AL30,AL27)</x:f>
        <x:v>71</x:v>
      </x:c>
      <x:c r="AL31" s="16" t="n">
        <x:f>AK31+M31</x:f>
        <x:v>81</x:v>
      </x:c>
      <x:c r="AM31" s="16" t="n">
        <x:f>AN31-M31</x:f>
        <x:v>71</x:v>
      </x:c>
      <x:c r="AN31" s="16" t="n">
        <x:f>MIN(AM32)</x:f>
        <x:v>81</x:v>
      </x:c>
      <x:c r="AO31" s="16" t="n">
        <x:v>71</x:v>
      </x:c>
      <x:c r="AP31" s="16" t="n">
        <x:v>81</x:v>
      </x:c>
      <x:c r="AQ31" s="16" t="n">
        <x:f>AK31-AO31</x:f>
        <x:v>0</x:v>
      </x:c>
      <x:c r="AR31" s="16" t="n">
        <x:f>'RESUMEN'!$D$7</x:f>
        <x:v>15</x:v>
      </x:c>
      <x:c r="AS31" s="3"/>
    </x:row>
    <x:row r="32" ht="64" customHeight="1">
      <x:c r="A32" s="18" t="str">
        <x:v>T27</x:v>
      </x:c>
      <x:c r="B32" s="18" t="str">
        <x:v>3.11</x:v>
      </x:c>
      <x:c r="C32" s="18" t="str">
        <x:v>Producto SaaS</x:v>
      </x:c>
      <x:c r="D32" s="18" t="str">
        <x:v>Frontend</x:v>
      </x:c>
      <x:c r="E32" s="18" t="str">
        <x:v>Integrar resultados, informe y comparación</x:v>
      </x:c>
      <x:c r="F32" s="18" t="str">
        <x:v>Integrar resultados, informe y comparación; revisar evidencia y registrar decisión.</x:v>
      </x:c>
      <x:c r="G32" s="18" t="str">
        <x:v>Recorrido financiero completo</x:v>
      </x:c>
      <x:c r="H32" s="18" t="str">
        <x:v>Empresa · frontend</x:v>
      </x:c>
      <x:c r="I32" s="18" t="str">
        <x:v>AP, UX</x:v>
      </x:c>
      <x:c r="J32" s="25" t="str">
        <x:v>T26, T23</x:v>
      </x:c>
      <x:c r="K32" s="25" t="str">
        <x:v>T, T</x:v>
      </x:c>
      <x:c r="L32" s="18" t="n">
        <x:f>SUM(AD32:AJ32)</x:f>
        <x:v>76</x:v>
      </x:c>
      <x:c r="M32" s="25" t="n">
        <x:v>10</x:v>
      </x:c>
      <x:c r="N32" s="19" t="n">
        <x:f>WORKDAY('RESUMEN'!$D$3-1,AK32+1,'RESUMEN'!$J$6:$J$25)</x:f>
        <x:v>46441</x:v>
      </x:c>
      <x:c r="O32" s="19" t="n">
        <x:f>WORKDAY('RESUMEN'!$D$3-1,AL32+0,'RESUMEN'!$J$6:$J$25)</x:f>
        <x:v>46454</x:v>
      </x:c>
      <x:c r="P32" s="19" t="n">
        <x:f>WORKDAY('RESUMEN'!$D$3-1,AM32+1,'RESUMEN'!$J$6:$J$25)</x:f>
        <x:v>46441</x:v>
      </x:c>
      <x:c r="Q32" s="19" t="n">
        <x:f>WORKDAY('RESUMEN'!$D$3-1,AN32+0,'RESUMEN'!$J$6:$J$25)</x:f>
        <x:v>46454</x:v>
      </x:c>
      <x:c r="R32" s="18" t="n">
        <x:f>AM32-AK32</x:f>
        <x:v>0</x:v>
      </x:c>
      <x:c r="S32" s="18" t="str">
        <x:f>IF(R32=0,"Sí","No")</x:f>
        <x:v>Sí</x:v>
      </x:c>
      <x:c r="T32" s="18" t="n">
        <x:f>INT((N32-'RESUMEN'!$D$3)/7)+1</x:f>
        <x:v>17</x:v>
      </x:c>
      <x:c r="U32" s="18" t="n">
        <x:f>INT((O32-'RESUMEN'!$D$3)/7)+1</x:f>
        <x:v>19</x:v>
      </x:c>
      <x:c r="V32" s="25" t="str">
        <x:v>No iniciada</x:v>
      </x:c>
      <x:c r="W32" s="27" t="n">
        <x:v>0</x:v>
      </x:c>
      <x:c r="X32" s="18" t="str">
        <x:v>Comparar 2 escenarios; distinguir resultado factible y diagnóstico; exportar</x:v>
      </x:c>
      <x:c r="Y32" s="18" t="str">
        <x:v>P0</x:v>
      </x:c>
      <x:c r="Z32" s="22" t="n">
        <x:f>L32/8</x:f>
        <x:v>9.5</x:v>
      </x:c>
      <x:c r="AA32" s="25" t="n">
        <x:v>8</x:v>
      </x:c>
      <x:c r="AB32" s="25" t="n">
        <x:v>15</x:v>
      </x:c>
      <x:c r="AC32" s="18" t="str">
        <x:v>Repo, staging y casos sintéticos</x:v>
      </x:c>
      <x:c r="AD32" s="25" t="n">
        <x:v>12</x:v>
      </x:c>
      <x:c r="AE32" s="25" t="n">
        <x:v>0</x:v>
      </x:c>
      <x:c r="AF32" s="25" t="n">
        <x:v>0</x:v>
      </x:c>
      <x:c r="AG32" s="25" t="n">
        <x:v>56</x:v>
      </x:c>
      <x:c r="AH32" s="25" t="n">
        <x:v>8</x:v>
      </x:c>
      <x:c r="AI32" s="25" t="n">
        <x:v>0</x:v>
      </x:c>
      <x:c r="AJ32" s="25" t="n">
        <x:v>0</x:v>
      </x:c>
      <x:c r="AK32" s="18" t="n">
        <x:f>MAX(AL31,AL28)</x:f>
        <x:v>81</x:v>
      </x:c>
      <x:c r="AL32" s="18" t="n">
        <x:f>AK32+M32</x:f>
        <x:v>91</x:v>
      </x:c>
      <x:c r="AM32" s="18" t="n">
        <x:f>AN32-M32</x:f>
        <x:v>81</x:v>
      </x:c>
      <x:c r="AN32" s="18" t="n">
        <x:f>MIN(AM34,AM41)</x:f>
        <x:v>91</x:v>
      </x:c>
      <x:c r="AO32" s="18" t="n">
        <x:v>81</x:v>
      </x:c>
      <x:c r="AP32" s="18" t="n">
        <x:v>91</x:v>
      </x:c>
      <x:c r="AQ32" s="18" t="n">
        <x:f>AK32-AO32</x:f>
        <x:v>0</x:v>
      </x:c>
      <x:c r="AR32" s="18" t="n">
        <x:f>'RESUMEN'!$D$7</x:f>
        <x:v>15</x:v>
      </x:c>
      <x:c r="AS32" s="3"/>
    </x:row>
    <x:row r="33" ht="64" customHeight="1">
      <x:c r="A33" s="16" t="str">
        <x:v>T28</x:v>
      </x:c>
      <x:c r="B33" s="16" t="str">
        <x:v>3.12</x:v>
      </x:c>
      <x:c r="C33" s="16" t="str">
        <x:v>Producto SaaS</x:v>
      </x:c>
      <x:c r="D33" s="16" t="str">
        <x:v>Seguridad</x:v>
      </x:c>
      <x:c r="E33" s="16" t="str">
        <x:v>Sanear HTML, archivos y generación PDF</x:v>
      </x:c>
      <x:c r="F33" s="16" t="str">
        <x:v>Sanear HTML, archivos y generación PDF; revisar evidencia y registrar decisión.</x:v>
      </x:c>
      <x:c r="G33" s="16" t="str">
        <x:v>Render aislado y validado</x:v>
      </x:c>
      <x:c r="H33" s="16" t="str">
        <x:v>Empresa · backend</x:v>
      </x:c>
      <x:c r="I33" s="16" t="str">
        <x:v>OP, QA</x:v>
      </x:c>
      <x:c r="J33" s="25" t="str">
        <x:v>T06, T19, T20, T21, T22, T23</x:v>
      </x:c>
      <x:c r="K33" s="25" t="str">
        <x:v>T, T, R, R, R, R</x:v>
      </x:c>
      <x:c r="L33" s="16" t="n">
        <x:f>SUM(AD33:AJ33)</x:f>
        <x:v>64</x:v>
      </x:c>
      <x:c r="M33" s="25" t="n">
        <x:v>10</x:v>
      </x:c>
      <x:c r="N33" s="17" t="n">
        <x:f>WORKDAY('RESUMEN'!$D$3-1,AK33+1,'RESUMEN'!$J$6:$J$25)</x:f>
        <x:v>46420</x:v>
      </x:c>
      <x:c r="O33" s="17" t="n">
        <x:f>WORKDAY('RESUMEN'!$D$3-1,AL33+0,'RESUMEN'!$J$6:$J$25)</x:f>
        <x:v>46433</x:v>
      </x:c>
      <x:c r="P33" s="17" t="n">
        <x:f>WORKDAY('RESUMEN'!$D$3-1,AM33+1,'RESUMEN'!$J$6:$J$25)</x:f>
        <x:v>46441</x:v>
      </x:c>
      <x:c r="Q33" s="17" t="n">
        <x:f>WORKDAY('RESUMEN'!$D$3-1,AN33+0,'RESUMEN'!$J$6:$J$25)</x:f>
        <x:v>46454</x:v>
      </x:c>
      <x:c r="R33" s="16" t="n">
        <x:f>AM33-AK33</x:f>
        <x:v>15</x:v>
      </x:c>
      <x:c r="S33" s="16" t="str">
        <x:f>IF(R33=0,"Sí","No")</x:f>
        <x:v>No</x:v>
      </x:c>
      <x:c r="T33" s="16" t="n">
        <x:f>INT((N33-'RESUMEN'!$D$3)/7)+1</x:f>
        <x:v>14</x:v>
      </x:c>
      <x:c r="U33" s="16" t="n">
        <x:f>INT((O33-'RESUMEN'!$D$3)/7)+1</x:f>
        <x:v>16</x:v>
      </x:c>
      <x:c r="V33" s="25" t="str">
        <x:v>No iniciada</x:v>
      </x:c>
      <x:c r="W33" s="27" t="n">
        <x:v>0</x:v>
      </x:c>
      <x:c r="X33" s="16" t="str">
        <x:v>Pruebas de escape, traversal, URLs remotas y límites de tamaño; sin fuga entre casos</x:v>
      </x:c>
      <x:c r="Y33" s="16" t="str">
        <x:v>P0</x:v>
      </x:c>
      <x:c r="Z33" s="23" t="n">
        <x:f>L33/8</x:f>
        <x:v>8</x:v>
      </x:c>
      <x:c r="AA33" s="25" t="n">
        <x:v>8</x:v>
      </x:c>
      <x:c r="AB33" s="25" t="n">
        <x:v>15</x:v>
      </x:c>
      <x:c r="AC33" s="16" t="str">
        <x:v>Repo, staging y casos sintéticos</x:v>
      </x:c>
      <x:c r="AD33" s="25" t="n">
        <x:v>0</x:v>
      </x:c>
      <x:c r="AE33" s="25" t="n">
        <x:v>0</x:v>
      </x:c>
      <x:c r="AF33" s="25" t="n">
        <x:v>32</x:v>
      </x:c>
      <x:c r="AG33" s="25" t="n">
        <x:v>0</x:v>
      </x:c>
      <x:c r="AH33" s="25" t="n">
        <x:v>0</x:v>
      </x:c>
      <x:c r="AI33" s="25" t="n">
        <x:v>16</x:v>
      </x:c>
      <x:c r="AJ33" s="25" t="n">
        <x:v>16</x:v>
      </x:c>
      <x:c r="AK33" s="16" t="n">
        <x:f>MAX(AL11,AL24,AL25,AL26,AL27,AL28)</x:f>
        <x:v>66</x:v>
      </x:c>
      <x:c r="AL33" s="16" t="n">
        <x:f>AK33+M33</x:f>
        <x:v>76</x:v>
      </x:c>
      <x:c r="AM33" s="16" t="n">
        <x:f>AN33-M33</x:f>
        <x:v>81</x:v>
      </x:c>
      <x:c r="AN33" s="16" t="n">
        <x:f>MIN(AM34,AM35,AM42)</x:f>
        <x:v>91</x:v>
      </x:c>
      <x:c r="AO33" s="16" t="n">
        <x:v>66</x:v>
      </x:c>
      <x:c r="AP33" s="16" t="n">
        <x:v>76</x:v>
      </x:c>
      <x:c r="AQ33" s="16" t="n">
        <x:f>AK33-AO33</x:f>
        <x:v>0</x:v>
      </x:c>
      <x:c r="AR33" s="16" t="n">
        <x:f>'RESUMEN'!$D$7</x:f>
        <x:v>15</x:v>
      </x:c>
      <x:c r="AS33" s="3"/>
    </x:row>
    <x:row r="34" ht="64" customHeight="1">
      <x:c r="A34" s="18" t="str">
        <x:v>T29</x:v>
      </x:c>
      <x:c r="B34" s="18" t="str">
        <x:v>3.13</x:v>
      </x:c>
      <x:c r="C34" s="18" t="str">
        <x:v>Producto SaaS</x:v>
      </x:c>
      <x:c r="D34" s="18" t="str">
        <x:v>Reportes</x:v>
      </x:c>
      <x:c r="E34" s="18" t="str">
        <x:v>Asegurar exportaciones y paridad de cifras</x:v>
      </x:c>
      <x:c r="F34" s="18" t="str">
        <x:v>Asegurar exportaciones y paridad de cifras; revisar evidencia y registrar decisión.</x:v>
      </x:c>
      <x:c r="G34" s="18" t="str">
        <x:v>HTML/PDF/CSV/XLSX consistentes</x:v>
      </x:c>
      <x:c r="H34" s="18" t="str">
        <x:v>Alonso Peña</x:v>
      </x:c>
      <x:c r="I34" s="18" t="str">
        <x:v>QA, BE</x:v>
      </x:c>
      <x:c r="J34" s="25" t="str">
        <x:v>T27, T28</x:v>
      </x:c>
      <x:c r="K34" s="25" t="str">
        <x:v>T, T</x:v>
      </x:c>
      <x:c r="L34" s="18" t="n">
        <x:f>SUM(AD34:AJ34)</x:f>
        <x:v>60</x:v>
      </x:c>
      <x:c r="M34" s="25" t="n">
        <x:v>10</x:v>
      </x:c>
      <x:c r="N34" s="19" t="n">
        <x:f>WORKDAY('RESUMEN'!$D$3-1,AK34+1,'RESUMEN'!$J$6:$J$25)</x:f>
        <x:v>46455</x:v>
      </x:c>
      <x:c r="O34" s="19" t="n">
        <x:f>WORKDAY('RESUMEN'!$D$3-1,AL34+0,'RESUMEN'!$J$6:$J$25)</x:f>
        <x:v>46468</x:v>
      </x:c>
      <x:c r="P34" s="19" t="n">
        <x:f>WORKDAY('RESUMEN'!$D$3-1,AM34+1,'RESUMEN'!$J$6:$J$25)</x:f>
        <x:v>46455</x:v>
      </x:c>
      <x:c r="Q34" s="19" t="n">
        <x:f>WORKDAY('RESUMEN'!$D$3-1,AN34+0,'RESUMEN'!$J$6:$J$25)</x:f>
        <x:v>46468</x:v>
      </x:c>
      <x:c r="R34" s="18" t="n">
        <x:f>AM34-AK34</x:f>
        <x:v>0</x:v>
      </x:c>
      <x:c r="S34" s="18" t="str">
        <x:f>IF(R34=0,"Sí","No")</x:f>
        <x:v>Sí</x:v>
      </x:c>
      <x:c r="T34" s="18" t="n">
        <x:f>INT((N34-'RESUMEN'!$D$3)/7)+1</x:f>
        <x:v>19</x:v>
      </x:c>
      <x:c r="U34" s="18" t="n">
        <x:f>INT((O34-'RESUMEN'!$D$3)/7)+1</x:f>
        <x:v>21</x:v>
      </x:c>
      <x:c r="V34" s="25" t="str">
        <x:v>No iniciada</x:v>
      </x:c>
      <x:c r="W34" s="27" t="n">
        <x:v>0</x:v>
      </x:c>
      <x:c r="X34" s="18" t="str">
        <x:v>Mismos totales y unidades; backend PDF y dependencias en entorno limpio</x:v>
      </x:c>
      <x:c r="Y34" s="18" t="str">
        <x:v>P0</x:v>
      </x:c>
      <x:c r="Z34" s="22" t="n">
        <x:f>L34/8</x:f>
        <x:v>7.5</x:v>
      </x:c>
      <x:c r="AA34" s="25" t="n">
        <x:v>8</x:v>
      </x:c>
      <x:c r="AB34" s="25" t="n">
        <x:v>15</x:v>
      </x:c>
      <x:c r="AC34" s="18" t="str">
        <x:v>Repo, staging y casos sintéticos</x:v>
      </x:c>
      <x:c r="AD34" s="25" t="n">
        <x:v>28</x:v>
      </x:c>
      <x:c r="AE34" s="25" t="n">
        <x:v>0</x:v>
      </x:c>
      <x:c r="AF34" s="25" t="n">
        <x:v>8</x:v>
      </x:c>
      <x:c r="AG34" s="25" t="n">
        <x:v>0</x:v>
      </x:c>
      <x:c r="AH34" s="25" t="n">
        <x:v>0</x:v>
      </x:c>
      <x:c r="AI34" s="25" t="n">
        <x:v>24</x:v>
      </x:c>
      <x:c r="AJ34" s="25" t="n">
        <x:v>0</x:v>
      </x:c>
      <x:c r="AK34" s="18" t="n">
        <x:f>MAX(AL32,AL33)</x:f>
        <x:v>91</x:v>
      </x:c>
      <x:c r="AL34" s="18" t="n">
        <x:f>AK34+M34</x:f>
        <x:v>101</x:v>
      </x:c>
      <x:c r="AM34" s="18" t="n">
        <x:f>AN34-M34</x:f>
        <x:v>91</x:v>
      </x:c>
      <x:c r="AN34" s="18" t="n">
        <x:f>MIN(AM39)</x:f>
        <x:v>101</x:v>
      </x:c>
      <x:c r="AO34" s="18" t="n">
        <x:v>91</x:v>
      </x:c>
      <x:c r="AP34" s="18" t="n">
        <x:v>101</x:v>
      </x:c>
      <x:c r="AQ34" s="18" t="n">
        <x:f>AK34-AO34</x:f>
        <x:v>0</x:v>
      </x:c>
      <x:c r="AR34" s="18" t="n">
        <x:f>'RESUMEN'!$D$7</x:f>
        <x:v>15</x:v>
      </x:c>
      <x:c r="AS34" s="3"/>
    </x:row>
    <x:row r="35" ht="64" customHeight="1">
      <x:c r="A35" s="16" t="str">
        <x:v>T30</x:v>
      </x:c>
      <x:c r="B35" s="16" t="str">
        <x:v>3.14</x:v>
      </x:c>
      <x:c r="C35" s="16" t="str">
        <x:v>Producto SaaS</x:v>
      </x:c>
      <x:c r="D35" s="16" t="str">
        <x:v>Consumo</x:v>
      </x:c>
      <x:c r="E35" s="16" t="str">
        <x:v>Agregar límites y registro de consumo</x:v>
      </x:c>
      <x:c r="F35" s="16" t="str">
        <x:v>Agregar límites y registro de consumo; revisar evidencia y registrar decisión.</x:v>
      </x:c>
      <x:c r="G35" s="16" t="str">
        <x:v>Cuotas y ledger de uso</x:v>
      </x:c>
      <x:c r="H35" s="16" t="str">
        <x:v>Empresa · backend</x:v>
      </x:c>
      <x:c r="I35" s="16" t="str">
        <x:v>OP</x:v>
      </x:c>
      <x:c r="J35" s="25" t="str">
        <x:v>T22, T23, T28</x:v>
      </x:c>
      <x:c r="K35" s="25" t="str">
        <x:v>T, R, R</x:v>
      </x:c>
      <x:c r="L35" s="16" t="n">
        <x:f>SUM(AD35:AJ35)</x:f>
        <x:v>32</x:v>
      </x:c>
      <x:c r="M35" s="25" t="n">
        <x:v>5</x:v>
      </x:c>
      <x:c r="N35" s="17" t="n">
        <x:f>WORKDAY('RESUMEN'!$D$3-1,AK35+1,'RESUMEN'!$J$6:$J$25)</x:f>
        <x:v>46434</x:v>
      </x:c>
      <x:c r="O35" s="17" t="n">
        <x:f>WORKDAY('RESUMEN'!$D$3-1,AL35+0,'RESUMEN'!$J$6:$J$25)</x:f>
        <x:v>46440</x:v>
      </x:c>
      <x:c r="P35" s="17" t="n">
        <x:f>WORKDAY('RESUMEN'!$D$3-1,AM35+1,'RESUMEN'!$J$6:$J$25)</x:f>
        <x:v>46462</x:v>
      </x:c>
      <x:c r="Q35" s="17" t="n">
        <x:f>WORKDAY('RESUMEN'!$D$3-1,AN35+0,'RESUMEN'!$J$6:$J$25)</x:f>
        <x:v>46468</x:v>
      </x:c>
      <x:c r="R35" s="16" t="n">
        <x:f>AM35-AK35</x:f>
        <x:v>20</x:v>
      </x:c>
      <x:c r="S35" s="16" t="str">
        <x:f>IF(R35=0,"Sí","No")</x:f>
        <x:v>No</x:v>
      </x:c>
      <x:c r="T35" s="16" t="n">
        <x:f>INT((N35-'RESUMEN'!$D$3)/7)+1</x:f>
        <x:v>16</x:v>
      </x:c>
      <x:c r="U35" s="16" t="n">
        <x:f>INT((O35-'RESUMEN'!$D$3)/7)+1</x:f>
        <x:v>17</x:v>
      </x:c>
      <x:c r="V35" s="25" t="str">
        <x:v>No iniciada</x:v>
      </x:c>
      <x:c r="W35" s="27" t="n">
        <x:v>0</x:v>
      </x:c>
      <x:c r="X35" s="16" t="str">
        <x:v>Un trabajo idempotente se cuenta una vez; límite de concurrencia y de tamaño</x:v>
      </x:c>
      <x:c r="Y35" s="16" t="str">
        <x:v>P0</x:v>
      </x:c>
      <x:c r="Z35" s="23" t="n">
        <x:f>L35/8</x:f>
        <x:v>4</x:v>
      </x:c>
      <x:c r="AA35" s="25" t="n">
        <x:v>4</x:v>
      </x:c>
      <x:c r="AB35" s="25" t="n">
        <x:v>8</x:v>
      </x:c>
      <x:c r="AC35" s="16" t="str">
        <x:v>Repo, staging y casos sintéticos</x:v>
      </x:c>
      <x:c r="AD35" s="25" t="n">
        <x:v>0</x:v>
      </x:c>
      <x:c r="AE35" s="25" t="n">
        <x:v>0</x:v>
      </x:c>
      <x:c r="AF35" s="25" t="n">
        <x:v>24</x:v>
      </x:c>
      <x:c r="AG35" s="25" t="n">
        <x:v>0</x:v>
      </x:c>
      <x:c r="AH35" s="25" t="n">
        <x:v>0</x:v>
      </x:c>
      <x:c r="AI35" s="25" t="n">
        <x:v>0</x:v>
      </x:c>
      <x:c r="AJ35" s="25" t="n">
        <x:v>8</x:v>
      </x:c>
      <x:c r="AK35" s="16" t="n">
        <x:f>MAX(AL27,AL28,AL33)</x:f>
        <x:v>76</x:v>
      </x:c>
      <x:c r="AL35" s="16" t="n">
        <x:f>AK35+M35</x:f>
        <x:v>81</x:v>
      </x:c>
      <x:c r="AM35" s="16" t="n">
        <x:f>AN35-M35</x:f>
        <x:v>96</x:v>
      </x:c>
      <x:c r="AN35" s="16" t="n">
        <x:f>MIN(AM39)</x:f>
        <x:v>101</x:v>
      </x:c>
      <x:c r="AO35" s="16" t="n">
        <x:v>76</x:v>
      </x:c>
      <x:c r="AP35" s="16" t="n">
        <x:v>81</x:v>
      </x:c>
      <x:c r="AQ35" s="16" t="n">
        <x:f>AK35-AO35</x:f>
        <x:v>0</x:v>
      </x:c>
      <x:c r="AR35" s="16" t="n">
        <x:f>'RESUMEN'!$D$7</x:f>
        <x:v>15</x:v>
      </x:c>
      <x:c r="AS35" s="3"/>
    </x:row>
    <x:row r="36" ht="64" customHeight="1">
      <x:c r="A36" s="18" t="str">
        <x:v>T31</x:v>
      </x:c>
      <x:c r="B36" s="18" t="str">
        <x:v>3.15</x:v>
      </x:c>
      <x:c r="C36" s="18" t="str">
        <x:v>Producto SaaS</x:v>
      </x:c>
      <x:c r="D36" s="18" t="str">
        <x:v>Operación</x:v>
      </x:c>
      <x:c r="E36" s="18" t="str">
        <x:v>Respaldos, alertas y recuperación</x:v>
      </x:c>
      <x:c r="F36" s="18" t="str">
        <x:v>Respaldos, alertas y recuperación; revisar evidencia y registrar decisión.</x:v>
      </x:c>
      <x:c r="G36" s="18" t="str">
        <x:v>Runbook y restauración probada</x:v>
      </x:c>
      <x:c r="H36" s="18" t="str">
        <x:v>Empresa · operación</x:v>
      </x:c>
      <x:c r="I36" s="18" t="str">
        <x:v>QA</x:v>
      </x:c>
      <x:c r="J36" s="25" t="str">
        <x:v>T21, T19</x:v>
      </x:c>
      <x:c r="K36" s="25" t="str">
        <x:v>T, T</x:v>
      </x:c>
      <x:c r="L36" s="18" t="n">
        <x:f>SUM(AD36:AJ36)</x:f>
        <x:v>40</x:v>
      </x:c>
      <x:c r="M36" s="25" t="n">
        <x:v>10</x:v>
      </x:c>
      <x:c r="N36" s="19" t="n">
        <x:f>WORKDAY('RESUMEN'!$D$3-1,AK36+1,'RESUMEN'!$J$6:$J$25)</x:f>
        <x:v>46392</x:v>
      </x:c>
      <x:c r="O36" s="19" t="n">
        <x:f>WORKDAY('RESUMEN'!$D$3-1,AL36+0,'RESUMEN'!$J$6:$J$25)</x:f>
        <x:v>46405</x:v>
      </x:c>
      <x:c r="P36" s="19" t="n">
        <x:f>WORKDAY('RESUMEN'!$D$3-1,AM36+1,'RESUMEN'!$J$6:$J$25)</x:f>
        <x:v>46455</x:v>
      </x:c>
      <x:c r="Q36" s="19" t="n">
        <x:f>WORKDAY('RESUMEN'!$D$3-1,AN36+0,'RESUMEN'!$J$6:$J$25)</x:f>
        <x:v>46468</x:v>
      </x:c>
      <x:c r="R36" s="18" t="n">
        <x:f>AM36-AK36</x:f>
        <x:v>45</x:v>
      </x:c>
      <x:c r="S36" s="18" t="str">
        <x:f>IF(R36=0,"Sí","No")</x:f>
        <x:v>No</x:v>
      </x:c>
      <x:c r="T36" s="18" t="n">
        <x:f>INT((N36-'RESUMEN'!$D$3)/7)+1</x:f>
        <x:v>10</x:v>
      </x:c>
      <x:c r="U36" s="18" t="n">
        <x:f>INT((O36-'RESUMEN'!$D$3)/7)+1</x:f>
        <x:v>12</x:v>
      </x:c>
      <x:c r="V36" s="25" t="str">
        <x:v>No iniciada</x:v>
      </x:c>
      <x:c r="W36" s="27" t="n">
        <x:v>0</x:v>
      </x:c>
      <x:c r="X36" s="18" t="str">
        <x:v>RPO 24h/RTO 8h como objetivo inicial; restaurar staging y registrar tiempo</x:v>
      </x:c>
      <x:c r="Y36" s="18" t="str">
        <x:v>P0</x:v>
      </x:c>
      <x:c r="Z36" s="22" t="n">
        <x:f>L36/8</x:f>
        <x:v>5</x:v>
      </x:c>
      <x:c r="AA36" s="25" t="n">
        <x:v>8</x:v>
      </x:c>
      <x:c r="AB36" s="25" t="n">
        <x:v>15</x:v>
      </x:c>
      <x:c r="AC36" s="18" t="str">
        <x:v>Repo, staging y casos sintéticos</x:v>
      </x:c>
      <x:c r="AD36" s="25" t="n">
        <x:v>0</x:v>
      </x:c>
      <x:c r="AE36" s="25" t="n">
        <x:v>0</x:v>
      </x:c>
      <x:c r="AF36" s="25" t="n">
        <x:v>0</x:v>
      </x:c>
      <x:c r="AG36" s="25" t="n">
        <x:v>0</x:v>
      </x:c>
      <x:c r="AH36" s="25" t="n">
        <x:v>0</x:v>
      </x:c>
      <x:c r="AI36" s="25" t="n">
        <x:v>12</x:v>
      </x:c>
      <x:c r="AJ36" s="25" t="n">
        <x:v>28</x:v>
      </x:c>
      <x:c r="AK36" s="18" t="n">
        <x:f>MAX(AL26,AL24)</x:f>
        <x:v>46</x:v>
      </x:c>
      <x:c r="AL36" s="18" t="n">
        <x:f>AK36+M36</x:f>
        <x:v>56</x:v>
      </x:c>
      <x:c r="AM36" s="18" t="n">
        <x:f>AN36-M36</x:f>
        <x:v>91</x:v>
      </x:c>
      <x:c r="AN36" s="18" t="n">
        <x:f>MIN(AM39,AM49)</x:f>
        <x:v>101</x:v>
      </x:c>
      <x:c r="AO36" s="18" t="n">
        <x:v>46</x:v>
      </x:c>
      <x:c r="AP36" s="18" t="n">
        <x:v>56</x:v>
      </x:c>
      <x:c r="AQ36" s="18" t="n">
        <x:f>AK36-AO36</x:f>
        <x:v>0</x:v>
      </x:c>
      <x:c r="AR36" s="18" t="n">
        <x:f>'RESUMEN'!$D$7</x:f>
        <x:v>15</x:v>
      </x:c>
      <x:c r="AS36" s="3"/>
    </x:row>
    <x:row r="37" ht="64" customHeight="1">
      <x:c r="A37" s="16" t="str">
        <x:v>T32</x:v>
      </x:c>
      <x:c r="B37" s="16" t="str">
        <x:v>3.16</x:v>
      </x:c>
      <x:c r="C37" s="16" t="str">
        <x:v>Producto SaaS</x:v>
      </x:c>
      <x:c r="D37" s="16" t="str">
        <x:v>Privacidad</x:v>
      </x:c>
      <x:c r="E37" s="16" t="str">
        <x:v>Definir datos, retención y consentimiento</x:v>
      </x:c>
      <x:c r="F37" s="16" t="str">
        <x:v>Definir datos, retención y consentimiento; revisar evidencia y registrar decisión.</x:v>
      </x:c>
      <x:c r="G37" s="16" t="str">
        <x:v>Política y contrato de tratamiento</x:v>
      </x:c>
      <x:c r="H37" s="16" t="str">
        <x:v>Empresa · operación</x:v>
      </x:c>
      <x:c r="I37" s="16" t="str">
        <x:v>AM, BE</x:v>
      </x:c>
      <x:c r="J37" s="25" t="str">
        <x:v>T07</x:v>
      </x:c>
      <x:c r="K37" s="25" t="str">
        <x:v>V</x:v>
      </x:c>
      <x:c r="L37" s="16" t="n">
        <x:f>SUM(AD37:AJ37)</x:f>
        <x:v>32</x:v>
      </x:c>
      <x:c r="M37" s="25" t="n">
        <x:v>10</x:v>
      </x:c>
      <x:c r="N37" s="17" t="n">
        <x:f>WORKDAY('RESUMEN'!$D$3-1,AK37+1,'RESUMEN'!$J$6:$J$25)</x:f>
        <x:v>46364</x:v>
      </x:c>
      <x:c r="O37" s="17" t="n">
        <x:f>WORKDAY('RESUMEN'!$D$3-1,AL37+0,'RESUMEN'!$J$6:$J$25)</x:f>
        <x:v>46377</x:v>
      </x:c>
      <x:c r="P37" s="17" t="n">
        <x:f>WORKDAY('RESUMEN'!$D$3-1,AM37+1,'RESUMEN'!$J$6:$J$25)</x:f>
        <x:v>46455</x:v>
      </x:c>
      <x:c r="Q37" s="17" t="n">
        <x:f>WORKDAY('RESUMEN'!$D$3-1,AN37+0,'RESUMEN'!$J$6:$J$25)</x:f>
        <x:v>46468</x:v>
      </x:c>
      <x:c r="R37" s="16" t="n">
        <x:f>AM37-AK37</x:f>
        <x:v>65</x:v>
      </x:c>
      <x:c r="S37" s="16" t="str">
        <x:f>IF(R37=0,"Sí","No")</x:f>
        <x:v>No</x:v>
      </x:c>
      <x:c r="T37" s="16" t="n">
        <x:f>INT((N37-'RESUMEN'!$D$3)/7)+1</x:f>
        <x:v>6</x:v>
      </x:c>
      <x:c r="U37" s="16" t="n">
        <x:f>INT((O37-'RESUMEN'!$D$3)/7)+1</x:f>
        <x:v>8</x:v>
      </x:c>
      <x:c r="V37" s="25" t="str">
        <x:v>No iniciada</x:v>
      </x:c>
      <x:c r="W37" s="27" t="n">
        <x:v>0</x:v>
      </x:c>
      <x:c r="X37" s="16" t="str">
        <x:v>Inventario de datos; bajas/exportación; revisión jurídica externa requerida</x:v>
      </x:c>
      <x:c r="Y37" s="16" t="str">
        <x:v>P0</x:v>
      </x:c>
      <x:c r="Z37" s="23" t="n">
        <x:f>L37/8</x:f>
        <x:v>4</x:v>
      </x:c>
      <x:c r="AA37" s="25" t="n">
        <x:v>8</x:v>
      </x:c>
      <x:c r="AB37" s="25" t="n">
        <x:v>15</x:v>
      </x:c>
      <x:c r="AC37" s="16" t="str">
        <x:v>Repo, staging y casos sintéticos</x:v>
      </x:c>
      <x:c r="AD37" s="25" t="n">
        <x:v>0</x:v>
      </x:c>
      <x:c r="AE37" s="25" t="n">
        <x:v>8</x:v>
      </x:c>
      <x:c r="AF37" s="25" t="n">
        <x:v>8</x:v>
      </x:c>
      <x:c r="AG37" s="25" t="n">
        <x:v>0</x:v>
      </x:c>
      <x:c r="AH37" s="25" t="n">
        <x:v>0</x:v>
      </x:c>
      <x:c r="AI37" s="25" t="n">
        <x:v>0</x:v>
      </x:c>
      <x:c r="AJ37" s="25" t="n">
        <x:v>16</x:v>
      </x:c>
      <x:c r="AK37" s="16" t="n">
        <x:f>MAX(AL12)</x:f>
        <x:v>26</x:v>
      </x:c>
      <x:c r="AL37" s="16" t="n">
        <x:f>AK37+M37</x:f>
        <x:v>36</x:v>
      </x:c>
      <x:c r="AM37" s="16" t="n">
        <x:f>AN37-M37</x:f>
        <x:v>91</x:v>
      </x:c>
      <x:c r="AN37" s="16" t="n">
        <x:f>MIN(AM39)</x:f>
        <x:v>101</x:v>
      </x:c>
      <x:c r="AO37" s="16" t="n">
        <x:v>26</x:v>
      </x:c>
      <x:c r="AP37" s="16" t="n">
        <x:v>36</x:v>
      </x:c>
      <x:c r="AQ37" s="16" t="n">
        <x:f>AK37-AO37</x:f>
        <x:v>0</x:v>
      </x:c>
      <x:c r="AR37" s="16" t="n">
        <x:f>'RESUMEN'!$D$7</x:f>
        <x:v>15</x:v>
      </x:c>
      <x:c r="AS37" s="3"/>
    </x:row>
    <x:row r="38" ht="64" customHeight="1">
      <x:c r="A38" s="18" t="str">
        <x:v>T33</x:v>
      </x:c>
      <x:c r="B38" s="18" t="str">
        <x:v>3.17</x:v>
      </x:c>
      <x:c r="C38" s="18" t="str">
        <x:v>Producto SaaS</x:v>
      </x:c>
      <x:c r="D38" s="18" t="str">
        <x:v>Comercial</x:v>
      </x:c>
      <x:c r="E38" s="18" t="str">
        <x:v>Diseñar oferta, precio piloto y cobro manual</x:v>
      </x:c>
      <x:c r="F38" s="18" t="str">
        <x:v>Diseñar oferta, precio piloto y cobro manual; revisar evidencia y registrar decisión.</x:v>
      </x:c>
      <x:c r="G38" s="18" t="str">
        <x:v>Oferta de piloto y criterios de conversión</x:v>
      </x:c>
      <x:c r="H38" s="18" t="str">
        <x:v>Alejandro Maureira</x:v>
      </x:c>
      <x:c r="I38" s="18" t="str">
        <x:v>AP</x:v>
      </x:c>
      <x:c r="J38" s="25" t="str">
        <x:v>T07, T16</x:v>
      </x:c>
      <x:c r="K38" s="25" t="str">
        <x:v>V, R</x:v>
      </x:c>
      <x:c r="L38" s="18" t="n">
        <x:f>SUM(AD38:AJ38)</x:f>
        <x:v>16</x:v>
      </x:c>
      <x:c r="M38" s="25" t="n">
        <x:v>10</x:v>
      </x:c>
      <x:c r="N38" s="19" t="n">
        <x:f>WORKDAY('RESUMEN'!$D$3-1,AK38+1,'RESUMEN'!$J$6:$J$25)</x:f>
        <x:v>46371</x:v>
      </x:c>
      <x:c r="O38" s="19" t="n">
        <x:f>WORKDAY('RESUMEN'!$D$3-1,AL38+0,'RESUMEN'!$J$6:$J$25)</x:f>
        <x:v>46384</x:v>
      </x:c>
      <x:c r="P38" s="19" t="n">
        <x:f>WORKDAY('RESUMEN'!$D$3-1,AM38+1,'RESUMEN'!$J$6:$J$25)</x:f>
        <x:v>46472</x:v>
      </x:c>
      <x:c r="Q38" s="19" t="n">
        <x:f>WORKDAY('RESUMEN'!$D$3-1,AN38+0,'RESUMEN'!$J$6:$J$25)</x:f>
        <x:v>46485</x:v>
      </x:c>
      <x:c r="R38" s="18" t="n">
        <x:f>AM38-AK38</x:f>
        <x:v>73</x:v>
      </x:c>
      <x:c r="S38" s="18" t="str">
        <x:f>IF(R38=0,"Sí","No")</x:f>
        <x:v>No</x:v>
      </x:c>
      <x:c r="T38" s="18" t="n">
        <x:f>INT((N38-'RESUMEN'!$D$3)/7)+1</x:f>
        <x:v>7</x:v>
      </x:c>
      <x:c r="U38" s="18" t="n">
        <x:f>INT((O38-'RESUMEN'!$D$3)/7)+1</x:f>
        <x:v>9</x:v>
      </x:c>
      <x:c r="V38" s="25" t="str">
        <x:v>No iniciada</x:v>
      </x:c>
      <x:c r="W38" s="27" t="n">
        <x:v>0</x:v>
      </x:c>
      <x:c r="X38" s="18" t="str">
        <x:v>Definir comprador, servicio, límites, factura y soporte sin cobro API automático</x:v>
      </x:c>
      <x:c r="Y38" s="18" t="str">
        <x:v>P0</x:v>
      </x:c>
      <x:c r="Z38" s="22" t="n">
        <x:f>L38/8</x:f>
        <x:v>2</x:v>
      </x:c>
      <x:c r="AA38" s="25" t="n">
        <x:v>8</x:v>
      </x:c>
      <x:c r="AB38" s="25" t="n">
        <x:v>15</x:v>
      </x:c>
      <x:c r="AC38" s="18" t="str">
        <x:v>Repo, staging y casos sintéticos</x:v>
      </x:c>
      <x:c r="AD38" s="25" t="n">
        <x:v>4</x:v>
      </x:c>
      <x:c r="AE38" s="25" t="n">
        <x:v>12</x:v>
      </x:c>
      <x:c r="AF38" s="25" t="n">
        <x:v>0</x:v>
      </x:c>
      <x:c r="AG38" s="25" t="n">
        <x:v>0</x:v>
      </x:c>
      <x:c r="AH38" s="25" t="n">
        <x:v>0</x:v>
      </x:c>
      <x:c r="AI38" s="25" t="n">
        <x:v>0</x:v>
      </x:c>
      <x:c r="AJ38" s="25" t="n">
        <x:v>0</x:v>
      </x:c>
      <x:c r="AK38" s="18" t="n">
        <x:f>MAX(AL12,AL21)</x:f>
        <x:v>31</x:v>
      </x:c>
      <x:c r="AL38" s="18" t="n">
        <x:f>AK38+M38</x:f>
        <x:v>41</x:v>
      </x:c>
      <x:c r="AM38" s="18" t="n">
        <x:f>AN38-M38</x:f>
        <x:v>104</x:v>
      </x:c>
      <x:c r="AN38" s="18" t="n">
        <x:f>MIN(AM43,AM47)</x:f>
        <x:v>114</x:v>
      </x:c>
      <x:c r="AO38" s="18" t="n">
        <x:v>31</x:v>
      </x:c>
      <x:c r="AP38" s="18" t="n">
        <x:v>41</x:v>
      </x:c>
      <x:c r="AQ38" s="18" t="n">
        <x:f>AK38-AO38</x:f>
        <x:v>0</x:v>
      </x:c>
      <x:c r="AR38" s="18" t="n">
        <x:f>'RESUMEN'!$D$7</x:f>
        <x:v>15</x:v>
      </x:c>
      <x:c r="AS38" s="3"/>
    </x:row>
    <x:row r="39" ht="64" customHeight="1">
      <x:c r="A39" s="16" t="str">
        <x:v>T34</x:v>
      </x:c>
      <x:c r="B39" s="16" t="str">
        <x:v>4.01</x:v>
      </x:c>
      <x:c r="C39" s="16" t="str">
        <x:v>Piloto y calidad</x:v>
      </x:c>
      <x:c r="D39" s="16" t="str">
        <x:v>QA</x:v>
      </x:c>
      <x:c r="E39" s="16" t="str">
        <x:v>Pruebas de integración y aislamiento</x:v>
      </x:c>
      <x:c r="F39" s="16" t="str">
        <x:v>Pruebas de integración y aislamiento; revisar evidencia y registrar decisión.</x:v>
      </x:c>
      <x:c r="G39" s="16" t="str">
        <x:v>Informe QA y defectos</x:v>
      </x:c>
      <x:c r="H39" s="16" t="str">
        <x:v>Empresa · QA</x:v>
      </x:c>
      <x:c r="I39" s="16" t="str">
        <x:v>BE, AP</x:v>
      </x:c>
      <x:c r="J39" s="25" t="str">
        <x:v>T29, T30, T31, T32</x:v>
      </x:c>
      <x:c r="K39" s="25" t="str">
        <x:v>T, T, T, V</x:v>
      </x:c>
      <x:c r="L39" s="16" t="n">
        <x:f>SUM(AD39:AJ39)</x:f>
        <x:v>68</x:v>
      </x:c>
      <x:c r="M39" s="25" t="n">
        <x:v>8</x:v>
      </x:c>
      <x:c r="N39" s="17" t="n">
        <x:f>WORKDAY('RESUMEN'!$D$3-1,AK39+1,'RESUMEN'!$J$6:$J$25)</x:f>
        <x:v>46469</x:v>
      </x:c>
      <x:c r="O39" s="17" t="n">
        <x:f>WORKDAY('RESUMEN'!$D$3-1,AL39+0,'RESUMEN'!$J$6:$J$25)</x:f>
        <x:v>46478</x:v>
      </x:c>
      <x:c r="P39" s="17" t="n">
        <x:f>WORKDAY('RESUMEN'!$D$3-1,AM39+1,'RESUMEN'!$J$6:$J$25)</x:f>
        <x:v>46469</x:v>
      </x:c>
      <x:c r="Q39" s="17" t="n">
        <x:f>WORKDAY('RESUMEN'!$D$3-1,AN39+0,'RESUMEN'!$J$6:$J$25)</x:f>
        <x:v>46478</x:v>
      </x:c>
      <x:c r="R39" s="16" t="n">
        <x:f>AM39-AK39</x:f>
        <x:v>0</x:v>
      </x:c>
      <x:c r="S39" s="16" t="str">
        <x:f>IF(R39=0,"Sí","No")</x:f>
        <x:v>Sí</x:v>
      </x:c>
      <x:c r="T39" s="16" t="n">
        <x:f>INT((N39-'RESUMEN'!$D$3)/7)+1</x:f>
        <x:v>21</x:v>
      </x:c>
      <x:c r="U39" s="16" t="n">
        <x:f>INT((O39-'RESUMEN'!$D$3)/7)+1</x:f>
        <x:v>22</x:v>
      </x:c>
      <x:c r="V39" s="25" t="str">
        <x:v>No iniciada</x:v>
      </x:c>
      <x:c r="W39" s="27" t="n">
        <x:v>0</x:v>
      </x:c>
      <x:c r="X39" s="16" t="str">
        <x:v>Dos organizaciones, autorización por objeto y jobs concurrentes; sin defectos críticos</x:v>
      </x:c>
      <x:c r="Y39" s="16" t="str">
        <x:v>P0</x:v>
      </x:c>
      <x:c r="Z39" s="23" t="n">
        <x:f>L39/8</x:f>
        <x:v>8.5</x:v>
      </x:c>
      <x:c r="AA39" s="25" t="n">
        <x:v>6</x:v>
      </x:c>
      <x:c r="AB39" s="25" t="n">
        <x:v>12</x:v>
      </x:c>
      <x:c r="AC39" s="16" t="str">
        <x:v>Repo, staging y casos sintéticos</x:v>
      </x:c>
      <x:c r="AD39" s="25" t="n">
        <x:v>12</x:v>
      </x:c>
      <x:c r="AE39" s="25" t="n">
        <x:v>0</x:v>
      </x:c>
      <x:c r="AF39" s="25" t="n">
        <x:v>16</x:v>
      </x:c>
      <x:c r="AG39" s="25" t="n">
        <x:v>0</x:v>
      </x:c>
      <x:c r="AH39" s="25" t="n">
        <x:v>0</x:v>
      </x:c>
      <x:c r="AI39" s="25" t="n">
        <x:v>40</x:v>
      </x:c>
      <x:c r="AJ39" s="25" t="n">
        <x:v>0</x:v>
      </x:c>
      <x:c r="AK39" s="16" t="n">
        <x:f>MAX(AL34,AL35,AL36,AL37)</x:f>
        <x:v>101</x:v>
      </x:c>
      <x:c r="AL39" s="16" t="n">
        <x:f>AK39+M39</x:f>
        <x:v>109</x:v>
      </x:c>
      <x:c r="AM39" s="16" t="n">
        <x:f>AN39-M39</x:f>
        <x:v>101</x:v>
      </x:c>
      <x:c r="AN39" s="16" t="n">
        <x:f>MIN(AM40,AM42)</x:f>
        <x:v>109</x:v>
      </x:c>
      <x:c r="AO39" s="16" t="n">
        <x:v>101</x:v>
      </x:c>
      <x:c r="AP39" s="16" t="n">
        <x:v>109</x:v>
      </x:c>
      <x:c r="AQ39" s="16" t="n">
        <x:f>AK39-AO39</x:f>
        <x:v>0</x:v>
      </x:c>
      <x:c r="AR39" s="16" t="n">
        <x:f>'RESUMEN'!$D$7</x:f>
        <x:v>15</x:v>
      </x:c>
      <x:c r="AS39" s="3"/>
    </x:row>
    <x:row r="40" ht="64" customHeight="1">
      <x:c r="A40" s="18" t="str">
        <x:v>T35</x:v>
      </x:c>
      <x:c r="B40" s="18" t="str">
        <x:v>4.02</x:v>
      </x:c>
      <x:c r="C40" s="18" t="str">
        <x:v>Piloto y calidad</x:v>
      </x:c>
      <x:c r="D40" s="18" t="str">
        <x:v>QA</x:v>
      </x:c>
      <x:c r="E40" s="18" t="str">
        <x:v>Pruebas de carga y presupuesto de ejecución</x:v>
      </x:c>
      <x:c r="F40" s="18" t="str">
        <x:v>Pruebas de carga y presupuesto de ejecución; revisar evidencia y registrar decisión.</x:v>
      </x:c>
      <x:c r="G40" s="18" t="str">
        <x:v>Perfil CPU/RAM/tiempo y límites</x:v>
      </x:c>
      <x:c r="H40" s="18" t="str">
        <x:v>Empresa · QA</x:v>
      </x:c>
      <x:c r="I40" s="18" t="str">
        <x:v>OP, BE</x:v>
      </x:c>
      <x:c r="J40" s="25" t="str">
        <x:v>T34</x:v>
      </x:c>
      <x:c r="K40" s="25" t="str">
        <x:v>T</x:v>
      </x:c>
      <x:c r="L40" s="18" t="n">
        <x:f>SUM(AD40:AJ40)</x:f>
        <x:v>36</x:v>
      </x:c>
      <x:c r="M40" s="25" t="n">
        <x:v>5</x:v>
      </x:c>
      <x:c r="N40" s="19" t="n">
        <x:f>WORKDAY('RESUMEN'!$D$3-1,AK40+1,'RESUMEN'!$J$6:$J$25)</x:f>
        <x:v>46479</x:v>
      </x:c>
      <x:c r="O40" s="19" t="n">
        <x:f>WORKDAY('RESUMEN'!$D$3-1,AL40+0,'RESUMEN'!$J$6:$J$25)</x:f>
        <x:v>46485</x:v>
      </x:c>
      <x:c r="P40" s="19" t="n">
        <x:f>WORKDAY('RESUMEN'!$D$3-1,AM40+1,'RESUMEN'!$J$6:$J$25)</x:f>
        <x:v>46479</x:v>
      </x:c>
      <x:c r="Q40" s="19" t="n">
        <x:f>WORKDAY('RESUMEN'!$D$3-1,AN40+0,'RESUMEN'!$J$6:$J$25)</x:f>
        <x:v>46485</x:v>
      </x:c>
      <x:c r="R40" s="18" t="n">
        <x:f>AM40-AK40</x:f>
        <x:v>0</x:v>
      </x:c>
      <x:c r="S40" s="18" t="str">
        <x:f>IF(R40=0,"Sí","No")</x:f>
        <x:v>Sí</x:v>
      </x:c>
      <x:c r="T40" s="18" t="n">
        <x:f>INT((N40-'RESUMEN'!$D$3)/7)+1</x:f>
        <x:v>22</x:v>
      </x:c>
      <x:c r="U40" s="18" t="n">
        <x:f>INT((O40-'RESUMEN'!$D$3)/7)+1</x:f>
        <x:v>23</x:v>
      </x:c>
      <x:c r="V40" s="25" t="str">
        <x:v>No iniciada</x:v>
      </x:c>
      <x:c r="W40" s="27" t="n">
        <x:v>0</x:v>
      </x:c>
      <x:c r="X40" s="18" t="str">
        <x:v>Medir 3 tamaños y 5 jobs; límites evitan OOM; cola mantiene API disponible</x:v>
      </x:c>
      <x:c r="Y40" s="18" t="str">
        <x:v>P0</x:v>
      </x:c>
      <x:c r="Z40" s="22" t="n">
        <x:f>L40/8</x:f>
        <x:v>4.5</x:v>
      </x:c>
      <x:c r="AA40" s="25" t="n">
        <x:v>4</x:v>
      </x:c>
      <x:c r="AB40" s="25" t="n">
        <x:v>8</x:v>
      </x:c>
      <x:c r="AC40" s="18" t="str">
        <x:v>Repo, staging y casos sintéticos</x:v>
      </x:c>
      <x:c r="AD40" s="25" t="n">
        <x:v>0</x:v>
      </x:c>
      <x:c r="AE40" s="25" t="n">
        <x:v>0</x:v>
      </x:c>
      <x:c r="AF40" s="25" t="n">
        <x:v>4</x:v>
      </x:c>
      <x:c r="AG40" s="25" t="n">
        <x:v>0</x:v>
      </x:c>
      <x:c r="AH40" s="25" t="n">
        <x:v>0</x:v>
      </x:c>
      <x:c r="AI40" s="25" t="n">
        <x:v>20</x:v>
      </x:c>
      <x:c r="AJ40" s="25" t="n">
        <x:v>12</x:v>
      </x:c>
      <x:c r="AK40" s="18" t="n">
        <x:f>MAX(AL39)</x:f>
        <x:v>109</x:v>
      </x:c>
      <x:c r="AL40" s="18" t="n">
        <x:f>AK40+M40</x:f>
        <x:v>114</x:v>
      </x:c>
      <x:c r="AM40" s="18" t="n">
        <x:f>AN40-M40</x:f>
        <x:v>109</x:v>
      </x:c>
      <x:c r="AN40" s="18" t="n">
        <x:f>MIN(AM43)</x:f>
        <x:v>114</x:v>
      </x:c>
      <x:c r="AO40" s="18" t="n">
        <x:v>109</x:v>
      </x:c>
      <x:c r="AP40" s="18" t="n">
        <x:v>114</x:v>
      </x:c>
      <x:c r="AQ40" s="18" t="n">
        <x:f>AK40-AO40</x:f>
        <x:v>0</x:v>
      </x:c>
      <x:c r="AR40" s="18" t="n">
        <x:f>'RESUMEN'!$D$7</x:f>
        <x:v>15</x:v>
      </x:c>
      <x:c r="AS40" s="3"/>
    </x:row>
    <x:row r="41" ht="64" customHeight="1">
      <x:c r="A41" s="16" t="str">
        <x:v>T36</x:v>
      </x:c>
      <x:c r="B41" s="16" t="str">
        <x:v>4.03</x:v>
      </x:c>
      <x:c r="C41" s="16" t="str">
        <x:v>Piloto y calidad</x:v>
      </x:c>
      <x:c r="D41" s="16" t="str">
        <x:v>UX</x:v>
      </x:c>
      <x:c r="E41" s="16" t="str">
        <x:v>Validar accesibilidad y comprensión</x:v>
      </x:c>
      <x:c r="F41" s="16" t="str">
        <x:v>Validar accesibilidad y comprensión; revisar evidencia y registrar decisión.</x:v>
      </x:c>
      <x:c r="G41" s="16" t="str">
        <x:v>Prueba de uso y backlog corregido</x:v>
      </x:c>
      <x:c r="H41" s="16" t="str">
        <x:v>Empresa · UX</x:v>
      </x:c>
      <x:c r="I41" s="16" t="str">
        <x:v>FE, AM</x:v>
      </x:c>
      <x:c r="J41" s="25" t="str">
        <x:v>T27</x:v>
      </x:c>
      <x:c r="K41" s="25" t="str">
        <x:v>T</x:v>
      </x:c>
      <x:c r="L41" s="16" t="n">
        <x:f>SUM(AD41:AJ41)</x:f>
        <x:v>44</x:v>
      </x:c>
      <x:c r="M41" s="25" t="n">
        <x:v>10</x:v>
      </x:c>
      <x:c r="N41" s="17" t="n">
        <x:f>WORKDAY('RESUMEN'!$D$3-1,AK41+1,'RESUMEN'!$J$6:$J$25)</x:f>
        <x:v>46455</x:v>
      </x:c>
      <x:c r="O41" s="17" t="n">
        <x:f>WORKDAY('RESUMEN'!$D$3-1,AL41+0,'RESUMEN'!$J$6:$J$25)</x:f>
        <x:v>46468</x:v>
      </x:c>
      <x:c r="P41" s="17" t="n">
        <x:f>WORKDAY('RESUMEN'!$D$3-1,AM41+1,'RESUMEN'!$J$6:$J$25)</x:f>
        <x:v>46472</x:v>
      </x:c>
      <x:c r="Q41" s="17" t="n">
        <x:f>WORKDAY('RESUMEN'!$D$3-1,AN41+0,'RESUMEN'!$J$6:$J$25)</x:f>
        <x:v>46485</x:v>
      </x:c>
      <x:c r="R41" s="16" t="n">
        <x:f>AM41-AK41</x:f>
        <x:v>13</x:v>
      </x:c>
      <x:c r="S41" s="16" t="str">
        <x:f>IF(R41=0,"Sí","No")</x:f>
        <x:v>No</x:v>
      </x:c>
      <x:c r="T41" s="16" t="n">
        <x:f>INT((N41-'RESUMEN'!$D$3)/7)+1</x:f>
        <x:v>19</x:v>
      </x:c>
      <x:c r="U41" s="16" t="n">
        <x:f>INT((O41-'RESUMEN'!$D$3)/7)+1</x:f>
        <x:v>21</x:v>
      </x:c>
      <x:c r="V41" s="25" t="str">
        <x:v>No iniciada</x:v>
      </x:c>
      <x:c r="W41" s="27" t="n">
        <x:v>0</x:v>
      </x:c>
      <x:c r="X41" s="16" t="str">
        <x:v>4/5 explican resultado y supuestos; teclado, contraste y textos revisados</x:v>
      </x:c>
      <x:c r="Y41" s="16" t="str">
        <x:v>P0</x:v>
      </x:c>
      <x:c r="Z41" s="23" t="n">
        <x:f>L41/8</x:f>
        <x:v>5.5</x:v>
      </x:c>
      <x:c r="AA41" s="25" t="n">
        <x:v>8</x:v>
      </x:c>
      <x:c r="AB41" s="25" t="n">
        <x:v>15</x:v>
      </x:c>
      <x:c r="AC41" s="16" t="str">
        <x:v>Repo, staging y casos sintéticos</x:v>
      </x:c>
      <x:c r="AD41" s="25" t="n">
        <x:v>0</x:v>
      </x:c>
      <x:c r="AE41" s="25" t="n">
        <x:v>4</x:v>
      </x:c>
      <x:c r="AF41" s="25" t="n">
        <x:v>0</x:v>
      </x:c>
      <x:c r="AG41" s="25" t="n">
        <x:v>16</x:v>
      </x:c>
      <x:c r="AH41" s="25" t="n">
        <x:v>24</x:v>
      </x:c>
      <x:c r="AI41" s="25" t="n">
        <x:v>0</x:v>
      </x:c>
      <x:c r="AJ41" s="25" t="n">
        <x:v>0</x:v>
      </x:c>
      <x:c r="AK41" s="16" t="n">
        <x:f>MAX(AL32)</x:f>
        <x:v>91</x:v>
      </x:c>
      <x:c r="AL41" s="16" t="n">
        <x:f>AK41+M41</x:f>
        <x:v>101</x:v>
      </x:c>
      <x:c r="AM41" s="16" t="n">
        <x:f>AN41-M41</x:f>
        <x:v>104</x:v>
      </x:c>
      <x:c r="AN41" s="16" t="n">
        <x:f>MIN(AM43)</x:f>
        <x:v>114</x:v>
      </x:c>
      <x:c r="AO41" s="16" t="n">
        <x:v>91</x:v>
      </x:c>
      <x:c r="AP41" s="16" t="n">
        <x:v>101</x:v>
      </x:c>
      <x:c r="AQ41" s="16" t="n">
        <x:f>AK41-AO41</x:f>
        <x:v>0</x:v>
      </x:c>
      <x:c r="AR41" s="16" t="n">
        <x:f>'RESUMEN'!$D$7</x:f>
        <x:v>15</x:v>
      </x:c>
      <x:c r="AS41" s="3"/>
    </x:row>
    <x:row r="42" ht="64" customHeight="1">
      <x:c r="A42" s="18" t="str">
        <x:v>T37</x:v>
      </x:c>
      <x:c r="B42" s="18" t="str">
        <x:v>4.04</x:v>
      </x:c>
      <x:c r="C42" s="18" t="str">
        <x:v>Piloto y calidad</x:v>
      </x:c>
      <x:c r="D42" s="18" t="str">
        <x:v>Seguridad</x:v>
      </x:c>
      <x:c r="E42" s="18" t="str">
        <x:v>Revisión de seguridad previa al piloto</x:v>
      </x:c>
      <x:c r="F42" s="18" t="str">
        <x:v>Revisión de seguridad previa al piloto; revisar evidencia y registrar decisión.</x:v>
      </x:c>
      <x:c r="G42" s="18" t="str">
        <x:v>Checklist y revisión independiente</x:v>
      </x:c>
      <x:c r="H42" s="18" t="str">
        <x:v>Empresa · operación</x:v>
      </x:c>
      <x:c r="I42" s="18" t="str">
        <x:v>QA, BE</x:v>
      </x:c>
      <x:c r="J42" s="25" t="str">
        <x:v>T34, T28</x:v>
      </x:c>
      <x:c r="K42" s="25" t="str">
        <x:v>T, T</x:v>
      </x:c>
      <x:c r="L42" s="18" t="n">
        <x:f>SUM(AD42:AJ42)</x:f>
        <x:v>28</x:v>
      </x:c>
      <x:c r="M42" s="25" t="n">
        <x:v>5</x:v>
      </x:c>
      <x:c r="N42" s="19" t="n">
        <x:f>WORKDAY('RESUMEN'!$D$3-1,AK42+1,'RESUMEN'!$J$6:$J$25)</x:f>
        <x:v>46479</x:v>
      </x:c>
      <x:c r="O42" s="19" t="n">
        <x:f>WORKDAY('RESUMEN'!$D$3-1,AL42+0,'RESUMEN'!$J$6:$J$25)</x:f>
        <x:v>46485</x:v>
      </x:c>
      <x:c r="P42" s="19" t="n">
        <x:f>WORKDAY('RESUMEN'!$D$3-1,AM42+1,'RESUMEN'!$J$6:$J$25)</x:f>
        <x:v>46479</x:v>
      </x:c>
      <x:c r="Q42" s="19" t="n">
        <x:f>WORKDAY('RESUMEN'!$D$3-1,AN42+0,'RESUMEN'!$J$6:$J$25)</x:f>
        <x:v>46485</x:v>
      </x:c>
      <x:c r="R42" s="18" t="n">
        <x:f>AM42-AK42</x:f>
        <x:v>0</x:v>
      </x:c>
      <x:c r="S42" s="18" t="str">
        <x:f>IF(R42=0,"Sí","No")</x:f>
        <x:v>Sí</x:v>
      </x:c>
      <x:c r="T42" s="18" t="n">
        <x:f>INT((N42-'RESUMEN'!$D$3)/7)+1</x:f>
        <x:v>22</x:v>
      </x:c>
      <x:c r="U42" s="18" t="n">
        <x:f>INT((O42-'RESUMEN'!$D$3)/7)+1</x:f>
        <x:v>23</x:v>
      </x:c>
      <x:c r="V42" s="25" t="str">
        <x:v>No iniciada</x:v>
      </x:c>
      <x:c r="W42" s="27" t="n">
        <x:v>0</x:v>
      </x:c>
      <x:c r="X42" s="18" t="str">
        <x:v>Cero críticos/altos abiertos de aislamiento, secretos, archivos y autorización</x:v>
      </x:c>
      <x:c r="Y42" s="18" t="str">
        <x:v>P0</x:v>
      </x:c>
      <x:c r="Z42" s="22" t="n">
        <x:f>L42/8</x:f>
        <x:v>3.5</x:v>
      </x:c>
      <x:c r="AA42" s="25" t="n">
        <x:v>4</x:v>
      </x:c>
      <x:c r="AB42" s="25" t="n">
        <x:v>8</x:v>
      </x:c>
      <x:c r="AC42" s="18" t="str">
        <x:v>Repo, staging y casos sintéticos</x:v>
      </x:c>
      <x:c r="AD42" s="25" t="n">
        <x:v>0</x:v>
      </x:c>
      <x:c r="AE42" s="25" t="n">
        <x:v>0</x:v>
      </x:c>
      <x:c r="AF42" s="25" t="n">
        <x:v>4</x:v>
      </x:c>
      <x:c r="AG42" s="25" t="n">
        <x:v>0</x:v>
      </x:c>
      <x:c r="AH42" s="25" t="n">
        <x:v>0</x:v>
      </x:c>
      <x:c r="AI42" s="25" t="n">
        <x:v>12</x:v>
      </x:c>
      <x:c r="AJ42" s="25" t="n">
        <x:v>12</x:v>
      </x:c>
      <x:c r="AK42" s="18" t="n">
        <x:f>MAX(AL39,AL33)</x:f>
        <x:v>109</x:v>
      </x:c>
      <x:c r="AL42" s="18" t="n">
        <x:f>AK42+M42</x:f>
        <x:v>114</x:v>
      </x:c>
      <x:c r="AM42" s="18" t="n">
        <x:f>AN42-M42</x:f>
        <x:v>109</x:v>
      </x:c>
      <x:c r="AN42" s="18" t="n">
        <x:f>MIN(AM43,AM50)</x:f>
        <x:v>114</x:v>
      </x:c>
      <x:c r="AO42" s="18" t="n">
        <x:v>109</x:v>
      </x:c>
      <x:c r="AP42" s="18" t="n">
        <x:v>114</x:v>
      </x:c>
      <x:c r="AQ42" s="18" t="n">
        <x:f>AK42-AO42</x:f>
        <x:v>0</x:v>
      </x:c>
      <x:c r="AR42" s="18" t="n">
        <x:f>'RESUMEN'!$D$7</x:f>
        <x:v>15</x:v>
      </x:c>
      <x:c r="AS42" s="3"/>
    </x:row>
    <x:row r="43" ht="64" customHeight="1">
      <x:c r="A43" s="16" t="str">
        <x:v>T38</x:v>
      </x:c>
      <x:c r="B43" s="16" t="str">
        <x:v>4.05</x:v>
      </x:c>
      <x:c r="C43" s="16" t="str">
        <x:v>Piloto y calidad</x:v>
      </x:c>
      <x:c r="D43" s="16" t="str">
        <x:v>Piloto</x:v>
      </x:c>
      <x:c r="E43" s="16" t="str">
        <x:v>Autorizar piloto con datos reales</x:v>
      </x:c>
      <x:c r="F43" s="16" t="str">
        <x:v>Autorizar piloto con datos reales; revisar evidencia y registrar decisión.</x:v>
      </x:c>
      <x:c r="G43" s="16" t="str">
        <x:v>Acta go/no-go</x:v>
      </x:c>
      <x:c r="H43" s="16" t="str">
        <x:v>Alejandro Maureira</x:v>
      </x:c>
      <x:c r="I43" s="16" t="str">
        <x:v>AM, QA</x:v>
      </x:c>
      <x:c r="J43" s="25" t="str">
        <x:v>T15, T35, T36, T37, T33</x:v>
      </x:c>
      <x:c r="K43" s="25" t="str">
        <x:v>V, V, V, V, V</x:v>
      </x:c>
      <x:c r="L43" s="16" t="n">
        <x:f>SUM(AD43:AJ43)</x:f>
        <x:v>10</x:v>
      </x:c>
      <x:c r="M43" s="25" t="n">
        <x:v>2</x:v>
      </x:c>
      <x:c r="N43" s="17" t="n">
        <x:f>WORKDAY('RESUMEN'!$D$3-1,AK43+1,'RESUMEN'!$J$6:$J$25)</x:f>
        <x:v>46486</x:v>
      </x:c>
      <x:c r="O43" s="17" t="n">
        <x:f>WORKDAY('RESUMEN'!$D$3-1,AL43+0,'RESUMEN'!$J$6:$J$25)</x:f>
        <x:v>46489</x:v>
      </x:c>
      <x:c r="P43" s="17" t="n">
        <x:f>WORKDAY('RESUMEN'!$D$3-1,AM43+1,'RESUMEN'!$J$6:$J$25)</x:f>
        <x:v>46486</x:v>
      </x:c>
      <x:c r="Q43" s="17" t="n">
        <x:f>WORKDAY('RESUMEN'!$D$3-1,AN43+0,'RESUMEN'!$J$6:$J$25)</x:f>
        <x:v>46489</x:v>
      </x:c>
      <x:c r="R43" s="16" t="n">
        <x:f>AM43-AK43</x:f>
        <x:v>0</x:v>
      </x:c>
      <x:c r="S43" s="16" t="str">
        <x:f>IF(R43=0,"Sí","No")</x:f>
        <x:v>Sí</x:v>
      </x:c>
      <x:c r="T43" s="16" t="n">
        <x:f>INT((N43-'RESUMEN'!$D$3)/7)+1</x:f>
        <x:v>23</x:v>
      </x:c>
      <x:c r="U43" s="16" t="n">
        <x:f>INT((O43-'RESUMEN'!$D$3)/7)+1</x:f>
        <x:v>24</x:v>
      </x:c>
      <x:c r="V43" s="25" t="str">
        <x:v>No iniciada</x:v>
      </x:c>
      <x:c r="W43" s="27" t="n">
        <x:v>0</x:v>
      </x:c>
      <x:c r="X43" s="16" t="str">
        <x:v>Condiciones contractuales y privacidad aceptadas; fallback a piloto asistido</x:v>
      </x:c>
      <x:c r="Y43" s="16" t="str">
        <x:v>P0</x:v>
      </x:c>
      <x:c r="Z43" s="23" t="n">
        <x:f>L43/8</x:f>
        <x:v>1.25</x:v>
      </x:c>
      <x:c r="AA43" s="25" t="n">
        <x:v>2</x:v>
      </x:c>
      <x:c r="AB43" s="25" t="n">
        <x:v>3</x:v>
      </x:c>
      <x:c r="AC43" s="16" t="str">
        <x:v>Repo, staging y casos sintéticos</x:v>
      </x:c>
      <x:c r="AD43" s="25" t="n">
        <x:v>4</x:v>
      </x:c>
      <x:c r="AE43" s="25" t="n">
        <x:v>2</x:v>
      </x:c>
      <x:c r="AF43" s="25" t="n">
        <x:v>0</x:v>
      </x:c>
      <x:c r="AG43" s="25" t="n">
        <x:v>0</x:v>
      </x:c>
      <x:c r="AH43" s="25" t="n">
        <x:v>0</x:v>
      </x:c>
      <x:c r="AI43" s="25" t="n">
        <x:v>4</x:v>
      </x:c>
      <x:c r="AJ43" s="25" t="n">
        <x:v>0</x:v>
      </x:c>
      <x:c r="AK43" s="16" t="n">
        <x:f>MAX(AL20,AL40,AL41,AL42,AL38)</x:f>
        <x:v>114</x:v>
      </x:c>
      <x:c r="AL43" s="16" t="n">
        <x:f>AK43+M43</x:f>
        <x:v>116</x:v>
      </x:c>
      <x:c r="AM43" s="16" t="n">
        <x:f>AN43-M43</x:f>
        <x:v>114</x:v>
      </x:c>
      <x:c r="AN43" s="16" t="n">
        <x:f>MIN(AM44)</x:f>
        <x:v>116</x:v>
      </x:c>
      <x:c r="AO43" s="16" t="n">
        <x:v>114</x:v>
      </x:c>
      <x:c r="AP43" s="16" t="n">
        <x:v>116</x:v>
      </x:c>
      <x:c r="AQ43" s="16" t="n">
        <x:f>AK43-AO43</x:f>
        <x:v>0</x:v>
      </x:c>
      <x:c r="AR43" s="16" t="n">
        <x:f>'RESUMEN'!$D$7</x:f>
        <x:v>15</x:v>
      </x:c>
      <x:c r="AS43" s="3"/>
    </x:row>
    <x:row r="44" ht="64" customHeight="1">
      <x:c r="A44" s="18" t="str">
        <x:v>T39</x:v>
      </x:c>
      <x:c r="B44" s="18" t="str">
        <x:v>4.06</x:v>
      </x:c>
      <x:c r="C44" s="18" t="str">
        <x:v>Piloto y calidad</x:v>
      </x:c>
      <x:c r="D44" s="18" t="str">
        <x:v>Piloto</x:v>
      </x:c>
      <x:c r="E44" s="18" t="str">
        <x:v>Ejecutar primera ronda con tres organizaciones</x:v>
      </x:c>
      <x:c r="F44" s="18" t="str">
        <x:v>Ejecutar primera ronda con tres organizaciones; revisar evidencia y registrar decisión.</x:v>
      </x:c>
      <x:c r="G44" s="18" t="str">
        <x:v>3 casos completos y entrevistas</x:v>
      </x:c>
      <x:c r="H44" s="18" t="str">
        <x:v>Alonso Peña</x:v>
      </x:c>
      <x:c r="I44" s="18" t="str">
        <x:v>AM, UX, QA</x:v>
      </x:c>
      <x:c r="J44" s="25" t="str">
        <x:v>T38</x:v>
      </x:c>
      <x:c r="K44" s="25" t="str">
        <x:v>V</x:v>
      </x:c>
      <x:c r="L44" s="18" t="n">
        <x:f>SUM(AD44:AJ44)</x:f>
        <x:v>56</x:v>
      </x:c>
      <x:c r="M44" s="25" t="n">
        <x:v>5</x:v>
      </x:c>
      <x:c r="N44" s="19" t="n">
        <x:f>WORKDAY('RESUMEN'!$D$3-1,AK44+1,'RESUMEN'!$J$6:$J$25)</x:f>
        <x:v>46490</x:v>
      </x:c>
      <x:c r="O44" s="19" t="n">
        <x:f>WORKDAY('RESUMEN'!$D$3-1,AL44+0,'RESUMEN'!$J$6:$J$25)</x:f>
        <x:v>46496</x:v>
      </x:c>
      <x:c r="P44" s="19" t="n">
        <x:f>WORKDAY('RESUMEN'!$D$3-1,AM44+1,'RESUMEN'!$J$6:$J$25)</x:f>
        <x:v>46490</x:v>
      </x:c>
      <x:c r="Q44" s="19" t="n">
        <x:f>WORKDAY('RESUMEN'!$D$3-1,AN44+0,'RESUMEN'!$J$6:$J$25)</x:f>
        <x:v>46496</x:v>
      </x:c>
      <x:c r="R44" s="18" t="n">
        <x:f>AM44-AK44</x:f>
        <x:v>0</x:v>
      </x:c>
      <x:c r="S44" s="18" t="str">
        <x:f>IF(R44=0,"Sí","No")</x:f>
        <x:v>Sí</x:v>
      </x:c>
      <x:c r="T44" s="18" t="n">
        <x:f>INT((N44-'RESUMEN'!$D$3)/7)+1</x:f>
        <x:v>24</x:v>
      </x:c>
      <x:c r="U44" s="18" t="n">
        <x:f>INT((O44-'RESUMEN'!$D$3)/7)+1</x:f>
        <x:v>25</x:v>
      </x:c>
      <x:c r="V44" s="25" t="str">
        <x:v>No iniciada</x:v>
      </x:c>
      <x:c r="W44" s="27" t="n">
        <x:v>0</x:v>
      </x:c>
      <x:c r="X44" s="18" t="str">
        <x:v>Medir finalización, tiempo, exactitud y disposición a pagar; consentimiento documentado</x:v>
      </x:c>
      <x:c r="Y44" s="18" t="str">
        <x:v>P0</x:v>
      </x:c>
      <x:c r="Z44" s="22" t="n">
        <x:f>L44/8</x:f>
        <x:v>7</x:v>
      </x:c>
      <x:c r="AA44" s="25" t="n">
        <x:v>4</x:v>
      </x:c>
      <x:c r="AB44" s="25" t="n">
        <x:v>8</x:v>
      </x:c>
      <x:c r="AC44" s="18" t="str">
        <x:v>Repo, staging y casos sintéticos</x:v>
      </x:c>
      <x:c r="AD44" s="25" t="n">
        <x:v>24</x:v>
      </x:c>
      <x:c r="AE44" s="25" t="n">
        <x:v>8</x:v>
      </x:c>
      <x:c r="AF44" s="25" t="n">
        <x:v>0</x:v>
      </x:c>
      <x:c r="AG44" s="25" t="n">
        <x:v>0</x:v>
      </x:c>
      <x:c r="AH44" s="25" t="n">
        <x:v>12</x:v>
      </x:c>
      <x:c r="AI44" s="25" t="n">
        <x:v>12</x:v>
      </x:c>
      <x:c r="AJ44" s="25" t="n">
        <x:v>0</x:v>
      </x:c>
      <x:c r="AK44" s="18" t="n">
        <x:f>MAX(AL43)</x:f>
        <x:v>116</x:v>
      </x:c>
      <x:c r="AL44" s="18" t="n">
        <x:f>AK44+M44</x:f>
        <x:v>121</x:v>
      </x:c>
      <x:c r="AM44" s="18" t="n">
        <x:f>AN44-M44</x:f>
        <x:v>116</x:v>
      </x:c>
      <x:c r="AN44" s="18" t="n">
        <x:f>MIN(AM45,AM47)</x:f>
        <x:v>121</x:v>
      </x:c>
      <x:c r="AO44" s="18" t="n">
        <x:v>116</x:v>
      </x:c>
      <x:c r="AP44" s="18" t="n">
        <x:v>121</x:v>
      </x:c>
      <x:c r="AQ44" s="18" t="n">
        <x:f>AK44-AO44</x:f>
        <x:v>0</x:v>
      </x:c>
      <x:c r="AR44" s="18" t="n">
        <x:f>'RESUMEN'!$D$7</x:f>
        <x:v>15</x:v>
      </x:c>
      <x:c r="AS44" s="3"/>
    </x:row>
    <x:row r="45" ht="64" customHeight="1">
      <x:c r="A45" s="16" t="str">
        <x:v>T40</x:v>
      </x:c>
      <x:c r="B45" s="16" t="str">
        <x:v>4.07</x:v>
      </x:c>
      <x:c r="C45" s="16" t="str">
        <x:v>Piloto y calidad</x:v>
      </x:c>
      <x:c r="D45" s="16" t="str">
        <x:v>Producto</x:v>
      </x:c>
      <x:c r="E45" s="16" t="str">
        <x:v>Corregir defectos del piloto</x:v>
      </x:c>
      <x:c r="F45" s="16" t="str">
        <x:v>Corregir defectos del piloto; revisar evidencia y registrar decisión.</x:v>
      </x:c>
      <x:c r="G45" s="16" t="str">
        <x:v>Versión corregida</x:v>
      </x:c>
      <x:c r="H45" s="16" t="str">
        <x:v>Empresa · backend</x:v>
      </x:c>
      <x:c r="I45" s="16" t="str">
        <x:v>FE, AP, QA</x:v>
      </x:c>
      <x:c r="J45" s="25" t="str">
        <x:v>T39</x:v>
      </x:c>
      <x:c r="K45" s="25" t="str">
        <x:v>V</x:v>
      </x:c>
      <x:c r="L45" s="16" t="n">
        <x:f>SUM(AD45:AJ45)</x:f>
        <x:v>112</x:v>
      </x:c>
      <x:c r="M45" s="25" t="n">
        <x:v>10</x:v>
      </x:c>
      <x:c r="N45" s="17" t="n">
        <x:f>WORKDAY('RESUMEN'!$D$3-1,AK45+1,'RESUMEN'!$J$6:$J$25)</x:f>
        <x:v>46497</x:v>
      </x:c>
      <x:c r="O45" s="17" t="n">
        <x:f>WORKDAY('RESUMEN'!$D$3-1,AL45+0,'RESUMEN'!$J$6:$J$25)</x:f>
        <x:v>46510</x:v>
      </x:c>
      <x:c r="P45" s="17" t="n">
        <x:f>WORKDAY('RESUMEN'!$D$3-1,AM45+1,'RESUMEN'!$J$6:$J$25)</x:f>
        <x:v>46497</x:v>
      </x:c>
      <x:c r="Q45" s="17" t="n">
        <x:f>WORKDAY('RESUMEN'!$D$3-1,AN45+0,'RESUMEN'!$J$6:$J$25)</x:f>
        <x:v>46510</x:v>
      </x:c>
      <x:c r="R45" s="16" t="n">
        <x:f>AM45-AK45</x:f>
        <x:v>0</x:v>
      </x:c>
      <x:c r="S45" s="16" t="str">
        <x:f>IF(R45=0,"Sí","No")</x:f>
        <x:v>Sí</x:v>
      </x:c>
      <x:c r="T45" s="16" t="n">
        <x:f>INT((N45-'RESUMEN'!$D$3)/7)+1</x:f>
        <x:v>25</x:v>
      </x:c>
      <x:c r="U45" s="16" t="n">
        <x:f>INT((O45-'RESUMEN'!$D$3)/7)+1</x:f>
        <x:v>27</x:v>
      </x:c>
      <x:c r="V45" s="25" t="str">
        <x:v>No iniciada</x:v>
      </x:c>
      <x:c r="W45" s="27" t="n">
        <x:v>0</x:v>
      </x:c>
      <x:c r="X45" s="16" t="str">
        <x:v>Todos los bloqueantes de captura, cálculo y exportación cerrados y retesteados</x:v>
      </x:c>
      <x:c r="Y45" s="16" t="str">
        <x:v>P0</x:v>
      </x:c>
      <x:c r="Z45" s="23" t="n">
        <x:f>L45/8</x:f>
        <x:v>14</x:v>
      </x:c>
      <x:c r="AA45" s="25" t="n">
        <x:v>8</x:v>
      </x:c>
      <x:c r="AB45" s="25" t="n">
        <x:v>15</x:v>
      </x:c>
      <x:c r="AC45" s="16" t="str">
        <x:v>Repo, staging y casos sintéticos</x:v>
      </x:c>
      <x:c r="AD45" s="25" t="n">
        <x:v>24</x:v>
      </x:c>
      <x:c r="AE45" s="25" t="n">
        <x:v>0</x:v>
      </x:c>
      <x:c r="AF45" s="25" t="n">
        <x:v>32</x:v>
      </x:c>
      <x:c r="AG45" s="25" t="n">
        <x:v>32</x:v>
      </x:c>
      <x:c r="AH45" s="25" t="n">
        <x:v>0</x:v>
      </x:c>
      <x:c r="AI45" s="25" t="n">
        <x:v>24</x:v>
      </x:c>
      <x:c r="AJ45" s="25" t="n">
        <x:v>0</x:v>
      </x:c>
      <x:c r="AK45" s="16" t="n">
        <x:f>MAX(AL44)</x:f>
        <x:v>121</x:v>
      </x:c>
      <x:c r="AL45" s="16" t="n">
        <x:f>AK45+M45</x:f>
        <x:v>131</x:v>
      </x:c>
      <x:c r="AM45" s="16" t="n">
        <x:f>AN45-M45</x:f>
        <x:v>121</x:v>
      </x:c>
      <x:c r="AN45" s="16" t="n">
        <x:f>MIN(AM46,AM49)</x:f>
        <x:v>131</x:v>
      </x:c>
      <x:c r="AO45" s="16" t="n">
        <x:v>121</x:v>
      </x:c>
      <x:c r="AP45" s="16" t="n">
        <x:v>131</x:v>
      </x:c>
      <x:c r="AQ45" s="16" t="n">
        <x:f>AK45-AO45</x:f>
        <x:v>0</x:v>
      </x:c>
      <x:c r="AR45" s="16" t="n">
        <x:f>'RESUMEN'!$D$7</x:f>
        <x:v>15</x:v>
      </x:c>
      <x:c r="AS45" s="3"/>
    </x:row>
    <x:row r="46" ht="64" customHeight="1">
      <x:c r="A46" s="18" t="str">
        <x:v>T41</x:v>
      </x:c>
      <x:c r="B46" s="18" t="str">
        <x:v>4.08</x:v>
      </x:c>
      <x:c r="C46" s="18" t="str">
        <x:v>Piloto y calidad</x:v>
      </x:c>
      <x:c r="D46" s="18" t="str">
        <x:v>Piloto</x:v>
      </x:c>
      <x:c r="E46" s="18" t="str">
        <x:v>Repetir piloto y confirmar valor comercial</x:v>
      </x:c>
      <x:c r="F46" s="18" t="str">
        <x:v>Repetir piloto y confirmar valor comercial; revisar evidencia y registrar decisión.</x:v>
      </x:c>
      <x:c r="G46" s="18" t="str">
        <x:v>Resultados de segunda ronda</x:v>
      </x:c>
      <x:c r="H46" s="18" t="str">
        <x:v>Alonso Peña</x:v>
      </x:c>
      <x:c r="I46" s="18" t="str">
        <x:v>AM, UX, QA</x:v>
      </x:c>
      <x:c r="J46" s="25" t="str">
        <x:v>T40</x:v>
      </x:c>
      <x:c r="K46" s="25" t="str">
        <x:v>T</x:v>
      </x:c>
      <x:c r="L46" s="18" t="n">
        <x:f>SUM(AD46:AJ46)</x:f>
        <x:v>52</x:v>
      </x:c>
      <x:c r="M46" s="25" t="n">
        <x:v>5</x:v>
      </x:c>
      <x:c r="N46" s="19" t="n">
        <x:f>WORKDAY('RESUMEN'!$D$3-1,AK46+1,'RESUMEN'!$J$6:$J$25)</x:f>
        <x:v>46511</x:v>
      </x:c>
      <x:c r="O46" s="19" t="n">
        <x:f>WORKDAY('RESUMEN'!$D$3-1,AL46+0,'RESUMEN'!$J$6:$J$25)</x:f>
        <x:v>46517</x:v>
      </x:c>
      <x:c r="P46" s="19" t="n">
        <x:f>WORKDAY('RESUMEN'!$D$3-1,AM46+1,'RESUMEN'!$J$6:$J$25)</x:f>
        <x:v>46511</x:v>
      </x:c>
      <x:c r="Q46" s="19" t="n">
        <x:f>WORKDAY('RESUMEN'!$D$3-1,AN46+0,'RESUMEN'!$J$6:$J$25)</x:f>
        <x:v>46517</x:v>
      </x:c>
      <x:c r="R46" s="18" t="n">
        <x:f>AM46-AK46</x:f>
        <x:v>0</x:v>
      </x:c>
      <x:c r="S46" s="18" t="str">
        <x:f>IF(R46=0,"Sí","No")</x:f>
        <x:v>Sí</x:v>
      </x:c>
      <x:c r="T46" s="18" t="n">
        <x:f>INT((N46-'RESUMEN'!$D$3)/7)+1</x:f>
        <x:v>27</x:v>
      </x:c>
      <x:c r="U46" s="18" t="n">
        <x:f>INT((O46-'RESUMEN'!$D$3)/7)+1</x:f>
        <x:v>28</x:v>
      </x:c>
      <x:c r="V46" s="25" t="str">
        <x:v>No iniciada</x:v>
      </x:c>
      <x:c r="W46" s="27" t="n">
        <x:v>0</x:v>
      </x:c>
      <x:c r="X46" s="18" t="str">
        <x:v>3 organizaciones terminan; registrar aceptación y objeciones de compra</x:v>
      </x:c>
      <x:c r="Y46" s="18" t="str">
        <x:v>P0</x:v>
      </x:c>
      <x:c r="Z46" s="22" t="n">
        <x:f>L46/8</x:f>
        <x:v>6.5</x:v>
      </x:c>
      <x:c r="AA46" s="25" t="n">
        <x:v>4</x:v>
      </x:c>
      <x:c r="AB46" s="25" t="n">
        <x:v>8</x:v>
      </x:c>
      <x:c r="AC46" s="18" t="str">
        <x:v>Repo, staging y casos sintéticos</x:v>
      </x:c>
      <x:c r="AD46" s="25" t="n">
        <x:v>20</x:v>
      </x:c>
      <x:c r="AE46" s="25" t="n">
        <x:v>8</x:v>
      </x:c>
      <x:c r="AF46" s="25" t="n">
        <x:v>0</x:v>
      </x:c>
      <x:c r="AG46" s="25" t="n">
        <x:v>0</x:v>
      </x:c>
      <x:c r="AH46" s="25" t="n">
        <x:v>12</x:v>
      </x:c>
      <x:c r="AI46" s="25" t="n">
        <x:v>12</x:v>
      </x:c>
      <x:c r="AJ46" s="25" t="n">
        <x:v>0</x:v>
      </x:c>
      <x:c r="AK46" s="18" t="n">
        <x:f>MAX(AL45)</x:f>
        <x:v>131</x:v>
      </x:c>
      <x:c r="AL46" s="18" t="n">
        <x:f>AK46+M46</x:f>
        <x:v>136</x:v>
      </x:c>
      <x:c r="AM46" s="18" t="n">
        <x:f>AN46-M46</x:f>
        <x:v>131</x:v>
      </x:c>
      <x:c r="AN46" s="18" t="n">
        <x:f>MIN(AM48)</x:f>
        <x:v>136</x:v>
      </x:c>
      <x:c r="AO46" s="18" t="n">
        <x:v>131</x:v>
      </x:c>
      <x:c r="AP46" s="18" t="n">
        <x:v>136</x:v>
      </x:c>
      <x:c r="AQ46" s="18" t="n">
        <x:f>AK46-AO46</x:f>
        <x:v>0</x:v>
      </x:c>
      <x:c r="AR46" s="18" t="n">
        <x:f>'RESUMEN'!$D$7</x:f>
        <x:v>15</x:v>
      </x:c>
      <x:c r="AS46" s="3"/>
    </x:row>
    <x:row r="47" ht="64" customHeight="1">
      <x:c r="A47" s="16" t="str">
        <x:v>T42</x:v>
      </x:c>
      <x:c r="B47" s="16" t="str">
        <x:v>5.01</x:v>
      </x:c>
      <x:c r="C47" s="16" t="str">
        <x:v>Entrega comercial</x:v>
      </x:c>
      <x:c r="D47" s="16" t="str">
        <x:v>Comercial</x:v>
      </x:c>
      <x:c r="E47" s="16" t="str">
        <x:v>Preparar y negociar primera venta</x:v>
      </x:c>
      <x:c r="F47" s="16" t="str">
        <x:v>Preparar y negociar primera venta; revisar evidencia y registrar decisión.</x:v>
      </x:c>
      <x:c r="G47" s="16" t="str">
        <x:v>Propuesta y negociación documentada</x:v>
      </x:c>
      <x:c r="H47" s="16" t="str">
        <x:v>Alejandro Maureira</x:v>
      </x:c>
      <x:c r="I47" s="16" t="str">
        <x:v>AP</x:v>
      </x:c>
      <x:c r="J47" s="25" t="str">
        <x:v>T39, T33</x:v>
      </x:c>
      <x:c r="K47" s="25" t="str">
        <x:v>V, T</x:v>
      </x:c>
      <x:c r="L47" s="16" t="n">
        <x:f>SUM(AD47:AJ47)</x:f>
        <x:v>24</x:v>
      </x:c>
      <x:c r="M47" s="25" t="n">
        <x:v>10</x:v>
      </x:c>
      <x:c r="N47" s="17" t="n">
        <x:f>WORKDAY('RESUMEN'!$D$3-1,AK47+1,'RESUMEN'!$J$6:$J$25)</x:f>
        <x:v>46497</x:v>
      </x:c>
      <x:c r="O47" s="17" t="n">
        <x:f>WORKDAY('RESUMEN'!$D$3-1,AL47+0,'RESUMEN'!$J$6:$J$25)</x:f>
        <x:v>46510</x:v>
      </x:c>
      <x:c r="P47" s="17" t="n">
        <x:f>WORKDAY('RESUMEN'!$D$3-1,AM47+1,'RESUMEN'!$J$6:$J$25)</x:f>
        <x:v>46518</x:v>
      </x:c>
      <x:c r="Q47" s="17" t="n">
        <x:f>WORKDAY('RESUMEN'!$D$3-1,AN47+0,'RESUMEN'!$J$6:$J$25)</x:f>
        <x:v>46531</x:v>
      </x:c>
      <x:c r="R47" s="16" t="n">
        <x:f>AM47-AK47</x:f>
        <x:v>15</x:v>
      </x:c>
      <x:c r="S47" s="16" t="str">
        <x:f>IF(R47=0,"Sí","No")</x:f>
        <x:v>No</x:v>
      </x:c>
      <x:c r="T47" s="16" t="n">
        <x:f>INT((N47-'RESUMEN'!$D$3)/7)+1</x:f>
        <x:v>25</x:v>
      </x:c>
      <x:c r="U47" s="16" t="n">
        <x:f>INT((O47-'RESUMEN'!$D$3)/7)+1</x:f>
        <x:v>27</x:v>
      </x:c>
      <x:c r="V47" s="25" t="str">
        <x:v>No iniciada</x:v>
      </x:c>
      <x:c r="W47" s="27" t="n">
        <x:v>0</x:v>
      </x:c>
      <x:c r="X47" s="16" t="str">
        <x:v>Oferta enviada por Alejandro; objetivo 1 contrato pagado, sin garantizar decisión del cliente</x:v>
      </x:c>
      <x:c r="Y47" s="16" t="str">
        <x:v>P0</x:v>
      </x:c>
      <x:c r="Z47" s="23" t="n">
        <x:f>L47/8</x:f>
        <x:v>3</x:v>
      </x:c>
      <x:c r="AA47" s="25" t="n">
        <x:v>8</x:v>
      </x:c>
      <x:c r="AB47" s="25" t="n">
        <x:v>15</x:v>
      </x:c>
      <x:c r="AC47" s="16" t="str">
        <x:v>Repo, staging y casos sintéticos</x:v>
      </x:c>
      <x:c r="AD47" s="25" t="n">
        <x:v>8</x:v>
      </x:c>
      <x:c r="AE47" s="25" t="n">
        <x:v>16</x:v>
      </x:c>
      <x:c r="AF47" s="25" t="n">
        <x:v>0</x:v>
      </x:c>
      <x:c r="AG47" s="25" t="n">
        <x:v>0</x:v>
      </x:c>
      <x:c r="AH47" s="25" t="n">
        <x:v>0</x:v>
      </x:c>
      <x:c r="AI47" s="25" t="n">
        <x:v>0</x:v>
      </x:c>
      <x:c r="AJ47" s="25" t="n">
        <x:v>0</x:v>
      </x:c>
      <x:c r="AK47" s="16" t="n">
        <x:f>MAX(AL44,AL38)</x:f>
        <x:v>121</x:v>
      </x:c>
      <x:c r="AL47" s="16" t="n">
        <x:f>AK47+M47</x:f>
        <x:v>131</x:v>
      </x:c>
      <x:c r="AM47" s="16" t="n">
        <x:f>AN47-M47</x:f>
        <x:v>136</x:v>
      </x:c>
      <x:c r="AN47" s="16" t="n">
        <x:f>MIN(AM51)</x:f>
        <x:v>146</x:v>
      </x:c>
      <x:c r="AO47" s="16" t="n">
        <x:v>121</x:v>
      </x:c>
      <x:c r="AP47" s="16" t="n">
        <x:v>131</x:v>
      </x:c>
      <x:c r="AQ47" s="16" t="n">
        <x:f>AK47-AO47</x:f>
        <x:v>0</x:v>
      </x:c>
      <x:c r="AR47" s="16" t="n">
        <x:f>'RESUMEN'!$D$7</x:f>
        <x:v>15</x:v>
      </x:c>
      <x:c r="AS47" s="3"/>
    </x:row>
    <x:row r="48" ht="64" customHeight="1">
      <x:c r="A48" s="18" t="str">
        <x:v>T43</x:v>
      </x:c>
      <x:c r="B48" s="18" t="str">
        <x:v>5.02</x:v>
      </x:c>
      <x:c r="C48" s="18" t="str">
        <x:v>Entrega comercial</x:v>
      </x:c>
      <x:c r="D48" s="18" t="str">
        <x:v>Producto</x:v>
      </x:c>
      <x:c r="E48" s="18" t="str">
        <x:v>Resolver pendientes de experiencia y soporte</x:v>
      </x:c>
      <x:c r="F48" s="18" t="str">
        <x:v>Resolver pendientes de experiencia y soporte; revisar evidencia y registrar decisión.</x:v>
      </x:c>
      <x:c r="G48" s="18" t="str">
        <x:v>Interfaz consolidada y ayuda</x:v>
      </x:c>
      <x:c r="H48" s="18" t="str">
        <x:v>Empresa · frontend</x:v>
      </x:c>
      <x:c r="I48" s="18" t="str">
        <x:v>UX, QA</x:v>
      </x:c>
      <x:c r="J48" s="25" t="str">
        <x:v>T41</x:v>
      </x:c>
      <x:c r="K48" s="25" t="str">
        <x:v>V</x:v>
      </x:c>
      <x:c r="L48" s="18" t="n">
        <x:f>SUM(AD48:AJ48)</x:f>
        <x:v>48</x:v>
      </x:c>
      <x:c r="M48" s="25" t="n">
        <x:v>5</x:v>
      </x:c>
      <x:c r="N48" s="19" t="n">
        <x:f>WORKDAY('RESUMEN'!$D$3-1,AK48+1,'RESUMEN'!$J$6:$J$25)</x:f>
        <x:v>46518</x:v>
      </x:c>
      <x:c r="O48" s="19" t="n">
        <x:f>WORKDAY('RESUMEN'!$D$3-1,AL48+0,'RESUMEN'!$J$6:$J$25)</x:f>
        <x:v>46524</x:v>
      </x:c>
      <x:c r="P48" s="19" t="n">
        <x:f>WORKDAY('RESUMEN'!$D$3-1,AM48+1,'RESUMEN'!$J$6:$J$25)</x:f>
        <x:v>46518</x:v>
      </x:c>
      <x:c r="Q48" s="19" t="n">
        <x:f>WORKDAY('RESUMEN'!$D$3-1,AN48+0,'RESUMEN'!$J$6:$J$25)</x:f>
        <x:v>46524</x:v>
      </x:c>
      <x:c r="R48" s="18" t="n">
        <x:f>AM48-AK48</x:f>
        <x:v>0</x:v>
      </x:c>
      <x:c r="S48" s="18" t="str">
        <x:f>IF(R48=0,"Sí","No")</x:f>
        <x:v>Sí</x:v>
      </x:c>
      <x:c r="T48" s="18" t="n">
        <x:f>INT((N48-'RESUMEN'!$D$3)/7)+1</x:f>
        <x:v>28</x:v>
      </x:c>
      <x:c r="U48" s="18" t="n">
        <x:f>INT((O48-'RESUMEN'!$D$3)/7)+1</x:f>
        <x:v>29</x:v>
      </x:c>
      <x:c r="V48" s="25" t="str">
        <x:v>No iniciada</x:v>
      </x:c>
      <x:c r="W48" s="27" t="n">
        <x:v>0</x:v>
      </x:c>
      <x:c r="X48" s="18" t="str">
        <x:v>Recorrido principal sin asistencia técnica; mensajes y soporte consistentes</x:v>
      </x:c>
      <x:c r="Y48" s="18" t="str">
        <x:v>P0</x:v>
      </x:c>
      <x:c r="Z48" s="22" t="n">
        <x:f>L48/8</x:f>
        <x:v>6</x:v>
      </x:c>
      <x:c r="AA48" s="25" t="n">
        <x:v>4</x:v>
      </x:c>
      <x:c r="AB48" s="25" t="n">
        <x:v>8</x:v>
      </x:c>
      <x:c r="AC48" s="18" t="str">
        <x:v>Repo, staging y casos sintéticos</x:v>
      </x:c>
      <x:c r="AD48" s="25" t="n">
        <x:v>0</x:v>
      </x:c>
      <x:c r="AE48" s="25" t="n">
        <x:v>0</x:v>
      </x:c>
      <x:c r="AF48" s="25" t="n">
        <x:v>0</x:v>
      </x:c>
      <x:c r="AG48" s="25" t="n">
        <x:v>28</x:v>
      </x:c>
      <x:c r="AH48" s="25" t="n">
        <x:v>8</x:v>
      </x:c>
      <x:c r="AI48" s="25" t="n">
        <x:v>12</x:v>
      </x:c>
      <x:c r="AJ48" s="25" t="n">
        <x:v>0</x:v>
      </x:c>
      <x:c r="AK48" s="18" t="n">
        <x:f>MAX(AL46)</x:f>
        <x:v>136</x:v>
      </x:c>
      <x:c r="AL48" s="18" t="n">
        <x:f>AK48+M48</x:f>
        <x:v>141</x:v>
      </x:c>
      <x:c r="AM48" s="18" t="n">
        <x:f>AN48-M48</x:f>
        <x:v>136</x:v>
      </x:c>
      <x:c r="AN48" s="18" t="n">
        <x:f>MIN(AM50)</x:f>
        <x:v>141</x:v>
      </x:c>
      <x:c r="AO48" s="18" t="n">
        <x:v>136</x:v>
      </x:c>
      <x:c r="AP48" s="18" t="n">
        <x:v>141</x:v>
      </x:c>
      <x:c r="AQ48" s="18" t="n">
        <x:f>AK48-AO48</x:f>
        <x:v>0</x:v>
      </x:c>
      <x:c r="AR48" s="18" t="n">
        <x:f>'RESUMEN'!$D$7</x:f>
        <x:v>15</x:v>
      </x:c>
      <x:c r="AS48" s="3"/>
    </x:row>
    <x:row r="49" ht="64" customHeight="1">
      <x:c r="A49" s="16" t="str">
        <x:v>T44</x:v>
      </x:c>
      <x:c r="B49" s="16" t="str">
        <x:v>5.03</x:v>
      </x:c>
      <x:c r="C49" s="16" t="str">
        <x:v>Entrega comercial</x:v>
      </x:c>
      <x:c r="D49" s="16" t="str">
        <x:v>Operación</x:v>
      </x:c>
      <x:c r="E49" s="16" t="str">
        <x:v>Transferir operación y mantenimiento</x:v>
      </x:c>
      <x:c r="F49" s="16" t="str">
        <x:v>Transferir operación y mantenimiento; revisar evidencia y registrar decisión.</x:v>
      </x:c>
      <x:c r="G49" s="16" t="str">
        <x:v>Runbooks, accesos y capacitación</x:v>
      </x:c>
      <x:c r="H49" s="16" t="str">
        <x:v>Empresa · operación</x:v>
      </x:c>
      <x:c r="I49" s="16" t="str">
        <x:v>BE, AP</x:v>
      </x:c>
      <x:c r="J49" s="25" t="str">
        <x:v>T40, T31</x:v>
      </x:c>
      <x:c r="K49" s="25" t="str">
        <x:v>T, T</x:v>
      </x:c>
      <x:c r="L49" s="16" t="n">
        <x:f>SUM(AD49:AJ49)</x:f>
        <x:v>56</x:v>
      </x:c>
      <x:c r="M49" s="25" t="n">
        <x:v>10</x:v>
      </x:c>
      <x:c r="N49" s="17" t="n">
        <x:f>WORKDAY('RESUMEN'!$D$3-1,AK49+1,'RESUMEN'!$J$6:$J$25)</x:f>
        <x:v>46511</x:v>
      </x:c>
      <x:c r="O49" s="17" t="n">
        <x:f>WORKDAY('RESUMEN'!$D$3-1,AL49+0,'RESUMEN'!$J$6:$J$25)</x:f>
        <x:v>46524</x:v>
      </x:c>
      <x:c r="P49" s="17" t="n">
        <x:f>WORKDAY('RESUMEN'!$D$3-1,AM49+1,'RESUMEN'!$J$6:$J$25)</x:f>
        <x:v>46511</x:v>
      </x:c>
      <x:c r="Q49" s="17" t="n">
        <x:f>WORKDAY('RESUMEN'!$D$3-1,AN49+0,'RESUMEN'!$J$6:$J$25)</x:f>
        <x:v>46524</x:v>
      </x:c>
      <x:c r="R49" s="16" t="n">
        <x:f>AM49-AK49</x:f>
        <x:v>0</x:v>
      </x:c>
      <x:c r="S49" s="16" t="str">
        <x:f>IF(R49=0,"Sí","No")</x:f>
        <x:v>Sí</x:v>
      </x:c>
      <x:c r="T49" s="16" t="n">
        <x:f>INT((N49-'RESUMEN'!$D$3)/7)+1</x:f>
        <x:v>27</x:v>
      </x:c>
      <x:c r="U49" s="16" t="n">
        <x:f>INT((O49-'RESUMEN'!$D$3)/7)+1</x:f>
        <x:v>29</x:v>
      </x:c>
      <x:c r="V49" s="25" t="str">
        <x:v>No iniciada</x:v>
      </x:c>
      <x:c r="W49" s="27" t="n">
        <x:v>0</x:v>
      </x:c>
      <x:c r="X49" s="16" t="str">
        <x:v>Alonso despliega y restaura sin proveedor; cuentas corporativas, SBOM y manual</x:v>
      </x:c>
      <x:c r="Y49" s="16" t="str">
        <x:v>P0</x:v>
      </x:c>
      <x:c r="Z49" s="23" t="n">
        <x:f>L49/8</x:f>
        <x:v>7</x:v>
      </x:c>
      <x:c r="AA49" s="25" t="n">
        <x:v>8</x:v>
      </x:c>
      <x:c r="AB49" s="25" t="n">
        <x:v>15</x:v>
      </x:c>
      <x:c r="AC49" s="16" t="str">
        <x:v>Repo, staging y casos sintéticos</x:v>
      </x:c>
      <x:c r="AD49" s="25" t="n">
        <x:v>16</x:v>
      </x:c>
      <x:c r="AE49" s="25" t="n">
        <x:v>0</x:v>
      </x:c>
      <x:c r="AF49" s="25" t="n">
        <x:v>16</x:v>
      </x:c>
      <x:c r="AG49" s="25" t="n">
        <x:v>0</x:v>
      </x:c>
      <x:c r="AH49" s="25" t="n">
        <x:v>0</x:v>
      </x:c>
      <x:c r="AI49" s="25" t="n">
        <x:v>0</x:v>
      </x:c>
      <x:c r="AJ49" s="25" t="n">
        <x:v>24</x:v>
      </x:c>
      <x:c r="AK49" s="16" t="n">
        <x:f>MAX(AL45,AL36)</x:f>
        <x:v>131</x:v>
      </x:c>
      <x:c r="AL49" s="16" t="n">
        <x:f>AK49+M49</x:f>
        <x:v>141</x:v>
      </x:c>
      <x:c r="AM49" s="16" t="n">
        <x:f>AN49-M49</x:f>
        <x:v>131</x:v>
      </x:c>
      <x:c r="AN49" s="16" t="n">
        <x:f>MIN(AM50)</x:f>
        <x:v>141</x:v>
      </x:c>
      <x:c r="AO49" s="16" t="n">
        <x:v>131</x:v>
      </x:c>
      <x:c r="AP49" s="16" t="n">
        <x:v>141</x:v>
      </x:c>
      <x:c r="AQ49" s="16" t="n">
        <x:f>AK49-AO49</x:f>
        <x:v>0</x:v>
      </x:c>
      <x:c r="AR49" s="16" t="n">
        <x:f>'RESUMEN'!$D$7</x:f>
        <x:v>15</x:v>
      </x:c>
      <x:c r="AS49" s="3"/>
    </x:row>
    <x:row r="50" ht="64" customHeight="1">
      <x:c r="A50" s="18" t="str">
        <x:v>T45</x:v>
      </x:c>
      <x:c r="B50" s="18" t="str">
        <x:v>5.04</x:v>
      </x:c>
      <x:c r="C50" s="18" t="str">
        <x:v>Entrega comercial</x:v>
      </x:c>
      <x:c r="D50" s="18" t="str">
        <x:v>QA</x:v>
      </x:c>
      <x:c r="E50" s="18" t="str">
        <x:v>Validar versión candidata y recuperación</x:v>
      </x:c>
      <x:c r="F50" s="18" t="str">
        <x:v>Validar versión candidata y recuperación; revisar evidencia y registrar decisión.</x:v>
      </x:c>
      <x:c r="G50" s="18" t="str">
        <x:v>Informe final de calidad</x:v>
      </x:c>
      <x:c r="H50" s="18" t="str">
        <x:v>Empresa · QA</x:v>
      </x:c>
      <x:c r="I50" s="18" t="str">
        <x:v>AP, OP</x:v>
      </x:c>
      <x:c r="J50" s="25" t="str">
        <x:v>T43, T44, T37</x:v>
      </x:c>
      <x:c r="K50" s="25" t="str">
        <x:v>T, T, T</x:v>
      </x:c>
      <x:c r="L50" s="18" t="n">
        <x:f>SUM(AD50:AJ50)</x:f>
        <x:v>40</x:v>
      </x:c>
      <x:c r="M50" s="25" t="n">
        <x:v>5</x:v>
      </x:c>
      <x:c r="N50" s="19" t="n">
        <x:f>WORKDAY('RESUMEN'!$D$3-1,AK50+1,'RESUMEN'!$J$6:$J$25)</x:f>
        <x:v>46525</x:v>
      </x:c>
      <x:c r="O50" s="19" t="n">
        <x:f>WORKDAY('RESUMEN'!$D$3-1,AL50+0,'RESUMEN'!$J$6:$J$25)</x:f>
        <x:v>46531</x:v>
      </x:c>
      <x:c r="P50" s="19" t="n">
        <x:f>WORKDAY('RESUMEN'!$D$3-1,AM50+1,'RESUMEN'!$J$6:$J$25)</x:f>
        <x:v>46525</x:v>
      </x:c>
      <x:c r="Q50" s="19" t="n">
        <x:f>WORKDAY('RESUMEN'!$D$3-1,AN50+0,'RESUMEN'!$J$6:$J$25)</x:f>
        <x:v>46531</x:v>
      </x:c>
      <x:c r="R50" s="18" t="n">
        <x:f>AM50-AK50</x:f>
        <x:v>0</x:v>
      </x:c>
      <x:c r="S50" s="18" t="str">
        <x:f>IF(R50=0,"Sí","No")</x:f>
        <x:v>Sí</x:v>
      </x:c>
      <x:c r="T50" s="18" t="n">
        <x:f>INT((N50-'RESUMEN'!$D$3)/7)+1</x:f>
        <x:v>29</x:v>
      </x:c>
      <x:c r="U50" s="18" t="n">
        <x:f>INT((O50-'RESUMEN'!$D$3)/7)+1</x:f>
        <x:v>30</x:v>
      </x:c>
      <x:c r="V50" s="25" t="str">
        <x:v>No iniciada</x:v>
      </x:c>
      <x:c r="W50" s="27" t="n">
        <x:v>0</x:v>
      </x:c>
      <x:c r="X50" s="18" t="str">
        <x:v>Suite, instalación limpia, migración, rollback y 3 casos patrón pasan</x:v>
      </x:c>
      <x:c r="Y50" s="18" t="str">
        <x:v>P0</x:v>
      </x:c>
      <x:c r="Z50" s="22" t="n">
        <x:f>L50/8</x:f>
        <x:v>5</x:v>
      </x:c>
      <x:c r="AA50" s="25" t="n">
        <x:v>4</x:v>
      </x:c>
      <x:c r="AB50" s="25" t="n">
        <x:v>8</x:v>
      </x:c>
      <x:c r="AC50" s="18" t="str">
        <x:v>Repo, staging y casos sintéticos</x:v>
      </x:c>
      <x:c r="AD50" s="25" t="n">
        <x:v>8</x:v>
      </x:c>
      <x:c r="AE50" s="25" t="n">
        <x:v>0</x:v>
      </x:c>
      <x:c r="AF50" s="25" t="n">
        <x:v>0</x:v>
      </x:c>
      <x:c r="AG50" s="25" t="n">
        <x:v>0</x:v>
      </x:c>
      <x:c r="AH50" s="25" t="n">
        <x:v>0</x:v>
      </x:c>
      <x:c r="AI50" s="25" t="n">
        <x:v>24</x:v>
      </x:c>
      <x:c r="AJ50" s="25" t="n">
        <x:v>8</x:v>
      </x:c>
      <x:c r="AK50" s="18" t="n">
        <x:f>MAX(AL48,AL49,AL42)</x:f>
        <x:v>141</x:v>
      </x:c>
      <x:c r="AL50" s="18" t="n">
        <x:f>AK50+M50</x:f>
        <x:v>146</x:v>
      </x:c>
      <x:c r="AM50" s="18" t="n">
        <x:f>AN50-M50</x:f>
        <x:v>141</x:v>
      </x:c>
      <x:c r="AN50" s="18" t="n">
        <x:f>MIN(AM51)</x:f>
        <x:v>146</x:v>
      </x:c>
      <x:c r="AO50" s="18" t="n">
        <x:v>141</x:v>
      </x:c>
      <x:c r="AP50" s="18" t="n">
        <x:v>146</x:v>
      </x:c>
      <x:c r="AQ50" s="18" t="n">
        <x:f>AK50-AO50</x:f>
        <x:v>0</x:v>
      </x:c>
      <x:c r="AR50" s="18" t="n">
        <x:f>'RESUMEN'!$D$7</x:f>
        <x:v>15</x:v>
      </x:c>
      <x:c r="AS50" s="3"/>
    </x:row>
    <x:row r="51" ht="64" customHeight="1">
      <x:c r="A51" s="16" t="str">
        <x:v>T46</x:v>
      </x:c>
      <x:c r="B51" s="16" t="str">
        <x:v>5.05</x:v>
      </x:c>
      <x:c r="C51" s="16" t="str">
        <x:v>Entrega comercial</x:v>
      </x:c>
      <x:c r="D51" s="16" t="str">
        <x:v>Comercial</x:v>
      </x:c>
      <x:c r="E51" s="16" t="str">
        <x:v>Aprobar lanzamiento y continuidad</x:v>
      </x:c>
      <x:c r="F51" s="16" t="str">
        <x:v>Aprobar lanzamiento y continuidad; revisar evidencia y registrar decisión.</x:v>
      </x:c>
      <x:c r="G51" s="16" t="str">
        <x:v>Acta de entrega comercial</x:v>
      </x:c>
      <x:c r="H51" s="16" t="str">
        <x:v>Alejandro Maureira</x:v>
      </x:c>
      <x:c r="I51" s="16" t="str">
        <x:v>AP, OP</x:v>
      </x:c>
      <x:c r="J51" s="25" t="str">
        <x:v>T45, T42</x:v>
      </x:c>
      <x:c r="K51" s="25" t="str">
        <x:v>V, V</x:v>
      </x:c>
      <x:c r="L51" s="16" t="n">
        <x:f>SUM(AD51:AJ51)</x:f>
        <x:v>12</x:v>
      </x:c>
      <x:c r="M51" s="25" t="n">
        <x:v>3</x:v>
      </x:c>
      <x:c r="N51" s="17" t="n">
        <x:f>WORKDAY('RESUMEN'!$D$3-1,AK51+1,'RESUMEN'!$J$6:$J$25)</x:f>
        <x:v>46532</x:v>
      </x:c>
      <x:c r="O51" s="17" t="n">
        <x:f>WORKDAY('RESUMEN'!$D$3-1,AL51+0,'RESUMEN'!$J$6:$J$25)</x:f>
        <x:v>46534</x:v>
      </x:c>
      <x:c r="P51" s="17" t="n">
        <x:f>WORKDAY('RESUMEN'!$D$3-1,AM51+1,'RESUMEN'!$J$6:$J$25)</x:f>
        <x:v>46532</x:v>
      </x:c>
      <x:c r="Q51" s="17" t="n">
        <x:f>WORKDAY('RESUMEN'!$D$3-1,AN51+0,'RESUMEN'!$J$6:$J$25)</x:f>
        <x:v>46534</x:v>
      </x:c>
      <x:c r="R51" s="16" t="n">
        <x:f>AM51-AK51</x:f>
        <x:v>0</x:v>
      </x:c>
      <x:c r="S51" s="16" t="str">
        <x:f>IF(R51=0,"Sí","No")</x:f>
        <x:v>Sí</x:v>
      </x:c>
      <x:c r="T51" s="16" t="n">
        <x:f>INT((N51-'RESUMEN'!$D$3)/7)+1</x:f>
        <x:v>30</x:v>
      </x:c>
      <x:c r="U51" s="16" t="n">
        <x:f>INT((O51-'RESUMEN'!$D$3)/7)+1</x:f>
        <x:v>30</x:v>
      </x:c>
      <x:c r="V51" s="25" t="str">
        <x:v>No iniciada</x:v>
      </x:c>
      <x:c r="W51" s="27" t="n">
        <x:v>0</x:v>
      </x:c>
      <x:c r="X51" s="16" t="str">
        <x:v>Alejandro acepta alcance, soporte, obligaciones y costos; registrar venta o causa de no conversión</x:v>
      </x:c>
      <x:c r="Y51" s="16" t="str">
        <x:v>P0</x:v>
      </x:c>
      <x:c r="Z51" s="23" t="n">
        <x:f>L51/8</x:f>
        <x:v>1.5</x:v>
      </x:c>
      <x:c r="AA51" s="25" t="n">
        <x:v>2</x:v>
      </x:c>
      <x:c r="AB51" s="25" t="n">
        <x:v>4</x:v>
      </x:c>
      <x:c r="AC51" s="16" t="str">
        <x:v>Repo, staging y casos sintéticos</x:v>
      </x:c>
      <x:c r="AD51" s="25" t="n">
        <x:v>4</x:v>
      </x:c>
      <x:c r="AE51" s="25" t="n">
        <x:v>4</x:v>
      </x:c>
      <x:c r="AF51" s="25" t="n">
        <x:v>0</x:v>
      </x:c>
      <x:c r="AG51" s="25" t="n">
        <x:v>0</x:v>
      </x:c>
      <x:c r="AH51" s="25" t="n">
        <x:v>0</x:v>
      </x:c>
      <x:c r="AI51" s="25" t="n">
        <x:v>0</x:v>
      </x:c>
      <x:c r="AJ51" s="25" t="n">
        <x:v>4</x:v>
      </x:c>
      <x:c r="AK51" s="16" t="n">
        <x:f>MAX(AL50,AL47)</x:f>
        <x:v>146</x:v>
      </x:c>
      <x:c r="AL51" s="16" t="n">
        <x:f>AK51+M51</x:f>
        <x:v>149</x:v>
      </x:c>
      <x:c r="AM51" s="16" t="n">
        <x:f>AN51-M51</x:f>
        <x:v>146</x:v>
      </x:c>
      <x:c r="AN51" s="16" t="n">
        <x:f>MIN(AM52)</x:f>
        <x:v>149</x:v>
      </x:c>
      <x:c r="AO51" s="16" t="n">
        <x:v>146</x:v>
      </x:c>
      <x:c r="AP51" s="16" t="n">
        <x:v>149</x:v>
      </x:c>
      <x:c r="AQ51" s="16" t="n">
        <x:f>AK51-AO51</x:f>
        <x:v>0</x:v>
      </x:c>
      <x:c r="AR51" s="16" t="n">
        <x:f>'RESUMEN'!$D$7</x:f>
        <x:v>15</x:v>
      </x:c>
      <x:c r="AS51" s="3"/>
    </x:row>
    <x:row r="52" ht="64" customHeight="1">
      <x:c r="A52" s="18" t="str">
        <x:v>T47</x:v>
      </x:c>
      <x:c r="B52" s="18" t="str">
        <x:v>5.06</x:v>
      </x:c>
      <x:c r="C52" s="18" t="str">
        <x:v>Entrega comercial</x:v>
      </x:c>
      <x:c r="D52" s="18" t="str">
        <x:v>Operación</x:v>
      </x:c>
      <x:c r="E52" s="18" t="str">
        <x:v>Acompañar primeras operaciones y cierre</x:v>
      </x:c>
      <x:c r="F52" s="18" t="str">
        <x:v>Acompañar primeras operaciones y cierre; revisar evidencia y registrar decisión.</x:v>
      </x:c>
      <x:c r="G52" s="18" t="str">
        <x:v>Cierre y backlog posterior</x:v>
      </x:c>
      <x:c r="H52" s="18" t="str">
        <x:v>Empresa · operación</x:v>
      </x:c>
      <x:c r="I52" s="18" t="str">
        <x:v>BE, AP, AM, QA</x:v>
      </x:c>
      <x:c r="J52" s="25" t="str">
        <x:v>T46</x:v>
      </x:c>
      <x:c r="K52" s="25" t="str">
        <x:v>V</x:v>
      </x:c>
      <x:c r="L52" s="18" t="n">
        <x:f>SUM(AD52:AJ52)</x:f>
        <x:v>52</x:v>
      </x:c>
      <x:c r="M52" s="25" t="n">
        <x:v>10</x:v>
      </x:c>
      <x:c r="N52" s="19" t="n">
        <x:f>WORKDAY('RESUMEN'!$D$3-1,AK52+1,'RESUMEN'!$J$6:$J$25)</x:f>
        <x:v>46535</x:v>
      </x:c>
      <x:c r="O52" s="19" t="n">
        <x:f>WORKDAY('RESUMEN'!$D$3-1,AL52+0,'RESUMEN'!$J$6:$J$25)</x:f>
        <x:v>46548</x:v>
      </x:c>
      <x:c r="P52" s="19" t="n">
        <x:f>WORKDAY('RESUMEN'!$D$3-1,AM52+1,'RESUMEN'!$J$6:$J$25)</x:f>
        <x:v>46535</x:v>
      </x:c>
      <x:c r="Q52" s="19" t="n">
        <x:f>WORKDAY('RESUMEN'!$D$3-1,AN52+0,'RESUMEN'!$J$6:$J$25)</x:f>
        <x:v>46548</x:v>
      </x:c>
      <x:c r="R52" s="18" t="n">
        <x:f>AM52-AK52</x:f>
        <x:v>0</x:v>
      </x:c>
      <x:c r="S52" s="18" t="str">
        <x:f>IF(R52=0,"Sí","No")</x:f>
        <x:v>Sí</x:v>
      </x:c>
      <x:c r="T52" s="18" t="n">
        <x:f>INT((N52-'RESUMEN'!$D$3)/7)+1</x:f>
        <x:v>30</x:v>
      </x:c>
      <x:c r="U52" s="18" t="n">
        <x:f>INT((O52-'RESUMEN'!$D$3)/7)+1</x:f>
        <x:v>32</x:v>
      </x:c>
      <x:c r="V52" s="25" t="str">
        <x:v>No iniciada</x:v>
      </x:c>
      <x:c r="W52" s="27" t="n">
        <x:v>0</x:v>
      </x:c>
      <x:c r="X52" s="18" t="str">
        <x:v>Dos semanas de operación revisadas; dueño por incidente y mantenimiento contratado o asumido</x:v>
      </x:c>
      <x:c r="Y52" s="18" t="str">
        <x:v>P0</x:v>
      </x:c>
      <x:c r="Z52" s="22" t="n">
        <x:f>L52/8</x:f>
        <x:v>6.5</x:v>
      </x:c>
      <x:c r="AA52" s="25" t="n">
        <x:v>8</x:v>
      </x:c>
      <x:c r="AB52" s="25" t="n">
        <x:v>15</x:v>
      </x:c>
      <x:c r="AC52" s="18" t="str">
        <x:v>Repo, staging y casos sintéticos</x:v>
      </x:c>
      <x:c r="AD52" s="25" t="n">
        <x:v>16</x:v>
      </x:c>
      <x:c r="AE52" s="25" t="n">
        <x:v>4</x:v>
      </x:c>
      <x:c r="AF52" s="25" t="n">
        <x:v>8</x:v>
      </x:c>
      <x:c r="AG52" s="25" t="n">
        <x:v>0</x:v>
      </x:c>
      <x:c r="AH52" s="25" t="n">
        <x:v>0</x:v>
      </x:c>
      <x:c r="AI52" s="25" t="n">
        <x:v>8</x:v>
      </x:c>
      <x:c r="AJ52" s="25" t="n">
        <x:v>16</x:v>
      </x:c>
      <x:c r="AK52" s="18" t="n">
        <x:f>MAX(AL51)</x:f>
        <x:v>149</x:v>
      </x:c>
      <x:c r="AL52" s="18" t="n">
        <x:f>AK52+M52</x:f>
        <x:v>159</x:v>
      </x:c>
      <x:c r="AM52" s="18" t="n">
        <x:f>AN52-M52</x:f>
        <x:v>149</x:v>
      </x:c>
      <x:c r="AN52" s="18" t="n">
        <x:f>MAX(AL$6:AL$52)</x:f>
        <x:v>159</x:v>
      </x:c>
      <x:c r="AO52" s="18" t="n">
        <x:v>149</x:v>
      </x:c>
      <x:c r="AP52" s="18" t="n">
        <x:v>159</x:v>
      </x:c>
      <x:c r="AQ52" s="18" t="n">
        <x:f>AK52-AO52</x:f>
        <x:v>0</x:v>
      </x:c>
      <x:c r="AR52" s="18" t="n">
        <x:f>'RESUMEN'!$D$7</x:f>
        <x:v>15</x:v>
      </x:c>
      <x:c r="AS52" s="3"/>
    </x:row>
    <x:row r="53" ht="24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  <x:c r="AS53" s="3"/>
    </x:row>
    <x:row r="54" ht="24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  <x:c r="AS54" s="3"/>
    </x:row>
  </x:sheetData>
  <x:conditionalFormatting sqref="S6:S52">
    <x:cfRule type="containsText" dxfId="0" priority="1" operator="containsText" text="Sí"/>
  </x:conditionalFormatting>
  <x:dataValidations count="2">
    <x:dataValidation type="list" sqref="V6:V52">
      <x:formula1>"No iniciada,En curso,Bloqueada,Terminada"</x:formula1>
    </x:dataValidation>
    <x:dataValidation type="whole" operator="between" sqref="M6:M52">
      <x:formula1>1</x:formula1>
      <x:formula2>80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a3e9f11b59a43a3"/>
  </x:tableParts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55" hidden="0" customWidth="1"/>
    <x:col min="3" max="3" width="26" hidden="0" customWidth="1"/>
    <x:col min="4" max="4" width="12" hidden="0" customWidth="1"/>
    <x:col min="5" max="5" width="12" hidden="0" customWidth="1"/>
    <x:col min="6" max="6" width="12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  <x:col min="40" max="40" width="5" hidden="0" customWidth="1"/>
    <x:col min="41" max="41" width="5" hidden="0" customWidth="1"/>
  </x:cols>
  <x:sheetData>
    <x:row r="1" ht="24" customHeight="1">
      <x:c r="A1" s="6" t="str">
        <x:v>CARTA GANTT · semanas relativas al contrato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</x:row>
    <x:row r="3" ht="24" customHeight="1">
      <x:c r="A3" s="3" t="str">
        <x:v>Rojo: ruta crítica · Azul: otras tareas · Verde: hito · Reserva posterior al cierre hasta ocho meses.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</x:row>
    <x:row r="5" ht="42" customHeight="1">
      <x:c r="A5" s="15" t="str">
        <x:v>ID</x:v>
      </x:c>
      <x:c r="B5" s="15" t="str">
        <x:v>Etapa / tarea</x:v>
      </x:c>
      <x:c r="C5" s="15" t="str">
        <x:v>Responsable</x:v>
      </x:c>
      <x:c r="D5" s="15" t="str">
        <x:v>Inicio</x:v>
      </x:c>
      <x:c r="E5" s="15" t="str">
        <x:v>Fin</x:v>
      </x:c>
      <x:c r="F5" s="15" t="str">
        <x:v>Crítica</x:v>
      </x:c>
      <x:c r="G5" s="15" t="str">
        <x:v>S1</x:v>
      </x:c>
      <x:c r="H5" s="15" t="str">
        <x:v>S2</x:v>
      </x:c>
      <x:c r="I5" s="15" t="str">
        <x:v>S3</x:v>
      </x:c>
      <x:c r="J5" s="15" t="str">
        <x:v>S4</x:v>
      </x:c>
      <x:c r="K5" s="15" t="str">
        <x:v>S5</x:v>
      </x:c>
      <x:c r="L5" s="15" t="str">
        <x:v>S6</x:v>
      </x:c>
      <x:c r="M5" s="15" t="str">
        <x:v>S7</x:v>
      </x:c>
      <x:c r="N5" s="15" t="str">
        <x:v>S8</x:v>
      </x:c>
      <x:c r="O5" s="15" t="str">
        <x:v>S9</x:v>
      </x:c>
      <x:c r="P5" s="15" t="str">
        <x:v>S10</x:v>
      </x:c>
      <x:c r="Q5" s="15" t="str">
        <x:v>S11</x:v>
      </x:c>
      <x:c r="R5" s="15" t="str">
        <x:v>S12</x:v>
      </x:c>
      <x:c r="S5" s="15" t="str">
        <x:v>S13</x:v>
      </x:c>
      <x:c r="T5" s="15" t="str">
        <x:v>S14</x:v>
      </x:c>
      <x:c r="U5" s="15" t="str">
        <x:v>S15</x:v>
      </x:c>
      <x:c r="V5" s="15" t="str">
        <x:v>S16</x:v>
      </x:c>
      <x:c r="W5" s="15" t="str">
        <x:v>S17</x:v>
      </x:c>
      <x:c r="X5" s="15" t="str">
        <x:v>S18</x:v>
      </x:c>
      <x:c r="Y5" s="15" t="str">
        <x:v>S19</x:v>
      </x:c>
      <x:c r="Z5" s="15" t="str">
        <x:v>S20</x:v>
      </x:c>
      <x:c r="AA5" s="15" t="str">
        <x:v>S21</x:v>
      </x:c>
      <x:c r="AB5" s="15" t="str">
        <x:v>S22</x:v>
      </x:c>
      <x:c r="AC5" s="15" t="str">
        <x:v>S23</x:v>
      </x:c>
      <x:c r="AD5" s="15" t="str">
        <x:v>S24</x:v>
      </x:c>
      <x:c r="AE5" s="15" t="str">
        <x:v>S25</x:v>
      </x:c>
      <x:c r="AF5" s="15" t="str">
        <x:v>S26</x:v>
      </x:c>
      <x:c r="AG5" s="15" t="str">
        <x:v>S27</x:v>
      </x:c>
      <x:c r="AH5" s="15" t="str">
        <x:v>S28</x:v>
      </x:c>
      <x:c r="AI5" s="15" t="str">
        <x:v>S29</x:v>
      </x:c>
      <x:c r="AJ5" s="15" t="str">
        <x:v>S30</x:v>
      </x:c>
      <x:c r="AK5" s="15" t="str">
        <x:v>S31</x:v>
      </x:c>
      <x:c r="AL5" s="15" t="str">
        <x:v>S32</x:v>
      </x:c>
      <x:c r="AM5" s="15" t="str">
        <x:v>S33</x:v>
      </x:c>
      <x:c r="AN5" s="31" t="str">
        <x:v>S34</x:v>
      </x:c>
      <x:c r="AO5" s="31" t="str">
        <x:v>S35</x:v>
      </x:c>
    </x:row>
    <x:row r="6" ht="36" customHeight="1">
      <x:c r="A6" s="3" t="str">
        <x:v>T01</x:v>
      </x:c>
      <x:c r="B6" s="16" t="str">
        <x:v>1.01 · Confirmar segmento y problema pagable</x:v>
      </x:c>
      <x:c r="C6" s="16" t="str">
        <x:v>Alejandro Maureira</x:v>
      </x:c>
      <x:c r="D6" s="3" t="n">
        <x:f>'EDT Y TAREAS'!T6</x:f>
        <x:v>1</x:v>
      </x:c>
      <x:c r="E6" s="3" t="n">
        <x:f>'EDT Y TAREAS'!U6</x:f>
        <x:v>1</x:v>
      </x:c>
      <x:c r="F6" s="3" t="str">
        <x:f>'EDT Y TAREAS'!S6</x:f>
        <x:v>Sí</x:v>
      </x:c>
      <x:c r="G6" s="32" t="n">
        <x:f>IF(AND(1&gt;=$D6,1&lt;=$E6),IF($F6="Sí",2,1),0)</x:f>
        <x:v>2</x:v>
      </x:c>
      <x:c r="H6" s="32" t="n">
        <x:f>IF(AND(2&gt;=$D6,2&lt;=$E6),IF($F6="Sí",2,1),0)</x:f>
        <x:v>0</x:v>
      </x:c>
      <x:c r="I6" s="32" t="n">
        <x:f>IF(AND(3&gt;=$D6,3&lt;=$E6),IF($F6="Sí",2,1),0)</x:f>
        <x:v>0</x:v>
      </x:c>
      <x:c r="J6" s="32" t="n">
        <x:f>IF(AND(4&gt;=$D6,4&lt;=$E6),IF($F6="Sí",2,1),0)</x:f>
        <x:v>0</x:v>
      </x:c>
      <x:c r="K6" s="32" t="n">
        <x:f>IF(AND(5&gt;=$D6,5&lt;=$E6),IF($F6="Sí",2,1),0)</x:f>
        <x:v>0</x:v>
      </x:c>
      <x:c r="L6" s="32" t="n">
        <x:f>IF(AND(6&gt;=$D6,6&lt;=$E6),IF($F6="Sí",2,1),0)</x:f>
        <x:v>0</x:v>
      </x:c>
      <x:c r="M6" s="32" t="n">
        <x:f>IF(AND(7&gt;=$D6,7&lt;=$E6),IF($F6="Sí",2,1),0)</x:f>
        <x:v>0</x:v>
      </x:c>
      <x:c r="N6" s="32" t="n">
        <x:f>IF(AND(8&gt;=$D6,8&lt;=$E6),IF($F6="Sí",2,1),0)</x:f>
        <x:v>0</x:v>
      </x:c>
      <x:c r="O6" s="32" t="n">
        <x:f>IF(AND(9&gt;=$D6,9&lt;=$E6),IF($F6="Sí",2,1),0)</x:f>
        <x:v>0</x:v>
      </x:c>
      <x:c r="P6" s="32" t="n">
        <x:f>IF(AND(10&gt;=$D6,10&lt;=$E6),IF($F6="Sí",2,1),0)</x:f>
        <x:v>0</x:v>
      </x:c>
      <x:c r="Q6" s="32" t="n">
        <x:f>IF(AND(11&gt;=$D6,11&lt;=$E6),IF($F6="Sí",2,1),0)</x:f>
        <x:v>0</x:v>
      </x:c>
      <x:c r="R6" s="32" t="n">
        <x:f>IF(AND(12&gt;=$D6,12&lt;=$E6),IF($F6="Sí",2,1),0)</x:f>
        <x:v>0</x:v>
      </x:c>
      <x:c r="S6" s="32" t="n">
        <x:f>IF(AND(13&gt;=$D6,13&lt;=$E6),IF($F6="Sí",2,1),0)</x:f>
        <x:v>0</x:v>
      </x:c>
      <x:c r="T6" s="32" t="n">
        <x:f>IF(AND(14&gt;=$D6,14&lt;=$E6),IF($F6="Sí",2,1),0)</x:f>
        <x:v>0</x:v>
      </x:c>
      <x:c r="U6" s="32" t="n">
        <x:f>IF(AND(15&gt;=$D6,15&lt;=$E6),IF($F6="Sí",2,1),0)</x:f>
        <x:v>0</x:v>
      </x:c>
      <x:c r="V6" s="32" t="n">
        <x:f>IF(AND(16&gt;=$D6,16&lt;=$E6),IF($F6="Sí",2,1),0)</x:f>
        <x:v>0</x:v>
      </x:c>
      <x:c r="W6" s="32" t="n">
        <x:f>IF(AND(17&gt;=$D6,17&lt;=$E6),IF($F6="Sí",2,1),0)</x:f>
        <x:v>0</x:v>
      </x:c>
      <x:c r="X6" s="32" t="n">
        <x:f>IF(AND(18&gt;=$D6,18&lt;=$E6),IF($F6="Sí",2,1),0)</x:f>
        <x:v>0</x:v>
      </x:c>
      <x:c r="Y6" s="32" t="n">
        <x:f>IF(AND(19&gt;=$D6,19&lt;=$E6),IF($F6="Sí",2,1),0)</x:f>
        <x:v>0</x:v>
      </x:c>
      <x:c r="Z6" s="32" t="n">
        <x:f>IF(AND(20&gt;=$D6,20&lt;=$E6),IF($F6="Sí",2,1),0)</x:f>
        <x:v>0</x:v>
      </x:c>
      <x:c r="AA6" s="32" t="n">
        <x:f>IF(AND(21&gt;=$D6,21&lt;=$E6),IF($F6="Sí",2,1),0)</x:f>
        <x:v>0</x:v>
      </x:c>
      <x:c r="AB6" s="32" t="n">
        <x:f>IF(AND(22&gt;=$D6,22&lt;=$E6),IF($F6="Sí",2,1),0)</x:f>
        <x:v>0</x:v>
      </x:c>
      <x:c r="AC6" s="32" t="n">
        <x:f>IF(AND(23&gt;=$D6,23&lt;=$E6),IF($F6="Sí",2,1),0)</x:f>
        <x:v>0</x:v>
      </x:c>
      <x:c r="AD6" s="32" t="n">
        <x:f>IF(AND(24&gt;=$D6,24&lt;=$E6),IF($F6="Sí",2,1),0)</x:f>
        <x:v>0</x:v>
      </x:c>
      <x:c r="AE6" s="32" t="n">
        <x:f>IF(AND(25&gt;=$D6,25&lt;=$E6),IF($F6="Sí",2,1),0)</x:f>
        <x:v>0</x:v>
      </x:c>
      <x:c r="AF6" s="32" t="n">
        <x:f>IF(AND(26&gt;=$D6,26&lt;=$E6),IF($F6="Sí",2,1),0)</x:f>
        <x:v>0</x:v>
      </x:c>
      <x:c r="AG6" s="32" t="n">
        <x:f>IF(AND(27&gt;=$D6,27&lt;=$E6),IF($F6="Sí",2,1),0)</x:f>
        <x:v>0</x:v>
      </x:c>
      <x:c r="AH6" s="32" t="n">
        <x:f>IF(AND(28&gt;=$D6,28&lt;=$E6),IF($F6="Sí",2,1),0)</x:f>
        <x:v>0</x:v>
      </x:c>
      <x:c r="AI6" s="32" t="n">
        <x:f>IF(AND(29&gt;=$D6,29&lt;=$E6),IF($F6="Sí",2,1),0)</x:f>
        <x:v>0</x:v>
      </x:c>
      <x:c r="AJ6" s="32" t="n">
        <x:f>IF(AND(30&gt;=$D6,30&lt;=$E6),IF($F6="Sí",2,1),0)</x:f>
        <x:v>0</x:v>
      </x:c>
      <x:c r="AK6" s="32" t="n">
        <x:f>IF(AND(31&gt;=$D6,31&lt;=$E6),IF($F6="Sí",2,1),0)</x:f>
        <x:v>0</x:v>
      </x:c>
      <x:c r="AL6" s="32" t="n">
        <x:f>IF(AND(32&gt;=$D6,32&lt;=$E6),IF($F6="Sí",2,1),0)</x:f>
        <x:v>0</x:v>
      </x:c>
      <x:c r="AM6" s="32" t="n">
        <x:f>IF(AND(33&gt;=$D6,33&lt;=$E6),IF($F6="Sí",2,1),0)</x:f>
        <x:v>0</x:v>
      </x:c>
      <x:c r="AN6" s="33" t="n">
        <x:f>IF(AND(34&gt;=$D6,34&lt;=$E6),IF($F6="Sí",2,1),0)</x:f>
        <x:v>0</x:v>
      </x:c>
      <x:c r="AO6" s="33" t="n">
        <x:f>IF(AND(35&gt;=$D6,35&lt;=$E6),IF($F6="Sí",2,1),0)</x:f>
        <x:v>0</x:v>
      </x:c>
    </x:row>
    <x:row r="7" ht="36" customHeight="1">
      <x:c r="A7" s="3" t="str">
        <x:v>T02</x:v>
      </x:c>
      <x:c r="B7" s="16" t="str">
        <x:v>1.02 · Reproducir fallos y congelar línea base</x:v>
      </x:c>
      <x:c r="C7" s="16" t="str">
        <x:v>Alonso Peña</x:v>
      </x:c>
      <x:c r="D7" s="3" t="n">
        <x:f>'EDT Y TAREAS'!T7</x:f>
        <x:v>1</x:v>
      </x:c>
      <x:c r="E7" s="3" t="n">
        <x:f>'EDT Y TAREAS'!U7</x:f>
        <x:v>1</x:v>
      </x:c>
      <x:c r="F7" s="3" t="str">
        <x:f>'EDT Y TAREAS'!S7</x:f>
        <x:v>No</x:v>
      </x:c>
      <x:c r="G7" s="32" t="n">
        <x:f>IF(AND(1&gt;=$D7,1&lt;=$E7),IF($F7="Sí",2,1),0)</x:f>
        <x:v>1</x:v>
      </x:c>
      <x:c r="H7" s="32" t="n">
        <x:f>IF(AND(2&gt;=$D7,2&lt;=$E7),IF($F7="Sí",2,1),0)</x:f>
        <x:v>0</x:v>
      </x:c>
      <x:c r="I7" s="32" t="n">
        <x:f>IF(AND(3&gt;=$D7,3&lt;=$E7),IF($F7="Sí",2,1),0)</x:f>
        <x:v>0</x:v>
      </x:c>
      <x:c r="J7" s="32" t="n">
        <x:f>IF(AND(4&gt;=$D7,4&lt;=$E7),IF($F7="Sí",2,1),0)</x:f>
        <x:v>0</x:v>
      </x:c>
      <x:c r="K7" s="32" t="n">
        <x:f>IF(AND(5&gt;=$D7,5&lt;=$E7),IF($F7="Sí",2,1),0)</x:f>
        <x:v>0</x:v>
      </x:c>
      <x:c r="L7" s="32" t="n">
        <x:f>IF(AND(6&gt;=$D7,6&lt;=$E7),IF($F7="Sí",2,1),0)</x:f>
        <x:v>0</x:v>
      </x:c>
      <x:c r="M7" s="32" t="n">
        <x:f>IF(AND(7&gt;=$D7,7&lt;=$E7),IF($F7="Sí",2,1),0)</x:f>
        <x:v>0</x:v>
      </x:c>
      <x:c r="N7" s="32" t="n">
        <x:f>IF(AND(8&gt;=$D7,8&lt;=$E7),IF($F7="Sí",2,1),0)</x:f>
        <x:v>0</x:v>
      </x:c>
      <x:c r="O7" s="32" t="n">
        <x:f>IF(AND(9&gt;=$D7,9&lt;=$E7),IF($F7="Sí",2,1),0)</x:f>
        <x:v>0</x:v>
      </x:c>
      <x:c r="P7" s="32" t="n">
        <x:f>IF(AND(10&gt;=$D7,10&lt;=$E7),IF($F7="Sí",2,1),0)</x:f>
        <x:v>0</x:v>
      </x:c>
      <x:c r="Q7" s="32" t="n">
        <x:f>IF(AND(11&gt;=$D7,11&lt;=$E7),IF($F7="Sí",2,1),0)</x:f>
        <x:v>0</x:v>
      </x:c>
      <x:c r="R7" s="32" t="n">
        <x:f>IF(AND(12&gt;=$D7,12&lt;=$E7),IF($F7="Sí",2,1),0)</x:f>
        <x:v>0</x:v>
      </x:c>
      <x:c r="S7" s="32" t="n">
        <x:f>IF(AND(13&gt;=$D7,13&lt;=$E7),IF($F7="Sí",2,1),0)</x:f>
        <x:v>0</x:v>
      </x:c>
      <x:c r="T7" s="32" t="n">
        <x:f>IF(AND(14&gt;=$D7,14&lt;=$E7),IF($F7="Sí",2,1),0)</x:f>
        <x:v>0</x:v>
      </x:c>
      <x:c r="U7" s="32" t="n">
        <x:f>IF(AND(15&gt;=$D7,15&lt;=$E7),IF($F7="Sí",2,1),0)</x:f>
        <x:v>0</x:v>
      </x:c>
      <x:c r="V7" s="32" t="n">
        <x:f>IF(AND(16&gt;=$D7,16&lt;=$E7),IF($F7="Sí",2,1),0)</x:f>
        <x:v>0</x:v>
      </x:c>
      <x:c r="W7" s="32" t="n">
        <x:f>IF(AND(17&gt;=$D7,17&lt;=$E7),IF($F7="Sí",2,1),0)</x:f>
        <x:v>0</x:v>
      </x:c>
      <x:c r="X7" s="32" t="n">
        <x:f>IF(AND(18&gt;=$D7,18&lt;=$E7),IF($F7="Sí",2,1),0)</x:f>
        <x:v>0</x:v>
      </x:c>
      <x:c r="Y7" s="32" t="n">
        <x:f>IF(AND(19&gt;=$D7,19&lt;=$E7),IF($F7="Sí",2,1),0)</x:f>
        <x:v>0</x:v>
      </x:c>
      <x:c r="Z7" s="32" t="n">
        <x:f>IF(AND(20&gt;=$D7,20&lt;=$E7),IF($F7="Sí",2,1),0)</x:f>
        <x:v>0</x:v>
      </x:c>
      <x:c r="AA7" s="32" t="n">
        <x:f>IF(AND(21&gt;=$D7,21&lt;=$E7),IF($F7="Sí",2,1),0)</x:f>
        <x:v>0</x:v>
      </x:c>
      <x:c r="AB7" s="32" t="n">
        <x:f>IF(AND(22&gt;=$D7,22&lt;=$E7),IF($F7="Sí",2,1),0)</x:f>
        <x:v>0</x:v>
      </x:c>
      <x:c r="AC7" s="32" t="n">
        <x:f>IF(AND(23&gt;=$D7,23&lt;=$E7),IF($F7="Sí",2,1),0)</x:f>
        <x:v>0</x:v>
      </x:c>
      <x:c r="AD7" s="32" t="n">
        <x:f>IF(AND(24&gt;=$D7,24&lt;=$E7),IF($F7="Sí",2,1),0)</x:f>
        <x:v>0</x:v>
      </x:c>
      <x:c r="AE7" s="32" t="n">
        <x:f>IF(AND(25&gt;=$D7,25&lt;=$E7),IF($F7="Sí",2,1),0)</x:f>
        <x:v>0</x:v>
      </x:c>
      <x:c r="AF7" s="32" t="n">
        <x:f>IF(AND(26&gt;=$D7,26&lt;=$E7),IF($F7="Sí",2,1),0)</x:f>
        <x:v>0</x:v>
      </x:c>
      <x:c r="AG7" s="32" t="n">
        <x:f>IF(AND(27&gt;=$D7,27&lt;=$E7),IF($F7="Sí",2,1),0)</x:f>
        <x:v>0</x:v>
      </x:c>
      <x:c r="AH7" s="32" t="n">
        <x:f>IF(AND(28&gt;=$D7,28&lt;=$E7),IF($F7="Sí",2,1),0)</x:f>
        <x:v>0</x:v>
      </x:c>
      <x:c r="AI7" s="32" t="n">
        <x:f>IF(AND(29&gt;=$D7,29&lt;=$E7),IF($F7="Sí",2,1),0)</x:f>
        <x:v>0</x:v>
      </x:c>
      <x:c r="AJ7" s="32" t="n">
        <x:f>IF(AND(30&gt;=$D7,30&lt;=$E7),IF($F7="Sí",2,1),0)</x:f>
        <x:v>0</x:v>
      </x:c>
      <x:c r="AK7" s="32" t="n">
        <x:f>IF(AND(31&gt;=$D7,31&lt;=$E7),IF($F7="Sí",2,1),0)</x:f>
        <x:v>0</x:v>
      </x:c>
      <x:c r="AL7" s="32" t="n">
        <x:f>IF(AND(32&gt;=$D7,32&lt;=$E7),IF($F7="Sí",2,1),0)</x:f>
        <x:v>0</x:v>
      </x:c>
      <x:c r="AM7" s="32" t="n">
        <x:f>IF(AND(33&gt;=$D7,33&lt;=$E7),IF($F7="Sí",2,1),0)</x:f>
        <x:v>0</x:v>
      </x:c>
      <x:c r="AN7" s="33" t="n">
        <x:f>IF(AND(34&gt;=$D7,34&lt;=$E7),IF($F7="Sí",2,1),0)</x:f>
        <x:v>0</x:v>
      </x:c>
      <x:c r="AO7" s="33" t="n">
        <x:f>IF(AND(35&gt;=$D7,35&lt;=$E7),IF($F7="Sí",2,1),0)</x:f>
        <x:v>0</x:v>
      </x:c>
    </x:row>
    <x:row r="8" ht="36" customHeight="1">
      <x:c r="A8" s="3" t="str">
        <x:v>T03</x:v>
      </x:c>
      <x:c r="B8" s="16" t="str">
        <x:v>1.03 · Preparar encargo y evaluar proveedor</x:v>
      </x:c>
      <x:c r="C8" s="16" t="str">
        <x:v>Alejandro Maureira</x:v>
      </x:c>
      <x:c r="D8" s="3" t="n">
        <x:f>'EDT Y TAREAS'!T8</x:f>
        <x:v>2</x:v>
      </x:c>
      <x:c r="E8" s="3" t="n">
        <x:f>'EDT Y TAREAS'!U8</x:f>
        <x:v>2</x:v>
      </x:c>
      <x:c r="F8" s="3" t="str">
        <x:f>'EDT Y TAREAS'!S8</x:f>
        <x:v>Sí</x:v>
      </x:c>
      <x:c r="G8" s="32" t="n">
        <x:f>IF(AND(1&gt;=$D8,1&lt;=$E8),IF($F8="Sí",2,1),0)</x:f>
        <x:v>0</x:v>
      </x:c>
      <x:c r="H8" s="32" t="n">
        <x:f>IF(AND(2&gt;=$D8,2&lt;=$E8),IF($F8="Sí",2,1),0)</x:f>
        <x:v>2</x:v>
      </x:c>
      <x:c r="I8" s="32" t="n">
        <x:f>IF(AND(3&gt;=$D8,3&lt;=$E8),IF($F8="Sí",2,1),0)</x:f>
        <x:v>0</x:v>
      </x:c>
      <x:c r="J8" s="32" t="n">
        <x:f>IF(AND(4&gt;=$D8,4&lt;=$E8),IF($F8="Sí",2,1),0)</x:f>
        <x:v>0</x:v>
      </x:c>
      <x:c r="K8" s="32" t="n">
        <x:f>IF(AND(5&gt;=$D8,5&lt;=$E8),IF($F8="Sí",2,1),0)</x:f>
        <x:v>0</x:v>
      </x:c>
      <x:c r="L8" s="32" t="n">
        <x:f>IF(AND(6&gt;=$D8,6&lt;=$E8),IF($F8="Sí",2,1),0)</x:f>
        <x:v>0</x:v>
      </x:c>
      <x:c r="M8" s="32" t="n">
        <x:f>IF(AND(7&gt;=$D8,7&lt;=$E8),IF($F8="Sí",2,1),0)</x:f>
        <x:v>0</x:v>
      </x:c>
      <x:c r="N8" s="32" t="n">
        <x:f>IF(AND(8&gt;=$D8,8&lt;=$E8),IF($F8="Sí",2,1),0)</x:f>
        <x:v>0</x:v>
      </x:c>
      <x:c r="O8" s="32" t="n">
        <x:f>IF(AND(9&gt;=$D8,9&lt;=$E8),IF($F8="Sí",2,1),0)</x:f>
        <x:v>0</x:v>
      </x:c>
      <x:c r="P8" s="32" t="n">
        <x:f>IF(AND(10&gt;=$D8,10&lt;=$E8),IF($F8="Sí",2,1),0)</x:f>
        <x:v>0</x:v>
      </x:c>
      <x:c r="Q8" s="32" t="n">
        <x:f>IF(AND(11&gt;=$D8,11&lt;=$E8),IF($F8="Sí",2,1),0)</x:f>
        <x:v>0</x:v>
      </x:c>
      <x:c r="R8" s="32" t="n">
        <x:f>IF(AND(12&gt;=$D8,12&lt;=$E8),IF($F8="Sí",2,1),0)</x:f>
        <x:v>0</x:v>
      </x:c>
      <x:c r="S8" s="32" t="n">
        <x:f>IF(AND(13&gt;=$D8,13&lt;=$E8),IF($F8="Sí",2,1),0)</x:f>
        <x:v>0</x:v>
      </x:c>
      <x:c r="T8" s="32" t="n">
        <x:f>IF(AND(14&gt;=$D8,14&lt;=$E8),IF($F8="Sí",2,1),0)</x:f>
        <x:v>0</x:v>
      </x:c>
      <x:c r="U8" s="32" t="n">
        <x:f>IF(AND(15&gt;=$D8,15&lt;=$E8),IF($F8="Sí",2,1),0)</x:f>
        <x:v>0</x:v>
      </x:c>
      <x:c r="V8" s="32" t="n">
        <x:f>IF(AND(16&gt;=$D8,16&lt;=$E8),IF($F8="Sí",2,1),0)</x:f>
        <x:v>0</x:v>
      </x:c>
      <x:c r="W8" s="32" t="n">
        <x:f>IF(AND(17&gt;=$D8,17&lt;=$E8),IF($F8="Sí",2,1),0)</x:f>
        <x:v>0</x:v>
      </x:c>
      <x:c r="X8" s="32" t="n">
        <x:f>IF(AND(18&gt;=$D8,18&lt;=$E8),IF($F8="Sí",2,1),0)</x:f>
        <x:v>0</x:v>
      </x:c>
      <x:c r="Y8" s="32" t="n">
        <x:f>IF(AND(19&gt;=$D8,19&lt;=$E8),IF($F8="Sí",2,1),0)</x:f>
        <x:v>0</x:v>
      </x:c>
      <x:c r="Z8" s="32" t="n">
        <x:f>IF(AND(20&gt;=$D8,20&lt;=$E8),IF($F8="Sí",2,1),0)</x:f>
        <x:v>0</x:v>
      </x:c>
      <x:c r="AA8" s="32" t="n">
        <x:f>IF(AND(21&gt;=$D8,21&lt;=$E8),IF($F8="Sí",2,1),0)</x:f>
        <x:v>0</x:v>
      </x:c>
      <x:c r="AB8" s="32" t="n">
        <x:f>IF(AND(22&gt;=$D8,22&lt;=$E8),IF($F8="Sí",2,1),0)</x:f>
        <x:v>0</x:v>
      </x:c>
      <x:c r="AC8" s="32" t="n">
        <x:f>IF(AND(23&gt;=$D8,23&lt;=$E8),IF($F8="Sí",2,1),0)</x:f>
        <x:v>0</x:v>
      </x:c>
      <x:c r="AD8" s="32" t="n">
        <x:f>IF(AND(24&gt;=$D8,24&lt;=$E8),IF($F8="Sí",2,1),0)</x:f>
        <x:v>0</x:v>
      </x:c>
      <x:c r="AE8" s="32" t="n">
        <x:f>IF(AND(25&gt;=$D8,25&lt;=$E8),IF($F8="Sí",2,1),0)</x:f>
        <x:v>0</x:v>
      </x:c>
      <x:c r="AF8" s="32" t="n">
        <x:f>IF(AND(26&gt;=$D8,26&lt;=$E8),IF($F8="Sí",2,1),0)</x:f>
        <x:v>0</x:v>
      </x:c>
      <x:c r="AG8" s="32" t="n">
        <x:f>IF(AND(27&gt;=$D8,27&lt;=$E8),IF($F8="Sí",2,1),0)</x:f>
        <x:v>0</x:v>
      </x:c>
      <x:c r="AH8" s="32" t="n">
        <x:f>IF(AND(28&gt;=$D8,28&lt;=$E8),IF($F8="Sí",2,1),0)</x:f>
        <x:v>0</x:v>
      </x:c>
      <x:c r="AI8" s="32" t="n">
        <x:f>IF(AND(29&gt;=$D8,29&lt;=$E8),IF($F8="Sí",2,1),0)</x:f>
        <x:v>0</x:v>
      </x:c>
      <x:c r="AJ8" s="32" t="n">
        <x:f>IF(AND(30&gt;=$D8,30&lt;=$E8),IF($F8="Sí",2,1),0)</x:f>
        <x:v>0</x:v>
      </x:c>
      <x:c r="AK8" s="32" t="n">
        <x:f>IF(AND(31&gt;=$D8,31&lt;=$E8),IF($F8="Sí",2,1),0)</x:f>
        <x:v>0</x:v>
      </x:c>
      <x:c r="AL8" s="32" t="n">
        <x:f>IF(AND(32&gt;=$D8,32&lt;=$E8),IF($F8="Sí",2,1),0)</x:f>
        <x:v>0</x:v>
      </x:c>
      <x:c r="AM8" s="32" t="n">
        <x:f>IF(AND(33&gt;=$D8,33&lt;=$E8),IF($F8="Sí",2,1),0)</x:f>
        <x:v>0</x:v>
      </x:c>
      <x:c r="AN8" s="33" t="n">
        <x:f>IF(AND(34&gt;=$D8,34&lt;=$E8),IF($F8="Sí",2,1),0)</x:f>
        <x:v>0</x:v>
      </x:c>
      <x:c r="AO8" s="33" t="n">
        <x:f>IF(AND(35&gt;=$D8,35&lt;=$E8),IF($F8="Sí",2,1),0)</x:f>
        <x:v>0</x:v>
      </x:c>
    </x:row>
    <x:row r="9" ht="36" customHeight="1">
      <x:c r="A9" s="3" t="str">
        <x:v>T04</x:v>
      </x:c>
      <x:c r="B9" s="16" t="str">
        <x:v>1.04 · Cerrar contrato y reservar equipo</x:v>
      </x:c>
      <x:c r="C9" s="16" t="str">
        <x:v>Alejandro Maureira</x:v>
      </x:c>
      <x:c r="D9" s="3" t="n">
        <x:f>'EDT Y TAREAS'!T9</x:f>
        <x:v>3</x:v>
      </x:c>
      <x:c r="E9" s="3" t="n">
        <x:f>'EDT Y TAREAS'!U9</x:f>
        <x:v>3</x:v>
      </x:c>
      <x:c r="F9" s="3" t="str">
        <x:f>'EDT Y TAREAS'!S9</x:f>
        <x:v>Sí</x:v>
      </x:c>
      <x:c r="G9" s="32" t="n">
        <x:f>IF(AND(1&gt;=$D9,1&lt;=$E9),IF($F9="Sí",2,1),0)</x:f>
        <x:v>0</x:v>
      </x:c>
      <x:c r="H9" s="32" t="n">
        <x:f>IF(AND(2&gt;=$D9,2&lt;=$E9),IF($F9="Sí",2,1),0)</x:f>
        <x:v>0</x:v>
      </x:c>
      <x:c r="I9" s="32" t="n">
        <x:f>IF(AND(3&gt;=$D9,3&lt;=$E9),IF($F9="Sí",2,1),0)</x:f>
        <x:v>2</x:v>
      </x:c>
      <x:c r="J9" s="32" t="n">
        <x:f>IF(AND(4&gt;=$D9,4&lt;=$E9),IF($F9="Sí",2,1),0)</x:f>
        <x:v>0</x:v>
      </x:c>
      <x:c r="K9" s="32" t="n">
        <x:f>IF(AND(5&gt;=$D9,5&lt;=$E9),IF($F9="Sí",2,1),0)</x:f>
        <x:v>0</x:v>
      </x:c>
      <x:c r="L9" s="32" t="n">
        <x:f>IF(AND(6&gt;=$D9,6&lt;=$E9),IF($F9="Sí",2,1),0)</x:f>
        <x:v>0</x:v>
      </x:c>
      <x:c r="M9" s="32" t="n">
        <x:f>IF(AND(7&gt;=$D9,7&lt;=$E9),IF($F9="Sí",2,1),0)</x:f>
        <x:v>0</x:v>
      </x:c>
      <x:c r="N9" s="32" t="n">
        <x:f>IF(AND(8&gt;=$D9,8&lt;=$E9),IF($F9="Sí",2,1),0)</x:f>
        <x:v>0</x:v>
      </x:c>
      <x:c r="O9" s="32" t="n">
        <x:f>IF(AND(9&gt;=$D9,9&lt;=$E9),IF($F9="Sí",2,1),0)</x:f>
        <x:v>0</x:v>
      </x:c>
      <x:c r="P9" s="32" t="n">
        <x:f>IF(AND(10&gt;=$D9,10&lt;=$E9),IF($F9="Sí",2,1),0)</x:f>
        <x:v>0</x:v>
      </x:c>
      <x:c r="Q9" s="32" t="n">
        <x:f>IF(AND(11&gt;=$D9,11&lt;=$E9),IF($F9="Sí",2,1),0)</x:f>
        <x:v>0</x:v>
      </x:c>
      <x:c r="R9" s="32" t="n">
        <x:f>IF(AND(12&gt;=$D9,12&lt;=$E9),IF($F9="Sí",2,1),0)</x:f>
        <x:v>0</x:v>
      </x:c>
      <x:c r="S9" s="32" t="n">
        <x:f>IF(AND(13&gt;=$D9,13&lt;=$E9),IF($F9="Sí",2,1),0)</x:f>
        <x:v>0</x:v>
      </x:c>
      <x:c r="T9" s="32" t="n">
        <x:f>IF(AND(14&gt;=$D9,14&lt;=$E9),IF($F9="Sí",2,1),0)</x:f>
        <x:v>0</x:v>
      </x:c>
      <x:c r="U9" s="32" t="n">
        <x:f>IF(AND(15&gt;=$D9,15&lt;=$E9),IF($F9="Sí",2,1),0)</x:f>
        <x:v>0</x:v>
      </x:c>
      <x:c r="V9" s="32" t="n">
        <x:f>IF(AND(16&gt;=$D9,16&lt;=$E9),IF($F9="Sí",2,1),0)</x:f>
        <x:v>0</x:v>
      </x:c>
      <x:c r="W9" s="32" t="n">
        <x:f>IF(AND(17&gt;=$D9,17&lt;=$E9),IF($F9="Sí",2,1),0)</x:f>
        <x:v>0</x:v>
      </x:c>
      <x:c r="X9" s="32" t="n">
        <x:f>IF(AND(18&gt;=$D9,18&lt;=$E9),IF($F9="Sí",2,1),0)</x:f>
        <x:v>0</x:v>
      </x:c>
      <x:c r="Y9" s="32" t="n">
        <x:f>IF(AND(19&gt;=$D9,19&lt;=$E9),IF($F9="Sí",2,1),0)</x:f>
        <x:v>0</x:v>
      </x:c>
      <x:c r="Z9" s="32" t="n">
        <x:f>IF(AND(20&gt;=$D9,20&lt;=$E9),IF($F9="Sí",2,1),0)</x:f>
        <x:v>0</x:v>
      </x:c>
      <x:c r="AA9" s="32" t="n">
        <x:f>IF(AND(21&gt;=$D9,21&lt;=$E9),IF($F9="Sí",2,1),0)</x:f>
        <x:v>0</x:v>
      </x:c>
      <x:c r="AB9" s="32" t="n">
        <x:f>IF(AND(22&gt;=$D9,22&lt;=$E9),IF($F9="Sí",2,1),0)</x:f>
        <x:v>0</x:v>
      </x:c>
      <x:c r="AC9" s="32" t="n">
        <x:f>IF(AND(23&gt;=$D9,23&lt;=$E9),IF($F9="Sí",2,1),0)</x:f>
        <x:v>0</x:v>
      </x:c>
      <x:c r="AD9" s="32" t="n">
        <x:f>IF(AND(24&gt;=$D9,24&lt;=$E9),IF($F9="Sí",2,1),0)</x:f>
        <x:v>0</x:v>
      </x:c>
      <x:c r="AE9" s="32" t="n">
        <x:f>IF(AND(25&gt;=$D9,25&lt;=$E9),IF($F9="Sí",2,1),0)</x:f>
        <x:v>0</x:v>
      </x:c>
      <x:c r="AF9" s="32" t="n">
        <x:f>IF(AND(26&gt;=$D9,26&lt;=$E9),IF($F9="Sí",2,1),0)</x:f>
        <x:v>0</x:v>
      </x:c>
      <x:c r="AG9" s="32" t="n">
        <x:f>IF(AND(27&gt;=$D9,27&lt;=$E9),IF($F9="Sí",2,1),0)</x:f>
        <x:v>0</x:v>
      </x:c>
      <x:c r="AH9" s="32" t="n">
        <x:f>IF(AND(28&gt;=$D9,28&lt;=$E9),IF($F9="Sí",2,1),0)</x:f>
        <x:v>0</x:v>
      </x:c>
      <x:c r="AI9" s="32" t="n">
        <x:f>IF(AND(29&gt;=$D9,29&lt;=$E9),IF($F9="Sí",2,1),0)</x:f>
        <x:v>0</x:v>
      </x:c>
      <x:c r="AJ9" s="32" t="n">
        <x:f>IF(AND(30&gt;=$D9,30&lt;=$E9),IF($F9="Sí",2,1),0)</x:f>
        <x:v>0</x:v>
      </x:c>
      <x:c r="AK9" s="32" t="n">
        <x:f>IF(AND(31&gt;=$D9,31&lt;=$E9),IF($F9="Sí",2,1),0)</x:f>
        <x:v>0</x:v>
      </x:c>
      <x:c r="AL9" s="32" t="n">
        <x:f>IF(AND(32&gt;=$D9,32&lt;=$E9),IF($F9="Sí",2,1),0)</x:f>
        <x:v>0</x:v>
      </x:c>
      <x:c r="AM9" s="32" t="n">
        <x:f>IF(AND(33&gt;=$D9,33&lt;=$E9),IF($F9="Sí",2,1),0)</x:f>
        <x:v>0</x:v>
      </x:c>
      <x:c r="AN9" s="33" t="n">
        <x:f>IF(AND(34&gt;=$D9,34&lt;=$E9),IF($F9="Sí",2,1),0)</x:f>
        <x:v>0</x:v>
      </x:c>
      <x:c r="AO9" s="33" t="n">
        <x:f>IF(AND(35&gt;=$D9,35&lt;=$E9),IF($F9="Sí",2,1),0)</x:f>
        <x:v>0</x:v>
      </x:c>
    </x:row>
    <x:row r="10" ht="36" customHeight="1">
      <x:c r="A10" s="3" t="str">
        <x:v>T05</x:v>
      </x:c>
      <x:c r="B10" s="16" t="str">
        <x:v>1.05 · Entrevistar usuarios y levantar recorrido</x:v>
      </x:c>
      <x:c r="C10" s="16" t="str">
        <x:v>Empresa · UX</x:v>
      </x:c>
      <x:c r="D10" s="3" t="n">
        <x:f>'EDT Y TAREAS'!T10</x:f>
        <x:v>3</x:v>
      </x:c>
      <x:c r="E10" s="3" t="n">
        <x:f>'EDT Y TAREAS'!U10</x:f>
        <x:v>5</x:v>
      </x:c>
      <x:c r="F10" s="3" t="str">
        <x:f>'EDT Y TAREAS'!S10</x:f>
        <x:v>Sí</x:v>
      </x:c>
      <x:c r="G10" s="32" t="n">
        <x:f>IF(AND(1&gt;=$D10,1&lt;=$E10),IF($F10="Sí",2,1),0)</x:f>
        <x:v>0</x:v>
      </x:c>
      <x:c r="H10" s="32" t="n">
        <x:f>IF(AND(2&gt;=$D10,2&lt;=$E10),IF($F10="Sí",2,1),0)</x:f>
        <x:v>0</x:v>
      </x:c>
      <x:c r="I10" s="32" t="n">
        <x:f>IF(AND(3&gt;=$D10,3&lt;=$E10),IF($F10="Sí",2,1),0)</x:f>
        <x:v>2</x:v>
      </x:c>
      <x:c r="J10" s="32" t="n">
        <x:f>IF(AND(4&gt;=$D10,4&lt;=$E10),IF($F10="Sí",2,1),0)</x:f>
        <x:v>2</x:v>
      </x:c>
      <x:c r="K10" s="32" t="n">
        <x:f>IF(AND(5&gt;=$D10,5&lt;=$E10),IF($F10="Sí",2,1),0)</x:f>
        <x:v>2</x:v>
      </x:c>
      <x:c r="L10" s="32" t="n">
        <x:f>IF(AND(6&gt;=$D10,6&lt;=$E10),IF($F10="Sí",2,1),0)</x:f>
        <x:v>0</x:v>
      </x:c>
      <x:c r="M10" s="32" t="n">
        <x:f>IF(AND(7&gt;=$D10,7&lt;=$E10),IF($F10="Sí",2,1),0)</x:f>
        <x:v>0</x:v>
      </x:c>
      <x:c r="N10" s="32" t="n">
        <x:f>IF(AND(8&gt;=$D10,8&lt;=$E10),IF($F10="Sí",2,1),0)</x:f>
        <x:v>0</x:v>
      </x:c>
      <x:c r="O10" s="32" t="n">
        <x:f>IF(AND(9&gt;=$D10,9&lt;=$E10),IF($F10="Sí",2,1),0)</x:f>
        <x:v>0</x:v>
      </x:c>
      <x:c r="P10" s="32" t="n">
        <x:f>IF(AND(10&gt;=$D10,10&lt;=$E10),IF($F10="Sí",2,1),0)</x:f>
        <x:v>0</x:v>
      </x:c>
      <x:c r="Q10" s="32" t="n">
        <x:f>IF(AND(11&gt;=$D10,11&lt;=$E10),IF($F10="Sí",2,1),0)</x:f>
        <x:v>0</x:v>
      </x:c>
      <x:c r="R10" s="32" t="n">
        <x:f>IF(AND(12&gt;=$D10,12&lt;=$E10),IF($F10="Sí",2,1),0)</x:f>
        <x:v>0</x:v>
      </x:c>
      <x:c r="S10" s="32" t="n">
        <x:f>IF(AND(13&gt;=$D10,13&lt;=$E10),IF($F10="Sí",2,1),0)</x:f>
        <x:v>0</x:v>
      </x:c>
      <x:c r="T10" s="32" t="n">
        <x:f>IF(AND(14&gt;=$D10,14&lt;=$E10),IF($F10="Sí",2,1),0)</x:f>
        <x:v>0</x:v>
      </x:c>
      <x:c r="U10" s="32" t="n">
        <x:f>IF(AND(15&gt;=$D10,15&lt;=$E10),IF($F10="Sí",2,1),0)</x:f>
        <x:v>0</x:v>
      </x:c>
      <x:c r="V10" s="32" t="n">
        <x:f>IF(AND(16&gt;=$D10,16&lt;=$E10),IF($F10="Sí",2,1),0)</x:f>
        <x:v>0</x:v>
      </x:c>
      <x:c r="W10" s="32" t="n">
        <x:f>IF(AND(17&gt;=$D10,17&lt;=$E10),IF($F10="Sí",2,1),0)</x:f>
        <x:v>0</x:v>
      </x:c>
      <x:c r="X10" s="32" t="n">
        <x:f>IF(AND(18&gt;=$D10,18&lt;=$E10),IF($F10="Sí",2,1),0)</x:f>
        <x:v>0</x:v>
      </x:c>
      <x:c r="Y10" s="32" t="n">
        <x:f>IF(AND(19&gt;=$D10,19&lt;=$E10),IF($F10="Sí",2,1),0)</x:f>
        <x:v>0</x:v>
      </x:c>
      <x:c r="Z10" s="32" t="n">
        <x:f>IF(AND(20&gt;=$D10,20&lt;=$E10),IF($F10="Sí",2,1),0)</x:f>
        <x:v>0</x:v>
      </x:c>
      <x:c r="AA10" s="32" t="n">
        <x:f>IF(AND(21&gt;=$D10,21&lt;=$E10),IF($F10="Sí",2,1),0)</x:f>
        <x:v>0</x:v>
      </x:c>
      <x:c r="AB10" s="32" t="n">
        <x:f>IF(AND(22&gt;=$D10,22&lt;=$E10),IF($F10="Sí",2,1),0)</x:f>
        <x:v>0</x:v>
      </x:c>
      <x:c r="AC10" s="32" t="n">
        <x:f>IF(AND(23&gt;=$D10,23&lt;=$E10),IF($F10="Sí",2,1),0)</x:f>
        <x:v>0</x:v>
      </x:c>
      <x:c r="AD10" s="32" t="n">
        <x:f>IF(AND(24&gt;=$D10,24&lt;=$E10),IF($F10="Sí",2,1),0)</x:f>
        <x:v>0</x:v>
      </x:c>
      <x:c r="AE10" s="32" t="n">
        <x:f>IF(AND(25&gt;=$D10,25&lt;=$E10),IF($F10="Sí",2,1),0)</x:f>
        <x:v>0</x:v>
      </x:c>
      <x:c r="AF10" s="32" t="n">
        <x:f>IF(AND(26&gt;=$D10,26&lt;=$E10),IF($F10="Sí",2,1),0)</x:f>
        <x:v>0</x:v>
      </x:c>
      <x:c r="AG10" s="32" t="n">
        <x:f>IF(AND(27&gt;=$D10,27&lt;=$E10),IF($F10="Sí",2,1),0)</x:f>
        <x:v>0</x:v>
      </x:c>
      <x:c r="AH10" s="32" t="n">
        <x:f>IF(AND(28&gt;=$D10,28&lt;=$E10),IF($F10="Sí",2,1),0)</x:f>
        <x:v>0</x:v>
      </x:c>
      <x:c r="AI10" s="32" t="n">
        <x:f>IF(AND(29&gt;=$D10,29&lt;=$E10),IF($F10="Sí",2,1),0)</x:f>
        <x:v>0</x:v>
      </x:c>
      <x:c r="AJ10" s="32" t="n">
        <x:f>IF(AND(30&gt;=$D10,30&lt;=$E10),IF($F10="Sí",2,1),0)</x:f>
        <x:v>0</x:v>
      </x:c>
      <x:c r="AK10" s="32" t="n">
        <x:f>IF(AND(31&gt;=$D10,31&lt;=$E10),IF($F10="Sí",2,1),0)</x:f>
        <x:v>0</x:v>
      </x:c>
      <x:c r="AL10" s="32" t="n">
        <x:f>IF(AND(32&gt;=$D10,32&lt;=$E10),IF($F10="Sí",2,1),0)</x:f>
        <x:v>0</x:v>
      </x:c>
      <x:c r="AM10" s="32" t="n">
        <x:f>IF(AND(33&gt;=$D10,33&lt;=$E10),IF($F10="Sí",2,1),0)</x:f>
        <x:v>0</x:v>
      </x:c>
      <x:c r="AN10" s="33" t="n">
        <x:f>IF(AND(34&gt;=$D10,34&lt;=$E10),IF($F10="Sí",2,1),0)</x:f>
        <x:v>0</x:v>
      </x:c>
      <x:c r="AO10" s="33" t="n">
        <x:f>IF(AND(35&gt;=$D10,35&lt;=$E10),IF($F10="Sí",2,1),0)</x:f>
        <x:v>0</x:v>
      </x:c>
    </x:row>
    <x:row r="11" ht="36" customHeight="1">
      <x:c r="A11" s="3" t="str">
        <x:v>T06</x:v>
      </x:c>
      <x:c r="B11" s="16" t="str">
        <x:v>1.06 · Diseñar contratos del motor y fronteras</x:v>
      </x:c>
      <x:c r="C11" s="16" t="str">
        <x:v>Empresa · backend</x:v>
      </x:c>
      <x:c r="D11" s="3" t="n">
        <x:f>'EDT Y TAREAS'!T11</x:f>
        <x:v>3</x:v>
      </x:c>
      <x:c r="E11" s="3" t="n">
        <x:f>'EDT Y TAREAS'!U11</x:f>
        <x:v>5</x:v>
      </x:c>
      <x:c r="F11" s="3" t="str">
        <x:f>'EDT Y TAREAS'!S11</x:f>
        <x:v>Sí</x:v>
      </x:c>
      <x:c r="G11" s="32" t="n">
        <x:f>IF(AND(1&gt;=$D11,1&lt;=$E11),IF($F11="Sí",2,1),0)</x:f>
        <x:v>0</x:v>
      </x:c>
      <x:c r="H11" s="32" t="n">
        <x:f>IF(AND(2&gt;=$D11,2&lt;=$E11),IF($F11="Sí",2,1),0)</x:f>
        <x:v>0</x:v>
      </x:c>
      <x:c r="I11" s="32" t="n">
        <x:f>IF(AND(3&gt;=$D11,3&lt;=$E11),IF($F11="Sí",2,1),0)</x:f>
        <x:v>2</x:v>
      </x:c>
      <x:c r="J11" s="32" t="n">
        <x:f>IF(AND(4&gt;=$D11,4&lt;=$E11),IF($F11="Sí",2,1),0)</x:f>
        <x:v>2</x:v>
      </x:c>
      <x:c r="K11" s="32" t="n">
        <x:f>IF(AND(5&gt;=$D11,5&lt;=$E11),IF($F11="Sí",2,1),0)</x:f>
        <x:v>2</x:v>
      </x:c>
      <x:c r="L11" s="32" t="n">
        <x:f>IF(AND(6&gt;=$D11,6&lt;=$E11),IF($F11="Sí",2,1),0)</x:f>
        <x:v>0</x:v>
      </x:c>
      <x:c r="M11" s="32" t="n">
        <x:f>IF(AND(7&gt;=$D11,7&lt;=$E11),IF($F11="Sí",2,1),0)</x:f>
        <x:v>0</x:v>
      </x:c>
      <x:c r="N11" s="32" t="n">
        <x:f>IF(AND(8&gt;=$D11,8&lt;=$E11),IF($F11="Sí",2,1),0)</x:f>
        <x:v>0</x:v>
      </x:c>
      <x:c r="O11" s="32" t="n">
        <x:f>IF(AND(9&gt;=$D11,9&lt;=$E11),IF($F11="Sí",2,1),0)</x:f>
        <x:v>0</x:v>
      </x:c>
      <x:c r="P11" s="32" t="n">
        <x:f>IF(AND(10&gt;=$D11,10&lt;=$E11),IF($F11="Sí",2,1),0)</x:f>
        <x:v>0</x:v>
      </x:c>
      <x:c r="Q11" s="32" t="n">
        <x:f>IF(AND(11&gt;=$D11,11&lt;=$E11),IF($F11="Sí",2,1),0)</x:f>
        <x:v>0</x:v>
      </x:c>
      <x:c r="R11" s="32" t="n">
        <x:f>IF(AND(12&gt;=$D11,12&lt;=$E11),IF($F11="Sí",2,1),0)</x:f>
        <x:v>0</x:v>
      </x:c>
      <x:c r="S11" s="32" t="n">
        <x:f>IF(AND(13&gt;=$D11,13&lt;=$E11),IF($F11="Sí",2,1),0)</x:f>
        <x:v>0</x:v>
      </x:c>
      <x:c r="T11" s="32" t="n">
        <x:f>IF(AND(14&gt;=$D11,14&lt;=$E11),IF($F11="Sí",2,1),0)</x:f>
        <x:v>0</x:v>
      </x:c>
      <x:c r="U11" s="32" t="n">
        <x:f>IF(AND(15&gt;=$D11,15&lt;=$E11),IF($F11="Sí",2,1),0)</x:f>
        <x:v>0</x:v>
      </x:c>
      <x:c r="V11" s="32" t="n">
        <x:f>IF(AND(16&gt;=$D11,16&lt;=$E11),IF($F11="Sí",2,1),0)</x:f>
        <x:v>0</x:v>
      </x:c>
      <x:c r="W11" s="32" t="n">
        <x:f>IF(AND(17&gt;=$D11,17&lt;=$E11),IF($F11="Sí",2,1),0)</x:f>
        <x:v>0</x:v>
      </x:c>
      <x:c r="X11" s="32" t="n">
        <x:f>IF(AND(18&gt;=$D11,18&lt;=$E11),IF($F11="Sí",2,1),0)</x:f>
        <x:v>0</x:v>
      </x:c>
      <x:c r="Y11" s="32" t="n">
        <x:f>IF(AND(19&gt;=$D11,19&lt;=$E11),IF($F11="Sí",2,1),0)</x:f>
        <x:v>0</x:v>
      </x:c>
      <x:c r="Z11" s="32" t="n">
        <x:f>IF(AND(20&gt;=$D11,20&lt;=$E11),IF($F11="Sí",2,1),0)</x:f>
        <x:v>0</x:v>
      </x:c>
      <x:c r="AA11" s="32" t="n">
        <x:f>IF(AND(21&gt;=$D11,21&lt;=$E11),IF($F11="Sí",2,1),0)</x:f>
        <x:v>0</x:v>
      </x:c>
      <x:c r="AB11" s="32" t="n">
        <x:f>IF(AND(22&gt;=$D11,22&lt;=$E11),IF($F11="Sí",2,1),0)</x:f>
        <x:v>0</x:v>
      </x:c>
      <x:c r="AC11" s="32" t="n">
        <x:f>IF(AND(23&gt;=$D11,23&lt;=$E11),IF($F11="Sí",2,1),0)</x:f>
        <x:v>0</x:v>
      </x:c>
      <x:c r="AD11" s="32" t="n">
        <x:f>IF(AND(24&gt;=$D11,24&lt;=$E11),IF($F11="Sí",2,1),0)</x:f>
        <x:v>0</x:v>
      </x:c>
      <x:c r="AE11" s="32" t="n">
        <x:f>IF(AND(25&gt;=$D11,25&lt;=$E11),IF($F11="Sí",2,1),0)</x:f>
        <x:v>0</x:v>
      </x:c>
      <x:c r="AF11" s="32" t="n">
        <x:f>IF(AND(26&gt;=$D11,26&lt;=$E11),IF($F11="Sí",2,1),0)</x:f>
        <x:v>0</x:v>
      </x:c>
      <x:c r="AG11" s="32" t="n">
        <x:f>IF(AND(27&gt;=$D11,27&lt;=$E11),IF($F11="Sí",2,1),0)</x:f>
        <x:v>0</x:v>
      </x:c>
      <x:c r="AH11" s="32" t="n">
        <x:f>IF(AND(28&gt;=$D11,28&lt;=$E11),IF($F11="Sí",2,1),0)</x:f>
        <x:v>0</x:v>
      </x:c>
      <x:c r="AI11" s="32" t="n">
        <x:f>IF(AND(29&gt;=$D11,29&lt;=$E11),IF($F11="Sí",2,1),0)</x:f>
        <x:v>0</x:v>
      </x:c>
      <x:c r="AJ11" s="32" t="n">
        <x:f>IF(AND(30&gt;=$D11,30&lt;=$E11),IF($F11="Sí",2,1),0)</x:f>
        <x:v>0</x:v>
      </x:c>
      <x:c r="AK11" s="32" t="n">
        <x:f>IF(AND(31&gt;=$D11,31&lt;=$E11),IF($F11="Sí",2,1),0)</x:f>
        <x:v>0</x:v>
      </x:c>
      <x:c r="AL11" s="32" t="n">
        <x:f>IF(AND(32&gt;=$D11,32&lt;=$E11),IF($F11="Sí",2,1),0)</x:f>
        <x:v>0</x:v>
      </x:c>
      <x:c r="AM11" s="32" t="n">
        <x:f>IF(AND(33&gt;=$D11,33&lt;=$E11),IF($F11="Sí",2,1),0)</x:f>
        <x:v>0</x:v>
      </x:c>
      <x:c r="AN11" s="33" t="n">
        <x:f>IF(AND(34&gt;=$D11,34&lt;=$E11),IF($F11="Sí",2,1),0)</x:f>
        <x:v>0</x:v>
      </x:c>
      <x:c r="AO11" s="33" t="n">
        <x:f>IF(AND(35&gt;=$D11,35&lt;=$E11),IF($F11="Sí",2,1),0)</x:f>
        <x:v>0</x:v>
      </x:c>
    </x:row>
    <x:row r="12" ht="36" customHeight="1">
      <x:c r="A12" s="3" t="str">
        <x:v>T07</x:v>
      </x:c>
      <x:c r="B12" s="16" t="str">
        <x:v>1.07 · Aprobar MVP y criterios de salida</x:v>
      </x:c>
      <x:c r="C12" s="16" t="str">
        <x:v>Alejandro Maureira</x:v>
      </x:c>
      <x:c r="D12" s="3" t="n">
        <x:f>'EDT Y TAREAS'!T12</x:f>
        <x:v>5</x:v>
      </x:c>
      <x:c r="E12" s="3" t="n">
        <x:f>'EDT Y TAREAS'!U12</x:f>
        <x:v>6</x:v>
      </x:c>
      <x:c r="F12" s="3" t="str">
        <x:f>'EDT Y TAREAS'!S12</x:f>
        <x:v>Sí</x:v>
      </x:c>
      <x:c r="G12" s="32" t="n">
        <x:f>IF(AND(1&gt;=$D12,1&lt;=$E12),IF($F12="Sí",2,1),0)</x:f>
        <x:v>0</x:v>
      </x:c>
      <x:c r="H12" s="32" t="n">
        <x:f>IF(AND(2&gt;=$D12,2&lt;=$E12),IF($F12="Sí",2,1),0)</x:f>
        <x:v>0</x:v>
      </x:c>
      <x:c r="I12" s="32" t="n">
        <x:f>IF(AND(3&gt;=$D12,3&lt;=$E12),IF($F12="Sí",2,1),0)</x:f>
        <x:v>0</x:v>
      </x:c>
      <x:c r="J12" s="32" t="n">
        <x:f>IF(AND(4&gt;=$D12,4&lt;=$E12),IF($F12="Sí",2,1),0)</x:f>
        <x:v>0</x:v>
      </x:c>
      <x:c r="K12" s="32" t="n">
        <x:f>IF(AND(5&gt;=$D12,5&lt;=$E12),IF($F12="Sí",2,1),0)</x:f>
        <x:v>2</x:v>
      </x:c>
      <x:c r="L12" s="32" t="n">
        <x:f>IF(AND(6&gt;=$D12,6&lt;=$E12),IF($F12="Sí",2,1),0)</x:f>
        <x:v>2</x:v>
      </x:c>
      <x:c r="M12" s="32" t="n">
        <x:f>IF(AND(7&gt;=$D12,7&lt;=$E12),IF($F12="Sí",2,1),0)</x:f>
        <x:v>0</x:v>
      </x:c>
      <x:c r="N12" s="32" t="n">
        <x:f>IF(AND(8&gt;=$D12,8&lt;=$E12),IF($F12="Sí",2,1),0)</x:f>
        <x:v>0</x:v>
      </x:c>
      <x:c r="O12" s="32" t="n">
        <x:f>IF(AND(9&gt;=$D12,9&lt;=$E12),IF($F12="Sí",2,1),0)</x:f>
        <x:v>0</x:v>
      </x:c>
      <x:c r="P12" s="32" t="n">
        <x:f>IF(AND(10&gt;=$D12,10&lt;=$E12),IF($F12="Sí",2,1),0)</x:f>
        <x:v>0</x:v>
      </x:c>
      <x:c r="Q12" s="32" t="n">
        <x:f>IF(AND(11&gt;=$D12,11&lt;=$E12),IF($F12="Sí",2,1),0)</x:f>
        <x:v>0</x:v>
      </x:c>
      <x:c r="R12" s="32" t="n">
        <x:f>IF(AND(12&gt;=$D12,12&lt;=$E12),IF($F12="Sí",2,1),0)</x:f>
        <x:v>0</x:v>
      </x:c>
      <x:c r="S12" s="32" t="n">
        <x:f>IF(AND(13&gt;=$D12,13&lt;=$E12),IF($F12="Sí",2,1),0)</x:f>
        <x:v>0</x:v>
      </x:c>
      <x:c r="T12" s="32" t="n">
        <x:f>IF(AND(14&gt;=$D12,14&lt;=$E12),IF($F12="Sí",2,1),0)</x:f>
        <x:v>0</x:v>
      </x:c>
      <x:c r="U12" s="32" t="n">
        <x:f>IF(AND(15&gt;=$D12,15&lt;=$E12),IF($F12="Sí",2,1),0)</x:f>
        <x:v>0</x:v>
      </x:c>
      <x:c r="V12" s="32" t="n">
        <x:f>IF(AND(16&gt;=$D12,16&lt;=$E12),IF($F12="Sí",2,1),0)</x:f>
        <x:v>0</x:v>
      </x:c>
      <x:c r="W12" s="32" t="n">
        <x:f>IF(AND(17&gt;=$D12,17&lt;=$E12),IF($F12="Sí",2,1),0)</x:f>
        <x:v>0</x:v>
      </x:c>
      <x:c r="X12" s="32" t="n">
        <x:f>IF(AND(18&gt;=$D12,18&lt;=$E12),IF($F12="Sí",2,1),0)</x:f>
        <x:v>0</x:v>
      </x:c>
      <x:c r="Y12" s="32" t="n">
        <x:f>IF(AND(19&gt;=$D12,19&lt;=$E12),IF($F12="Sí",2,1),0)</x:f>
        <x:v>0</x:v>
      </x:c>
      <x:c r="Z12" s="32" t="n">
        <x:f>IF(AND(20&gt;=$D12,20&lt;=$E12),IF($F12="Sí",2,1),0)</x:f>
        <x:v>0</x:v>
      </x:c>
      <x:c r="AA12" s="32" t="n">
        <x:f>IF(AND(21&gt;=$D12,21&lt;=$E12),IF($F12="Sí",2,1),0)</x:f>
        <x:v>0</x:v>
      </x:c>
      <x:c r="AB12" s="32" t="n">
        <x:f>IF(AND(22&gt;=$D12,22&lt;=$E12),IF($F12="Sí",2,1),0)</x:f>
        <x:v>0</x:v>
      </x:c>
      <x:c r="AC12" s="32" t="n">
        <x:f>IF(AND(23&gt;=$D12,23&lt;=$E12),IF($F12="Sí",2,1),0)</x:f>
        <x:v>0</x:v>
      </x:c>
      <x:c r="AD12" s="32" t="n">
        <x:f>IF(AND(24&gt;=$D12,24&lt;=$E12),IF($F12="Sí",2,1),0)</x:f>
        <x:v>0</x:v>
      </x:c>
      <x:c r="AE12" s="32" t="n">
        <x:f>IF(AND(25&gt;=$D12,25&lt;=$E12),IF($F12="Sí",2,1),0)</x:f>
        <x:v>0</x:v>
      </x:c>
      <x:c r="AF12" s="32" t="n">
        <x:f>IF(AND(26&gt;=$D12,26&lt;=$E12),IF($F12="Sí",2,1),0)</x:f>
        <x:v>0</x:v>
      </x:c>
      <x:c r="AG12" s="32" t="n">
        <x:f>IF(AND(27&gt;=$D12,27&lt;=$E12),IF($F12="Sí",2,1),0)</x:f>
        <x:v>0</x:v>
      </x:c>
      <x:c r="AH12" s="32" t="n">
        <x:f>IF(AND(28&gt;=$D12,28&lt;=$E12),IF($F12="Sí",2,1),0)</x:f>
        <x:v>0</x:v>
      </x:c>
      <x:c r="AI12" s="32" t="n">
        <x:f>IF(AND(29&gt;=$D12,29&lt;=$E12),IF($F12="Sí",2,1),0)</x:f>
        <x:v>0</x:v>
      </x:c>
      <x:c r="AJ12" s="32" t="n">
        <x:f>IF(AND(30&gt;=$D12,30&lt;=$E12),IF($F12="Sí",2,1),0)</x:f>
        <x:v>0</x:v>
      </x:c>
      <x:c r="AK12" s="32" t="n">
        <x:f>IF(AND(31&gt;=$D12,31&lt;=$E12),IF($F12="Sí",2,1),0)</x:f>
        <x:v>0</x:v>
      </x:c>
      <x:c r="AL12" s="32" t="n">
        <x:f>IF(AND(32&gt;=$D12,32&lt;=$E12),IF($F12="Sí",2,1),0)</x:f>
        <x:v>0</x:v>
      </x:c>
      <x:c r="AM12" s="32" t="n">
        <x:f>IF(AND(33&gt;=$D12,33&lt;=$E12),IF($F12="Sí",2,1),0)</x:f>
        <x:v>0</x:v>
      </x:c>
      <x:c r="AN12" s="33" t="n">
        <x:f>IF(AND(34&gt;=$D12,34&lt;=$E12),IF($F12="Sí",2,1),0)</x:f>
        <x:v>0</x:v>
      </x:c>
      <x:c r="AO12" s="33" t="n">
        <x:f>IF(AND(35&gt;=$D12,35&lt;=$E12),IF($F12="Sí",2,1),0)</x:f>
        <x:v>0</x:v>
      </x:c>
    </x:row>
    <x:row r="13" ht="36" customHeight="1">
      <x:c r="A13" s="3" t="str">
        <x:v>T08</x:v>
      </x:c>
      <x:c r="B13" s="16" t="str">
        <x:v>2.01 · Definir rangos y unidades por variable</x:v>
      </x:c>
      <x:c r="C13" s="16" t="str">
        <x:v>Alonso Peña</x:v>
      </x:c>
      <x:c r="D13" s="3" t="n">
        <x:f>'EDT Y TAREAS'!T13</x:f>
        <x:v>2</x:v>
      </x:c>
      <x:c r="E13" s="3" t="n">
        <x:f>'EDT Y TAREAS'!U13</x:f>
        <x:v>2</x:v>
      </x:c>
      <x:c r="F13" s="3" t="str">
        <x:f>'EDT Y TAREAS'!S13</x:f>
        <x:v>No</x:v>
      </x:c>
      <x:c r="G13" s="32" t="n">
        <x:f>IF(AND(1&gt;=$D13,1&lt;=$E13),IF($F13="Sí",2,1),0)</x:f>
        <x:v>0</x:v>
      </x:c>
      <x:c r="H13" s="32" t="n">
        <x:f>IF(AND(2&gt;=$D13,2&lt;=$E13),IF($F13="Sí",2,1),0)</x:f>
        <x:v>1</x:v>
      </x:c>
      <x:c r="I13" s="32" t="n">
        <x:f>IF(AND(3&gt;=$D13,3&lt;=$E13),IF($F13="Sí",2,1),0)</x:f>
        <x:v>0</x:v>
      </x:c>
      <x:c r="J13" s="32" t="n">
        <x:f>IF(AND(4&gt;=$D13,4&lt;=$E13),IF($F13="Sí",2,1),0)</x:f>
        <x:v>0</x:v>
      </x:c>
      <x:c r="K13" s="32" t="n">
        <x:f>IF(AND(5&gt;=$D13,5&lt;=$E13),IF($F13="Sí",2,1),0)</x:f>
        <x:v>0</x:v>
      </x:c>
      <x:c r="L13" s="32" t="n">
        <x:f>IF(AND(6&gt;=$D13,6&lt;=$E13),IF($F13="Sí",2,1),0)</x:f>
        <x:v>0</x:v>
      </x:c>
      <x:c r="M13" s="32" t="n">
        <x:f>IF(AND(7&gt;=$D13,7&lt;=$E13),IF($F13="Sí",2,1),0)</x:f>
        <x:v>0</x:v>
      </x:c>
      <x:c r="N13" s="32" t="n">
        <x:f>IF(AND(8&gt;=$D13,8&lt;=$E13),IF($F13="Sí",2,1),0)</x:f>
        <x:v>0</x:v>
      </x:c>
      <x:c r="O13" s="32" t="n">
        <x:f>IF(AND(9&gt;=$D13,9&lt;=$E13),IF($F13="Sí",2,1),0)</x:f>
        <x:v>0</x:v>
      </x:c>
      <x:c r="P13" s="32" t="n">
        <x:f>IF(AND(10&gt;=$D13,10&lt;=$E13),IF($F13="Sí",2,1),0)</x:f>
        <x:v>0</x:v>
      </x:c>
      <x:c r="Q13" s="32" t="n">
        <x:f>IF(AND(11&gt;=$D13,11&lt;=$E13),IF($F13="Sí",2,1),0)</x:f>
        <x:v>0</x:v>
      </x:c>
      <x:c r="R13" s="32" t="n">
        <x:f>IF(AND(12&gt;=$D13,12&lt;=$E13),IF($F13="Sí",2,1),0)</x:f>
        <x:v>0</x:v>
      </x:c>
      <x:c r="S13" s="32" t="n">
        <x:f>IF(AND(13&gt;=$D13,13&lt;=$E13),IF($F13="Sí",2,1),0)</x:f>
        <x:v>0</x:v>
      </x:c>
      <x:c r="T13" s="32" t="n">
        <x:f>IF(AND(14&gt;=$D13,14&lt;=$E13),IF($F13="Sí",2,1),0)</x:f>
        <x:v>0</x:v>
      </x:c>
      <x:c r="U13" s="32" t="n">
        <x:f>IF(AND(15&gt;=$D13,15&lt;=$E13),IF($F13="Sí",2,1),0)</x:f>
        <x:v>0</x:v>
      </x:c>
      <x:c r="V13" s="32" t="n">
        <x:f>IF(AND(16&gt;=$D13,16&lt;=$E13),IF($F13="Sí",2,1),0)</x:f>
        <x:v>0</x:v>
      </x:c>
      <x:c r="W13" s="32" t="n">
        <x:f>IF(AND(17&gt;=$D13,17&lt;=$E13),IF($F13="Sí",2,1),0)</x:f>
        <x:v>0</x:v>
      </x:c>
      <x:c r="X13" s="32" t="n">
        <x:f>IF(AND(18&gt;=$D13,18&lt;=$E13),IF($F13="Sí",2,1),0)</x:f>
        <x:v>0</x:v>
      </x:c>
      <x:c r="Y13" s="32" t="n">
        <x:f>IF(AND(19&gt;=$D13,19&lt;=$E13),IF($F13="Sí",2,1),0)</x:f>
        <x:v>0</x:v>
      </x:c>
      <x:c r="Z13" s="32" t="n">
        <x:f>IF(AND(20&gt;=$D13,20&lt;=$E13),IF($F13="Sí",2,1),0)</x:f>
        <x:v>0</x:v>
      </x:c>
      <x:c r="AA13" s="32" t="n">
        <x:f>IF(AND(21&gt;=$D13,21&lt;=$E13),IF($F13="Sí",2,1),0)</x:f>
        <x:v>0</x:v>
      </x:c>
      <x:c r="AB13" s="32" t="n">
        <x:f>IF(AND(22&gt;=$D13,22&lt;=$E13),IF($F13="Sí",2,1),0)</x:f>
        <x:v>0</x:v>
      </x:c>
      <x:c r="AC13" s="32" t="n">
        <x:f>IF(AND(23&gt;=$D13,23&lt;=$E13),IF($F13="Sí",2,1),0)</x:f>
        <x:v>0</x:v>
      </x:c>
      <x:c r="AD13" s="32" t="n">
        <x:f>IF(AND(24&gt;=$D13,24&lt;=$E13),IF($F13="Sí",2,1),0)</x:f>
        <x:v>0</x:v>
      </x:c>
      <x:c r="AE13" s="32" t="n">
        <x:f>IF(AND(25&gt;=$D13,25&lt;=$E13),IF($F13="Sí",2,1),0)</x:f>
        <x:v>0</x:v>
      </x:c>
      <x:c r="AF13" s="32" t="n">
        <x:f>IF(AND(26&gt;=$D13,26&lt;=$E13),IF($F13="Sí",2,1),0)</x:f>
        <x:v>0</x:v>
      </x:c>
      <x:c r="AG13" s="32" t="n">
        <x:f>IF(AND(27&gt;=$D13,27&lt;=$E13),IF($F13="Sí",2,1),0)</x:f>
        <x:v>0</x:v>
      </x:c>
      <x:c r="AH13" s="32" t="n">
        <x:f>IF(AND(28&gt;=$D13,28&lt;=$E13),IF($F13="Sí",2,1),0)</x:f>
        <x:v>0</x:v>
      </x:c>
      <x:c r="AI13" s="32" t="n">
        <x:f>IF(AND(29&gt;=$D13,29&lt;=$E13),IF($F13="Sí",2,1),0)</x:f>
        <x:v>0</x:v>
      </x:c>
      <x:c r="AJ13" s="32" t="n">
        <x:f>IF(AND(30&gt;=$D13,30&lt;=$E13),IF($F13="Sí",2,1),0)</x:f>
        <x:v>0</x:v>
      </x:c>
      <x:c r="AK13" s="32" t="n">
        <x:f>IF(AND(31&gt;=$D13,31&lt;=$E13),IF($F13="Sí",2,1),0)</x:f>
        <x:v>0</x:v>
      </x:c>
      <x:c r="AL13" s="32" t="n">
        <x:f>IF(AND(32&gt;=$D13,32&lt;=$E13),IF($F13="Sí",2,1),0)</x:f>
        <x:v>0</x:v>
      </x:c>
      <x:c r="AM13" s="32" t="n">
        <x:f>IF(AND(33&gt;=$D13,33&lt;=$E13),IF($F13="Sí",2,1),0)</x:f>
        <x:v>0</x:v>
      </x:c>
      <x:c r="AN13" s="33" t="n">
        <x:f>IF(AND(34&gt;=$D13,34&lt;=$E13),IF($F13="Sí",2,1),0)</x:f>
        <x:v>0</x:v>
      </x:c>
      <x:c r="AO13" s="33" t="n">
        <x:f>IF(AND(35&gt;=$D13,35&lt;=$E13),IF($F13="Sí",2,1),0)</x:f>
        <x:v>0</x:v>
      </x:c>
    </x:row>
    <x:row r="14" ht="36" customHeight="1">
      <x:c r="A14" s="3" t="str">
        <x:v>T09</x:v>
      </x:c>
      <x:c r="B14" s="16" t="str">
        <x:v>2.02 · Cerrar brechas de validación de entradas</x:v>
      </x:c>
      <x:c r="C14" s="16" t="str">
        <x:v>Alonso Peña</x:v>
      </x:c>
      <x:c r="D14" s="3" t="n">
        <x:f>'EDT Y TAREAS'!T14</x:f>
        <x:v>7</x:v>
      </x:c>
      <x:c r="E14" s="3" t="n">
        <x:f>'EDT Y TAREAS'!U14</x:f>
        <x:v>9</x:v>
      </x:c>
      <x:c r="F14" s="3" t="str">
        <x:f>'EDT Y TAREAS'!S14</x:f>
        <x:v>Sí</x:v>
      </x:c>
      <x:c r="G14" s="32" t="n">
        <x:f>IF(AND(1&gt;=$D14,1&lt;=$E14),IF($F14="Sí",2,1),0)</x:f>
        <x:v>0</x:v>
      </x:c>
      <x:c r="H14" s="32" t="n">
        <x:f>IF(AND(2&gt;=$D14,2&lt;=$E14),IF($F14="Sí",2,1),0)</x:f>
        <x:v>0</x:v>
      </x:c>
      <x:c r="I14" s="32" t="n">
        <x:f>IF(AND(3&gt;=$D14,3&lt;=$E14),IF($F14="Sí",2,1),0)</x:f>
        <x:v>0</x:v>
      </x:c>
      <x:c r="J14" s="32" t="n">
        <x:f>IF(AND(4&gt;=$D14,4&lt;=$E14),IF($F14="Sí",2,1),0)</x:f>
        <x:v>0</x:v>
      </x:c>
      <x:c r="K14" s="32" t="n">
        <x:f>IF(AND(5&gt;=$D14,5&lt;=$E14),IF($F14="Sí",2,1),0)</x:f>
        <x:v>0</x:v>
      </x:c>
      <x:c r="L14" s="32" t="n">
        <x:f>IF(AND(6&gt;=$D14,6&lt;=$E14),IF($F14="Sí",2,1),0)</x:f>
        <x:v>0</x:v>
      </x:c>
      <x:c r="M14" s="32" t="n">
        <x:f>IF(AND(7&gt;=$D14,7&lt;=$E14),IF($F14="Sí",2,1),0)</x:f>
        <x:v>2</x:v>
      </x:c>
      <x:c r="N14" s="32" t="n">
        <x:f>IF(AND(8&gt;=$D14,8&lt;=$E14),IF($F14="Sí",2,1),0)</x:f>
        <x:v>2</x:v>
      </x:c>
      <x:c r="O14" s="32" t="n">
        <x:f>IF(AND(9&gt;=$D14,9&lt;=$E14),IF($F14="Sí",2,1),0)</x:f>
        <x:v>2</x:v>
      </x:c>
      <x:c r="P14" s="32" t="n">
        <x:f>IF(AND(10&gt;=$D14,10&lt;=$E14),IF($F14="Sí",2,1),0)</x:f>
        <x:v>0</x:v>
      </x:c>
      <x:c r="Q14" s="32" t="n">
        <x:f>IF(AND(11&gt;=$D14,11&lt;=$E14),IF($F14="Sí",2,1),0)</x:f>
        <x:v>0</x:v>
      </x:c>
      <x:c r="R14" s="32" t="n">
        <x:f>IF(AND(12&gt;=$D14,12&lt;=$E14),IF($F14="Sí",2,1),0)</x:f>
        <x:v>0</x:v>
      </x:c>
      <x:c r="S14" s="32" t="n">
        <x:f>IF(AND(13&gt;=$D14,13&lt;=$E14),IF($F14="Sí",2,1),0)</x:f>
        <x:v>0</x:v>
      </x:c>
      <x:c r="T14" s="32" t="n">
        <x:f>IF(AND(14&gt;=$D14,14&lt;=$E14),IF($F14="Sí",2,1),0)</x:f>
        <x:v>0</x:v>
      </x:c>
      <x:c r="U14" s="32" t="n">
        <x:f>IF(AND(15&gt;=$D14,15&lt;=$E14),IF($F14="Sí",2,1),0)</x:f>
        <x:v>0</x:v>
      </x:c>
      <x:c r="V14" s="32" t="n">
        <x:f>IF(AND(16&gt;=$D14,16&lt;=$E14),IF($F14="Sí",2,1),0)</x:f>
        <x:v>0</x:v>
      </x:c>
      <x:c r="W14" s="32" t="n">
        <x:f>IF(AND(17&gt;=$D14,17&lt;=$E14),IF($F14="Sí",2,1),0)</x:f>
        <x:v>0</x:v>
      </x:c>
      <x:c r="X14" s="32" t="n">
        <x:f>IF(AND(18&gt;=$D14,18&lt;=$E14),IF($F14="Sí",2,1),0)</x:f>
        <x:v>0</x:v>
      </x:c>
      <x:c r="Y14" s="32" t="n">
        <x:f>IF(AND(19&gt;=$D14,19&lt;=$E14),IF($F14="Sí",2,1),0)</x:f>
        <x:v>0</x:v>
      </x:c>
      <x:c r="Z14" s="32" t="n">
        <x:f>IF(AND(20&gt;=$D14,20&lt;=$E14),IF($F14="Sí",2,1),0)</x:f>
        <x:v>0</x:v>
      </x:c>
      <x:c r="AA14" s="32" t="n">
        <x:f>IF(AND(21&gt;=$D14,21&lt;=$E14),IF($F14="Sí",2,1),0)</x:f>
        <x:v>0</x:v>
      </x:c>
      <x:c r="AB14" s="32" t="n">
        <x:f>IF(AND(22&gt;=$D14,22&lt;=$E14),IF($F14="Sí",2,1),0)</x:f>
        <x:v>0</x:v>
      </x:c>
      <x:c r="AC14" s="32" t="n">
        <x:f>IF(AND(23&gt;=$D14,23&lt;=$E14),IF($F14="Sí",2,1),0)</x:f>
        <x:v>0</x:v>
      </x:c>
      <x:c r="AD14" s="32" t="n">
        <x:f>IF(AND(24&gt;=$D14,24&lt;=$E14),IF($F14="Sí",2,1),0)</x:f>
        <x:v>0</x:v>
      </x:c>
      <x:c r="AE14" s="32" t="n">
        <x:f>IF(AND(25&gt;=$D14,25&lt;=$E14),IF($F14="Sí",2,1),0)</x:f>
        <x:v>0</x:v>
      </x:c>
      <x:c r="AF14" s="32" t="n">
        <x:f>IF(AND(26&gt;=$D14,26&lt;=$E14),IF($F14="Sí",2,1),0)</x:f>
        <x:v>0</x:v>
      </x:c>
      <x:c r="AG14" s="32" t="n">
        <x:f>IF(AND(27&gt;=$D14,27&lt;=$E14),IF($F14="Sí",2,1),0)</x:f>
        <x:v>0</x:v>
      </x:c>
      <x:c r="AH14" s="32" t="n">
        <x:f>IF(AND(28&gt;=$D14,28&lt;=$E14),IF($F14="Sí",2,1),0)</x:f>
        <x:v>0</x:v>
      </x:c>
      <x:c r="AI14" s="32" t="n">
        <x:f>IF(AND(29&gt;=$D14,29&lt;=$E14),IF($F14="Sí",2,1),0)</x:f>
        <x:v>0</x:v>
      </x:c>
      <x:c r="AJ14" s="32" t="n">
        <x:f>IF(AND(30&gt;=$D14,30&lt;=$E14),IF($F14="Sí",2,1),0)</x:f>
        <x:v>0</x:v>
      </x:c>
      <x:c r="AK14" s="32" t="n">
        <x:f>IF(AND(31&gt;=$D14,31&lt;=$E14),IF($F14="Sí",2,1),0)</x:f>
        <x:v>0</x:v>
      </x:c>
      <x:c r="AL14" s="32" t="n">
        <x:f>IF(AND(32&gt;=$D14,32&lt;=$E14),IF($F14="Sí",2,1),0)</x:f>
        <x:v>0</x:v>
      </x:c>
      <x:c r="AM14" s="32" t="n">
        <x:f>IF(AND(33&gt;=$D14,33&lt;=$E14),IF($F14="Sí",2,1),0)</x:f>
        <x:v>0</x:v>
      </x:c>
      <x:c r="AN14" s="33" t="n">
        <x:f>IF(AND(34&gt;=$D14,34&lt;=$E14),IF($F14="Sí",2,1),0)</x:f>
        <x:v>0</x:v>
      </x:c>
      <x:c r="AO14" s="33" t="n">
        <x:f>IF(AND(35&gt;=$D14,35&lt;=$E14),IF($F14="Sí",2,1),0)</x:f>
        <x:v>0</x:v>
      </x:c>
    </x:row>
    <x:row r="15" ht="36" customHeight="1">
      <x:c r="A15" s="3" t="str">
        <x:v>T10</x:v>
      </x:c>
      <x:c r="B15" s="16" t="str">
        <x:v>2.03 · Conciliar etapa fija y canales MILP</x:v>
      </x:c>
      <x:c r="C15" s="16" t="str">
        <x:v>Alonso Peña</x:v>
      </x:c>
      <x:c r="D15" s="3" t="n">
        <x:f>'EDT Y TAREAS'!T15</x:f>
        <x:v>9</x:v>
      </x:c>
      <x:c r="E15" s="3" t="n">
        <x:f>'EDT Y TAREAS'!U15</x:f>
        <x:v>11</x:v>
      </x:c>
      <x:c r="F15" s="3" t="str">
        <x:f>'EDT Y TAREAS'!S15</x:f>
        <x:v>Sí</x:v>
      </x:c>
      <x:c r="G15" s="32" t="n">
        <x:f>IF(AND(1&gt;=$D15,1&lt;=$E15),IF($F15="Sí",2,1),0)</x:f>
        <x:v>0</x:v>
      </x:c>
      <x:c r="H15" s="32" t="n">
        <x:f>IF(AND(2&gt;=$D15,2&lt;=$E15),IF($F15="Sí",2,1),0)</x:f>
        <x:v>0</x:v>
      </x:c>
      <x:c r="I15" s="32" t="n">
        <x:f>IF(AND(3&gt;=$D15,3&lt;=$E15),IF($F15="Sí",2,1),0)</x:f>
        <x:v>0</x:v>
      </x:c>
      <x:c r="J15" s="32" t="n">
        <x:f>IF(AND(4&gt;=$D15,4&lt;=$E15),IF($F15="Sí",2,1),0)</x:f>
        <x:v>0</x:v>
      </x:c>
      <x:c r="K15" s="32" t="n">
        <x:f>IF(AND(5&gt;=$D15,5&lt;=$E15),IF($F15="Sí",2,1),0)</x:f>
        <x:v>0</x:v>
      </x:c>
      <x:c r="L15" s="32" t="n">
        <x:f>IF(AND(6&gt;=$D15,6&lt;=$E15),IF($F15="Sí",2,1),0)</x:f>
        <x:v>0</x:v>
      </x:c>
      <x:c r="M15" s="32" t="n">
        <x:f>IF(AND(7&gt;=$D15,7&lt;=$E15),IF($F15="Sí",2,1),0)</x:f>
        <x:v>0</x:v>
      </x:c>
      <x:c r="N15" s="32" t="n">
        <x:f>IF(AND(8&gt;=$D15,8&lt;=$E15),IF($F15="Sí",2,1),0)</x:f>
        <x:v>0</x:v>
      </x:c>
      <x:c r="O15" s="32" t="n">
        <x:f>IF(AND(9&gt;=$D15,9&lt;=$E15),IF($F15="Sí",2,1),0)</x:f>
        <x:v>2</x:v>
      </x:c>
      <x:c r="P15" s="32" t="n">
        <x:f>IF(AND(10&gt;=$D15,10&lt;=$E15),IF($F15="Sí",2,1),0)</x:f>
        <x:v>2</x:v>
      </x:c>
      <x:c r="Q15" s="32" t="n">
        <x:f>IF(AND(11&gt;=$D15,11&lt;=$E15),IF($F15="Sí",2,1),0)</x:f>
        <x:v>2</x:v>
      </x:c>
      <x:c r="R15" s="32" t="n">
        <x:f>IF(AND(12&gt;=$D15,12&lt;=$E15),IF($F15="Sí",2,1),0)</x:f>
        <x:v>0</x:v>
      </x:c>
      <x:c r="S15" s="32" t="n">
        <x:f>IF(AND(13&gt;=$D15,13&lt;=$E15),IF($F15="Sí",2,1),0)</x:f>
        <x:v>0</x:v>
      </x:c>
      <x:c r="T15" s="32" t="n">
        <x:f>IF(AND(14&gt;=$D15,14&lt;=$E15),IF($F15="Sí",2,1),0)</x:f>
        <x:v>0</x:v>
      </x:c>
      <x:c r="U15" s="32" t="n">
        <x:f>IF(AND(15&gt;=$D15,15&lt;=$E15),IF($F15="Sí",2,1),0)</x:f>
        <x:v>0</x:v>
      </x:c>
      <x:c r="V15" s="32" t="n">
        <x:f>IF(AND(16&gt;=$D15,16&lt;=$E15),IF($F15="Sí",2,1),0)</x:f>
        <x:v>0</x:v>
      </x:c>
      <x:c r="W15" s="32" t="n">
        <x:f>IF(AND(17&gt;=$D15,17&lt;=$E15),IF($F15="Sí",2,1),0)</x:f>
        <x:v>0</x:v>
      </x:c>
      <x:c r="X15" s="32" t="n">
        <x:f>IF(AND(18&gt;=$D15,18&lt;=$E15),IF($F15="Sí",2,1),0)</x:f>
        <x:v>0</x:v>
      </x:c>
      <x:c r="Y15" s="32" t="n">
        <x:f>IF(AND(19&gt;=$D15,19&lt;=$E15),IF($F15="Sí",2,1),0)</x:f>
        <x:v>0</x:v>
      </x:c>
      <x:c r="Z15" s="32" t="n">
        <x:f>IF(AND(20&gt;=$D15,20&lt;=$E15),IF($F15="Sí",2,1),0)</x:f>
        <x:v>0</x:v>
      </x:c>
      <x:c r="AA15" s="32" t="n">
        <x:f>IF(AND(21&gt;=$D15,21&lt;=$E15),IF($F15="Sí",2,1),0)</x:f>
        <x:v>0</x:v>
      </x:c>
      <x:c r="AB15" s="32" t="n">
        <x:f>IF(AND(22&gt;=$D15,22&lt;=$E15),IF($F15="Sí",2,1),0)</x:f>
        <x:v>0</x:v>
      </x:c>
      <x:c r="AC15" s="32" t="n">
        <x:f>IF(AND(23&gt;=$D15,23&lt;=$E15),IF($F15="Sí",2,1),0)</x:f>
        <x:v>0</x:v>
      </x:c>
      <x:c r="AD15" s="32" t="n">
        <x:f>IF(AND(24&gt;=$D15,24&lt;=$E15),IF($F15="Sí",2,1),0)</x:f>
        <x:v>0</x:v>
      </x:c>
      <x:c r="AE15" s="32" t="n">
        <x:f>IF(AND(25&gt;=$D15,25&lt;=$E15),IF($F15="Sí",2,1),0)</x:f>
        <x:v>0</x:v>
      </x:c>
      <x:c r="AF15" s="32" t="n">
        <x:f>IF(AND(26&gt;=$D15,26&lt;=$E15),IF($F15="Sí",2,1),0)</x:f>
        <x:v>0</x:v>
      </x:c>
      <x:c r="AG15" s="32" t="n">
        <x:f>IF(AND(27&gt;=$D15,27&lt;=$E15),IF($F15="Sí",2,1),0)</x:f>
        <x:v>0</x:v>
      </x:c>
      <x:c r="AH15" s="32" t="n">
        <x:f>IF(AND(28&gt;=$D15,28&lt;=$E15),IF($F15="Sí",2,1),0)</x:f>
        <x:v>0</x:v>
      </x:c>
      <x:c r="AI15" s="32" t="n">
        <x:f>IF(AND(29&gt;=$D15,29&lt;=$E15),IF($F15="Sí",2,1),0)</x:f>
        <x:v>0</x:v>
      </x:c>
      <x:c r="AJ15" s="32" t="n">
        <x:f>IF(AND(30&gt;=$D15,30&lt;=$E15),IF($F15="Sí",2,1),0)</x:f>
        <x:v>0</x:v>
      </x:c>
      <x:c r="AK15" s="32" t="n">
        <x:f>IF(AND(31&gt;=$D15,31&lt;=$E15),IF($F15="Sí",2,1),0)</x:f>
        <x:v>0</x:v>
      </x:c>
      <x:c r="AL15" s="32" t="n">
        <x:f>IF(AND(32&gt;=$D15,32&lt;=$E15),IF($F15="Sí",2,1),0)</x:f>
        <x:v>0</x:v>
      </x:c>
      <x:c r="AM15" s="32" t="n">
        <x:f>IF(AND(33&gt;=$D15,33&lt;=$E15),IF($F15="Sí",2,1),0)</x:f>
        <x:v>0</x:v>
      </x:c>
      <x:c r="AN15" s="33" t="n">
        <x:f>IF(AND(34&gt;=$D15,34&lt;=$E15),IF($F15="Sí",2,1),0)</x:f>
        <x:v>0</x:v>
      </x:c>
      <x:c r="AO15" s="33" t="n">
        <x:f>IF(AND(35&gt;=$D15,35&lt;=$E15),IF($F15="Sí",2,1),0)</x:f>
        <x:v>0</x:v>
      </x:c>
    </x:row>
    <x:row r="16" ht="36" customHeight="1">
      <x:c r="A16" s="3" t="str">
        <x:v>T11</x:v>
      </x:c>
      <x:c r="B16" s="16" t="str">
        <x:v>2.04 · Acordar caja, financiación y DCF</x:v>
      </x:c>
      <x:c r="C16" s="16" t="str">
        <x:v>Alonso Peña</x:v>
      </x:c>
      <x:c r="D16" s="3" t="n">
        <x:f>'EDT Y TAREAS'!T16</x:f>
        <x:v>3</x:v>
      </x:c>
      <x:c r="E16" s="3" t="n">
        <x:f>'EDT Y TAREAS'!U16</x:f>
        <x:v>4</x:v>
      </x:c>
      <x:c r="F16" s="3" t="str">
        <x:f>'EDT Y TAREAS'!S16</x:f>
        <x:v>No</x:v>
      </x:c>
      <x:c r="G16" s="32" t="n">
        <x:f>IF(AND(1&gt;=$D16,1&lt;=$E16),IF($F16="Sí",2,1),0)</x:f>
        <x:v>0</x:v>
      </x:c>
      <x:c r="H16" s="32" t="n">
        <x:f>IF(AND(2&gt;=$D16,2&lt;=$E16),IF($F16="Sí",2,1),0)</x:f>
        <x:v>0</x:v>
      </x:c>
      <x:c r="I16" s="32" t="n">
        <x:f>IF(AND(3&gt;=$D16,3&lt;=$E16),IF($F16="Sí",2,1),0)</x:f>
        <x:v>1</x:v>
      </x:c>
      <x:c r="J16" s="32" t="n">
        <x:f>IF(AND(4&gt;=$D16,4&lt;=$E16),IF($F16="Sí",2,1),0)</x:f>
        <x:v>1</x:v>
      </x:c>
      <x:c r="K16" s="32" t="n">
        <x:f>IF(AND(5&gt;=$D16,5&lt;=$E16),IF($F16="Sí",2,1),0)</x:f>
        <x:v>0</x:v>
      </x:c>
      <x:c r="L16" s="32" t="n">
        <x:f>IF(AND(6&gt;=$D16,6&lt;=$E16),IF($F16="Sí",2,1),0)</x:f>
        <x:v>0</x:v>
      </x:c>
      <x:c r="M16" s="32" t="n">
        <x:f>IF(AND(7&gt;=$D16,7&lt;=$E16),IF($F16="Sí",2,1),0)</x:f>
        <x:v>0</x:v>
      </x:c>
      <x:c r="N16" s="32" t="n">
        <x:f>IF(AND(8&gt;=$D16,8&lt;=$E16),IF($F16="Sí",2,1),0)</x:f>
        <x:v>0</x:v>
      </x:c>
      <x:c r="O16" s="32" t="n">
        <x:f>IF(AND(9&gt;=$D16,9&lt;=$E16),IF($F16="Sí",2,1),0)</x:f>
        <x:v>0</x:v>
      </x:c>
      <x:c r="P16" s="32" t="n">
        <x:f>IF(AND(10&gt;=$D16,10&lt;=$E16),IF($F16="Sí",2,1),0)</x:f>
        <x:v>0</x:v>
      </x:c>
      <x:c r="Q16" s="32" t="n">
        <x:f>IF(AND(11&gt;=$D16,11&lt;=$E16),IF($F16="Sí",2,1),0)</x:f>
        <x:v>0</x:v>
      </x:c>
      <x:c r="R16" s="32" t="n">
        <x:f>IF(AND(12&gt;=$D16,12&lt;=$E16),IF($F16="Sí",2,1),0)</x:f>
        <x:v>0</x:v>
      </x:c>
      <x:c r="S16" s="32" t="n">
        <x:f>IF(AND(13&gt;=$D16,13&lt;=$E16),IF($F16="Sí",2,1),0)</x:f>
        <x:v>0</x:v>
      </x:c>
      <x:c r="T16" s="32" t="n">
        <x:f>IF(AND(14&gt;=$D16,14&lt;=$E16),IF($F16="Sí",2,1),0)</x:f>
        <x:v>0</x:v>
      </x:c>
      <x:c r="U16" s="32" t="n">
        <x:f>IF(AND(15&gt;=$D16,15&lt;=$E16),IF($F16="Sí",2,1),0)</x:f>
        <x:v>0</x:v>
      </x:c>
      <x:c r="V16" s="32" t="n">
        <x:f>IF(AND(16&gt;=$D16,16&lt;=$E16),IF($F16="Sí",2,1),0)</x:f>
        <x:v>0</x:v>
      </x:c>
      <x:c r="W16" s="32" t="n">
        <x:f>IF(AND(17&gt;=$D16,17&lt;=$E16),IF($F16="Sí",2,1),0)</x:f>
        <x:v>0</x:v>
      </x:c>
      <x:c r="X16" s="32" t="n">
        <x:f>IF(AND(18&gt;=$D16,18&lt;=$E16),IF($F16="Sí",2,1),0)</x:f>
        <x:v>0</x:v>
      </x:c>
      <x:c r="Y16" s="32" t="n">
        <x:f>IF(AND(19&gt;=$D16,19&lt;=$E16),IF($F16="Sí",2,1),0)</x:f>
        <x:v>0</x:v>
      </x:c>
      <x:c r="Z16" s="32" t="n">
        <x:f>IF(AND(20&gt;=$D16,20&lt;=$E16),IF($F16="Sí",2,1),0)</x:f>
        <x:v>0</x:v>
      </x:c>
      <x:c r="AA16" s="32" t="n">
        <x:f>IF(AND(21&gt;=$D16,21&lt;=$E16),IF($F16="Sí",2,1),0)</x:f>
        <x:v>0</x:v>
      </x:c>
      <x:c r="AB16" s="32" t="n">
        <x:f>IF(AND(22&gt;=$D16,22&lt;=$E16),IF($F16="Sí",2,1),0)</x:f>
        <x:v>0</x:v>
      </x:c>
      <x:c r="AC16" s="32" t="n">
        <x:f>IF(AND(23&gt;=$D16,23&lt;=$E16),IF($F16="Sí",2,1),0)</x:f>
        <x:v>0</x:v>
      </x:c>
      <x:c r="AD16" s="32" t="n">
        <x:f>IF(AND(24&gt;=$D16,24&lt;=$E16),IF($F16="Sí",2,1),0)</x:f>
        <x:v>0</x:v>
      </x:c>
      <x:c r="AE16" s="32" t="n">
        <x:f>IF(AND(25&gt;=$D16,25&lt;=$E16),IF($F16="Sí",2,1),0)</x:f>
        <x:v>0</x:v>
      </x:c>
      <x:c r="AF16" s="32" t="n">
        <x:f>IF(AND(26&gt;=$D16,26&lt;=$E16),IF($F16="Sí",2,1),0)</x:f>
        <x:v>0</x:v>
      </x:c>
      <x:c r="AG16" s="32" t="n">
        <x:f>IF(AND(27&gt;=$D16,27&lt;=$E16),IF($F16="Sí",2,1),0)</x:f>
        <x:v>0</x:v>
      </x:c>
      <x:c r="AH16" s="32" t="n">
        <x:f>IF(AND(28&gt;=$D16,28&lt;=$E16),IF($F16="Sí",2,1),0)</x:f>
        <x:v>0</x:v>
      </x:c>
      <x:c r="AI16" s="32" t="n">
        <x:f>IF(AND(29&gt;=$D16,29&lt;=$E16),IF($F16="Sí",2,1),0)</x:f>
        <x:v>0</x:v>
      </x:c>
      <x:c r="AJ16" s="32" t="n">
        <x:f>IF(AND(30&gt;=$D16,30&lt;=$E16),IF($F16="Sí",2,1),0)</x:f>
        <x:v>0</x:v>
      </x:c>
      <x:c r="AK16" s="32" t="n">
        <x:f>IF(AND(31&gt;=$D16,31&lt;=$E16),IF($F16="Sí",2,1),0)</x:f>
        <x:v>0</x:v>
      </x:c>
      <x:c r="AL16" s="32" t="n">
        <x:f>IF(AND(32&gt;=$D16,32&lt;=$E16),IF($F16="Sí",2,1),0)</x:f>
        <x:v>0</x:v>
      </x:c>
      <x:c r="AM16" s="32" t="n">
        <x:f>IF(AND(33&gt;=$D16,33&lt;=$E16),IF($F16="Sí",2,1),0)</x:f>
        <x:v>0</x:v>
      </x:c>
      <x:c r="AN16" s="33" t="n">
        <x:f>IF(AND(34&gt;=$D16,34&lt;=$E16),IF($F16="Sí",2,1),0)</x:f>
        <x:v>0</x:v>
      </x:c>
      <x:c r="AO16" s="33" t="n">
        <x:f>IF(AND(35&gt;=$D16,35&lt;=$E16),IF($F16="Sí",2,1),0)</x:f>
        <x:v>0</x:v>
      </x:c>
    </x:row>
    <x:row r="17" ht="36" customHeight="1">
      <x:c r="A17" s="3" t="str">
        <x:v>T12</x:v>
      </x:c>
      <x:c r="B17" s="16" t="str">
        <x:v>2.05 · Alinear valoración y unit economics</x:v>
      </x:c>
      <x:c r="C17" s="16" t="str">
        <x:v>Alonso Peña</x:v>
      </x:c>
      <x:c r="D17" s="3" t="n">
        <x:f>'EDT Y TAREAS'!T17</x:f>
        <x:v>11</x:v>
      </x:c>
      <x:c r="E17" s="3" t="n">
        <x:f>'EDT Y TAREAS'!U17</x:f>
        <x:v>13</x:v>
      </x:c>
      <x:c r="F17" s="3" t="str">
        <x:f>'EDT Y TAREAS'!S17</x:f>
        <x:v>Sí</x:v>
      </x:c>
      <x:c r="G17" s="32" t="n">
        <x:f>IF(AND(1&gt;=$D17,1&lt;=$E17),IF($F17="Sí",2,1),0)</x:f>
        <x:v>0</x:v>
      </x:c>
      <x:c r="H17" s="32" t="n">
        <x:f>IF(AND(2&gt;=$D17,2&lt;=$E17),IF($F17="Sí",2,1),0)</x:f>
        <x:v>0</x:v>
      </x:c>
      <x:c r="I17" s="32" t="n">
        <x:f>IF(AND(3&gt;=$D17,3&lt;=$E17),IF($F17="Sí",2,1),0)</x:f>
        <x:v>0</x:v>
      </x:c>
      <x:c r="J17" s="32" t="n">
        <x:f>IF(AND(4&gt;=$D17,4&lt;=$E17),IF($F17="Sí",2,1),0)</x:f>
        <x:v>0</x:v>
      </x:c>
      <x:c r="K17" s="32" t="n">
        <x:f>IF(AND(5&gt;=$D17,5&lt;=$E17),IF($F17="Sí",2,1),0)</x:f>
        <x:v>0</x:v>
      </x:c>
      <x:c r="L17" s="32" t="n">
        <x:f>IF(AND(6&gt;=$D17,6&lt;=$E17),IF($F17="Sí",2,1),0)</x:f>
        <x:v>0</x:v>
      </x:c>
      <x:c r="M17" s="32" t="n">
        <x:f>IF(AND(7&gt;=$D17,7&lt;=$E17),IF($F17="Sí",2,1),0)</x:f>
        <x:v>0</x:v>
      </x:c>
      <x:c r="N17" s="32" t="n">
        <x:f>IF(AND(8&gt;=$D17,8&lt;=$E17),IF($F17="Sí",2,1),0)</x:f>
        <x:v>0</x:v>
      </x:c>
      <x:c r="O17" s="32" t="n">
        <x:f>IF(AND(9&gt;=$D17,9&lt;=$E17),IF($F17="Sí",2,1),0)</x:f>
        <x:v>0</x:v>
      </x:c>
      <x:c r="P17" s="32" t="n">
        <x:f>IF(AND(10&gt;=$D17,10&lt;=$E17),IF($F17="Sí",2,1),0)</x:f>
        <x:v>0</x:v>
      </x:c>
      <x:c r="Q17" s="32" t="n">
        <x:f>IF(AND(11&gt;=$D17,11&lt;=$E17),IF($F17="Sí",2,1),0)</x:f>
        <x:v>2</x:v>
      </x:c>
      <x:c r="R17" s="32" t="n">
        <x:f>IF(AND(12&gt;=$D17,12&lt;=$E17),IF($F17="Sí",2,1),0)</x:f>
        <x:v>2</x:v>
      </x:c>
      <x:c r="S17" s="32" t="n">
        <x:f>IF(AND(13&gt;=$D17,13&lt;=$E17),IF($F17="Sí",2,1),0)</x:f>
        <x:v>2</x:v>
      </x:c>
      <x:c r="T17" s="32" t="n">
        <x:f>IF(AND(14&gt;=$D17,14&lt;=$E17),IF($F17="Sí",2,1),0)</x:f>
        <x:v>0</x:v>
      </x:c>
      <x:c r="U17" s="32" t="n">
        <x:f>IF(AND(15&gt;=$D17,15&lt;=$E17),IF($F17="Sí",2,1),0)</x:f>
        <x:v>0</x:v>
      </x:c>
      <x:c r="V17" s="32" t="n">
        <x:f>IF(AND(16&gt;=$D17,16&lt;=$E17),IF($F17="Sí",2,1),0)</x:f>
        <x:v>0</x:v>
      </x:c>
      <x:c r="W17" s="32" t="n">
        <x:f>IF(AND(17&gt;=$D17,17&lt;=$E17),IF($F17="Sí",2,1),0)</x:f>
        <x:v>0</x:v>
      </x:c>
      <x:c r="X17" s="32" t="n">
        <x:f>IF(AND(18&gt;=$D17,18&lt;=$E17),IF($F17="Sí",2,1),0)</x:f>
        <x:v>0</x:v>
      </x:c>
      <x:c r="Y17" s="32" t="n">
        <x:f>IF(AND(19&gt;=$D17,19&lt;=$E17),IF($F17="Sí",2,1),0)</x:f>
        <x:v>0</x:v>
      </x:c>
      <x:c r="Z17" s="32" t="n">
        <x:f>IF(AND(20&gt;=$D17,20&lt;=$E17),IF($F17="Sí",2,1),0)</x:f>
        <x:v>0</x:v>
      </x:c>
      <x:c r="AA17" s="32" t="n">
        <x:f>IF(AND(21&gt;=$D17,21&lt;=$E17),IF($F17="Sí",2,1),0)</x:f>
        <x:v>0</x:v>
      </x:c>
      <x:c r="AB17" s="32" t="n">
        <x:f>IF(AND(22&gt;=$D17,22&lt;=$E17),IF($F17="Sí",2,1),0)</x:f>
        <x:v>0</x:v>
      </x:c>
      <x:c r="AC17" s="32" t="n">
        <x:f>IF(AND(23&gt;=$D17,23&lt;=$E17),IF($F17="Sí",2,1),0)</x:f>
        <x:v>0</x:v>
      </x:c>
      <x:c r="AD17" s="32" t="n">
        <x:f>IF(AND(24&gt;=$D17,24&lt;=$E17),IF($F17="Sí",2,1),0)</x:f>
        <x:v>0</x:v>
      </x:c>
      <x:c r="AE17" s="32" t="n">
        <x:f>IF(AND(25&gt;=$D17,25&lt;=$E17),IF($F17="Sí",2,1),0)</x:f>
        <x:v>0</x:v>
      </x:c>
      <x:c r="AF17" s="32" t="n">
        <x:f>IF(AND(26&gt;=$D17,26&lt;=$E17),IF($F17="Sí",2,1),0)</x:f>
        <x:v>0</x:v>
      </x:c>
      <x:c r="AG17" s="32" t="n">
        <x:f>IF(AND(27&gt;=$D17,27&lt;=$E17),IF($F17="Sí",2,1),0)</x:f>
        <x:v>0</x:v>
      </x:c>
      <x:c r="AH17" s="32" t="n">
        <x:f>IF(AND(28&gt;=$D17,28&lt;=$E17),IF($F17="Sí",2,1),0)</x:f>
        <x:v>0</x:v>
      </x:c>
      <x:c r="AI17" s="32" t="n">
        <x:f>IF(AND(29&gt;=$D17,29&lt;=$E17),IF($F17="Sí",2,1),0)</x:f>
        <x:v>0</x:v>
      </x:c>
      <x:c r="AJ17" s="32" t="n">
        <x:f>IF(AND(30&gt;=$D17,30&lt;=$E17),IF($F17="Sí",2,1),0)</x:f>
        <x:v>0</x:v>
      </x:c>
      <x:c r="AK17" s="32" t="n">
        <x:f>IF(AND(31&gt;=$D17,31&lt;=$E17),IF($F17="Sí",2,1),0)</x:f>
        <x:v>0</x:v>
      </x:c>
      <x:c r="AL17" s="32" t="n">
        <x:f>IF(AND(32&gt;=$D17,32&lt;=$E17),IF($F17="Sí",2,1),0)</x:f>
        <x:v>0</x:v>
      </x:c>
      <x:c r="AM17" s="32" t="n">
        <x:f>IF(AND(33&gt;=$D17,33&lt;=$E17),IF($F17="Sí",2,1),0)</x:f>
        <x:v>0</x:v>
      </x:c>
      <x:c r="AN17" s="33" t="n">
        <x:f>IF(AND(34&gt;=$D17,34&lt;=$E17),IF($F17="Sí",2,1),0)</x:f>
        <x:v>0</x:v>
      </x:c>
      <x:c r="AO17" s="33" t="n">
        <x:f>IF(AND(35&gt;=$D17,35&lt;=$E17),IF($F17="Sí",2,1),0)</x:f>
        <x:v>0</x:v>
      </x:c>
    </x:row>
    <x:row r="18" ht="36" customHeight="1">
      <x:c r="A18" s="3" t="str">
        <x:v>T13</x:v>
      </x:c>
      <x:c r="B18" s="16" t="str">
        <x:v>2.06 · Revisar paridad determinista y estocástica</x:v>
      </x:c>
      <x:c r="C18" s="16" t="str">
        <x:v>Alonso Peña</x:v>
      </x:c>
      <x:c r="D18" s="3" t="n">
        <x:f>'EDT Y TAREAS'!T18</x:f>
        <x:v>14</x:v>
      </x:c>
      <x:c r="E18" s="3" t="n">
        <x:f>'EDT Y TAREAS'!U18</x:f>
        <x:v>16</x:v>
      </x:c>
      <x:c r="F18" s="3" t="str">
        <x:f>'EDT Y TAREAS'!S18</x:f>
        <x:v>No</x:v>
      </x:c>
      <x:c r="G18" s="32" t="n">
        <x:f>IF(AND(1&gt;=$D18,1&lt;=$E18),IF($F18="Sí",2,1),0)</x:f>
        <x:v>0</x:v>
      </x:c>
      <x:c r="H18" s="32" t="n">
        <x:f>IF(AND(2&gt;=$D18,2&lt;=$E18),IF($F18="Sí",2,1),0)</x:f>
        <x:v>0</x:v>
      </x:c>
      <x:c r="I18" s="32" t="n">
        <x:f>IF(AND(3&gt;=$D18,3&lt;=$E18),IF($F18="Sí",2,1),0)</x:f>
        <x:v>0</x:v>
      </x:c>
      <x:c r="J18" s="32" t="n">
        <x:f>IF(AND(4&gt;=$D18,4&lt;=$E18),IF($F18="Sí",2,1),0)</x:f>
        <x:v>0</x:v>
      </x:c>
      <x:c r="K18" s="32" t="n">
        <x:f>IF(AND(5&gt;=$D18,5&lt;=$E18),IF($F18="Sí",2,1),0)</x:f>
        <x:v>0</x:v>
      </x:c>
      <x:c r="L18" s="32" t="n">
        <x:f>IF(AND(6&gt;=$D18,6&lt;=$E18),IF($F18="Sí",2,1),0)</x:f>
        <x:v>0</x:v>
      </x:c>
      <x:c r="M18" s="32" t="n">
        <x:f>IF(AND(7&gt;=$D18,7&lt;=$E18),IF($F18="Sí",2,1),0)</x:f>
        <x:v>0</x:v>
      </x:c>
      <x:c r="N18" s="32" t="n">
        <x:f>IF(AND(8&gt;=$D18,8&lt;=$E18),IF($F18="Sí",2,1),0)</x:f>
        <x:v>0</x:v>
      </x:c>
      <x:c r="O18" s="32" t="n">
        <x:f>IF(AND(9&gt;=$D18,9&lt;=$E18),IF($F18="Sí",2,1),0)</x:f>
        <x:v>0</x:v>
      </x:c>
      <x:c r="P18" s="32" t="n">
        <x:f>IF(AND(10&gt;=$D18,10&lt;=$E18),IF($F18="Sí",2,1),0)</x:f>
        <x:v>0</x:v>
      </x:c>
      <x:c r="Q18" s="32" t="n">
        <x:f>IF(AND(11&gt;=$D18,11&lt;=$E18),IF($F18="Sí",2,1),0)</x:f>
        <x:v>0</x:v>
      </x:c>
      <x:c r="R18" s="32" t="n">
        <x:f>IF(AND(12&gt;=$D18,12&lt;=$E18),IF($F18="Sí",2,1),0)</x:f>
        <x:v>0</x:v>
      </x:c>
      <x:c r="S18" s="32" t="n">
        <x:f>IF(AND(13&gt;=$D18,13&lt;=$E18),IF($F18="Sí",2,1),0)</x:f>
        <x:v>0</x:v>
      </x:c>
      <x:c r="T18" s="32" t="n">
        <x:f>IF(AND(14&gt;=$D18,14&lt;=$E18),IF($F18="Sí",2,1),0)</x:f>
        <x:v>1</x:v>
      </x:c>
      <x:c r="U18" s="32" t="n">
        <x:f>IF(AND(15&gt;=$D18,15&lt;=$E18),IF($F18="Sí",2,1),0)</x:f>
        <x:v>1</x:v>
      </x:c>
      <x:c r="V18" s="32" t="n">
        <x:f>IF(AND(16&gt;=$D18,16&lt;=$E18),IF($F18="Sí",2,1),0)</x:f>
        <x:v>1</x:v>
      </x:c>
      <x:c r="W18" s="32" t="n">
        <x:f>IF(AND(17&gt;=$D18,17&lt;=$E18),IF($F18="Sí",2,1),0)</x:f>
        <x:v>0</x:v>
      </x:c>
      <x:c r="X18" s="32" t="n">
        <x:f>IF(AND(18&gt;=$D18,18&lt;=$E18),IF($F18="Sí",2,1),0)</x:f>
        <x:v>0</x:v>
      </x:c>
      <x:c r="Y18" s="32" t="n">
        <x:f>IF(AND(19&gt;=$D18,19&lt;=$E18),IF($F18="Sí",2,1),0)</x:f>
        <x:v>0</x:v>
      </x:c>
      <x:c r="Z18" s="32" t="n">
        <x:f>IF(AND(20&gt;=$D18,20&lt;=$E18),IF($F18="Sí",2,1),0)</x:f>
        <x:v>0</x:v>
      </x:c>
      <x:c r="AA18" s="32" t="n">
        <x:f>IF(AND(21&gt;=$D18,21&lt;=$E18),IF($F18="Sí",2,1),0)</x:f>
        <x:v>0</x:v>
      </x:c>
      <x:c r="AB18" s="32" t="n">
        <x:f>IF(AND(22&gt;=$D18,22&lt;=$E18),IF($F18="Sí",2,1),0)</x:f>
        <x:v>0</x:v>
      </x:c>
      <x:c r="AC18" s="32" t="n">
        <x:f>IF(AND(23&gt;=$D18,23&lt;=$E18),IF($F18="Sí",2,1),0)</x:f>
        <x:v>0</x:v>
      </x:c>
      <x:c r="AD18" s="32" t="n">
        <x:f>IF(AND(24&gt;=$D18,24&lt;=$E18),IF($F18="Sí",2,1),0)</x:f>
        <x:v>0</x:v>
      </x:c>
      <x:c r="AE18" s="32" t="n">
        <x:f>IF(AND(25&gt;=$D18,25&lt;=$E18),IF($F18="Sí",2,1),0)</x:f>
        <x:v>0</x:v>
      </x:c>
      <x:c r="AF18" s="32" t="n">
        <x:f>IF(AND(26&gt;=$D18,26&lt;=$E18),IF($F18="Sí",2,1),0)</x:f>
        <x:v>0</x:v>
      </x:c>
      <x:c r="AG18" s="32" t="n">
        <x:f>IF(AND(27&gt;=$D18,27&lt;=$E18),IF($F18="Sí",2,1),0)</x:f>
        <x:v>0</x:v>
      </x:c>
      <x:c r="AH18" s="32" t="n">
        <x:f>IF(AND(28&gt;=$D18,28&lt;=$E18),IF($F18="Sí",2,1),0)</x:f>
        <x:v>0</x:v>
      </x:c>
      <x:c r="AI18" s="32" t="n">
        <x:f>IF(AND(29&gt;=$D18,29&lt;=$E18),IF($F18="Sí",2,1),0)</x:f>
        <x:v>0</x:v>
      </x:c>
      <x:c r="AJ18" s="32" t="n">
        <x:f>IF(AND(30&gt;=$D18,30&lt;=$E18),IF($F18="Sí",2,1),0)</x:f>
        <x:v>0</x:v>
      </x:c>
      <x:c r="AK18" s="32" t="n">
        <x:f>IF(AND(31&gt;=$D18,31&lt;=$E18),IF($F18="Sí",2,1),0)</x:f>
        <x:v>0</x:v>
      </x:c>
      <x:c r="AL18" s="32" t="n">
        <x:f>IF(AND(32&gt;=$D18,32&lt;=$E18),IF($F18="Sí",2,1),0)</x:f>
        <x:v>0</x:v>
      </x:c>
      <x:c r="AM18" s="32" t="n">
        <x:f>IF(AND(33&gt;=$D18,33&lt;=$E18),IF($F18="Sí",2,1),0)</x:f>
        <x:v>0</x:v>
      </x:c>
      <x:c r="AN18" s="33" t="n">
        <x:f>IF(AND(34&gt;=$D18,34&lt;=$E18),IF($F18="Sí",2,1),0)</x:f>
        <x:v>0</x:v>
      </x:c>
      <x:c r="AO18" s="33" t="n">
        <x:f>IF(AND(35&gt;=$D18,35&lt;=$E18),IF($F18="Sí",2,1),0)</x:f>
        <x:v>0</x:v>
      </x:c>
    </x:row>
    <x:row r="19" ht="36" customHeight="1">
      <x:c r="A19" s="3" t="str">
        <x:v>T14</x:v>
      </x:c>
      <x:c r="B19" s="16" t="str">
        <x:v>2.07 · Validar escenarios fuera de muestra</x:v>
      </x:c>
      <x:c r="C19" s="16" t="str">
        <x:v>Alonso Peña</x:v>
      </x:c>
      <x:c r="D19" s="3" t="n">
        <x:f>'EDT Y TAREAS'!T19</x:f>
        <x:v>16</x:v>
      </x:c>
      <x:c r="E19" s="3" t="n">
        <x:f>'EDT Y TAREAS'!U19</x:f>
        <x:v>18</x:v>
      </x:c>
      <x:c r="F19" s="3" t="str">
        <x:f>'EDT Y TAREAS'!S19</x:f>
        <x:v>No</x:v>
      </x:c>
      <x:c r="G19" s="32" t="n">
        <x:f>IF(AND(1&gt;=$D19,1&lt;=$E19),IF($F19="Sí",2,1),0)</x:f>
        <x:v>0</x:v>
      </x:c>
      <x:c r="H19" s="32" t="n">
        <x:f>IF(AND(2&gt;=$D19,2&lt;=$E19),IF($F19="Sí",2,1),0)</x:f>
        <x:v>0</x:v>
      </x:c>
      <x:c r="I19" s="32" t="n">
        <x:f>IF(AND(3&gt;=$D19,3&lt;=$E19),IF($F19="Sí",2,1),0)</x:f>
        <x:v>0</x:v>
      </x:c>
      <x:c r="J19" s="32" t="n">
        <x:f>IF(AND(4&gt;=$D19,4&lt;=$E19),IF($F19="Sí",2,1),0)</x:f>
        <x:v>0</x:v>
      </x:c>
      <x:c r="K19" s="32" t="n">
        <x:f>IF(AND(5&gt;=$D19,5&lt;=$E19),IF($F19="Sí",2,1),0)</x:f>
        <x:v>0</x:v>
      </x:c>
      <x:c r="L19" s="32" t="n">
        <x:f>IF(AND(6&gt;=$D19,6&lt;=$E19),IF($F19="Sí",2,1),0)</x:f>
        <x:v>0</x:v>
      </x:c>
      <x:c r="M19" s="32" t="n">
        <x:f>IF(AND(7&gt;=$D19,7&lt;=$E19),IF($F19="Sí",2,1),0)</x:f>
        <x:v>0</x:v>
      </x:c>
      <x:c r="N19" s="32" t="n">
        <x:f>IF(AND(8&gt;=$D19,8&lt;=$E19),IF($F19="Sí",2,1),0)</x:f>
        <x:v>0</x:v>
      </x:c>
      <x:c r="O19" s="32" t="n">
        <x:f>IF(AND(9&gt;=$D19,9&lt;=$E19),IF($F19="Sí",2,1),0)</x:f>
        <x:v>0</x:v>
      </x:c>
      <x:c r="P19" s="32" t="n">
        <x:f>IF(AND(10&gt;=$D19,10&lt;=$E19),IF($F19="Sí",2,1),0)</x:f>
        <x:v>0</x:v>
      </x:c>
      <x:c r="Q19" s="32" t="n">
        <x:f>IF(AND(11&gt;=$D19,11&lt;=$E19),IF($F19="Sí",2,1),0)</x:f>
        <x:v>0</x:v>
      </x:c>
      <x:c r="R19" s="32" t="n">
        <x:f>IF(AND(12&gt;=$D19,12&lt;=$E19),IF($F19="Sí",2,1),0)</x:f>
        <x:v>0</x:v>
      </x:c>
      <x:c r="S19" s="32" t="n">
        <x:f>IF(AND(13&gt;=$D19,13&lt;=$E19),IF($F19="Sí",2,1),0)</x:f>
        <x:v>0</x:v>
      </x:c>
      <x:c r="T19" s="32" t="n">
        <x:f>IF(AND(14&gt;=$D19,14&lt;=$E19),IF($F19="Sí",2,1),0)</x:f>
        <x:v>0</x:v>
      </x:c>
      <x:c r="U19" s="32" t="n">
        <x:f>IF(AND(15&gt;=$D19,15&lt;=$E19),IF($F19="Sí",2,1),0)</x:f>
        <x:v>0</x:v>
      </x:c>
      <x:c r="V19" s="32" t="n">
        <x:f>IF(AND(16&gt;=$D19,16&lt;=$E19),IF($F19="Sí",2,1),0)</x:f>
        <x:v>1</x:v>
      </x:c>
      <x:c r="W19" s="32" t="n">
        <x:f>IF(AND(17&gt;=$D19,17&lt;=$E19),IF($F19="Sí",2,1),0)</x:f>
        <x:v>1</x:v>
      </x:c>
      <x:c r="X19" s="32" t="n">
        <x:f>IF(AND(18&gt;=$D19,18&lt;=$E19),IF($F19="Sí",2,1),0)</x:f>
        <x:v>1</x:v>
      </x:c>
      <x:c r="Y19" s="32" t="n">
        <x:f>IF(AND(19&gt;=$D19,19&lt;=$E19),IF($F19="Sí",2,1),0)</x:f>
        <x:v>0</x:v>
      </x:c>
      <x:c r="Z19" s="32" t="n">
        <x:f>IF(AND(20&gt;=$D19,20&lt;=$E19),IF($F19="Sí",2,1),0)</x:f>
        <x:v>0</x:v>
      </x:c>
      <x:c r="AA19" s="32" t="n">
        <x:f>IF(AND(21&gt;=$D19,21&lt;=$E19),IF($F19="Sí",2,1),0)</x:f>
        <x:v>0</x:v>
      </x:c>
      <x:c r="AB19" s="32" t="n">
        <x:f>IF(AND(22&gt;=$D19,22&lt;=$E19),IF($F19="Sí",2,1),0)</x:f>
        <x:v>0</x:v>
      </x:c>
      <x:c r="AC19" s="32" t="n">
        <x:f>IF(AND(23&gt;=$D19,23&lt;=$E19),IF($F19="Sí",2,1),0)</x:f>
        <x:v>0</x:v>
      </x:c>
      <x:c r="AD19" s="32" t="n">
        <x:f>IF(AND(24&gt;=$D19,24&lt;=$E19),IF($F19="Sí",2,1),0)</x:f>
        <x:v>0</x:v>
      </x:c>
      <x:c r="AE19" s="32" t="n">
        <x:f>IF(AND(25&gt;=$D19,25&lt;=$E19),IF($F19="Sí",2,1),0)</x:f>
        <x:v>0</x:v>
      </x:c>
      <x:c r="AF19" s="32" t="n">
        <x:f>IF(AND(26&gt;=$D19,26&lt;=$E19),IF($F19="Sí",2,1),0)</x:f>
        <x:v>0</x:v>
      </x:c>
      <x:c r="AG19" s="32" t="n">
        <x:f>IF(AND(27&gt;=$D19,27&lt;=$E19),IF($F19="Sí",2,1),0)</x:f>
        <x:v>0</x:v>
      </x:c>
      <x:c r="AH19" s="32" t="n">
        <x:f>IF(AND(28&gt;=$D19,28&lt;=$E19),IF($F19="Sí",2,1),0)</x:f>
        <x:v>0</x:v>
      </x:c>
      <x:c r="AI19" s="32" t="n">
        <x:f>IF(AND(29&gt;=$D19,29&lt;=$E19),IF($F19="Sí",2,1),0)</x:f>
        <x:v>0</x:v>
      </x:c>
      <x:c r="AJ19" s="32" t="n">
        <x:f>IF(AND(30&gt;=$D19,30&lt;=$E19),IF($F19="Sí",2,1),0)</x:f>
        <x:v>0</x:v>
      </x:c>
      <x:c r="AK19" s="32" t="n">
        <x:f>IF(AND(31&gt;=$D19,31&lt;=$E19),IF($F19="Sí",2,1),0)</x:f>
        <x:v>0</x:v>
      </x:c>
      <x:c r="AL19" s="32" t="n">
        <x:f>IF(AND(32&gt;=$D19,32&lt;=$E19),IF($F19="Sí",2,1),0)</x:f>
        <x:v>0</x:v>
      </x:c>
      <x:c r="AM19" s="32" t="n">
        <x:f>IF(AND(33&gt;=$D19,33&lt;=$E19),IF($F19="Sí",2,1),0)</x:f>
        <x:v>0</x:v>
      </x:c>
      <x:c r="AN19" s="33" t="n">
        <x:f>IF(AND(34&gt;=$D19,34&lt;=$E19),IF($F19="Sí",2,1),0)</x:f>
        <x:v>0</x:v>
      </x:c>
      <x:c r="AO19" s="33" t="n">
        <x:f>IF(AND(35&gt;=$D19,35&lt;=$E19),IF($F19="Sí",2,1),0)</x:f>
        <x:v>0</x:v>
      </x:c>
    </x:row>
    <x:row r="20" ht="36" customHeight="1">
      <x:c r="A20" s="3" t="str">
        <x:v>T15</x:v>
      </x:c>
      <x:c r="B20" s="16" t="str">
        <x:v>2.08 · Congelar versión científica para piloto</x:v>
      </x:c>
      <x:c r="C20" s="16" t="str">
        <x:v>Alonso Peña</x:v>
      </x:c>
      <x:c r="D20" s="3" t="n">
        <x:f>'EDT Y TAREAS'!T20</x:f>
        <x:v>13</x:v>
      </x:c>
      <x:c r="E20" s="3" t="n">
        <x:f>'EDT Y TAREAS'!U20</x:f>
        <x:v>14</x:v>
      </x:c>
      <x:c r="F20" s="3" t="str">
        <x:f>'EDT Y TAREAS'!S20</x:f>
        <x:v>No</x:v>
      </x:c>
      <x:c r="G20" s="32" t="n">
        <x:f>IF(AND(1&gt;=$D20,1&lt;=$E20),IF($F20="Sí",2,1),0)</x:f>
        <x:v>0</x:v>
      </x:c>
      <x:c r="H20" s="32" t="n">
        <x:f>IF(AND(2&gt;=$D20,2&lt;=$E20),IF($F20="Sí",2,1),0)</x:f>
        <x:v>0</x:v>
      </x:c>
      <x:c r="I20" s="32" t="n">
        <x:f>IF(AND(3&gt;=$D20,3&lt;=$E20),IF($F20="Sí",2,1),0)</x:f>
        <x:v>0</x:v>
      </x:c>
      <x:c r="J20" s="32" t="n">
        <x:f>IF(AND(4&gt;=$D20,4&lt;=$E20),IF($F20="Sí",2,1),0)</x:f>
        <x:v>0</x:v>
      </x:c>
      <x:c r="K20" s="32" t="n">
        <x:f>IF(AND(5&gt;=$D20,5&lt;=$E20),IF($F20="Sí",2,1),0)</x:f>
        <x:v>0</x:v>
      </x:c>
      <x:c r="L20" s="32" t="n">
        <x:f>IF(AND(6&gt;=$D20,6&lt;=$E20),IF($F20="Sí",2,1),0)</x:f>
        <x:v>0</x:v>
      </x:c>
      <x:c r="M20" s="32" t="n">
        <x:f>IF(AND(7&gt;=$D20,7&lt;=$E20),IF($F20="Sí",2,1),0)</x:f>
        <x:v>0</x:v>
      </x:c>
      <x:c r="N20" s="32" t="n">
        <x:f>IF(AND(8&gt;=$D20,8&lt;=$E20),IF($F20="Sí",2,1),0)</x:f>
        <x:v>0</x:v>
      </x:c>
      <x:c r="O20" s="32" t="n">
        <x:f>IF(AND(9&gt;=$D20,9&lt;=$E20),IF($F20="Sí",2,1),0)</x:f>
        <x:v>0</x:v>
      </x:c>
      <x:c r="P20" s="32" t="n">
        <x:f>IF(AND(10&gt;=$D20,10&lt;=$E20),IF($F20="Sí",2,1),0)</x:f>
        <x:v>0</x:v>
      </x:c>
      <x:c r="Q20" s="32" t="n">
        <x:f>IF(AND(11&gt;=$D20,11&lt;=$E20),IF($F20="Sí",2,1),0)</x:f>
        <x:v>0</x:v>
      </x:c>
      <x:c r="R20" s="32" t="n">
        <x:f>IF(AND(12&gt;=$D20,12&lt;=$E20),IF($F20="Sí",2,1),0)</x:f>
        <x:v>0</x:v>
      </x:c>
      <x:c r="S20" s="32" t="n">
        <x:f>IF(AND(13&gt;=$D20,13&lt;=$E20),IF($F20="Sí",2,1),0)</x:f>
        <x:v>1</x:v>
      </x:c>
      <x:c r="T20" s="32" t="n">
        <x:f>IF(AND(14&gt;=$D20,14&lt;=$E20),IF($F20="Sí",2,1),0)</x:f>
        <x:v>1</x:v>
      </x:c>
      <x:c r="U20" s="32" t="n">
        <x:f>IF(AND(15&gt;=$D20,15&lt;=$E20),IF($F20="Sí",2,1),0)</x:f>
        <x:v>0</x:v>
      </x:c>
      <x:c r="V20" s="32" t="n">
        <x:f>IF(AND(16&gt;=$D20,16&lt;=$E20),IF($F20="Sí",2,1),0)</x:f>
        <x:v>0</x:v>
      </x:c>
      <x:c r="W20" s="32" t="n">
        <x:f>IF(AND(17&gt;=$D20,17&lt;=$E20),IF($F20="Sí",2,1),0)</x:f>
        <x:v>0</x:v>
      </x:c>
      <x:c r="X20" s="32" t="n">
        <x:f>IF(AND(18&gt;=$D20,18&lt;=$E20),IF($F20="Sí",2,1),0)</x:f>
        <x:v>0</x:v>
      </x:c>
      <x:c r="Y20" s="32" t="n">
        <x:f>IF(AND(19&gt;=$D20,19&lt;=$E20),IF($F20="Sí",2,1),0)</x:f>
        <x:v>0</x:v>
      </x:c>
      <x:c r="Z20" s="32" t="n">
        <x:f>IF(AND(20&gt;=$D20,20&lt;=$E20),IF($F20="Sí",2,1),0)</x:f>
        <x:v>0</x:v>
      </x:c>
      <x:c r="AA20" s="32" t="n">
        <x:f>IF(AND(21&gt;=$D20,21&lt;=$E20),IF($F20="Sí",2,1),0)</x:f>
        <x:v>0</x:v>
      </x:c>
      <x:c r="AB20" s="32" t="n">
        <x:f>IF(AND(22&gt;=$D20,22&lt;=$E20),IF($F20="Sí",2,1),0)</x:f>
        <x:v>0</x:v>
      </x:c>
      <x:c r="AC20" s="32" t="n">
        <x:f>IF(AND(23&gt;=$D20,23&lt;=$E20),IF($F20="Sí",2,1),0)</x:f>
        <x:v>0</x:v>
      </x:c>
      <x:c r="AD20" s="32" t="n">
        <x:f>IF(AND(24&gt;=$D20,24&lt;=$E20),IF($F20="Sí",2,1),0)</x:f>
        <x:v>0</x:v>
      </x:c>
      <x:c r="AE20" s="32" t="n">
        <x:f>IF(AND(25&gt;=$D20,25&lt;=$E20),IF($F20="Sí",2,1),0)</x:f>
        <x:v>0</x:v>
      </x:c>
      <x:c r="AF20" s="32" t="n">
        <x:f>IF(AND(26&gt;=$D20,26&lt;=$E20),IF($F20="Sí",2,1),0)</x:f>
        <x:v>0</x:v>
      </x:c>
      <x:c r="AG20" s="32" t="n">
        <x:f>IF(AND(27&gt;=$D20,27&lt;=$E20),IF($F20="Sí",2,1),0)</x:f>
        <x:v>0</x:v>
      </x:c>
      <x:c r="AH20" s="32" t="n">
        <x:f>IF(AND(28&gt;=$D20,28&lt;=$E20),IF($F20="Sí",2,1),0)</x:f>
        <x:v>0</x:v>
      </x:c>
      <x:c r="AI20" s="32" t="n">
        <x:f>IF(AND(29&gt;=$D20,29&lt;=$E20),IF($F20="Sí",2,1),0)</x:f>
        <x:v>0</x:v>
      </x:c>
      <x:c r="AJ20" s="32" t="n">
        <x:f>IF(AND(30&gt;=$D20,30&lt;=$E20),IF($F20="Sí",2,1),0)</x:f>
        <x:v>0</x:v>
      </x:c>
      <x:c r="AK20" s="32" t="n">
        <x:f>IF(AND(31&gt;=$D20,31&lt;=$E20),IF($F20="Sí",2,1),0)</x:f>
        <x:v>0</x:v>
      </x:c>
      <x:c r="AL20" s="32" t="n">
        <x:f>IF(AND(32&gt;=$D20,32&lt;=$E20),IF($F20="Sí",2,1),0)</x:f>
        <x:v>0</x:v>
      </x:c>
      <x:c r="AM20" s="32" t="n">
        <x:f>IF(AND(33&gt;=$D20,33&lt;=$E20),IF($F20="Sí",2,1),0)</x:f>
        <x:v>0</x:v>
      </x:c>
      <x:c r="AN20" s="33" t="n">
        <x:f>IF(AND(34&gt;=$D20,34&lt;=$E20),IF($F20="Sí",2,1),0)</x:f>
        <x:v>0</x:v>
      </x:c>
      <x:c r="AO20" s="33" t="n">
        <x:f>IF(AND(35&gt;=$D20,35&lt;=$E20),IF($F20="Sí",2,1),0)</x:f>
        <x:v>0</x:v>
      </x:c>
    </x:row>
    <x:row r="21" ht="36" customHeight="1">
      <x:c r="A21" s="3" t="str">
        <x:v>T16</x:v>
      </x:c>
      <x:c r="B21" s="16" t="str">
        <x:v>2.09 · Diseñar comparación y negociación de supuestos</x:v>
      </x:c>
      <x:c r="C21" s="16" t="str">
        <x:v>Alonso Peña</x:v>
      </x:c>
      <x:c r="D21" s="3" t="n">
        <x:f>'EDT Y TAREAS'!T21</x:f>
        <x:v>6</x:v>
      </x:c>
      <x:c r="E21" s="3" t="n">
        <x:f>'EDT Y TAREAS'!U21</x:f>
        <x:v>7</x:v>
      </x:c>
      <x:c r="F21" s="3" t="str">
        <x:f>'EDT Y TAREAS'!S21</x:f>
        <x:v>Sí</x:v>
      </x:c>
      <x:c r="G21" s="32" t="n">
        <x:f>IF(AND(1&gt;=$D21,1&lt;=$E21),IF($F21="Sí",2,1),0)</x:f>
        <x:v>0</x:v>
      </x:c>
      <x:c r="H21" s="32" t="n">
        <x:f>IF(AND(2&gt;=$D21,2&lt;=$E21),IF($F21="Sí",2,1),0)</x:f>
        <x:v>0</x:v>
      </x:c>
      <x:c r="I21" s="32" t="n">
        <x:f>IF(AND(3&gt;=$D21,3&lt;=$E21),IF($F21="Sí",2,1),0)</x:f>
        <x:v>0</x:v>
      </x:c>
      <x:c r="J21" s="32" t="n">
        <x:f>IF(AND(4&gt;=$D21,4&lt;=$E21),IF($F21="Sí",2,1),0)</x:f>
        <x:v>0</x:v>
      </x:c>
      <x:c r="K21" s="32" t="n">
        <x:f>IF(AND(5&gt;=$D21,5&lt;=$E21),IF($F21="Sí",2,1),0)</x:f>
        <x:v>0</x:v>
      </x:c>
      <x:c r="L21" s="32" t="n">
        <x:f>IF(AND(6&gt;=$D21,6&lt;=$E21),IF($F21="Sí",2,1),0)</x:f>
        <x:v>2</x:v>
      </x:c>
      <x:c r="M21" s="32" t="n">
        <x:f>IF(AND(7&gt;=$D21,7&lt;=$E21),IF($F21="Sí",2,1),0)</x:f>
        <x:v>2</x:v>
      </x:c>
      <x:c r="N21" s="32" t="n">
        <x:f>IF(AND(8&gt;=$D21,8&lt;=$E21),IF($F21="Sí",2,1),0)</x:f>
        <x:v>0</x:v>
      </x:c>
      <x:c r="O21" s="32" t="n">
        <x:f>IF(AND(9&gt;=$D21,9&lt;=$E21),IF($F21="Sí",2,1),0)</x:f>
        <x:v>0</x:v>
      </x:c>
      <x:c r="P21" s="32" t="n">
        <x:f>IF(AND(10&gt;=$D21,10&lt;=$E21),IF($F21="Sí",2,1),0)</x:f>
        <x:v>0</x:v>
      </x:c>
      <x:c r="Q21" s="32" t="n">
        <x:f>IF(AND(11&gt;=$D21,11&lt;=$E21),IF($F21="Sí",2,1),0)</x:f>
        <x:v>0</x:v>
      </x:c>
      <x:c r="R21" s="32" t="n">
        <x:f>IF(AND(12&gt;=$D21,12&lt;=$E21),IF($F21="Sí",2,1),0)</x:f>
        <x:v>0</x:v>
      </x:c>
      <x:c r="S21" s="32" t="n">
        <x:f>IF(AND(13&gt;=$D21,13&lt;=$E21),IF($F21="Sí",2,1),0)</x:f>
        <x:v>0</x:v>
      </x:c>
      <x:c r="T21" s="32" t="n">
        <x:f>IF(AND(14&gt;=$D21,14&lt;=$E21),IF($F21="Sí",2,1),0)</x:f>
        <x:v>0</x:v>
      </x:c>
      <x:c r="U21" s="32" t="n">
        <x:f>IF(AND(15&gt;=$D21,15&lt;=$E21),IF($F21="Sí",2,1),0)</x:f>
        <x:v>0</x:v>
      </x:c>
      <x:c r="V21" s="32" t="n">
        <x:f>IF(AND(16&gt;=$D21,16&lt;=$E21),IF($F21="Sí",2,1),0)</x:f>
        <x:v>0</x:v>
      </x:c>
      <x:c r="W21" s="32" t="n">
        <x:f>IF(AND(17&gt;=$D21,17&lt;=$E21),IF($F21="Sí",2,1),0)</x:f>
        <x:v>0</x:v>
      </x:c>
      <x:c r="X21" s="32" t="n">
        <x:f>IF(AND(18&gt;=$D21,18&lt;=$E21),IF($F21="Sí",2,1),0)</x:f>
        <x:v>0</x:v>
      </x:c>
      <x:c r="Y21" s="32" t="n">
        <x:f>IF(AND(19&gt;=$D21,19&lt;=$E21),IF($F21="Sí",2,1),0)</x:f>
        <x:v>0</x:v>
      </x:c>
      <x:c r="Z21" s="32" t="n">
        <x:f>IF(AND(20&gt;=$D21,20&lt;=$E21),IF($F21="Sí",2,1),0)</x:f>
        <x:v>0</x:v>
      </x:c>
      <x:c r="AA21" s="32" t="n">
        <x:f>IF(AND(21&gt;=$D21,21&lt;=$E21),IF($F21="Sí",2,1),0)</x:f>
        <x:v>0</x:v>
      </x:c>
      <x:c r="AB21" s="32" t="n">
        <x:f>IF(AND(22&gt;=$D21,22&lt;=$E21),IF($F21="Sí",2,1),0)</x:f>
        <x:v>0</x:v>
      </x:c>
      <x:c r="AC21" s="32" t="n">
        <x:f>IF(AND(23&gt;=$D21,23&lt;=$E21),IF($F21="Sí",2,1),0)</x:f>
        <x:v>0</x:v>
      </x:c>
      <x:c r="AD21" s="32" t="n">
        <x:f>IF(AND(24&gt;=$D21,24&lt;=$E21),IF($F21="Sí",2,1),0)</x:f>
        <x:v>0</x:v>
      </x:c>
      <x:c r="AE21" s="32" t="n">
        <x:f>IF(AND(25&gt;=$D21,25&lt;=$E21),IF($F21="Sí",2,1),0)</x:f>
        <x:v>0</x:v>
      </x:c>
      <x:c r="AF21" s="32" t="n">
        <x:f>IF(AND(26&gt;=$D21,26&lt;=$E21),IF($F21="Sí",2,1),0)</x:f>
        <x:v>0</x:v>
      </x:c>
      <x:c r="AG21" s="32" t="n">
        <x:f>IF(AND(27&gt;=$D21,27&lt;=$E21),IF($F21="Sí",2,1),0)</x:f>
        <x:v>0</x:v>
      </x:c>
      <x:c r="AH21" s="32" t="n">
        <x:f>IF(AND(28&gt;=$D21,28&lt;=$E21),IF($F21="Sí",2,1),0)</x:f>
        <x:v>0</x:v>
      </x:c>
      <x:c r="AI21" s="32" t="n">
        <x:f>IF(AND(29&gt;=$D21,29&lt;=$E21),IF($F21="Sí",2,1),0)</x:f>
        <x:v>0</x:v>
      </x:c>
      <x:c r="AJ21" s="32" t="n">
        <x:f>IF(AND(30&gt;=$D21,30&lt;=$E21),IF($F21="Sí",2,1),0)</x:f>
        <x:v>0</x:v>
      </x:c>
      <x:c r="AK21" s="32" t="n">
        <x:f>IF(AND(31&gt;=$D21,31&lt;=$E21),IF($F21="Sí",2,1),0)</x:f>
        <x:v>0</x:v>
      </x:c>
      <x:c r="AL21" s="32" t="n">
        <x:f>IF(AND(32&gt;=$D21,32&lt;=$E21),IF($F21="Sí",2,1),0)</x:f>
        <x:v>0</x:v>
      </x:c>
      <x:c r="AM21" s="32" t="n">
        <x:f>IF(AND(33&gt;=$D21,33&lt;=$E21),IF($F21="Sí",2,1),0)</x:f>
        <x:v>0</x:v>
      </x:c>
      <x:c r="AN21" s="33" t="n">
        <x:f>IF(AND(34&gt;=$D21,34&lt;=$E21),IF($F21="Sí",2,1),0)</x:f>
        <x:v>0</x:v>
      </x:c>
      <x:c r="AO21" s="33" t="n">
        <x:f>IF(AND(35&gt;=$D21,35&lt;=$E21),IF($F21="Sí",2,1),0)</x:f>
        <x:v>0</x:v>
      </x:c>
    </x:row>
    <x:row r="22" ht="36" customHeight="1">
      <x:c r="A22" s="3" t="str">
        <x:v>T17</x:v>
      </x:c>
      <x:c r="B22" s="16" t="str">
        <x:v>3.01 · Prototipar captura y explicación de resultados</x:v>
      </x:c>
      <x:c r="C22" s="16" t="str">
        <x:v>Empresa · UX</x:v>
      </x:c>
      <x:c r="D22" s="3" t="n">
        <x:f>'EDT Y TAREAS'!T22</x:f>
        <x:v>6</x:v>
      </x:c>
      <x:c r="E22" s="3" t="n">
        <x:f>'EDT Y TAREAS'!U22</x:f>
        <x:v>8</x:v>
      </x:c>
      <x:c r="F22" s="3" t="str">
        <x:f>'EDT Y TAREAS'!S22</x:f>
        <x:v>No</x:v>
      </x:c>
      <x:c r="G22" s="32" t="n">
        <x:f>IF(AND(1&gt;=$D22,1&lt;=$E22),IF($F22="Sí",2,1),0)</x:f>
        <x:v>0</x:v>
      </x:c>
      <x:c r="H22" s="32" t="n">
        <x:f>IF(AND(2&gt;=$D22,2&lt;=$E22),IF($F22="Sí",2,1),0)</x:f>
        <x:v>0</x:v>
      </x:c>
      <x:c r="I22" s="32" t="n">
        <x:f>IF(AND(3&gt;=$D22,3&lt;=$E22),IF($F22="Sí",2,1),0)</x:f>
        <x:v>0</x:v>
      </x:c>
      <x:c r="J22" s="32" t="n">
        <x:f>IF(AND(4&gt;=$D22,4&lt;=$E22),IF($F22="Sí",2,1),0)</x:f>
        <x:v>0</x:v>
      </x:c>
      <x:c r="K22" s="32" t="n">
        <x:f>IF(AND(5&gt;=$D22,5&lt;=$E22),IF($F22="Sí",2,1),0)</x:f>
        <x:v>0</x:v>
      </x:c>
      <x:c r="L22" s="32" t="n">
        <x:f>IF(AND(6&gt;=$D22,6&lt;=$E22),IF($F22="Sí",2,1),0)</x:f>
        <x:v>1</x:v>
      </x:c>
      <x:c r="M22" s="32" t="n">
        <x:f>IF(AND(7&gt;=$D22,7&lt;=$E22),IF($F22="Sí",2,1),0)</x:f>
        <x:v>1</x:v>
      </x:c>
      <x:c r="N22" s="32" t="n">
        <x:f>IF(AND(8&gt;=$D22,8&lt;=$E22),IF($F22="Sí",2,1),0)</x:f>
        <x:v>1</x:v>
      </x:c>
      <x:c r="O22" s="32" t="n">
        <x:f>IF(AND(9&gt;=$D22,9&lt;=$E22),IF($F22="Sí",2,1),0)</x:f>
        <x:v>0</x:v>
      </x:c>
      <x:c r="P22" s="32" t="n">
        <x:f>IF(AND(10&gt;=$D22,10&lt;=$E22),IF($F22="Sí",2,1),0)</x:f>
        <x:v>0</x:v>
      </x:c>
      <x:c r="Q22" s="32" t="n">
        <x:f>IF(AND(11&gt;=$D22,11&lt;=$E22),IF($F22="Sí",2,1),0)</x:f>
        <x:v>0</x:v>
      </x:c>
      <x:c r="R22" s="32" t="n">
        <x:f>IF(AND(12&gt;=$D22,12&lt;=$E22),IF($F22="Sí",2,1),0)</x:f>
        <x:v>0</x:v>
      </x:c>
      <x:c r="S22" s="32" t="n">
        <x:f>IF(AND(13&gt;=$D22,13&lt;=$E22),IF($F22="Sí",2,1),0)</x:f>
        <x:v>0</x:v>
      </x:c>
      <x:c r="T22" s="32" t="n">
        <x:f>IF(AND(14&gt;=$D22,14&lt;=$E22),IF($F22="Sí",2,1),0)</x:f>
        <x:v>0</x:v>
      </x:c>
      <x:c r="U22" s="32" t="n">
        <x:f>IF(AND(15&gt;=$D22,15&lt;=$E22),IF($F22="Sí",2,1),0)</x:f>
        <x:v>0</x:v>
      </x:c>
      <x:c r="V22" s="32" t="n">
        <x:f>IF(AND(16&gt;=$D22,16&lt;=$E22),IF($F22="Sí",2,1),0)</x:f>
        <x:v>0</x:v>
      </x:c>
      <x:c r="W22" s="32" t="n">
        <x:f>IF(AND(17&gt;=$D22,17&lt;=$E22),IF($F22="Sí",2,1),0)</x:f>
        <x:v>0</x:v>
      </x:c>
      <x:c r="X22" s="32" t="n">
        <x:f>IF(AND(18&gt;=$D22,18&lt;=$E22),IF($F22="Sí",2,1),0)</x:f>
        <x:v>0</x:v>
      </x:c>
      <x:c r="Y22" s="32" t="n">
        <x:f>IF(AND(19&gt;=$D22,19&lt;=$E22),IF($F22="Sí",2,1),0)</x:f>
        <x:v>0</x:v>
      </x:c>
      <x:c r="Z22" s="32" t="n">
        <x:f>IF(AND(20&gt;=$D22,20&lt;=$E22),IF($F22="Sí",2,1),0)</x:f>
        <x:v>0</x:v>
      </x:c>
      <x:c r="AA22" s="32" t="n">
        <x:f>IF(AND(21&gt;=$D22,21&lt;=$E22),IF($F22="Sí",2,1),0)</x:f>
        <x:v>0</x:v>
      </x:c>
      <x:c r="AB22" s="32" t="n">
        <x:f>IF(AND(22&gt;=$D22,22&lt;=$E22),IF($F22="Sí",2,1),0)</x:f>
        <x:v>0</x:v>
      </x:c>
      <x:c r="AC22" s="32" t="n">
        <x:f>IF(AND(23&gt;=$D22,23&lt;=$E22),IF($F22="Sí",2,1),0)</x:f>
        <x:v>0</x:v>
      </x:c>
      <x:c r="AD22" s="32" t="n">
        <x:f>IF(AND(24&gt;=$D22,24&lt;=$E22),IF($F22="Sí",2,1),0)</x:f>
        <x:v>0</x:v>
      </x:c>
      <x:c r="AE22" s="32" t="n">
        <x:f>IF(AND(25&gt;=$D22,25&lt;=$E22),IF($F22="Sí",2,1),0)</x:f>
        <x:v>0</x:v>
      </x:c>
      <x:c r="AF22" s="32" t="n">
        <x:f>IF(AND(26&gt;=$D22,26&lt;=$E22),IF($F22="Sí",2,1),0)</x:f>
        <x:v>0</x:v>
      </x:c>
      <x:c r="AG22" s="32" t="n">
        <x:f>IF(AND(27&gt;=$D22,27&lt;=$E22),IF($F22="Sí",2,1),0)</x:f>
        <x:v>0</x:v>
      </x:c>
      <x:c r="AH22" s="32" t="n">
        <x:f>IF(AND(28&gt;=$D22,28&lt;=$E22),IF($F22="Sí",2,1),0)</x:f>
        <x:v>0</x:v>
      </x:c>
      <x:c r="AI22" s="32" t="n">
        <x:f>IF(AND(29&gt;=$D22,29&lt;=$E22),IF($F22="Sí",2,1),0)</x:f>
        <x:v>0</x:v>
      </x:c>
      <x:c r="AJ22" s="32" t="n">
        <x:f>IF(AND(30&gt;=$D22,30&lt;=$E22),IF($F22="Sí",2,1),0)</x:f>
        <x:v>0</x:v>
      </x:c>
      <x:c r="AK22" s="32" t="n">
        <x:f>IF(AND(31&gt;=$D22,31&lt;=$E22),IF($F22="Sí",2,1),0)</x:f>
        <x:v>0</x:v>
      </x:c>
      <x:c r="AL22" s="32" t="n">
        <x:f>IF(AND(32&gt;=$D22,32&lt;=$E22),IF($F22="Sí",2,1),0)</x:f>
        <x:v>0</x:v>
      </x:c>
      <x:c r="AM22" s="32" t="n">
        <x:f>IF(AND(33&gt;=$D22,33&lt;=$E22),IF($F22="Sí",2,1),0)</x:f>
        <x:v>0</x:v>
      </x:c>
      <x:c r="AN22" s="33" t="n">
        <x:f>IF(AND(34&gt;=$D22,34&lt;=$E22),IF($F22="Sí",2,1),0)</x:f>
        <x:v>0</x:v>
      </x:c>
      <x:c r="AO22" s="33" t="n">
        <x:f>IF(AND(35&gt;=$D22,35&lt;=$E22),IF($F22="Sí",2,1),0)</x:f>
        <x:v>0</x:v>
      </x:c>
    </x:row>
    <x:row r="23" ht="36" customHeight="1">
      <x:c r="A23" s="3" t="str">
        <x:v>T18</x:v>
      </x:c>
      <x:c r="B23" s="16" t="str">
        <x:v>3.02 · Probar prototipo con cinco usuarios</x:v>
      </x:c>
      <x:c r="C23" s="16" t="str">
        <x:v>Empresa · UX</x:v>
      </x:c>
      <x:c r="D23" s="3" t="n">
        <x:f>'EDT Y TAREAS'!T23</x:f>
        <x:v>8</x:v>
      </x:c>
      <x:c r="E23" s="3" t="n">
        <x:f>'EDT Y TAREAS'!U23</x:f>
        <x:v>9</x:v>
      </x:c>
      <x:c r="F23" s="3" t="str">
        <x:f>'EDT Y TAREAS'!S23</x:f>
        <x:v>No</x:v>
      </x:c>
      <x:c r="G23" s="32" t="n">
        <x:f>IF(AND(1&gt;=$D23,1&lt;=$E23),IF($F23="Sí",2,1),0)</x:f>
        <x:v>0</x:v>
      </x:c>
      <x:c r="H23" s="32" t="n">
        <x:f>IF(AND(2&gt;=$D23,2&lt;=$E23),IF($F23="Sí",2,1),0)</x:f>
        <x:v>0</x:v>
      </x:c>
      <x:c r="I23" s="32" t="n">
        <x:f>IF(AND(3&gt;=$D23,3&lt;=$E23),IF($F23="Sí",2,1),0)</x:f>
        <x:v>0</x:v>
      </x:c>
      <x:c r="J23" s="32" t="n">
        <x:f>IF(AND(4&gt;=$D23,4&lt;=$E23),IF($F23="Sí",2,1),0)</x:f>
        <x:v>0</x:v>
      </x:c>
      <x:c r="K23" s="32" t="n">
        <x:f>IF(AND(5&gt;=$D23,5&lt;=$E23),IF($F23="Sí",2,1),0)</x:f>
        <x:v>0</x:v>
      </x:c>
      <x:c r="L23" s="32" t="n">
        <x:f>IF(AND(6&gt;=$D23,6&lt;=$E23),IF($F23="Sí",2,1),0)</x:f>
        <x:v>0</x:v>
      </x:c>
      <x:c r="M23" s="32" t="n">
        <x:f>IF(AND(7&gt;=$D23,7&lt;=$E23),IF($F23="Sí",2,1),0)</x:f>
        <x:v>0</x:v>
      </x:c>
      <x:c r="N23" s="32" t="n">
        <x:f>IF(AND(8&gt;=$D23,8&lt;=$E23),IF($F23="Sí",2,1),0)</x:f>
        <x:v>1</x:v>
      </x:c>
      <x:c r="O23" s="32" t="n">
        <x:f>IF(AND(9&gt;=$D23,9&lt;=$E23),IF($F23="Sí",2,1),0)</x:f>
        <x:v>1</x:v>
      </x:c>
      <x:c r="P23" s="32" t="n">
        <x:f>IF(AND(10&gt;=$D23,10&lt;=$E23),IF($F23="Sí",2,1),0)</x:f>
        <x:v>0</x:v>
      </x:c>
      <x:c r="Q23" s="32" t="n">
        <x:f>IF(AND(11&gt;=$D23,11&lt;=$E23),IF($F23="Sí",2,1),0)</x:f>
        <x:v>0</x:v>
      </x:c>
      <x:c r="R23" s="32" t="n">
        <x:f>IF(AND(12&gt;=$D23,12&lt;=$E23),IF($F23="Sí",2,1),0)</x:f>
        <x:v>0</x:v>
      </x:c>
      <x:c r="S23" s="32" t="n">
        <x:f>IF(AND(13&gt;=$D23,13&lt;=$E23),IF($F23="Sí",2,1),0)</x:f>
        <x:v>0</x:v>
      </x:c>
      <x:c r="T23" s="32" t="n">
        <x:f>IF(AND(14&gt;=$D23,14&lt;=$E23),IF($F23="Sí",2,1),0)</x:f>
        <x:v>0</x:v>
      </x:c>
      <x:c r="U23" s="32" t="n">
        <x:f>IF(AND(15&gt;=$D23,15&lt;=$E23),IF($F23="Sí",2,1),0)</x:f>
        <x:v>0</x:v>
      </x:c>
      <x:c r="V23" s="32" t="n">
        <x:f>IF(AND(16&gt;=$D23,16&lt;=$E23),IF($F23="Sí",2,1),0)</x:f>
        <x:v>0</x:v>
      </x:c>
      <x:c r="W23" s="32" t="n">
        <x:f>IF(AND(17&gt;=$D23,17&lt;=$E23),IF($F23="Sí",2,1),0)</x:f>
        <x:v>0</x:v>
      </x:c>
      <x:c r="X23" s="32" t="n">
        <x:f>IF(AND(18&gt;=$D23,18&lt;=$E23),IF($F23="Sí",2,1),0)</x:f>
        <x:v>0</x:v>
      </x:c>
      <x:c r="Y23" s="32" t="n">
        <x:f>IF(AND(19&gt;=$D23,19&lt;=$E23),IF($F23="Sí",2,1),0)</x:f>
        <x:v>0</x:v>
      </x:c>
      <x:c r="Z23" s="32" t="n">
        <x:f>IF(AND(20&gt;=$D23,20&lt;=$E23),IF($F23="Sí",2,1),0)</x:f>
        <x:v>0</x:v>
      </x:c>
      <x:c r="AA23" s="32" t="n">
        <x:f>IF(AND(21&gt;=$D23,21&lt;=$E23),IF($F23="Sí",2,1),0)</x:f>
        <x:v>0</x:v>
      </x:c>
      <x:c r="AB23" s="32" t="n">
        <x:f>IF(AND(22&gt;=$D23,22&lt;=$E23),IF($F23="Sí",2,1),0)</x:f>
        <x:v>0</x:v>
      </x:c>
      <x:c r="AC23" s="32" t="n">
        <x:f>IF(AND(23&gt;=$D23,23&lt;=$E23),IF($F23="Sí",2,1),0)</x:f>
        <x:v>0</x:v>
      </x:c>
      <x:c r="AD23" s="32" t="n">
        <x:f>IF(AND(24&gt;=$D23,24&lt;=$E23),IF($F23="Sí",2,1),0)</x:f>
        <x:v>0</x:v>
      </x:c>
      <x:c r="AE23" s="32" t="n">
        <x:f>IF(AND(25&gt;=$D23,25&lt;=$E23),IF($F23="Sí",2,1),0)</x:f>
        <x:v>0</x:v>
      </x:c>
      <x:c r="AF23" s="32" t="n">
        <x:f>IF(AND(26&gt;=$D23,26&lt;=$E23),IF($F23="Sí",2,1),0)</x:f>
        <x:v>0</x:v>
      </x:c>
      <x:c r="AG23" s="32" t="n">
        <x:f>IF(AND(27&gt;=$D23,27&lt;=$E23),IF($F23="Sí",2,1),0)</x:f>
        <x:v>0</x:v>
      </x:c>
      <x:c r="AH23" s="32" t="n">
        <x:f>IF(AND(28&gt;=$D23,28&lt;=$E23),IF($F23="Sí",2,1),0)</x:f>
        <x:v>0</x:v>
      </x:c>
      <x:c r="AI23" s="32" t="n">
        <x:f>IF(AND(29&gt;=$D23,29&lt;=$E23),IF($F23="Sí",2,1),0)</x:f>
        <x:v>0</x:v>
      </x:c>
      <x:c r="AJ23" s="32" t="n">
        <x:f>IF(AND(30&gt;=$D23,30&lt;=$E23),IF($F23="Sí",2,1),0)</x:f>
        <x:v>0</x:v>
      </x:c>
      <x:c r="AK23" s="32" t="n">
        <x:f>IF(AND(31&gt;=$D23,31&lt;=$E23),IF($F23="Sí",2,1),0)</x:f>
        <x:v>0</x:v>
      </x:c>
      <x:c r="AL23" s="32" t="n">
        <x:f>IF(AND(32&gt;=$D23,32&lt;=$E23),IF($F23="Sí",2,1),0)</x:f>
        <x:v>0</x:v>
      </x:c>
      <x:c r="AM23" s="32" t="n">
        <x:f>IF(AND(33&gt;=$D23,33&lt;=$E23),IF($F23="Sí",2,1),0)</x:f>
        <x:v>0</x:v>
      </x:c>
      <x:c r="AN23" s="33" t="n">
        <x:f>IF(AND(34&gt;=$D23,34&lt;=$E23),IF($F23="Sí",2,1),0)</x:f>
        <x:v>0</x:v>
      </x:c>
      <x:c r="AO23" s="33" t="n">
        <x:f>IF(AND(35&gt;=$D23,35&lt;=$E23),IF($F23="Sí",2,1),0)</x:f>
        <x:v>0</x:v>
      </x:c>
    </x:row>
    <x:row r="24" ht="36" customHeight="1">
      <x:c r="A24" s="3" t="str">
        <x:v>T19</x:v>
      </x:c>
      <x:c r="B24" s="16" t="str">
        <x:v>3.03 · Preparar CI, entornos y secretos</x:v>
      </x:c>
      <x:c r="C24" s="16" t="str">
        <x:v>Empresa · operación</x:v>
      </x:c>
      <x:c r="D24" s="3" t="n">
        <x:f>'EDT Y TAREAS'!T24</x:f>
        <x:v>5</x:v>
      </x:c>
      <x:c r="E24" s="3" t="n">
        <x:f>'EDT Y TAREAS'!U24</x:f>
        <x:v>7</x:v>
      </x:c>
      <x:c r="F24" s="3" t="str">
        <x:f>'EDT Y TAREAS'!S24</x:f>
        <x:v>No</x:v>
      </x:c>
      <x:c r="G24" s="32" t="n">
        <x:f>IF(AND(1&gt;=$D24,1&lt;=$E24),IF($F24="Sí",2,1),0)</x:f>
        <x:v>0</x:v>
      </x:c>
      <x:c r="H24" s="32" t="n">
        <x:f>IF(AND(2&gt;=$D24,2&lt;=$E24),IF($F24="Sí",2,1),0)</x:f>
        <x:v>0</x:v>
      </x:c>
      <x:c r="I24" s="32" t="n">
        <x:f>IF(AND(3&gt;=$D24,3&lt;=$E24),IF($F24="Sí",2,1),0)</x:f>
        <x:v>0</x:v>
      </x:c>
      <x:c r="J24" s="32" t="n">
        <x:f>IF(AND(4&gt;=$D24,4&lt;=$E24),IF($F24="Sí",2,1),0)</x:f>
        <x:v>0</x:v>
      </x:c>
      <x:c r="K24" s="32" t="n">
        <x:f>IF(AND(5&gt;=$D24,5&lt;=$E24),IF($F24="Sí",2,1),0)</x:f>
        <x:v>1</x:v>
      </x:c>
      <x:c r="L24" s="32" t="n">
        <x:f>IF(AND(6&gt;=$D24,6&lt;=$E24),IF($F24="Sí",2,1),0)</x:f>
        <x:v>1</x:v>
      </x:c>
      <x:c r="M24" s="32" t="n">
        <x:f>IF(AND(7&gt;=$D24,7&lt;=$E24),IF($F24="Sí",2,1),0)</x:f>
        <x:v>1</x:v>
      </x:c>
      <x:c r="N24" s="32" t="n">
        <x:f>IF(AND(8&gt;=$D24,8&lt;=$E24),IF($F24="Sí",2,1),0)</x:f>
        <x:v>0</x:v>
      </x:c>
      <x:c r="O24" s="32" t="n">
        <x:f>IF(AND(9&gt;=$D24,9&lt;=$E24),IF($F24="Sí",2,1),0)</x:f>
        <x:v>0</x:v>
      </x:c>
      <x:c r="P24" s="32" t="n">
        <x:f>IF(AND(10&gt;=$D24,10&lt;=$E24),IF($F24="Sí",2,1),0)</x:f>
        <x:v>0</x:v>
      </x:c>
      <x:c r="Q24" s="32" t="n">
        <x:f>IF(AND(11&gt;=$D24,11&lt;=$E24),IF($F24="Sí",2,1),0)</x:f>
        <x:v>0</x:v>
      </x:c>
      <x:c r="R24" s="32" t="n">
        <x:f>IF(AND(12&gt;=$D24,12&lt;=$E24),IF($F24="Sí",2,1),0)</x:f>
        <x:v>0</x:v>
      </x:c>
      <x:c r="S24" s="32" t="n">
        <x:f>IF(AND(13&gt;=$D24,13&lt;=$E24),IF($F24="Sí",2,1),0)</x:f>
        <x:v>0</x:v>
      </x:c>
      <x:c r="T24" s="32" t="n">
        <x:f>IF(AND(14&gt;=$D24,14&lt;=$E24),IF($F24="Sí",2,1),0)</x:f>
        <x:v>0</x:v>
      </x:c>
      <x:c r="U24" s="32" t="n">
        <x:f>IF(AND(15&gt;=$D24,15&lt;=$E24),IF($F24="Sí",2,1),0)</x:f>
        <x:v>0</x:v>
      </x:c>
      <x:c r="V24" s="32" t="n">
        <x:f>IF(AND(16&gt;=$D24,16&lt;=$E24),IF($F24="Sí",2,1),0)</x:f>
        <x:v>0</x:v>
      </x:c>
      <x:c r="W24" s="32" t="n">
        <x:f>IF(AND(17&gt;=$D24,17&lt;=$E24),IF($F24="Sí",2,1),0)</x:f>
        <x:v>0</x:v>
      </x:c>
      <x:c r="X24" s="32" t="n">
        <x:f>IF(AND(18&gt;=$D24,18&lt;=$E24),IF($F24="Sí",2,1),0)</x:f>
        <x:v>0</x:v>
      </x:c>
      <x:c r="Y24" s="32" t="n">
        <x:f>IF(AND(19&gt;=$D24,19&lt;=$E24),IF($F24="Sí",2,1),0)</x:f>
        <x:v>0</x:v>
      </x:c>
      <x:c r="Z24" s="32" t="n">
        <x:f>IF(AND(20&gt;=$D24,20&lt;=$E24),IF($F24="Sí",2,1),0)</x:f>
        <x:v>0</x:v>
      </x:c>
      <x:c r="AA24" s="32" t="n">
        <x:f>IF(AND(21&gt;=$D24,21&lt;=$E24),IF($F24="Sí",2,1),0)</x:f>
        <x:v>0</x:v>
      </x:c>
      <x:c r="AB24" s="32" t="n">
        <x:f>IF(AND(22&gt;=$D24,22&lt;=$E24),IF($F24="Sí",2,1),0)</x:f>
        <x:v>0</x:v>
      </x:c>
      <x:c r="AC24" s="32" t="n">
        <x:f>IF(AND(23&gt;=$D24,23&lt;=$E24),IF($F24="Sí",2,1),0)</x:f>
        <x:v>0</x:v>
      </x:c>
      <x:c r="AD24" s="32" t="n">
        <x:f>IF(AND(24&gt;=$D24,24&lt;=$E24),IF($F24="Sí",2,1),0)</x:f>
        <x:v>0</x:v>
      </x:c>
      <x:c r="AE24" s="32" t="n">
        <x:f>IF(AND(25&gt;=$D24,25&lt;=$E24),IF($F24="Sí",2,1),0)</x:f>
        <x:v>0</x:v>
      </x:c>
      <x:c r="AF24" s="32" t="n">
        <x:f>IF(AND(26&gt;=$D24,26&lt;=$E24),IF($F24="Sí",2,1),0)</x:f>
        <x:v>0</x:v>
      </x:c>
      <x:c r="AG24" s="32" t="n">
        <x:f>IF(AND(27&gt;=$D24,27&lt;=$E24),IF($F24="Sí",2,1),0)</x:f>
        <x:v>0</x:v>
      </x:c>
      <x:c r="AH24" s="32" t="n">
        <x:f>IF(AND(28&gt;=$D24,28&lt;=$E24),IF($F24="Sí",2,1),0)</x:f>
        <x:v>0</x:v>
      </x:c>
      <x:c r="AI24" s="32" t="n">
        <x:f>IF(AND(29&gt;=$D24,29&lt;=$E24),IF($F24="Sí",2,1),0)</x:f>
        <x:v>0</x:v>
      </x:c>
      <x:c r="AJ24" s="32" t="n">
        <x:f>IF(AND(30&gt;=$D24,30&lt;=$E24),IF($F24="Sí",2,1),0)</x:f>
        <x:v>0</x:v>
      </x:c>
      <x:c r="AK24" s="32" t="n">
        <x:f>IF(AND(31&gt;=$D24,31&lt;=$E24),IF($F24="Sí",2,1),0)</x:f>
        <x:v>0</x:v>
      </x:c>
      <x:c r="AL24" s="32" t="n">
        <x:f>IF(AND(32&gt;=$D24,32&lt;=$E24),IF($F24="Sí",2,1),0)</x:f>
        <x:v>0</x:v>
      </x:c>
      <x:c r="AM24" s="32" t="n">
        <x:f>IF(AND(33&gt;=$D24,33&lt;=$E24),IF($F24="Sí",2,1),0)</x:f>
        <x:v>0</x:v>
      </x:c>
      <x:c r="AN24" s="33" t="n">
        <x:f>IF(AND(34&gt;=$D24,34&lt;=$E24),IF($F24="Sí",2,1),0)</x:f>
        <x:v>0</x:v>
      </x:c>
      <x:c r="AO24" s="33" t="n">
        <x:f>IF(AND(35&gt;=$D24,35&lt;=$E24),IF($F24="Sí",2,1),0)</x:f>
        <x:v>0</x:v>
      </x:c>
    </x:row>
    <x:row r="25" ht="36" customHeight="1">
      <x:c r="A25" s="3" t="str">
        <x:v>T20</x:v>
      </x:c>
      <x:c r="B25" s="16" t="str">
        <x:v>3.04 · Crear organizaciones, usuarios y permisos</x:v>
      </x:c>
      <x:c r="C25" s="16" t="str">
        <x:v>Empresa · backend</x:v>
      </x:c>
      <x:c r="D25" s="3" t="n">
        <x:f>'EDT Y TAREAS'!T25</x:f>
        <x:v>6</x:v>
      </x:c>
      <x:c r="E25" s="3" t="n">
        <x:f>'EDT Y TAREAS'!U25</x:f>
        <x:v>8</x:v>
      </x:c>
      <x:c r="F25" s="3" t="str">
        <x:f>'EDT Y TAREAS'!S25</x:f>
        <x:v>No</x:v>
      </x:c>
      <x:c r="G25" s="32" t="n">
        <x:f>IF(AND(1&gt;=$D25,1&lt;=$E25),IF($F25="Sí",2,1),0)</x:f>
        <x:v>0</x:v>
      </x:c>
      <x:c r="H25" s="32" t="n">
        <x:f>IF(AND(2&gt;=$D25,2&lt;=$E25),IF($F25="Sí",2,1),0)</x:f>
        <x:v>0</x:v>
      </x:c>
      <x:c r="I25" s="32" t="n">
        <x:f>IF(AND(3&gt;=$D25,3&lt;=$E25),IF($F25="Sí",2,1),0)</x:f>
        <x:v>0</x:v>
      </x:c>
      <x:c r="J25" s="32" t="n">
        <x:f>IF(AND(4&gt;=$D25,4&lt;=$E25),IF($F25="Sí",2,1),0)</x:f>
        <x:v>0</x:v>
      </x:c>
      <x:c r="K25" s="32" t="n">
        <x:f>IF(AND(5&gt;=$D25,5&lt;=$E25),IF($F25="Sí",2,1),0)</x:f>
        <x:v>0</x:v>
      </x:c>
      <x:c r="L25" s="32" t="n">
        <x:f>IF(AND(6&gt;=$D25,6&lt;=$E25),IF($F25="Sí",2,1),0)</x:f>
        <x:v>1</x:v>
      </x:c>
      <x:c r="M25" s="32" t="n">
        <x:f>IF(AND(7&gt;=$D25,7&lt;=$E25),IF($F25="Sí",2,1),0)</x:f>
        <x:v>1</x:v>
      </x:c>
      <x:c r="N25" s="32" t="n">
        <x:f>IF(AND(8&gt;=$D25,8&lt;=$E25),IF($F25="Sí",2,1),0)</x:f>
        <x:v>1</x:v>
      </x:c>
      <x:c r="O25" s="32" t="n">
        <x:f>IF(AND(9&gt;=$D25,9&lt;=$E25),IF($F25="Sí",2,1),0)</x:f>
        <x:v>0</x:v>
      </x:c>
      <x:c r="P25" s="32" t="n">
        <x:f>IF(AND(10&gt;=$D25,10&lt;=$E25),IF($F25="Sí",2,1),0)</x:f>
        <x:v>0</x:v>
      </x:c>
      <x:c r="Q25" s="32" t="n">
        <x:f>IF(AND(11&gt;=$D25,11&lt;=$E25),IF($F25="Sí",2,1),0)</x:f>
        <x:v>0</x:v>
      </x:c>
      <x:c r="R25" s="32" t="n">
        <x:f>IF(AND(12&gt;=$D25,12&lt;=$E25),IF($F25="Sí",2,1),0)</x:f>
        <x:v>0</x:v>
      </x:c>
      <x:c r="S25" s="32" t="n">
        <x:f>IF(AND(13&gt;=$D25,13&lt;=$E25),IF($F25="Sí",2,1),0)</x:f>
        <x:v>0</x:v>
      </x:c>
      <x:c r="T25" s="32" t="n">
        <x:f>IF(AND(14&gt;=$D25,14&lt;=$E25),IF($F25="Sí",2,1),0)</x:f>
        <x:v>0</x:v>
      </x:c>
      <x:c r="U25" s="32" t="n">
        <x:f>IF(AND(15&gt;=$D25,15&lt;=$E25),IF($F25="Sí",2,1),0)</x:f>
        <x:v>0</x:v>
      </x:c>
      <x:c r="V25" s="32" t="n">
        <x:f>IF(AND(16&gt;=$D25,16&lt;=$E25),IF($F25="Sí",2,1),0)</x:f>
        <x:v>0</x:v>
      </x:c>
      <x:c r="W25" s="32" t="n">
        <x:f>IF(AND(17&gt;=$D25,17&lt;=$E25),IF($F25="Sí",2,1),0)</x:f>
        <x:v>0</x:v>
      </x:c>
      <x:c r="X25" s="32" t="n">
        <x:f>IF(AND(18&gt;=$D25,18&lt;=$E25),IF($F25="Sí",2,1),0)</x:f>
        <x:v>0</x:v>
      </x:c>
      <x:c r="Y25" s="32" t="n">
        <x:f>IF(AND(19&gt;=$D25,19&lt;=$E25),IF($F25="Sí",2,1),0)</x:f>
        <x:v>0</x:v>
      </x:c>
      <x:c r="Z25" s="32" t="n">
        <x:f>IF(AND(20&gt;=$D25,20&lt;=$E25),IF($F25="Sí",2,1),0)</x:f>
        <x:v>0</x:v>
      </x:c>
      <x:c r="AA25" s="32" t="n">
        <x:f>IF(AND(21&gt;=$D25,21&lt;=$E25),IF($F25="Sí",2,1),0)</x:f>
        <x:v>0</x:v>
      </x:c>
      <x:c r="AB25" s="32" t="n">
        <x:f>IF(AND(22&gt;=$D25,22&lt;=$E25),IF($F25="Sí",2,1),0)</x:f>
        <x:v>0</x:v>
      </x:c>
      <x:c r="AC25" s="32" t="n">
        <x:f>IF(AND(23&gt;=$D25,23&lt;=$E25),IF($F25="Sí",2,1),0)</x:f>
        <x:v>0</x:v>
      </x:c>
      <x:c r="AD25" s="32" t="n">
        <x:f>IF(AND(24&gt;=$D25,24&lt;=$E25),IF($F25="Sí",2,1),0)</x:f>
        <x:v>0</x:v>
      </x:c>
      <x:c r="AE25" s="32" t="n">
        <x:f>IF(AND(25&gt;=$D25,25&lt;=$E25),IF($F25="Sí",2,1),0)</x:f>
        <x:v>0</x:v>
      </x:c>
      <x:c r="AF25" s="32" t="n">
        <x:f>IF(AND(26&gt;=$D25,26&lt;=$E25),IF($F25="Sí",2,1),0)</x:f>
        <x:v>0</x:v>
      </x:c>
      <x:c r="AG25" s="32" t="n">
        <x:f>IF(AND(27&gt;=$D25,27&lt;=$E25),IF($F25="Sí",2,1),0)</x:f>
        <x:v>0</x:v>
      </x:c>
      <x:c r="AH25" s="32" t="n">
        <x:f>IF(AND(28&gt;=$D25,28&lt;=$E25),IF($F25="Sí",2,1),0)</x:f>
        <x:v>0</x:v>
      </x:c>
      <x:c r="AI25" s="32" t="n">
        <x:f>IF(AND(29&gt;=$D25,29&lt;=$E25),IF($F25="Sí",2,1),0)</x:f>
        <x:v>0</x:v>
      </x:c>
      <x:c r="AJ25" s="32" t="n">
        <x:f>IF(AND(30&gt;=$D25,30&lt;=$E25),IF($F25="Sí",2,1),0)</x:f>
        <x:v>0</x:v>
      </x:c>
      <x:c r="AK25" s="32" t="n">
        <x:f>IF(AND(31&gt;=$D25,31&lt;=$E25),IF($F25="Sí",2,1),0)</x:f>
        <x:v>0</x:v>
      </x:c>
      <x:c r="AL25" s="32" t="n">
        <x:f>IF(AND(32&gt;=$D25,32&lt;=$E25),IF($F25="Sí",2,1),0)</x:f>
        <x:v>0</x:v>
      </x:c>
      <x:c r="AM25" s="32" t="n">
        <x:f>IF(AND(33&gt;=$D25,33&lt;=$E25),IF($F25="Sí",2,1),0)</x:f>
        <x:v>0</x:v>
      </x:c>
      <x:c r="AN25" s="33" t="n">
        <x:f>IF(AND(34&gt;=$D25,34&lt;=$E25),IF($F25="Sí",2,1),0)</x:f>
        <x:v>0</x:v>
      </x:c>
      <x:c r="AO25" s="33" t="n">
        <x:f>IF(AND(35&gt;=$D25,35&lt;=$E25),IF($F25="Sí",2,1),0)</x:f>
        <x:v>0</x:v>
      </x:c>
    </x:row>
    <x:row r="26" ht="36" customHeight="1">
      <x:c r="A26" s="3" t="str">
        <x:v>T21</x:v>
      </x:c>
      <x:c r="B26" s="16" t="str">
        <x:v>3.05 · Persistir escenarios y versiones inmutables</x:v>
      </x:c>
      <x:c r="C26" s="16" t="str">
        <x:v>Empresa · backend</x:v>
      </x:c>
      <x:c r="D26" s="3" t="n">
        <x:f>'EDT Y TAREAS'!T26</x:f>
        <x:v>8</x:v>
      </x:c>
      <x:c r="E26" s="3" t="n">
        <x:f>'EDT Y TAREAS'!U26</x:f>
        <x:v>10</x:v>
      </x:c>
      <x:c r="F26" s="3" t="str">
        <x:f>'EDT Y TAREAS'!S26</x:f>
        <x:v>No</x:v>
      </x:c>
      <x:c r="G26" s="32" t="n">
        <x:f>IF(AND(1&gt;=$D26,1&lt;=$E26),IF($F26="Sí",2,1),0)</x:f>
        <x:v>0</x:v>
      </x:c>
      <x:c r="H26" s="32" t="n">
        <x:f>IF(AND(2&gt;=$D26,2&lt;=$E26),IF($F26="Sí",2,1),0)</x:f>
        <x:v>0</x:v>
      </x:c>
      <x:c r="I26" s="32" t="n">
        <x:f>IF(AND(3&gt;=$D26,3&lt;=$E26),IF($F26="Sí",2,1),0)</x:f>
        <x:v>0</x:v>
      </x:c>
      <x:c r="J26" s="32" t="n">
        <x:f>IF(AND(4&gt;=$D26,4&lt;=$E26),IF($F26="Sí",2,1),0)</x:f>
        <x:v>0</x:v>
      </x:c>
      <x:c r="K26" s="32" t="n">
        <x:f>IF(AND(5&gt;=$D26,5&lt;=$E26),IF($F26="Sí",2,1),0)</x:f>
        <x:v>0</x:v>
      </x:c>
      <x:c r="L26" s="32" t="n">
        <x:f>IF(AND(6&gt;=$D26,6&lt;=$E26),IF($F26="Sí",2,1),0)</x:f>
        <x:v>0</x:v>
      </x:c>
      <x:c r="M26" s="32" t="n">
        <x:f>IF(AND(7&gt;=$D26,7&lt;=$E26),IF($F26="Sí",2,1),0)</x:f>
        <x:v>0</x:v>
      </x:c>
      <x:c r="N26" s="32" t="n">
        <x:f>IF(AND(8&gt;=$D26,8&lt;=$E26),IF($F26="Sí",2,1),0)</x:f>
        <x:v>1</x:v>
      </x:c>
      <x:c r="O26" s="32" t="n">
        <x:f>IF(AND(9&gt;=$D26,9&lt;=$E26),IF($F26="Sí",2,1),0)</x:f>
        <x:v>1</x:v>
      </x:c>
      <x:c r="P26" s="32" t="n">
        <x:f>IF(AND(10&gt;=$D26,10&lt;=$E26),IF($F26="Sí",2,1),0)</x:f>
        <x:v>1</x:v>
      </x:c>
      <x:c r="Q26" s="32" t="n">
        <x:f>IF(AND(11&gt;=$D26,11&lt;=$E26),IF($F26="Sí",2,1),0)</x:f>
        <x:v>0</x:v>
      </x:c>
      <x:c r="R26" s="32" t="n">
        <x:f>IF(AND(12&gt;=$D26,12&lt;=$E26),IF($F26="Sí",2,1),0)</x:f>
        <x:v>0</x:v>
      </x:c>
      <x:c r="S26" s="32" t="n">
        <x:f>IF(AND(13&gt;=$D26,13&lt;=$E26),IF($F26="Sí",2,1),0)</x:f>
        <x:v>0</x:v>
      </x:c>
      <x:c r="T26" s="32" t="n">
        <x:f>IF(AND(14&gt;=$D26,14&lt;=$E26),IF($F26="Sí",2,1),0)</x:f>
        <x:v>0</x:v>
      </x:c>
      <x:c r="U26" s="32" t="n">
        <x:f>IF(AND(15&gt;=$D26,15&lt;=$E26),IF($F26="Sí",2,1),0)</x:f>
        <x:v>0</x:v>
      </x:c>
      <x:c r="V26" s="32" t="n">
        <x:f>IF(AND(16&gt;=$D26,16&lt;=$E26),IF($F26="Sí",2,1),0)</x:f>
        <x:v>0</x:v>
      </x:c>
      <x:c r="W26" s="32" t="n">
        <x:f>IF(AND(17&gt;=$D26,17&lt;=$E26),IF($F26="Sí",2,1),0)</x:f>
        <x:v>0</x:v>
      </x:c>
      <x:c r="X26" s="32" t="n">
        <x:f>IF(AND(18&gt;=$D26,18&lt;=$E26),IF($F26="Sí",2,1),0)</x:f>
        <x:v>0</x:v>
      </x:c>
      <x:c r="Y26" s="32" t="n">
        <x:f>IF(AND(19&gt;=$D26,19&lt;=$E26),IF($F26="Sí",2,1),0)</x:f>
        <x:v>0</x:v>
      </x:c>
      <x:c r="Z26" s="32" t="n">
        <x:f>IF(AND(20&gt;=$D26,20&lt;=$E26),IF($F26="Sí",2,1),0)</x:f>
        <x:v>0</x:v>
      </x:c>
      <x:c r="AA26" s="32" t="n">
        <x:f>IF(AND(21&gt;=$D26,21&lt;=$E26),IF($F26="Sí",2,1),0)</x:f>
        <x:v>0</x:v>
      </x:c>
      <x:c r="AB26" s="32" t="n">
        <x:f>IF(AND(22&gt;=$D26,22&lt;=$E26),IF($F26="Sí",2,1),0)</x:f>
        <x:v>0</x:v>
      </x:c>
      <x:c r="AC26" s="32" t="n">
        <x:f>IF(AND(23&gt;=$D26,23&lt;=$E26),IF($F26="Sí",2,1),0)</x:f>
        <x:v>0</x:v>
      </x:c>
      <x:c r="AD26" s="32" t="n">
        <x:f>IF(AND(24&gt;=$D26,24&lt;=$E26),IF($F26="Sí",2,1),0)</x:f>
        <x:v>0</x:v>
      </x:c>
      <x:c r="AE26" s="32" t="n">
        <x:f>IF(AND(25&gt;=$D26,25&lt;=$E26),IF($F26="Sí",2,1),0)</x:f>
        <x:v>0</x:v>
      </x:c>
      <x:c r="AF26" s="32" t="n">
        <x:f>IF(AND(26&gt;=$D26,26&lt;=$E26),IF($F26="Sí",2,1),0)</x:f>
        <x:v>0</x:v>
      </x:c>
      <x:c r="AG26" s="32" t="n">
        <x:f>IF(AND(27&gt;=$D26,27&lt;=$E26),IF($F26="Sí",2,1),0)</x:f>
        <x:v>0</x:v>
      </x:c>
      <x:c r="AH26" s="32" t="n">
        <x:f>IF(AND(28&gt;=$D26,28&lt;=$E26),IF($F26="Sí",2,1),0)</x:f>
        <x:v>0</x:v>
      </x:c>
      <x:c r="AI26" s="32" t="n">
        <x:f>IF(AND(29&gt;=$D26,29&lt;=$E26),IF($F26="Sí",2,1),0)</x:f>
        <x:v>0</x:v>
      </x:c>
      <x:c r="AJ26" s="32" t="n">
        <x:f>IF(AND(30&gt;=$D26,30&lt;=$E26),IF($F26="Sí",2,1),0)</x:f>
        <x:v>0</x:v>
      </x:c>
      <x:c r="AK26" s="32" t="n">
        <x:f>IF(AND(31&gt;=$D26,31&lt;=$E26),IF($F26="Sí",2,1),0)</x:f>
        <x:v>0</x:v>
      </x:c>
      <x:c r="AL26" s="32" t="n">
        <x:f>IF(AND(32&gt;=$D26,32&lt;=$E26),IF($F26="Sí",2,1),0)</x:f>
        <x:v>0</x:v>
      </x:c>
      <x:c r="AM26" s="32" t="n">
        <x:f>IF(AND(33&gt;=$D26,33&lt;=$E26),IF($F26="Sí",2,1),0)</x:f>
        <x:v>0</x:v>
      </x:c>
      <x:c r="AN26" s="33" t="n">
        <x:f>IF(AND(34&gt;=$D26,34&lt;=$E26),IF($F26="Sí",2,1),0)</x:f>
        <x:v>0</x:v>
      </x:c>
      <x:c r="AO26" s="33" t="n">
        <x:f>IF(AND(35&gt;=$D26,35&lt;=$E26),IF($F26="Sí",2,1),0)</x:f>
        <x:v>0</x:v>
      </x:c>
    </x:row>
    <x:row r="27" ht="36" customHeight="1">
      <x:c r="A27" s="3" t="str">
        <x:v>T22</x:v>
      </x:c>
      <x:c r="B27" s="16" t="str">
        <x:v>3.06 · Implementar cola y ciclo de trabajos</x:v>
      </x:c>
      <x:c r="C27" s="16" t="str">
        <x:v>Empresa · backend</x:v>
      </x:c>
      <x:c r="D27" s="3" t="n">
        <x:f>'EDT Y TAREAS'!T27</x:f>
        <x:v>10</x:v>
      </x:c>
      <x:c r="E27" s="3" t="n">
        <x:f>'EDT Y TAREAS'!U27</x:f>
        <x:v>12</x:v>
      </x:c>
      <x:c r="F27" s="3" t="str">
        <x:f>'EDT Y TAREAS'!S27</x:f>
        <x:v>No</x:v>
      </x:c>
      <x:c r="G27" s="32" t="n">
        <x:f>IF(AND(1&gt;=$D27,1&lt;=$E27),IF($F27="Sí",2,1),0)</x:f>
        <x:v>0</x:v>
      </x:c>
      <x:c r="H27" s="32" t="n">
        <x:f>IF(AND(2&gt;=$D27,2&lt;=$E27),IF($F27="Sí",2,1),0)</x:f>
        <x:v>0</x:v>
      </x:c>
      <x:c r="I27" s="32" t="n">
        <x:f>IF(AND(3&gt;=$D27,3&lt;=$E27),IF($F27="Sí",2,1),0)</x:f>
        <x:v>0</x:v>
      </x:c>
      <x:c r="J27" s="32" t="n">
        <x:f>IF(AND(4&gt;=$D27,4&lt;=$E27),IF($F27="Sí",2,1),0)</x:f>
        <x:v>0</x:v>
      </x:c>
      <x:c r="K27" s="32" t="n">
        <x:f>IF(AND(5&gt;=$D27,5&lt;=$E27),IF($F27="Sí",2,1),0)</x:f>
        <x:v>0</x:v>
      </x:c>
      <x:c r="L27" s="32" t="n">
        <x:f>IF(AND(6&gt;=$D27,6&lt;=$E27),IF($F27="Sí",2,1),0)</x:f>
        <x:v>0</x:v>
      </x:c>
      <x:c r="M27" s="32" t="n">
        <x:f>IF(AND(7&gt;=$D27,7&lt;=$E27),IF($F27="Sí",2,1),0)</x:f>
        <x:v>0</x:v>
      </x:c>
      <x:c r="N27" s="32" t="n">
        <x:f>IF(AND(8&gt;=$D27,8&lt;=$E27),IF($F27="Sí",2,1),0)</x:f>
        <x:v>0</x:v>
      </x:c>
      <x:c r="O27" s="32" t="n">
        <x:f>IF(AND(9&gt;=$D27,9&lt;=$E27),IF($F27="Sí",2,1),0)</x:f>
        <x:v>0</x:v>
      </x:c>
      <x:c r="P27" s="32" t="n">
        <x:f>IF(AND(10&gt;=$D27,10&lt;=$E27),IF($F27="Sí",2,1),0)</x:f>
        <x:v>1</x:v>
      </x:c>
      <x:c r="Q27" s="32" t="n">
        <x:f>IF(AND(11&gt;=$D27,11&lt;=$E27),IF($F27="Sí",2,1),0)</x:f>
        <x:v>1</x:v>
      </x:c>
      <x:c r="R27" s="32" t="n">
        <x:f>IF(AND(12&gt;=$D27,12&lt;=$E27),IF($F27="Sí",2,1),0)</x:f>
        <x:v>1</x:v>
      </x:c>
      <x:c r="S27" s="32" t="n">
        <x:f>IF(AND(13&gt;=$D27,13&lt;=$E27),IF($F27="Sí",2,1),0)</x:f>
        <x:v>0</x:v>
      </x:c>
      <x:c r="T27" s="32" t="n">
        <x:f>IF(AND(14&gt;=$D27,14&lt;=$E27),IF($F27="Sí",2,1),0)</x:f>
        <x:v>0</x:v>
      </x:c>
      <x:c r="U27" s="32" t="n">
        <x:f>IF(AND(15&gt;=$D27,15&lt;=$E27),IF($F27="Sí",2,1),0)</x:f>
        <x:v>0</x:v>
      </x:c>
      <x:c r="V27" s="32" t="n">
        <x:f>IF(AND(16&gt;=$D27,16&lt;=$E27),IF($F27="Sí",2,1),0)</x:f>
        <x:v>0</x:v>
      </x:c>
      <x:c r="W27" s="32" t="n">
        <x:f>IF(AND(17&gt;=$D27,17&lt;=$E27),IF($F27="Sí",2,1),0)</x:f>
        <x:v>0</x:v>
      </x:c>
      <x:c r="X27" s="32" t="n">
        <x:f>IF(AND(18&gt;=$D27,18&lt;=$E27),IF($F27="Sí",2,1),0)</x:f>
        <x:v>0</x:v>
      </x:c>
      <x:c r="Y27" s="32" t="n">
        <x:f>IF(AND(19&gt;=$D27,19&lt;=$E27),IF($F27="Sí",2,1),0)</x:f>
        <x:v>0</x:v>
      </x:c>
      <x:c r="Z27" s="32" t="n">
        <x:f>IF(AND(20&gt;=$D27,20&lt;=$E27),IF($F27="Sí",2,1),0)</x:f>
        <x:v>0</x:v>
      </x:c>
      <x:c r="AA27" s="32" t="n">
        <x:f>IF(AND(21&gt;=$D27,21&lt;=$E27),IF($F27="Sí",2,1),0)</x:f>
        <x:v>0</x:v>
      </x:c>
      <x:c r="AB27" s="32" t="n">
        <x:f>IF(AND(22&gt;=$D27,22&lt;=$E27),IF($F27="Sí",2,1),0)</x:f>
        <x:v>0</x:v>
      </x:c>
      <x:c r="AC27" s="32" t="n">
        <x:f>IF(AND(23&gt;=$D27,23&lt;=$E27),IF($F27="Sí",2,1),0)</x:f>
        <x:v>0</x:v>
      </x:c>
      <x:c r="AD27" s="32" t="n">
        <x:f>IF(AND(24&gt;=$D27,24&lt;=$E27),IF($F27="Sí",2,1),0)</x:f>
        <x:v>0</x:v>
      </x:c>
      <x:c r="AE27" s="32" t="n">
        <x:f>IF(AND(25&gt;=$D27,25&lt;=$E27),IF($F27="Sí",2,1),0)</x:f>
        <x:v>0</x:v>
      </x:c>
      <x:c r="AF27" s="32" t="n">
        <x:f>IF(AND(26&gt;=$D27,26&lt;=$E27),IF($F27="Sí",2,1),0)</x:f>
        <x:v>0</x:v>
      </x:c>
      <x:c r="AG27" s="32" t="n">
        <x:f>IF(AND(27&gt;=$D27,27&lt;=$E27),IF($F27="Sí",2,1),0)</x:f>
        <x:v>0</x:v>
      </x:c>
      <x:c r="AH27" s="32" t="n">
        <x:f>IF(AND(28&gt;=$D27,28&lt;=$E27),IF($F27="Sí",2,1),0)</x:f>
        <x:v>0</x:v>
      </x:c>
      <x:c r="AI27" s="32" t="n">
        <x:f>IF(AND(29&gt;=$D27,29&lt;=$E27),IF($F27="Sí",2,1),0)</x:f>
        <x:v>0</x:v>
      </x:c>
      <x:c r="AJ27" s="32" t="n">
        <x:f>IF(AND(30&gt;=$D27,30&lt;=$E27),IF($F27="Sí",2,1),0)</x:f>
        <x:v>0</x:v>
      </x:c>
      <x:c r="AK27" s="32" t="n">
        <x:f>IF(AND(31&gt;=$D27,31&lt;=$E27),IF($F27="Sí",2,1),0)</x:f>
        <x:v>0</x:v>
      </x:c>
      <x:c r="AL27" s="32" t="n">
        <x:f>IF(AND(32&gt;=$D27,32&lt;=$E27),IF($F27="Sí",2,1),0)</x:f>
        <x:v>0</x:v>
      </x:c>
      <x:c r="AM27" s="32" t="n">
        <x:f>IF(AND(33&gt;=$D27,33&lt;=$E27),IF($F27="Sí",2,1),0)</x:f>
        <x:v>0</x:v>
      </x:c>
      <x:c r="AN27" s="33" t="n">
        <x:f>IF(AND(34&gt;=$D27,34&lt;=$E27),IF($F27="Sí",2,1),0)</x:f>
        <x:v>0</x:v>
      </x:c>
      <x:c r="AO27" s="33" t="n">
        <x:f>IF(AND(35&gt;=$D27,35&lt;=$E27),IF($F27="Sí",2,1),0)</x:f>
        <x:v>0</x:v>
      </x:c>
    </x:row>
    <x:row r="28" ht="36" customHeight="1">
      <x:c r="A28" s="3" t="str">
        <x:v>T23</x:v>
      </x:c>
      <x:c r="B28" s="16" t="str">
        <x:v>3.07 · Integrar motor y artefactos privados</x:v>
      </x:c>
      <x:c r="C28" s="16" t="str">
        <x:v>Empresa · backend</x:v>
      </x:c>
      <x:c r="D28" s="3" t="n">
        <x:f>'EDT Y TAREAS'!T28</x:f>
        <x:v>12</x:v>
      </x:c>
      <x:c r="E28" s="3" t="n">
        <x:f>'EDT Y TAREAS'!U28</x:f>
        <x:v>14</x:v>
      </x:c>
      <x:c r="F28" s="3" t="str">
        <x:f>'EDT Y TAREAS'!S28</x:f>
        <x:v>No</x:v>
      </x:c>
      <x:c r="G28" s="32" t="n">
        <x:f>IF(AND(1&gt;=$D28,1&lt;=$E28),IF($F28="Sí",2,1),0)</x:f>
        <x:v>0</x:v>
      </x:c>
      <x:c r="H28" s="32" t="n">
        <x:f>IF(AND(2&gt;=$D28,2&lt;=$E28),IF($F28="Sí",2,1),0)</x:f>
        <x:v>0</x:v>
      </x:c>
      <x:c r="I28" s="32" t="n">
        <x:f>IF(AND(3&gt;=$D28,3&lt;=$E28),IF($F28="Sí",2,1),0)</x:f>
        <x:v>0</x:v>
      </x:c>
      <x:c r="J28" s="32" t="n">
        <x:f>IF(AND(4&gt;=$D28,4&lt;=$E28),IF($F28="Sí",2,1),0)</x:f>
        <x:v>0</x:v>
      </x:c>
      <x:c r="K28" s="32" t="n">
        <x:f>IF(AND(5&gt;=$D28,5&lt;=$E28),IF($F28="Sí",2,1),0)</x:f>
        <x:v>0</x:v>
      </x:c>
      <x:c r="L28" s="32" t="n">
        <x:f>IF(AND(6&gt;=$D28,6&lt;=$E28),IF($F28="Sí",2,1),0)</x:f>
        <x:v>0</x:v>
      </x:c>
      <x:c r="M28" s="32" t="n">
        <x:f>IF(AND(7&gt;=$D28,7&lt;=$E28),IF($F28="Sí",2,1),0)</x:f>
        <x:v>0</x:v>
      </x:c>
      <x:c r="N28" s="32" t="n">
        <x:f>IF(AND(8&gt;=$D28,8&lt;=$E28),IF($F28="Sí",2,1),0)</x:f>
        <x:v>0</x:v>
      </x:c>
      <x:c r="O28" s="32" t="n">
        <x:f>IF(AND(9&gt;=$D28,9&lt;=$E28),IF($F28="Sí",2,1),0)</x:f>
        <x:v>0</x:v>
      </x:c>
      <x:c r="P28" s="32" t="n">
        <x:f>IF(AND(10&gt;=$D28,10&lt;=$E28),IF($F28="Sí",2,1),0)</x:f>
        <x:v>0</x:v>
      </x:c>
      <x:c r="Q28" s="32" t="n">
        <x:f>IF(AND(11&gt;=$D28,11&lt;=$E28),IF($F28="Sí",2,1),0)</x:f>
        <x:v>0</x:v>
      </x:c>
      <x:c r="R28" s="32" t="n">
        <x:f>IF(AND(12&gt;=$D28,12&lt;=$E28),IF($F28="Sí",2,1),0)</x:f>
        <x:v>1</x:v>
      </x:c>
      <x:c r="S28" s="32" t="n">
        <x:f>IF(AND(13&gt;=$D28,13&lt;=$E28),IF($F28="Sí",2,1),0)</x:f>
        <x:v>1</x:v>
      </x:c>
      <x:c r="T28" s="32" t="n">
        <x:f>IF(AND(14&gt;=$D28,14&lt;=$E28),IF($F28="Sí",2,1),0)</x:f>
        <x:v>1</x:v>
      </x:c>
      <x:c r="U28" s="32" t="n">
        <x:f>IF(AND(15&gt;=$D28,15&lt;=$E28),IF($F28="Sí",2,1),0)</x:f>
        <x:v>0</x:v>
      </x:c>
      <x:c r="V28" s="32" t="n">
        <x:f>IF(AND(16&gt;=$D28,16&lt;=$E28),IF($F28="Sí",2,1),0)</x:f>
        <x:v>0</x:v>
      </x:c>
      <x:c r="W28" s="32" t="n">
        <x:f>IF(AND(17&gt;=$D28,17&lt;=$E28),IF($F28="Sí",2,1),0)</x:f>
        <x:v>0</x:v>
      </x:c>
      <x:c r="X28" s="32" t="n">
        <x:f>IF(AND(18&gt;=$D28,18&lt;=$E28),IF($F28="Sí",2,1),0)</x:f>
        <x:v>0</x:v>
      </x:c>
      <x:c r="Y28" s="32" t="n">
        <x:f>IF(AND(19&gt;=$D28,19&lt;=$E28),IF($F28="Sí",2,1),0)</x:f>
        <x:v>0</x:v>
      </x:c>
      <x:c r="Z28" s="32" t="n">
        <x:f>IF(AND(20&gt;=$D28,20&lt;=$E28),IF($F28="Sí",2,1),0)</x:f>
        <x:v>0</x:v>
      </x:c>
      <x:c r="AA28" s="32" t="n">
        <x:f>IF(AND(21&gt;=$D28,21&lt;=$E28),IF($F28="Sí",2,1),0)</x:f>
        <x:v>0</x:v>
      </x:c>
      <x:c r="AB28" s="32" t="n">
        <x:f>IF(AND(22&gt;=$D28,22&lt;=$E28),IF($F28="Sí",2,1),0)</x:f>
        <x:v>0</x:v>
      </x:c>
      <x:c r="AC28" s="32" t="n">
        <x:f>IF(AND(23&gt;=$D28,23&lt;=$E28),IF($F28="Sí",2,1),0)</x:f>
        <x:v>0</x:v>
      </x:c>
      <x:c r="AD28" s="32" t="n">
        <x:f>IF(AND(24&gt;=$D28,24&lt;=$E28),IF($F28="Sí",2,1),0)</x:f>
        <x:v>0</x:v>
      </x:c>
      <x:c r="AE28" s="32" t="n">
        <x:f>IF(AND(25&gt;=$D28,25&lt;=$E28),IF($F28="Sí",2,1),0)</x:f>
        <x:v>0</x:v>
      </x:c>
      <x:c r="AF28" s="32" t="n">
        <x:f>IF(AND(26&gt;=$D28,26&lt;=$E28),IF($F28="Sí",2,1),0)</x:f>
        <x:v>0</x:v>
      </x:c>
      <x:c r="AG28" s="32" t="n">
        <x:f>IF(AND(27&gt;=$D28,27&lt;=$E28),IF($F28="Sí",2,1),0)</x:f>
        <x:v>0</x:v>
      </x:c>
      <x:c r="AH28" s="32" t="n">
        <x:f>IF(AND(28&gt;=$D28,28&lt;=$E28),IF($F28="Sí",2,1),0)</x:f>
        <x:v>0</x:v>
      </x:c>
      <x:c r="AI28" s="32" t="n">
        <x:f>IF(AND(29&gt;=$D28,29&lt;=$E28),IF($F28="Sí",2,1),0)</x:f>
        <x:v>0</x:v>
      </x:c>
      <x:c r="AJ28" s="32" t="n">
        <x:f>IF(AND(30&gt;=$D28,30&lt;=$E28),IF($F28="Sí",2,1),0)</x:f>
        <x:v>0</x:v>
      </x:c>
      <x:c r="AK28" s="32" t="n">
        <x:f>IF(AND(31&gt;=$D28,31&lt;=$E28),IF($F28="Sí",2,1),0)</x:f>
        <x:v>0</x:v>
      </x:c>
      <x:c r="AL28" s="32" t="n">
        <x:f>IF(AND(32&gt;=$D28,32&lt;=$E28),IF($F28="Sí",2,1),0)</x:f>
        <x:v>0</x:v>
      </x:c>
      <x:c r="AM28" s="32" t="n">
        <x:f>IF(AND(33&gt;=$D28,33&lt;=$E28),IF($F28="Sí",2,1),0)</x:f>
        <x:v>0</x:v>
      </x:c>
      <x:c r="AN28" s="33" t="n">
        <x:f>IF(AND(34&gt;=$D28,34&lt;=$E28),IF($F28="Sí",2,1),0)</x:f>
        <x:v>0</x:v>
      </x:c>
      <x:c r="AO28" s="33" t="n">
        <x:f>IF(AND(35&gt;=$D28,35&lt;=$E28),IF($F28="Sí",2,1),0)</x:f>
        <x:v>0</x:v>
      </x:c>
    </x:row>
    <x:row r="29" ht="36" customHeight="1">
      <x:c r="A29" s="3" t="str">
        <x:v>T24</x:v>
      </x:c>
      <x:c r="B29" s="16" t="str">
        <x:v>3.08 · Implementar acceso y navegación por perfil</x:v>
      </x:c>
      <x:c r="C29" s="16" t="str">
        <x:v>Empresa · frontend</x:v>
      </x:c>
      <x:c r="D29" s="3" t="n">
        <x:f>'EDT Y TAREAS'!T29</x:f>
        <x:v>9</x:v>
      </x:c>
      <x:c r="E29" s="3" t="n">
        <x:f>'EDT Y TAREAS'!U29</x:f>
        <x:v>11</x:v>
      </x:c>
      <x:c r="F29" s="3" t="str">
        <x:f>'EDT Y TAREAS'!S29</x:f>
        <x:v>No</x:v>
      </x:c>
      <x:c r="G29" s="32" t="n">
        <x:f>IF(AND(1&gt;=$D29,1&lt;=$E29),IF($F29="Sí",2,1),0)</x:f>
        <x:v>0</x:v>
      </x:c>
      <x:c r="H29" s="32" t="n">
        <x:f>IF(AND(2&gt;=$D29,2&lt;=$E29),IF($F29="Sí",2,1),0)</x:f>
        <x:v>0</x:v>
      </x:c>
      <x:c r="I29" s="32" t="n">
        <x:f>IF(AND(3&gt;=$D29,3&lt;=$E29),IF($F29="Sí",2,1),0)</x:f>
        <x:v>0</x:v>
      </x:c>
      <x:c r="J29" s="32" t="n">
        <x:f>IF(AND(4&gt;=$D29,4&lt;=$E29),IF($F29="Sí",2,1),0)</x:f>
        <x:v>0</x:v>
      </x:c>
      <x:c r="K29" s="32" t="n">
        <x:f>IF(AND(5&gt;=$D29,5&lt;=$E29),IF($F29="Sí",2,1),0)</x:f>
        <x:v>0</x:v>
      </x:c>
      <x:c r="L29" s="32" t="n">
        <x:f>IF(AND(6&gt;=$D29,6&lt;=$E29),IF($F29="Sí",2,1),0)</x:f>
        <x:v>0</x:v>
      </x:c>
      <x:c r="M29" s="32" t="n">
        <x:f>IF(AND(7&gt;=$D29,7&lt;=$E29),IF($F29="Sí",2,1),0)</x:f>
        <x:v>0</x:v>
      </x:c>
      <x:c r="N29" s="32" t="n">
        <x:f>IF(AND(8&gt;=$D29,8&lt;=$E29),IF($F29="Sí",2,1),0)</x:f>
        <x:v>0</x:v>
      </x:c>
      <x:c r="O29" s="32" t="n">
        <x:f>IF(AND(9&gt;=$D29,9&lt;=$E29),IF($F29="Sí",2,1),0)</x:f>
        <x:v>1</x:v>
      </x:c>
      <x:c r="P29" s="32" t="n">
        <x:f>IF(AND(10&gt;=$D29,10&lt;=$E29),IF($F29="Sí",2,1),0)</x:f>
        <x:v>1</x:v>
      </x:c>
      <x:c r="Q29" s="32" t="n">
        <x:f>IF(AND(11&gt;=$D29,11&lt;=$E29),IF($F29="Sí",2,1),0)</x:f>
        <x:v>1</x:v>
      </x:c>
      <x:c r="R29" s="32" t="n">
        <x:f>IF(AND(12&gt;=$D29,12&lt;=$E29),IF($F29="Sí",2,1),0)</x:f>
        <x:v>0</x:v>
      </x:c>
      <x:c r="S29" s="32" t="n">
        <x:f>IF(AND(13&gt;=$D29,13&lt;=$E29),IF($F29="Sí",2,1),0)</x:f>
        <x:v>0</x:v>
      </x:c>
      <x:c r="T29" s="32" t="n">
        <x:f>IF(AND(14&gt;=$D29,14&lt;=$E29),IF($F29="Sí",2,1),0)</x:f>
        <x:v>0</x:v>
      </x:c>
      <x:c r="U29" s="32" t="n">
        <x:f>IF(AND(15&gt;=$D29,15&lt;=$E29),IF($F29="Sí",2,1),0)</x:f>
        <x:v>0</x:v>
      </x:c>
      <x:c r="V29" s="32" t="n">
        <x:f>IF(AND(16&gt;=$D29,16&lt;=$E29),IF($F29="Sí",2,1),0)</x:f>
        <x:v>0</x:v>
      </x:c>
      <x:c r="W29" s="32" t="n">
        <x:f>IF(AND(17&gt;=$D29,17&lt;=$E29),IF($F29="Sí",2,1),0)</x:f>
        <x:v>0</x:v>
      </x:c>
      <x:c r="X29" s="32" t="n">
        <x:f>IF(AND(18&gt;=$D29,18&lt;=$E29),IF($F29="Sí",2,1),0)</x:f>
        <x:v>0</x:v>
      </x:c>
      <x:c r="Y29" s="32" t="n">
        <x:f>IF(AND(19&gt;=$D29,19&lt;=$E29),IF($F29="Sí",2,1),0)</x:f>
        <x:v>0</x:v>
      </x:c>
      <x:c r="Z29" s="32" t="n">
        <x:f>IF(AND(20&gt;=$D29,20&lt;=$E29),IF($F29="Sí",2,1),0)</x:f>
        <x:v>0</x:v>
      </x:c>
      <x:c r="AA29" s="32" t="n">
        <x:f>IF(AND(21&gt;=$D29,21&lt;=$E29),IF($F29="Sí",2,1),0)</x:f>
        <x:v>0</x:v>
      </x:c>
      <x:c r="AB29" s="32" t="n">
        <x:f>IF(AND(22&gt;=$D29,22&lt;=$E29),IF($F29="Sí",2,1),0)</x:f>
        <x:v>0</x:v>
      </x:c>
      <x:c r="AC29" s="32" t="n">
        <x:f>IF(AND(23&gt;=$D29,23&lt;=$E29),IF($F29="Sí",2,1),0)</x:f>
        <x:v>0</x:v>
      </x:c>
      <x:c r="AD29" s="32" t="n">
        <x:f>IF(AND(24&gt;=$D29,24&lt;=$E29),IF($F29="Sí",2,1),0)</x:f>
        <x:v>0</x:v>
      </x:c>
      <x:c r="AE29" s="32" t="n">
        <x:f>IF(AND(25&gt;=$D29,25&lt;=$E29),IF($F29="Sí",2,1),0)</x:f>
        <x:v>0</x:v>
      </x:c>
      <x:c r="AF29" s="32" t="n">
        <x:f>IF(AND(26&gt;=$D29,26&lt;=$E29),IF($F29="Sí",2,1),0)</x:f>
        <x:v>0</x:v>
      </x:c>
      <x:c r="AG29" s="32" t="n">
        <x:f>IF(AND(27&gt;=$D29,27&lt;=$E29),IF($F29="Sí",2,1),0)</x:f>
        <x:v>0</x:v>
      </x:c>
      <x:c r="AH29" s="32" t="n">
        <x:f>IF(AND(28&gt;=$D29,28&lt;=$E29),IF($F29="Sí",2,1),0)</x:f>
        <x:v>0</x:v>
      </x:c>
      <x:c r="AI29" s="32" t="n">
        <x:f>IF(AND(29&gt;=$D29,29&lt;=$E29),IF($F29="Sí",2,1),0)</x:f>
        <x:v>0</x:v>
      </x:c>
      <x:c r="AJ29" s="32" t="n">
        <x:f>IF(AND(30&gt;=$D29,30&lt;=$E29),IF($F29="Sí",2,1),0)</x:f>
        <x:v>0</x:v>
      </x:c>
      <x:c r="AK29" s="32" t="n">
        <x:f>IF(AND(31&gt;=$D29,31&lt;=$E29),IF($F29="Sí",2,1),0)</x:f>
        <x:v>0</x:v>
      </x:c>
      <x:c r="AL29" s="32" t="n">
        <x:f>IF(AND(32&gt;=$D29,32&lt;=$E29),IF($F29="Sí",2,1),0)</x:f>
        <x:v>0</x:v>
      </x:c>
      <x:c r="AM29" s="32" t="n">
        <x:f>IF(AND(33&gt;=$D29,33&lt;=$E29),IF($F29="Sí",2,1),0)</x:f>
        <x:v>0</x:v>
      </x:c>
      <x:c r="AN29" s="33" t="n">
        <x:f>IF(AND(34&gt;=$D29,34&lt;=$E29),IF($F29="Sí",2,1),0)</x:f>
        <x:v>0</x:v>
      </x:c>
      <x:c r="AO29" s="33" t="n">
        <x:f>IF(AND(35&gt;=$D29,35&lt;=$E29),IF($F29="Sí",2,1),0)</x:f>
        <x:v>0</x:v>
      </x:c>
    </x:row>
    <x:row r="30" ht="36" customHeight="1">
      <x:c r="A30" s="3" t="str">
        <x:v>T25</x:v>
      </x:c>
      <x:c r="B30" s="16" t="str">
        <x:v>3.09 · Implementar formulario con validación guiada</x:v>
      </x:c>
      <x:c r="C30" s="16" t="str">
        <x:v>Empresa · frontend</x:v>
      </x:c>
      <x:c r="D30" s="3" t="n">
        <x:f>'EDT Y TAREAS'!T30</x:f>
        <x:v>13</x:v>
      </x:c>
      <x:c r="E30" s="3" t="n">
        <x:f>'EDT Y TAREAS'!U30</x:f>
        <x:v>15</x:v>
      </x:c>
      <x:c r="F30" s="3" t="str">
        <x:f>'EDT Y TAREAS'!S30</x:f>
        <x:v>Sí</x:v>
      </x:c>
      <x:c r="G30" s="32" t="n">
        <x:f>IF(AND(1&gt;=$D30,1&lt;=$E30),IF($F30="Sí",2,1),0)</x:f>
        <x:v>0</x:v>
      </x:c>
      <x:c r="H30" s="32" t="n">
        <x:f>IF(AND(2&gt;=$D30,2&lt;=$E30),IF($F30="Sí",2,1),0)</x:f>
        <x:v>0</x:v>
      </x:c>
      <x:c r="I30" s="32" t="n">
        <x:f>IF(AND(3&gt;=$D30,3&lt;=$E30),IF($F30="Sí",2,1),0)</x:f>
        <x:v>0</x:v>
      </x:c>
      <x:c r="J30" s="32" t="n">
        <x:f>IF(AND(4&gt;=$D30,4&lt;=$E30),IF($F30="Sí",2,1),0)</x:f>
        <x:v>0</x:v>
      </x:c>
      <x:c r="K30" s="32" t="n">
        <x:f>IF(AND(5&gt;=$D30,5&lt;=$E30),IF($F30="Sí",2,1),0)</x:f>
        <x:v>0</x:v>
      </x:c>
      <x:c r="L30" s="32" t="n">
        <x:f>IF(AND(6&gt;=$D30,6&lt;=$E30),IF($F30="Sí",2,1),0)</x:f>
        <x:v>0</x:v>
      </x:c>
      <x:c r="M30" s="32" t="n">
        <x:f>IF(AND(7&gt;=$D30,7&lt;=$E30),IF($F30="Sí",2,1),0)</x:f>
        <x:v>0</x:v>
      </x:c>
      <x:c r="N30" s="32" t="n">
        <x:f>IF(AND(8&gt;=$D30,8&lt;=$E30),IF($F30="Sí",2,1),0)</x:f>
        <x:v>0</x:v>
      </x:c>
      <x:c r="O30" s="32" t="n">
        <x:f>IF(AND(9&gt;=$D30,9&lt;=$E30),IF($F30="Sí",2,1),0)</x:f>
        <x:v>0</x:v>
      </x:c>
      <x:c r="P30" s="32" t="n">
        <x:f>IF(AND(10&gt;=$D30,10&lt;=$E30),IF($F30="Sí",2,1),0)</x:f>
        <x:v>0</x:v>
      </x:c>
      <x:c r="Q30" s="32" t="n">
        <x:f>IF(AND(11&gt;=$D30,11&lt;=$E30),IF($F30="Sí",2,1),0)</x:f>
        <x:v>0</x:v>
      </x:c>
      <x:c r="R30" s="32" t="n">
        <x:f>IF(AND(12&gt;=$D30,12&lt;=$E30),IF($F30="Sí",2,1),0)</x:f>
        <x:v>0</x:v>
      </x:c>
      <x:c r="S30" s="32" t="n">
        <x:f>IF(AND(13&gt;=$D30,13&lt;=$E30),IF($F30="Sí",2,1),0)</x:f>
        <x:v>2</x:v>
      </x:c>
      <x:c r="T30" s="32" t="n">
        <x:f>IF(AND(14&gt;=$D30,14&lt;=$E30),IF($F30="Sí",2,1),0)</x:f>
        <x:v>2</x:v>
      </x:c>
      <x:c r="U30" s="32" t="n">
        <x:f>IF(AND(15&gt;=$D30,15&lt;=$E30),IF($F30="Sí",2,1),0)</x:f>
        <x:v>2</x:v>
      </x:c>
      <x:c r="V30" s="32" t="n">
        <x:f>IF(AND(16&gt;=$D30,16&lt;=$E30),IF($F30="Sí",2,1),0)</x:f>
        <x:v>0</x:v>
      </x:c>
      <x:c r="W30" s="32" t="n">
        <x:f>IF(AND(17&gt;=$D30,17&lt;=$E30),IF($F30="Sí",2,1),0)</x:f>
        <x:v>0</x:v>
      </x:c>
      <x:c r="X30" s="32" t="n">
        <x:f>IF(AND(18&gt;=$D30,18&lt;=$E30),IF($F30="Sí",2,1),0)</x:f>
        <x:v>0</x:v>
      </x:c>
      <x:c r="Y30" s="32" t="n">
        <x:f>IF(AND(19&gt;=$D30,19&lt;=$E30),IF($F30="Sí",2,1),0)</x:f>
        <x:v>0</x:v>
      </x:c>
      <x:c r="Z30" s="32" t="n">
        <x:f>IF(AND(20&gt;=$D30,20&lt;=$E30),IF($F30="Sí",2,1),0)</x:f>
        <x:v>0</x:v>
      </x:c>
      <x:c r="AA30" s="32" t="n">
        <x:f>IF(AND(21&gt;=$D30,21&lt;=$E30),IF($F30="Sí",2,1),0)</x:f>
        <x:v>0</x:v>
      </x:c>
      <x:c r="AB30" s="32" t="n">
        <x:f>IF(AND(22&gt;=$D30,22&lt;=$E30),IF($F30="Sí",2,1),0)</x:f>
        <x:v>0</x:v>
      </x:c>
      <x:c r="AC30" s="32" t="n">
        <x:f>IF(AND(23&gt;=$D30,23&lt;=$E30),IF($F30="Sí",2,1),0)</x:f>
        <x:v>0</x:v>
      </x:c>
      <x:c r="AD30" s="32" t="n">
        <x:f>IF(AND(24&gt;=$D30,24&lt;=$E30),IF($F30="Sí",2,1),0)</x:f>
        <x:v>0</x:v>
      </x:c>
      <x:c r="AE30" s="32" t="n">
        <x:f>IF(AND(25&gt;=$D30,25&lt;=$E30),IF($F30="Sí",2,1),0)</x:f>
        <x:v>0</x:v>
      </x:c>
      <x:c r="AF30" s="32" t="n">
        <x:f>IF(AND(26&gt;=$D30,26&lt;=$E30),IF($F30="Sí",2,1),0)</x:f>
        <x:v>0</x:v>
      </x:c>
      <x:c r="AG30" s="32" t="n">
        <x:f>IF(AND(27&gt;=$D30,27&lt;=$E30),IF($F30="Sí",2,1),0)</x:f>
        <x:v>0</x:v>
      </x:c>
      <x:c r="AH30" s="32" t="n">
        <x:f>IF(AND(28&gt;=$D30,28&lt;=$E30),IF($F30="Sí",2,1),0)</x:f>
        <x:v>0</x:v>
      </x:c>
      <x:c r="AI30" s="32" t="n">
        <x:f>IF(AND(29&gt;=$D30,29&lt;=$E30),IF($F30="Sí",2,1),0)</x:f>
        <x:v>0</x:v>
      </x:c>
      <x:c r="AJ30" s="32" t="n">
        <x:f>IF(AND(30&gt;=$D30,30&lt;=$E30),IF($F30="Sí",2,1),0)</x:f>
        <x:v>0</x:v>
      </x:c>
      <x:c r="AK30" s="32" t="n">
        <x:f>IF(AND(31&gt;=$D30,31&lt;=$E30),IF($F30="Sí",2,1),0)</x:f>
        <x:v>0</x:v>
      </x:c>
      <x:c r="AL30" s="32" t="n">
        <x:f>IF(AND(32&gt;=$D30,32&lt;=$E30),IF($F30="Sí",2,1),0)</x:f>
        <x:v>0</x:v>
      </x:c>
      <x:c r="AM30" s="32" t="n">
        <x:f>IF(AND(33&gt;=$D30,33&lt;=$E30),IF($F30="Sí",2,1),0)</x:f>
        <x:v>0</x:v>
      </x:c>
      <x:c r="AN30" s="33" t="n">
        <x:f>IF(AND(34&gt;=$D30,34&lt;=$E30),IF($F30="Sí",2,1),0)</x:f>
        <x:v>0</x:v>
      </x:c>
      <x:c r="AO30" s="33" t="n">
        <x:f>IF(AND(35&gt;=$D30,35&lt;=$E30),IF($F30="Sí",2,1),0)</x:f>
        <x:v>0</x:v>
      </x:c>
    </x:row>
    <x:row r="31" ht="36" customHeight="1">
      <x:c r="A31" s="3" t="str">
        <x:v>T26</x:v>
      </x:c>
      <x:c r="B31" s="16" t="str">
        <x:v>3.10 · Integrar ejecución y seguimiento del trabajo</x:v>
      </x:c>
      <x:c r="C31" s="16" t="str">
        <x:v>Empresa · frontend</x:v>
      </x:c>
      <x:c r="D31" s="3" t="n">
        <x:f>'EDT Y TAREAS'!T31</x:f>
        <x:v>15</x:v>
      </x:c>
      <x:c r="E31" s="3" t="n">
        <x:f>'EDT Y TAREAS'!U31</x:f>
        <x:v>17</x:v>
      </x:c>
      <x:c r="F31" s="3" t="str">
        <x:f>'EDT Y TAREAS'!S31</x:f>
        <x:v>Sí</x:v>
      </x:c>
      <x:c r="G31" s="32" t="n">
        <x:f>IF(AND(1&gt;=$D31,1&lt;=$E31),IF($F31="Sí",2,1),0)</x:f>
        <x:v>0</x:v>
      </x:c>
      <x:c r="H31" s="32" t="n">
        <x:f>IF(AND(2&gt;=$D31,2&lt;=$E31),IF($F31="Sí",2,1),0)</x:f>
        <x:v>0</x:v>
      </x:c>
      <x:c r="I31" s="32" t="n">
        <x:f>IF(AND(3&gt;=$D31,3&lt;=$E31),IF($F31="Sí",2,1),0)</x:f>
        <x:v>0</x:v>
      </x:c>
      <x:c r="J31" s="32" t="n">
        <x:f>IF(AND(4&gt;=$D31,4&lt;=$E31),IF($F31="Sí",2,1),0)</x:f>
        <x:v>0</x:v>
      </x:c>
      <x:c r="K31" s="32" t="n">
        <x:f>IF(AND(5&gt;=$D31,5&lt;=$E31),IF($F31="Sí",2,1),0)</x:f>
        <x:v>0</x:v>
      </x:c>
      <x:c r="L31" s="32" t="n">
        <x:f>IF(AND(6&gt;=$D31,6&lt;=$E31),IF($F31="Sí",2,1),0)</x:f>
        <x:v>0</x:v>
      </x:c>
      <x:c r="M31" s="32" t="n">
        <x:f>IF(AND(7&gt;=$D31,7&lt;=$E31),IF($F31="Sí",2,1),0)</x:f>
        <x:v>0</x:v>
      </x:c>
      <x:c r="N31" s="32" t="n">
        <x:f>IF(AND(8&gt;=$D31,8&lt;=$E31),IF($F31="Sí",2,1),0)</x:f>
        <x:v>0</x:v>
      </x:c>
      <x:c r="O31" s="32" t="n">
        <x:f>IF(AND(9&gt;=$D31,9&lt;=$E31),IF($F31="Sí",2,1),0)</x:f>
        <x:v>0</x:v>
      </x:c>
      <x:c r="P31" s="32" t="n">
        <x:f>IF(AND(10&gt;=$D31,10&lt;=$E31),IF($F31="Sí",2,1),0)</x:f>
        <x:v>0</x:v>
      </x:c>
      <x:c r="Q31" s="32" t="n">
        <x:f>IF(AND(11&gt;=$D31,11&lt;=$E31),IF($F31="Sí",2,1),0)</x:f>
        <x:v>0</x:v>
      </x:c>
      <x:c r="R31" s="32" t="n">
        <x:f>IF(AND(12&gt;=$D31,12&lt;=$E31),IF($F31="Sí",2,1),0)</x:f>
        <x:v>0</x:v>
      </x:c>
      <x:c r="S31" s="32" t="n">
        <x:f>IF(AND(13&gt;=$D31,13&lt;=$E31),IF($F31="Sí",2,1),0)</x:f>
        <x:v>0</x:v>
      </x:c>
      <x:c r="T31" s="32" t="n">
        <x:f>IF(AND(14&gt;=$D31,14&lt;=$E31),IF($F31="Sí",2,1),0)</x:f>
        <x:v>0</x:v>
      </x:c>
      <x:c r="U31" s="32" t="n">
        <x:f>IF(AND(15&gt;=$D31,15&lt;=$E31),IF($F31="Sí",2,1),0)</x:f>
        <x:v>2</x:v>
      </x:c>
      <x:c r="V31" s="32" t="n">
        <x:f>IF(AND(16&gt;=$D31,16&lt;=$E31),IF($F31="Sí",2,1),0)</x:f>
        <x:v>2</x:v>
      </x:c>
      <x:c r="W31" s="32" t="n">
        <x:f>IF(AND(17&gt;=$D31,17&lt;=$E31),IF($F31="Sí",2,1),0)</x:f>
        <x:v>2</x:v>
      </x:c>
      <x:c r="X31" s="32" t="n">
        <x:f>IF(AND(18&gt;=$D31,18&lt;=$E31),IF($F31="Sí",2,1),0)</x:f>
        <x:v>0</x:v>
      </x:c>
      <x:c r="Y31" s="32" t="n">
        <x:f>IF(AND(19&gt;=$D31,19&lt;=$E31),IF($F31="Sí",2,1),0)</x:f>
        <x:v>0</x:v>
      </x:c>
      <x:c r="Z31" s="32" t="n">
        <x:f>IF(AND(20&gt;=$D31,20&lt;=$E31),IF($F31="Sí",2,1),0)</x:f>
        <x:v>0</x:v>
      </x:c>
      <x:c r="AA31" s="32" t="n">
        <x:f>IF(AND(21&gt;=$D31,21&lt;=$E31),IF($F31="Sí",2,1),0)</x:f>
        <x:v>0</x:v>
      </x:c>
      <x:c r="AB31" s="32" t="n">
        <x:f>IF(AND(22&gt;=$D31,22&lt;=$E31),IF($F31="Sí",2,1),0)</x:f>
        <x:v>0</x:v>
      </x:c>
      <x:c r="AC31" s="32" t="n">
        <x:f>IF(AND(23&gt;=$D31,23&lt;=$E31),IF($F31="Sí",2,1),0)</x:f>
        <x:v>0</x:v>
      </x:c>
      <x:c r="AD31" s="32" t="n">
        <x:f>IF(AND(24&gt;=$D31,24&lt;=$E31),IF($F31="Sí",2,1),0)</x:f>
        <x:v>0</x:v>
      </x:c>
      <x:c r="AE31" s="32" t="n">
        <x:f>IF(AND(25&gt;=$D31,25&lt;=$E31),IF($F31="Sí",2,1),0)</x:f>
        <x:v>0</x:v>
      </x:c>
      <x:c r="AF31" s="32" t="n">
        <x:f>IF(AND(26&gt;=$D31,26&lt;=$E31),IF($F31="Sí",2,1),0)</x:f>
        <x:v>0</x:v>
      </x:c>
      <x:c r="AG31" s="32" t="n">
        <x:f>IF(AND(27&gt;=$D31,27&lt;=$E31),IF($F31="Sí",2,1),0)</x:f>
        <x:v>0</x:v>
      </x:c>
      <x:c r="AH31" s="32" t="n">
        <x:f>IF(AND(28&gt;=$D31,28&lt;=$E31),IF($F31="Sí",2,1),0)</x:f>
        <x:v>0</x:v>
      </x:c>
      <x:c r="AI31" s="32" t="n">
        <x:f>IF(AND(29&gt;=$D31,29&lt;=$E31),IF($F31="Sí",2,1),0)</x:f>
        <x:v>0</x:v>
      </x:c>
      <x:c r="AJ31" s="32" t="n">
        <x:f>IF(AND(30&gt;=$D31,30&lt;=$E31),IF($F31="Sí",2,1),0)</x:f>
        <x:v>0</x:v>
      </x:c>
      <x:c r="AK31" s="32" t="n">
        <x:f>IF(AND(31&gt;=$D31,31&lt;=$E31),IF($F31="Sí",2,1),0)</x:f>
        <x:v>0</x:v>
      </x:c>
      <x:c r="AL31" s="32" t="n">
        <x:f>IF(AND(32&gt;=$D31,32&lt;=$E31),IF($F31="Sí",2,1),0)</x:f>
        <x:v>0</x:v>
      </x:c>
      <x:c r="AM31" s="32" t="n">
        <x:f>IF(AND(33&gt;=$D31,33&lt;=$E31),IF($F31="Sí",2,1),0)</x:f>
        <x:v>0</x:v>
      </x:c>
      <x:c r="AN31" s="33" t="n">
        <x:f>IF(AND(34&gt;=$D31,34&lt;=$E31),IF($F31="Sí",2,1),0)</x:f>
        <x:v>0</x:v>
      </x:c>
      <x:c r="AO31" s="33" t="n">
        <x:f>IF(AND(35&gt;=$D31,35&lt;=$E31),IF($F31="Sí",2,1),0)</x:f>
        <x:v>0</x:v>
      </x:c>
    </x:row>
    <x:row r="32" ht="36" customHeight="1">
      <x:c r="A32" s="3" t="str">
        <x:v>T27</x:v>
      </x:c>
      <x:c r="B32" s="16" t="str">
        <x:v>3.11 · Integrar resultados, informe y comparación</x:v>
      </x:c>
      <x:c r="C32" s="16" t="str">
        <x:v>Empresa · frontend</x:v>
      </x:c>
      <x:c r="D32" s="3" t="n">
        <x:f>'EDT Y TAREAS'!T32</x:f>
        <x:v>17</x:v>
      </x:c>
      <x:c r="E32" s="3" t="n">
        <x:f>'EDT Y TAREAS'!U32</x:f>
        <x:v>19</x:v>
      </x:c>
      <x:c r="F32" s="3" t="str">
        <x:f>'EDT Y TAREAS'!S32</x:f>
        <x:v>Sí</x:v>
      </x:c>
      <x:c r="G32" s="32" t="n">
        <x:f>IF(AND(1&gt;=$D32,1&lt;=$E32),IF($F32="Sí",2,1),0)</x:f>
        <x:v>0</x:v>
      </x:c>
      <x:c r="H32" s="32" t="n">
        <x:f>IF(AND(2&gt;=$D32,2&lt;=$E32),IF($F32="Sí",2,1),0)</x:f>
        <x:v>0</x:v>
      </x:c>
      <x:c r="I32" s="32" t="n">
        <x:f>IF(AND(3&gt;=$D32,3&lt;=$E32),IF($F32="Sí",2,1),0)</x:f>
        <x:v>0</x:v>
      </x:c>
      <x:c r="J32" s="32" t="n">
        <x:f>IF(AND(4&gt;=$D32,4&lt;=$E32),IF($F32="Sí",2,1),0)</x:f>
        <x:v>0</x:v>
      </x:c>
      <x:c r="K32" s="32" t="n">
        <x:f>IF(AND(5&gt;=$D32,5&lt;=$E32),IF($F32="Sí",2,1),0)</x:f>
        <x:v>0</x:v>
      </x:c>
      <x:c r="L32" s="32" t="n">
        <x:f>IF(AND(6&gt;=$D32,6&lt;=$E32),IF($F32="Sí",2,1),0)</x:f>
        <x:v>0</x:v>
      </x:c>
      <x:c r="M32" s="32" t="n">
        <x:f>IF(AND(7&gt;=$D32,7&lt;=$E32),IF($F32="Sí",2,1),0)</x:f>
        <x:v>0</x:v>
      </x:c>
      <x:c r="N32" s="32" t="n">
        <x:f>IF(AND(8&gt;=$D32,8&lt;=$E32),IF($F32="Sí",2,1),0)</x:f>
        <x:v>0</x:v>
      </x:c>
      <x:c r="O32" s="32" t="n">
        <x:f>IF(AND(9&gt;=$D32,9&lt;=$E32),IF($F32="Sí",2,1),0)</x:f>
        <x:v>0</x:v>
      </x:c>
      <x:c r="P32" s="32" t="n">
        <x:f>IF(AND(10&gt;=$D32,10&lt;=$E32),IF($F32="Sí",2,1),0)</x:f>
        <x:v>0</x:v>
      </x:c>
      <x:c r="Q32" s="32" t="n">
        <x:f>IF(AND(11&gt;=$D32,11&lt;=$E32),IF($F32="Sí",2,1),0)</x:f>
        <x:v>0</x:v>
      </x:c>
      <x:c r="R32" s="32" t="n">
        <x:f>IF(AND(12&gt;=$D32,12&lt;=$E32),IF($F32="Sí",2,1),0)</x:f>
        <x:v>0</x:v>
      </x:c>
      <x:c r="S32" s="32" t="n">
        <x:f>IF(AND(13&gt;=$D32,13&lt;=$E32),IF($F32="Sí",2,1),0)</x:f>
        <x:v>0</x:v>
      </x:c>
      <x:c r="T32" s="32" t="n">
        <x:f>IF(AND(14&gt;=$D32,14&lt;=$E32),IF($F32="Sí",2,1),0)</x:f>
        <x:v>0</x:v>
      </x:c>
      <x:c r="U32" s="32" t="n">
        <x:f>IF(AND(15&gt;=$D32,15&lt;=$E32),IF($F32="Sí",2,1),0)</x:f>
        <x:v>0</x:v>
      </x:c>
      <x:c r="V32" s="32" t="n">
        <x:f>IF(AND(16&gt;=$D32,16&lt;=$E32),IF($F32="Sí",2,1),0)</x:f>
        <x:v>0</x:v>
      </x:c>
      <x:c r="W32" s="32" t="n">
        <x:f>IF(AND(17&gt;=$D32,17&lt;=$E32),IF($F32="Sí",2,1),0)</x:f>
        <x:v>2</x:v>
      </x:c>
      <x:c r="X32" s="32" t="n">
        <x:f>IF(AND(18&gt;=$D32,18&lt;=$E32),IF($F32="Sí",2,1),0)</x:f>
        <x:v>2</x:v>
      </x:c>
      <x:c r="Y32" s="32" t="n">
        <x:f>IF(AND(19&gt;=$D32,19&lt;=$E32),IF($F32="Sí",2,1),0)</x:f>
        <x:v>2</x:v>
      </x:c>
      <x:c r="Z32" s="32" t="n">
        <x:f>IF(AND(20&gt;=$D32,20&lt;=$E32),IF($F32="Sí",2,1),0)</x:f>
        <x:v>0</x:v>
      </x:c>
      <x:c r="AA32" s="32" t="n">
        <x:f>IF(AND(21&gt;=$D32,21&lt;=$E32),IF($F32="Sí",2,1),0)</x:f>
        <x:v>0</x:v>
      </x:c>
      <x:c r="AB32" s="32" t="n">
        <x:f>IF(AND(22&gt;=$D32,22&lt;=$E32),IF($F32="Sí",2,1),0)</x:f>
        <x:v>0</x:v>
      </x:c>
      <x:c r="AC32" s="32" t="n">
        <x:f>IF(AND(23&gt;=$D32,23&lt;=$E32),IF($F32="Sí",2,1),0)</x:f>
        <x:v>0</x:v>
      </x:c>
      <x:c r="AD32" s="32" t="n">
        <x:f>IF(AND(24&gt;=$D32,24&lt;=$E32),IF($F32="Sí",2,1),0)</x:f>
        <x:v>0</x:v>
      </x:c>
      <x:c r="AE32" s="32" t="n">
        <x:f>IF(AND(25&gt;=$D32,25&lt;=$E32),IF($F32="Sí",2,1),0)</x:f>
        <x:v>0</x:v>
      </x:c>
      <x:c r="AF32" s="32" t="n">
        <x:f>IF(AND(26&gt;=$D32,26&lt;=$E32),IF($F32="Sí",2,1),0)</x:f>
        <x:v>0</x:v>
      </x:c>
      <x:c r="AG32" s="32" t="n">
        <x:f>IF(AND(27&gt;=$D32,27&lt;=$E32),IF($F32="Sí",2,1),0)</x:f>
        <x:v>0</x:v>
      </x:c>
      <x:c r="AH32" s="32" t="n">
        <x:f>IF(AND(28&gt;=$D32,28&lt;=$E32),IF($F32="Sí",2,1),0)</x:f>
        <x:v>0</x:v>
      </x:c>
      <x:c r="AI32" s="32" t="n">
        <x:f>IF(AND(29&gt;=$D32,29&lt;=$E32),IF($F32="Sí",2,1),0)</x:f>
        <x:v>0</x:v>
      </x:c>
      <x:c r="AJ32" s="32" t="n">
        <x:f>IF(AND(30&gt;=$D32,30&lt;=$E32),IF($F32="Sí",2,1),0)</x:f>
        <x:v>0</x:v>
      </x:c>
      <x:c r="AK32" s="32" t="n">
        <x:f>IF(AND(31&gt;=$D32,31&lt;=$E32),IF($F32="Sí",2,1),0)</x:f>
        <x:v>0</x:v>
      </x:c>
      <x:c r="AL32" s="32" t="n">
        <x:f>IF(AND(32&gt;=$D32,32&lt;=$E32),IF($F32="Sí",2,1),0)</x:f>
        <x:v>0</x:v>
      </x:c>
      <x:c r="AM32" s="32" t="n">
        <x:f>IF(AND(33&gt;=$D32,33&lt;=$E32),IF($F32="Sí",2,1),0)</x:f>
        <x:v>0</x:v>
      </x:c>
      <x:c r="AN32" s="33" t="n">
        <x:f>IF(AND(34&gt;=$D32,34&lt;=$E32),IF($F32="Sí",2,1),0)</x:f>
        <x:v>0</x:v>
      </x:c>
      <x:c r="AO32" s="33" t="n">
        <x:f>IF(AND(35&gt;=$D32,35&lt;=$E32),IF($F32="Sí",2,1),0)</x:f>
        <x:v>0</x:v>
      </x:c>
    </x:row>
    <x:row r="33" ht="36" customHeight="1">
      <x:c r="A33" s="3" t="str">
        <x:v>T28</x:v>
      </x:c>
      <x:c r="B33" s="16" t="str">
        <x:v>3.12 · Sanear HTML, archivos y generación PDF</x:v>
      </x:c>
      <x:c r="C33" s="16" t="str">
        <x:v>Empresa · backend</x:v>
      </x:c>
      <x:c r="D33" s="3" t="n">
        <x:f>'EDT Y TAREAS'!T33</x:f>
        <x:v>14</x:v>
      </x:c>
      <x:c r="E33" s="3" t="n">
        <x:f>'EDT Y TAREAS'!U33</x:f>
        <x:v>16</x:v>
      </x:c>
      <x:c r="F33" s="3" t="str">
        <x:f>'EDT Y TAREAS'!S33</x:f>
        <x:v>No</x:v>
      </x:c>
      <x:c r="G33" s="32" t="n">
        <x:f>IF(AND(1&gt;=$D33,1&lt;=$E33),IF($F33="Sí",2,1),0)</x:f>
        <x:v>0</x:v>
      </x:c>
      <x:c r="H33" s="32" t="n">
        <x:f>IF(AND(2&gt;=$D33,2&lt;=$E33),IF($F33="Sí",2,1),0)</x:f>
        <x:v>0</x:v>
      </x:c>
      <x:c r="I33" s="32" t="n">
        <x:f>IF(AND(3&gt;=$D33,3&lt;=$E33),IF($F33="Sí",2,1),0)</x:f>
        <x:v>0</x:v>
      </x:c>
      <x:c r="J33" s="32" t="n">
        <x:f>IF(AND(4&gt;=$D33,4&lt;=$E33),IF($F33="Sí",2,1),0)</x:f>
        <x:v>0</x:v>
      </x:c>
      <x:c r="K33" s="32" t="n">
        <x:f>IF(AND(5&gt;=$D33,5&lt;=$E33),IF($F33="Sí",2,1),0)</x:f>
        <x:v>0</x:v>
      </x:c>
      <x:c r="L33" s="32" t="n">
        <x:f>IF(AND(6&gt;=$D33,6&lt;=$E33),IF($F33="Sí",2,1),0)</x:f>
        <x:v>0</x:v>
      </x:c>
      <x:c r="M33" s="32" t="n">
        <x:f>IF(AND(7&gt;=$D33,7&lt;=$E33),IF($F33="Sí",2,1),0)</x:f>
        <x:v>0</x:v>
      </x:c>
      <x:c r="N33" s="32" t="n">
        <x:f>IF(AND(8&gt;=$D33,8&lt;=$E33),IF($F33="Sí",2,1),0)</x:f>
        <x:v>0</x:v>
      </x:c>
      <x:c r="O33" s="32" t="n">
        <x:f>IF(AND(9&gt;=$D33,9&lt;=$E33),IF($F33="Sí",2,1),0)</x:f>
        <x:v>0</x:v>
      </x:c>
      <x:c r="P33" s="32" t="n">
        <x:f>IF(AND(10&gt;=$D33,10&lt;=$E33),IF($F33="Sí",2,1),0)</x:f>
        <x:v>0</x:v>
      </x:c>
      <x:c r="Q33" s="32" t="n">
        <x:f>IF(AND(11&gt;=$D33,11&lt;=$E33),IF($F33="Sí",2,1),0)</x:f>
        <x:v>0</x:v>
      </x:c>
      <x:c r="R33" s="32" t="n">
        <x:f>IF(AND(12&gt;=$D33,12&lt;=$E33),IF($F33="Sí",2,1),0)</x:f>
        <x:v>0</x:v>
      </x:c>
      <x:c r="S33" s="32" t="n">
        <x:f>IF(AND(13&gt;=$D33,13&lt;=$E33),IF($F33="Sí",2,1),0)</x:f>
        <x:v>0</x:v>
      </x:c>
      <x:c r="T33" s="32" t="n">
        <x:f>IF(AND(14&gt;=$D33,14&lt;=$E33),IF($F33="Sí",2,1),0)</x:f>
        <x:v>1</x:v>
      </x:c>
      <x:c r="U33" s="32" t="n">
        <x:f>IF(AND(15&gt;=$D33,15&lt;=$E33),IF($F33="Sí",2,1),0)</x:f>
        <x:v>1</x:v>
      </x:c>
      <x:c r="V33" s="32" t="n">
        <x:f>IF(AND(16&gt;=$D33,16&lt;=$E33),IF($F33="Sí",2,1),0)</x:f>
        <x:v>1</x:v>
      </x:c>
      <x:c r="W33" s="32" t="n">
        <x:f>IF(AND(17&gt;=$D33,17&lt;=$E33),IF($F33="Sí",2,1),0)</x:f>
        <x:v>0</x:v>
      </x:c>
      <x:c r="X33" s="32" t="n">
        <x:f>IF(AND(18&gt;=$D33,18&lt;=$E33),IF($F33="Sí",2,1),0)</x:f>
        <x:v>0</x:v>
      </x:c>
      <x:c r="Y33" s="32" t="n">
        <x:f>IF(AND(19&gt;=$D33,19&lt;=$E33),IF($F33="Sí",2,1),0)</x:f>
        <x:v>0</x:v>
      </x:c>
      <x:c r="Z33" s="32" t="n">
        <x:f>IF(AND(20&gt;=$D33,20&lt;=$E33),IF($F33="Sí",2,1),0)</x:f>
        <x:v>0</x:v>
      </x:c>
      <x:c r="AA33" s="32" t="n">
        <x:f>IF(AND(21&gt;=$D33,21&lt;=$E33),IF($F33="Sí",2,1),0)</x:f>
        <x:v>0</x:v>
      </x:c>
      <x:c r="AB33" s="32" t="n">
        <x:f>IF(AND(22&gt;=$D33,22&lt;=$E33),IF($F33="Sí",2,1),0)</x:f>
        <x:v>0</x:v>
      </x:c>
      <x:c r="AC33" s="32" t="n">
        <x:f>IF(AND(23&gt;=$D33,23&lt;=$E33),IF($F33="Sí",2,1),0)</x:f>
        <x:v>0</x:v>
      </x:c>
      <x:c r="AD33" s="32" t="n">
        <x:f>IF(AND(24&gt;=$D33,24&lt;=$E33),IF($F33="Sí",2,1),0)</x:f>
        <x:v>0</x:v>
      </x:c>
      <x:c r="AE33" s="32" t="n">
        <x:f>IF(AND(25&gt;=$D33,25&lt;=$E33),IF($F33="Sí",2,1),0)</x:f>
        <x:v>0</x:v>
      </x:c>
      <x:c r="AF33" s="32" t="n">
        <x:f>IF(AND(26&gt;=$D33,26&lt;=$E33),IF($F33="Sí",2,1),0)</x:f>
        <x:v>0</x:v>
      </x:c>
      <x:c r="AG33" s="32" t="n">
        <x:f>IF(AND(27&gt;=$D33,27&lt;=$E33),IF($F33="Sí",2,1),0)</x:f>
        <x:v>0</x:v>
      </x:c>
      <x:c r="AH33" s="32" t="n">
        <x:f>IF(AND(28&gt;=$D33,28&lt;=$E33),IF($F33="Sí",2,1),0)</x:f>
        <x:v>0</x:v>
      </x:c>
      <x:c r="AI33" s="32" t="n">
        <x:f>IF(AND(29&gt;=$D33,29&lt;=$E33),IF($F33="Sí",2,1),0)</x:f>
        <x:v>0</x:v>
      </x:c>
      <x:c r="AJ33" s="32" t="n">
        <x:f>IF(AND(30&gt;=$D33,30&lt;=$E33),IF($F33="Sí",2,1),0)</x:f>
        <x:v>0</x:v>
      </x:c>
      <x:c r="AK33" s="32" t="n">
        <x:f>IF(AND(31&gt;=$D33,31&lt;=$E33),IF($F33="Sí",2,1),0)</x:f>
        <x:v>0</x:v>
      </x:c>
      <x:c r="AL33" s="32" t="n">
        <x:f>IF(AND(32&gt;=$D33,32&lt;=$E33),IF($F33="Sí",2,1),0)</x:f>
        <x:v>0</x:v>
      </x:c>
      <x:c r="AM33" s="32" t="n">
        <x:f>IF(AND(33&gt;=$D33,33&lt;=$E33),IF($F33="Sí",2,1),0)</x:f>
        <x:v>0</x:v>
      </x:c>
      <x:c r="AN33" s="33" t="n">
        <x:f>IF(AND(34&gt;=$D33,34&lt;=$E33),IF($F33="Sí",2,1),0)</x:f>
        <x:v>0</x:v>
      </x:c>
      <x:c r="AO33" s="33" t="n">
        <x:f>IF(AND(35&gt;=$D33,35&lt;=$E33),IF($F33="Sí",2,1),0)</x:f>
        <x:v>0</x:v>
      </x:c>
    </x:row>
    <x:row r="34" ht="36" customHeight="1">
      <x:c r="A34" s="3" t="str">
        <x:v>T29</x:v>
      </x:c>
      <x:c r="B34" s="16" t="str">
        <x:v>3.13 · Asegurar exportaciones y paridad de cifras</x:v>
      </x:c>
      <x:c r="C34" s="16" t="str">
        <x:v>Alonso Peña</x:v>
      </x:c>
      <x:c r="D34" s="3" t="n">
        <x:f>'EDT Y TAREAS'!T34</x:f>
        <x:v>19</x:v>
      </x:c>
      <x:c r="E34" s="3" t="n">
        <x:f>'EDT Y TAREAS'!U34</x:f>
        <x:v>21</x:v>
      </x:c>
      <x:c r="F34" s="3" t="str">
        <x:f>'EDT Y TAREAS'!S34</x:f>
        <x:v>Sí</x:v>
      </x:c>
      <x:c r="G34" s="32" t="n">
        <x:f>IF(AND(1&gt;=$D34,1&lt;=$E34),IF($F34="Sí",2,1),0)</x:f>
        <x:v>0</x:v>
      </x:c>
      <x:c r="H34" s="32" t="n">
        <x:f>IF(AND(2&gt;=$D34,2&lt;=$E34),IF($F34="Sí",2,1),0)</x:f>
        <x:v>0</x:v>
      </x:c>
      <x:c r="I34" s="32" t="n">
        <x:f>IF(AND(3&gt;=$D34,3&lt;=$E34),IF($F34="Sí",2,1),0)</x:f>
        <x:v>0</x:v>
      </x:c>
      <x:c r="J34" s="32" t="n">
        <x:f>IF(AND(4&gt;=$D34,4&lt;=$E34),IF($F34="Sí",2,1),0)</x:f>
        <x:v>0</x:v>
      </x:c>
      <x:c r="K34" s="32" t="n">
        <x:f>IF(AND(5&gt;=$D34,5&lt;=$E34),IF($F34="Sí",2,1),0)</x:f>
        <x:v>0</x:v>
      </x:c>
      <x:c r="L34" s="32" t="n">
        <x:f>IF(AND(6&gt;=$D34,6&lt;=$E34),IF($F34="Sí",2,1),0)</x:f>
        <x:v>0</x:v>
      </x:c>
      <x:c r="M34" s="32" t="n">
        <x:f>IF(AND(7&gt;=$D34,7&lt;=$E34),IF($F34="Sí",2,1),0)</x:f>
        <x:v>0</x:v>
      </x:c>
      <x:c r="N34" s="32" t="n">
        <x:f>IF(AND(8&gt;=$D34,8&lt;=$E34),IF($F34="Sí",2,1),0)</x:f>
        <x:v>0</x:v>
      </x:c>
      <x:c r="O34" s="32" t="n">
        <x:f>IF(AND(9&gt;=$D34,9&lt;=$E34),IF($F34="Sí",2,1),0)</x:f>
        <x:v>0</x:v>
      </x:c>
      <x:c r="P34" s="32" t="n">
        <x:f>IF(AND(10&gt;=$D34,10&lt;=$E34),IF($F34="Sí",2,1),0)</x:f>
        <x:v>0</x:v>
      </x:c>
      <x:c r="Q34" s="32" t="n">
        <x:f>IF(AND(11&gt;=$D34,11&lt;=$E34),IF($F34="Sí",2,1),0)</x:f>
        <x:v>0</x:v>
      </x:c>
      <x:c r="R34" s="32" t="n">
        <x:f>IF(AND(12&gt;=$D34,12&lt;=$E34),IF($F34="Sí",2,1),0)</x:f>
        <x:v>0</x:v>
      </x:c>
      <x:c r="S34" s="32" t="n">
        <x:f>IF(AND(13&gt;=$D34,13&lt;=$E34),IF($F34="Sí",2,1),0)</x:f>
        <x:v>0</x:v>
      </x:c>
      <x:c r="T34" s="32" t="n">
        <x:f>IF(AND(14&gt;=$D34,14&lt;=$E34),IF($F34="Sí",2,1),0)</x:f>
        <x:v>0</x:v>
      </x:c>
      <x:c r="U34" s="32" t="n">
        <x:f>IF(AND(15&gt;=$D34,15&lt;=$E34),IF($F34="Sí",2,1),0)</x:f>
        <x:v>0</x:v>
      </x:c>
      <x:c r="V34" s="32" t="n">
        <x:f>IF(AND(16&gt;=$D34,16&lt;=$E34),IF($F34="Sí",2,1),0)</x:f>
        <x:v>0</x:v>
      </x:c>
      <x:c r="W34" s="32" t="n">
        <x:f>IF(AND(17&gt;=$D34,17&lt;=$E34),IF($F34="Sí",2,1),0)</x:f>
        <x:v>0</x:v>
      </x:c>
      <x:c r="X34" s="32" t="n">
        <x:f>IF(AND(18&gt;=$D34,18&lt;=$E34),IF($F34="Sí",2,1),0)</x:f>
        <x:v>0</x:v>
      </x:c>
      <x:c r="Y34" s="32" t="n">
        <x:f>IF(AND(19&gt;=$D34,19&lt;=$E34),IF($F34="Sí",2,1),0)</x:f>
        <x:v>2</x:v>
      </x:c>
      <x:c r="Z34" s="32" t="n">
        <x:f>IF(AND(20&gt;=$D34,20&lt;=$E34),IF($F34="Sí",2,1),0)</x:f>
        <x:v>2</x:v>
      </x:c>
      <x:c r="AA34" s="32" t="n">
        <x:f>IF(AND(21&gt;=$D34,21&lt;=$E34),IF($F34="Sí",2,1),0)</x:f>
        <x:v>2</x:v>
      </x:c>
      <x:c r="AB34" s="32" t="n">
        <x:f>IF(AND(22&gt;=$D34,22&lt;=$E34),IF($F34="Sí",2,1),0)</x:f>
        <x:v>0</x:v>
      </x:c>
      <x:c r="AC34" s="32" t="n">
        <x:f>IF(AND(23&gt;=$D34,23&lt;=$E34),IF($F34="Sí",2,1),0)</x:f>
        <x:v>0</x:v>
      </x:c>
      <x:c r="AD34" s="32" t="n">
        <x:f>IF(AND(24&gt;=$D34,24&lt;=$E34),IF($F34="Sí",2,1),0)</x:f>
        <x:v>0</x:v>
      </x:c>
      <x:c r="AE34" s="32" t="n">
        <x:f>IF(AND(25&gt;=$D34,25&lt;=$E34),IF($F34="Sí",2,1),0)</x:f>
        <x:v>0</x:v>
      </x:c>
      <x:c r="AF34" s="32" t="n">
        <x:f>IF(AND(26&gt;=$D34,26&lt;=$E34),IF($F34="Sí",2,1),0)</x:f>
        <x:v>0</x:v>
      </x:c>
      <x:c r="AG34" s="32" t="n">
        <x:f>IF(AND(27&gt;=$D34,27&lt;=$E34),IF($F34="Sí",2,1),0)</x:f>
        <x:v>0</x:v>
      </x:c>
      <x:c r="AH34" s="32" t="n">
        <x:f>IF(AND(28&gt;=$D34,28&lt;=$E34),IF($F34="Sí",2,1),0)</x:f>
        <x:v>0</x:v>
      </x:c>
      <x:c r="AI34" s="32" t="n">
        <x:f>IF(AND(29&gt;=$D34,29&lt;=$E34),IF($F34="Sí",2,1),0)</x:f>
        <x:v>0</x:v>
      </x:c>
      <x:c r="AJ34" s="32" t="n">
        <x:f>IF(AND(30&gt;=$D34,30&lt;=$E34),IF($F34="Sí",2,1),0)</x:f>
        <x:v>0</x:v>
      </x:c>
      <x:c r="AK34" s="32" t="n">
        <x:f>IF(AND(31&gt;=$D34,31&lt;=$E34),IF($F34="Sí",2,1),0)</x:f>
        <x:v>0</x:v>
      </x:c>
      <x:c r="AL34" s="32" t="n">
        <x:f>IF(AND(32&gt;=$D34,32&lt;=$E34),IF($F34="Sí",2,1),0)</x:f>
        <x:v>0</x:v>
      </x:c>
      <x:c r="AM34" s="32" t="n">
        <x:f>IF(AND(33&gt;=$D34,33&lt;=$E34),IF($F34="Sí",2,1),0)</x:f>
        <x:v>0</x:v>
      </x:c>
      <x:c r="AN34" s="33" t="n">
        <x:f>IF(AND(34&gt;=$D34,34&lt;=$E34),IF($F34="Sí",2,1),0)</x:f>
        <x:v>0</x:v>
      </x:c>
      <x:c r="AO34" s="33" t="n">
        <x:f>IF(AND(35&gt;=$D34,35&lt;=$E34),IF($F34="Sí",2,1),0)</x:f>
        <x:v>0</x:v>
      </x:c>
    </x:row>
    <x:row r="35" ht="36" customHeight="1">
      <x:c r="A35" s="3" t="str">
        <x:v>T30</x:v>
      </x:c>
      <x:c r="B35" s="16" t="str">
        <x:v>3.14 · Agregar límites y registro de consumo</x:v>
      </x:c>
      <x:c r="C35" s="16" t="str">
        <x:v>Empresa · backend</x:v>
      </x:c>
      <x:c r="D35" s="3" t="n">
        <x:f>'EDT Y TAREAS'!T35</x:f>
        <x:v>16</x:v>
      </x:c>
      <x:c r="E35" s="3" t="n">
        <x:f>'EDT Y TAREAS'!U35</x:f>
        <x:v>17</x:v>
      </x:c>
      <x:c r="F35" s="3" t="str">
        <x:f>'EDT Y TAREAS'!S35</x:f>
        <x:v>No</x:v>
      </x:c>
      <x:c r="G35" s="32" t="n">
        <x:f>IF(AND(1&gt;=$D35,1&lt;=$E35),IF($F35="Sí",2,1),0)</x:f>
        <x:v>0</x:v>
      </x:c>
      <x:c r="H35" s="32" t="n">
        <x:f>IF(AND(2&gt;=$D35,2&lt;=$E35),IF($F35="Sí",2,1),0)</x:f>
        <x:v>0</x:v>
      </x:c>
      <x:c r="I35" s="32" t="n">
        <x:f>IF(AND(3&gt;=$D35,3&lt;=$E35),IF($F35="Sí",2,1),0)</x:f>
        <x:v>0</x:v>
      </x:c>
      <x:c r="J35" s="32" t="n">
        <x:f>IF(AND(4&gt;=$D35,4&lt;=$E35),IF($F35="Sí",2,1),0)</x:f>
        <x:v>0</x:v>
      </x:c>
      <x:c r="K35" s="32" t="n">
        <x:f>IF(AND(5&gt;=$D35,5&lt;=$E35),IF($F35="Sí",2,1),0)</x:f>
        <x:v>0</x:v>
      </x:c>
      <x:c r="L35" s="32" t="n">
        <x:f>IF(AND(6&gt;=$D35,6&lt;=$E35),IF($F35="Sí",2,1),0)</x:f>
        <x:v>0</x:v>
      </x:c>
      <x:c r="M35" s="32" t="n">
        <x:f>IF(AND(7&gt;=$D35,7&lt;=$E35),IF($F35="Sí",2,1),0)</x:f>
        <x:v>0</x:v>
      </x:c>
      <x:c r="N35" s="32" t="n">
        <x:f>IF(AND(8&gt;=$D35,8&lt;=$E35),IF($F35="Sí",2,1),0)</x:f>
        <x:v>0</x:v>
      </x:c>
      <x:c r="O35" s="32" t="n">
        <x:f>IF(AND(9&gt;=$D35,9&lt;=$E35),IF($F35="Sí",2,1),0)</x:f>
        <x:v>0</x:v>
      </x:c>
      <x:c r="P35" s="32" t="n">
        <x:f>IF(AND(10&gt;=$D35,10&lt;=$E35),IF($F35="Sí",2,1),0)</x:f>
        <x:v>0</x:v>
      </x:c>
      <x:c r="Q35" s="32" t="n">
        <x:f>IF(AND(11&gt;=$D35,11&lt;=$E35),IF($F35="Sí",2,1),0)</x:f>
        <x:v>0</x:v>
      </x:c>
      <x:c r="R35" s="32" t="n">
        <x:f>IF(AND(12&gt;=$D35,12&lt;=$E35),IF($F35="Sí",2,1),0)</x:f>
        <x:v>0</x:v>
      </x:c>
      <x:c r="S35" s="32" t="n">
        <x:f>IF(AND(13&gt;=$D35,13&lt;=$E35),IF($F35="Sí",2,1),0)</x:f>
        <x:v>0</x:v>
      </x:c>
      <x:c r="T35" s="32" t="n">
        <x:f>IF(AND(14&gt;=$D35,14&lt;=$E35),IF($F35="Sí",2,1),0)</x:f>
        <x:v>0</x:v>
      </x:c>
      <x:c r="U35" s="32" t="n">
        <x:f>IF(AND(15&gt;=$D35,15&lt;=$E35),IF($F35="Sí",2,1),0)</x:f>
        <x:v>0</x:v>
      </x:c>
      <x:c r="V35" s="32" t="n">
        <x:f>IF(AND(16&gt;=$D35,16&lt;=$E35),IF($F35="Sí",2,1),0)</x:f>
        <x:v>1</x:v>
      </x:c>
      <x:c r="W35" s="32" t="n">
        <x:f>IF(AND(17&gt;=$D35,17&lt;=$E35),IF($F35="Sí",2,1),0)</x:f>
        <x:v>1</x:v>
      </x:c>
      <x:c r="X35" s="32" t="n">
        <x:f>IF(AND(18&gt;=$D35,18&lt;=$E35),IF($F35="Sí",2,1),0)</x:f>
        <x:v>0</x:v>
      </x:c>
      <x:c r="Y35" s="32" t="n">
        <x:f>IF(AND(19&gt;=$D35,19&lt;=$E35),IF($F35="Sí",2,1),0)</x:f>
        <x:v>0</x:v>
      </x:c>
      <x:c r="Z35" s="32" t="n">
        <x:f>IF(AND(20&gt;=$D35,20&lt;=$E35),IF($F35="Sí",2,1),0)</x:f>
        <x:v>0</x:v>
      </x:c>
      <x:c r="AA35" s="32" t="n">
        <x:f>IF(AND(21&gt;=$D35,21&lt;=$E35),IF($F35="Sí",2,1),0)</x:f>
        <x:v>0</x:v>
      </x:c>
      <x:c r="AB35" s="32" t="n">
        <x:f>IF(AND(22&gt;=$D35,22&lt;=$E35),IF($F35="Sí",2,1),0)</x:f>
        <x:v>0</x:v>
      </x:c>
      <x:c r="AC35" s="32" t="n">
        <x:f>IF(AND(23&gt;=$D35,23&lt;=$E35),IF($F35="Sí",2,1),0)</x:f>
        <x:v>0</x:v>
      </x:c>
      <x:c r="AD35" s="32" t="n">
        <x:f>IF(AND(24&gt;=$D35,24&lt;=$E35),IF($F35="Sí",2,1),0)</x:f>
        <x:v>0</x:v>
      </x:c>
      <x:c r="AE35" s="32" t="n">
        <x:f>IF(AND(25&gt;=$D35,25&lt;=$E35),IF($F35="Sí",2,1),0)</x:f>
        <x:v>0</x:v>
      </x:c>
      <x:c r="AF35" s="32" t="n">
        <x:f>IF(AND(26&gt;=$D35,26&lt;=$E35),IF($F35="Sí",2,1),0)</x:f>
        <x:v>0</x:v>
      </x:c>
      <x:c r="AG35" s="32" t="n">
        <x:f>IF(AND(27&gt;=$D35,27&lt;=$E35),IF($F35="Sí",2,1),0)</x:f>
        <x:v>0</x:v>
      </x:c>
      <x:c r="AH35" s="32" t="n">
        <x:f>IF(AND(28&gt;=$D35,28&lt;=$E35),IF($F35="Sí",2,1),0)</x:f>
        <x:v>0</x:v>
      </x:c>
      <x:c r="AI35" s="32" t="n">
        <x:f>IF(AND(29&gt;=$D35,29&lt;=$E35),IF($F35="Sí",2,1),0)</x:f>
        <x:v>0</x:v>
      </x:c>
      <x:c r="AJ35" s="32" t="n">
        <x:f>IF(AND(30&gt;=$D35,30&lt;=$E35),IF($F35="Sí",2,1),0)</x:f>
        <x:v>0</x:v>
      </x:c>
      <x:c r="AK35" s="32" t="n">
        <x:f>IF(AND(31&gt;=$D35,31&lt;=$E35),IF($F35="Sí",2,1),0)</x:f>
        <x:v>0</x:v>
      </x:c>
      <x:c r="AL35" s="32" t="n">
        <x:f>IF(AND(32&gt;=$D35,32&lt;=$E35),IF($F35="Sí",2,1),0)</x:f>
        <x:v>0</x:v>
      </x:c>
      <x:c r="AM35" s="32" t="n">
        <x:f>IF(AND(33&gt;=$D35,33&lt;=$E35),IF($F35="Sí",2,1),0)</x:f>
        <x:v>0</x:v>
      </x:c>
      <x:c r="AN35" s="33" t="n">
        <x:f>IF(AND(34&gt;=$D35,34&lt;=$E35),IF($F35="Sí",2,1),0)</x:f>
        <x:v>0</x:v>
      </x:c>
      <x:c r="AO35" s="33" t="n">
        <x:f>IF(AND(35&gt;=$D35,35&lt;=$E35),IF($F35="Sí",2,1),0)</x:f>
        <x:v>0</x:v>
      </x:c>
    </x:row>
    <x:row r="36" ht="36" customHeight="1">
      <x:c r="A36" s="3" t="str">
        <x:v>T31</x:v>
      </x:c>
      <x:c r="B36" s="16" t="str">
        <x:v>3.15 · Respaldos, alertas y recuperación</x:v>
      </x:c>
      <x:c r="C36" s="16" t="str">
        <x:v>Empresa · operación</x:v>
      </x:c>
      <x:c r="D36" s="3" t="n">
        <x:f>'EDT Y TAREAS'!T36</x:f>
        <x:v>10</x:v>
      </x:c>
      <x:c r="E36" s="3" t="n">
        <x:f>'EDT Y TAREAS'!U36</x:f>
        <x:v>12</x:v>
      </x:c>
      <x:c r="F36" s="3" t="str">
        <x:f>'EDT Y TAREAS'!S36</x:f>
        <x:v>No</x:v>
      </x:c>
      <x:c r="G36" s="32" t="n">
        <x:f>IF(AND(1&gt;=$D36,1&lt;=$E36),IF($F36="Sí",2,1),0)</x:f>
        <x:v>0</x:v>
      </x:c>
      <x:c r="H36" s="32" t="n">
        <x:f>IF(AND(2&gt;=$D36,2&lt;=$E36),IF($F36="Sí",2,1),0)</x:f>
        <x:v>0</x:v>
      </x:c>
      <x:c r="I36" s="32" t="n">
        <x:f>IF(AND(3&gt;=$D36,3&lt;=$E36),IF($F36="Sí",2,1),0)</x:f>
        <x:v>0</x:v>
      </x:c>
      <x:c r="J36" s="32" t="n">
        <x:f>IF(AND(4&gt;=$D36,4&lt;=$E36),IF($F36="Sí",2,1),0)</x:f>
        <x:v>0</x:v>
      </x:c>
      <x:c r="K36" s="32" t="n">
        <x:f>IF(AND(5&gt;=$D36,5&lt;=$E36),IF($F36="Sí",2,1),0)</x:f>
        <x:v>0</x:v>
      </x:c>
      <x:c r="L36" s="32" t="n">
        <x:f>IF(AND(6&gt;=$D36,6&lt;=$E36),IF($F36="Sí",2,1),0)</x:f>
        <x:v>0</x:v>
      </x:c>
      <x:c r="M36" s="32" t="n">
        <x:f>IF(AND(7&gt;=$D36,7&lt;=$E36),IF($F36="Sí",2,1),0)</x:f>
        <x:v>0</x:v>
      </x:c>
      <x:c r="N36" s="32" t="n">
        <x:f>IF(AND(8&gt;=$D36,8&lt;=$E36),IF($F36="Sí",2,1),0)</x:f>
        <x:v>0</x:v>
      </x:c>
      <x:c r="O36" s="32" t="n">
        <x:f>IF(AND(9&gt;=$D36,9&lt;=$E36),IF($F36="Sí",2,1),0)</x:f>
        <x:v>0</x:v>
      </x:c>
      <x:c r="P36" s="32" t="n">
        <x:f>IF(AND(10&gt;=$D36,10&lt;=$E36),IF($F36="Sí",2,1),0)</x:f>
        <x:v>1</x:v>
      </x:c>
      <x:c r="Q36" s="32" t="n">
        <x:f>IF(AND(11&gt;=$D36,11&lt;=$E36),IF($F36="Sí",2,1),0)</x:f>
        <x:v>1</x:v>
      </x:c>
      <x:c r="R36" s="32" t="n">
        <x:f>IF(AND(12&gt;=$D36,12&lt;=$E36),IF($F36="Sí",2,1),0)</x:f>
        <x:v>1</x:v>
      </x:c>
      <x:c r="S36" s="32" t="n">
        <x:f>IF(AND(13&gt;=$D36,13&lt;=$E36),IF($F36="Sí",2,1),0)</x:f>
        <x:v>0</x:v>
      </x:c>
      <x:c r="T36" s="32" t="n">
        <x:f>IF(AND(14&gt;=$D36,14&lt;=$E36),IF($F36="Sí",2,1),0)</x:f>
        <x:v>0</x:v>
      </x:c>
      <x:c r="U36" s="32" t="n">
        <x:f>IF(AND(15&gt;=$D36,15&lt;=$E36),IF($F36="Sí",2,1),0)</x:f>
        <x:v>0</x:v>
      </x:c>
      <x:c r="V36" s="32" t="n">
        <x:f>IF(AND(16&gt;=$D36,16&lt;=$E36),IF($F36="Sí",2,1),0)</x:f>
        <x:v>0</x:v>
      </x:c>
      <x:c r="W36" s="32" t="n">
        <x:f>IF(AND(17&gt;=$D36,17&lt;=$E36),IF($F36="Sí",2,1),0)</x:f>
        <x:v>0</x:v>
      </x:c>
      <x:c r="X36" s="32" t="n">
        <x:f>IF(AND(18&gt;=$D36,18&lt;=$E36),IF($F36="Sí",2,1),0)</x:f>
        <x:v>0</x:v>
      </x:c>
      <x:c r="Y36" s="32" t="n">
        <x:f>IF(AND(19&gt;=$D36,19&lt;=$E36),IF($F36="Sí",2,1),0)</x:f>
        <x:v>0</x:v>
      </x:c>
      <x:c r="Z36" s="32" t="n">
        <x:f>IF(AND(20&gt;=$D36,20&lt;=$E36),IF($F36="Sí",2,1),0)</x:f>
        <x:v>0</x:v>
      </x:c>
      <x:c r="AA36" s="32" t="n">
        <x:f>IF(AND(21&gt;=$D36,21&lt;=$E36),IF($F36="Sí",2,1),0)</x:f>
        <x:v>0</x:v>
      </x:c>
      <x:c r="AB36" s="32" t="n">
        <x:f>IF(AND(22&gt;=$D36,22&lt;=$E36),IF($F36="Sí",2,1),0)</x:f>
        <x:v>0</x:v>
      </x:c>
      <x:c r="AC36" s="32" t="n">
        <x:f>IF(AND(23&gt;=$D36,23&lt;=$E36),IF($F36="Sí",2,1),0)</x:f>
        <x:v>0</x:v>
      </x:c>
      <x:c r="AD36" s="32" t="n">
        <x:f>IF(AND(24&gt;=$D36,24&lt;=$E36),IF($F36="Sí",2,1),0)</x:f>
        <x:v>0</x:v>
      </x:c>
      <x:c r="AE36" s="32" t="n">
        <x:f>IF(AND(25&gt;=$D36,25&lt;=$E36),IF($F36="Sí",2,1),0)</x:f>
        <x:v>0</x:v>
      </x:c>
      <x:c r="AF36" s="32" t="n">
        <x:f>IF(AND(26&gt;=$D36,26&lt;=$E36),IF($F36="Sí",2,1),0)</x:f>
        <x:v>0</x:v>
      </x:c>
      <x:c r="AG36" s="32" t="n">
        <x:f>IF(AND(27&gt;=$D36,27&lt;=$E36),IF($F36="Sí",2,1),0)</x:f>
        <x:v>0</x:v>
      </x:c>
      <x:c r="AH36" s="32" t="n">
        <x:f>IF(AND(28&gt;=$D36,28&lt;=$E36),IF($F36="Sí",2,1),0)</x:f>
        <x:v>0</x:v>
      </x:c>
      <x:c r="AI36" s="32" t="n">
        <x:f>IF(AND(29&gt;=$D36,29&lt;=$E36),IF($F36="Sí",2,1),0)</x:f>
        <x:v>0</x:v>
      </x:c>
      <x:c r="AJ36" s="32" t="n">
        <x:f>IF(AND(30&gt;=$D36,30&lt;=$E36),IF($F36="Sí",2,1),0)</x:f>
        <x:v>0</x:v>
      </x:c>
      <x:c r="AK36" s="32" t="n">
        <x:f>IF(AND(31&gt;=$D36,31&lt;=$E36),IF($F36="Sí",2,1),0)</x:f>
        <x:v>0</x:v>
      </x:c>
      <x:c r="AL36" s="32" t="n">
        <x:f>IF(AND(32&gt;=$D36,32&lt;=$E36),IF($F36="Sí",2,1),0)</x:f>
        <x:v>0</x:v>
      </x:c>
      <x:c r="AM36" s="32" t="n">
        <x:f>IF(AND(33&gt;=$D36,33&lt;=$E36),IF($F36="Sí",2,1),0)</x:f>
        <x:v>0</x:v>
      </x:c>
      <x:c r="AN36" s="33" t="n">
        <x:f>IF(AND(34&gt;=$D36,34&lt;=$E36),IF($F36="Sí",2,1),0)</x:f>
        <x:v>0</x:v>
      </x:c>
      <x:c r="AO36" s="33" t="n">
        <x:f>IF(AND(35&gt;=$D36,35&lt;=$E36),IF($F36="Sí",2,1),0)</x:f>
        <x:v>0</x:v>
      </x:c>
    </x:row>
    <x:row r="37" ht="36" customHeight="1">
      <x:c r="A37" s="3" t="str">
        <x:v>T32</x:v>
      </x:c>
      <x:c r="B37" s="16" t="str">
        <x:v>3.16 · Definir datos, retención y consentimiento</x:v>
      </x:c>
      <x:c r="C37" s="16" t="str">
        <x:v>Empresa · operación</x:v>
      </x:c>
      <x:c r="D37" s="3" t="n">
        <x:f>'EDT Y TAREAS'!T37</x:f>
        <x:v>6</x:v>
      </x:c>
      <x:c r="E37" s="3" t="n">
        <x:f>'EDT Y TAREAS'!U37</x:f>
        <x:v>8</x:v>
      </x:c>
      <x:c r="F37" s="3" t="str">
        <x:f>'EDT Y TAREAS'!S37</x:f>
        <x:v>No</x:v>
      </x:c>
      <x:c r="G37" s="32" t="n">
        <x:f>IF(AND(1&gt;=$D37,1&lt;=$E37),IF($F37="Sí",2,1),0)</x:f>
        <x:v>0</x:v>
      </x:c>
      <x:c r="H37" s="32" t="n">
        <x:f>IF(AND(2&gt;=$D37,2&lt;=$E37),IF($F37="Sí",2,1),0)</x:f>
        <x:v>0</x:v>
      </x:c>
      <x:c r="I37" s="32" t="n">
        <x:f>IF(AND(3&gt;=$D37,3&lt;=$E37),IF($F37="Sí",2,1),0)</x:f>
        <x:v>0</x:v>
      </x:c>
      <x:c r="J37" s="32" t="n">
        <x:f>IF(AND(4&gt;=$D37,4&lt;=$E37),IF($F37="Sí",2,1),0)</x:f>
        <x:v>0</x:v>
      </x:c>
      <x:c r="K37" s="32" t="n">
        <x:f>IF(AND(5&gt;=$D37,5&lt;=$E37),IF($F37="Sí",2,1),0)</x:f>
        <x:v>0</x:v>
      </x:c>
      <x:c r="L37" s="32" t="n">
        <x:f>IF(AND(6&gt;=$D37,6&lt;=$E37),IF($F37="Sí",2,1),0)</x:f>
        <x:v>1</x:v>
      </x:c>
      <x:c r="M37" s="32" t="n">
        <x:f>IF(AND(7&gt;=$D37,7&lt;=$E37),IF($F37="Sí",2,1),0)</x:f>
        <x:v>1</x:v>
      </x:c>
      <x:c r="N37" s="32" t="n">
        <x:f>IF(AND(8&gt;=$D37,8&lt;=$E37),IF($F37="Sí",2,1),0)</x:f>
        <x:v>1</x:v>
      </x:c>
      <x:c r="O37" s="32" t="n">
        <x:f>IF(AND(9&gt;=$D37,9&lt;=$E37),IF($F37="Sí",2,1),0)</x:f>
        <x:v>0</x:v>
      </x:c>
      <x:c r="P37" s="32" t="n">
        <x:f>IF(AND(10&gt;=$D37,10&lt;=$E37),IF($F37="Sí",2,1),0)</x:f>
        <x:v>0</x:v>
      </x:c>
      <x:c r="Q37" s="32" t="n">
        <x:f>IF(AND(11&gt;=$D37,11&lt;=$E37),IF($F37="Sí",2,1),0)</x:f>
        <x:v>0</x:v>
      </x:c>
      <x:c r="R37" s="32" t="n">
        <x:f>IF(AND(12&gt;=$D37,12&lt;=$E37),IF($F37="Sí",2,1),0)</x:f>
        <x:v>0</x:v>
      </x:c>
      <x:c r="S37" s="32" t="n">
        <x:f>IF(AND(13&gt;=$D37,13&lt;=$E37),IF($F37="Sí",2,1),0)</x:f>
        <x:v>0</x:v>
      </x:c>
      <x:c r="T37" s="32" t="n">
        <x:f>IF(AND(14&gt;=$D37,14&lt;=$E37),IF($F37="Sí",2,1),0)</x:f>
        <x:v>0</x:v>
      </x:c>
      <x:c r="U37" s="32" t="n">
        <x:f>IF(AND(15&gt;=$D37,15&lt;=$E37),IF($F37="Sí",2,1),0)</x:f>
        <x:v>0</x:v>
      </x:c>
      <x:c r="V37" s="32" t="n">
        <x:f>IF(AND(16&gt;=$D37,16&lt;=$E37),IF($F37="Sí",2,1),0)</x:f>
        <x:v>0</x:v>
      </x:c>
      <x:c r="W37" s="32" t="n">
        <x:f>IF(AND(17&gt;=$D37,17&lt;=$E37),IF($F37="Sí",2,1),0)</x:f>
        <x:v>0</x:v>
      </x:c>
      <x:c r="X37" s="32" t="n">
        <x:f>IF(AND(18&gt;=$D37,18&lt;=$E37),IF($F37="Sí",2,1),0)</x:f>
        <x:v>0</x:v>
      </x:c>
      <x:c r="Y37" s="32" t="n">
        <x:f>IF(AND(19&gt;=$D37,19&lt;=$E37),IF($F37="Sí",2,1),0)</x:f>
        <x:v>0</x:v>
      </x:c>
      <x:c r="Z37" s="32" t="n">
        <x:f>IF(AND(20&gt;=$D37,20&lt;=$E37),IF($F37="Sí",2,1),0)</x:f>
        <x:v>0</x:v>
      </x:c>
      <x:c r="AA37" s="32" t="n">
        <x:f>IF(AND(21&gt;=$D37,21&lt;=$E37),IF($F37="Sí",2,1),0)</x:f>
        <x:v>0</x:v>
      </x:c>
      <x:c r="AB37" s="32" t="n">
        <x:f>IF(AND(22&gt;=$D37,22&lt;=$E37),IF($F37="Sí",2,1),0)</x:f>
        <x:v>0</x:v>
      </x:c>
      <x:c r="AC37" s="32" t="n">
        <x:f>IF(AND(23&gt;=$D37,23&lt;=$E37),IF($F37="Sí",2,1),0)</x:f>
        <x:v>0</x:v>
      </x:c>
      <x:c r="AD37" s="32" t="n">
        <x:f>IF(AND(24&gt;=$D37,24&lt;=$E37),IF($F37="Sí",2,1),0)</x:f>
        <x:v>0</x:v>
      </x:c>
      <x:c r="AE37" s="32" t="n">
        <x:f>IF(AND(25&gt;=$D37,25&lt;=$E37),IF($F37="Sí",2,1),0)</x:f>
        <x:v>0</x:v>
      </x:c>
      <x:c r="AF37" s="32" t="n">
        <x:f>IF(AND(26&gt;=$D37,26&lt;=$E37),IF($F37="Sí",2,1),0)</x:f>
        <x:v>0</x:v>
      </x:c>
      <x:c r="AG37" s="32" t="n">
        <x:f>IF(AND(27&gt;=$D37,27&lt;=$E37),IF($F37="Sí",2,1),0)</x:f>
        <x:v>0</x:v>
      </x:c>
      <x:c r="AH37" s="32" t="n">
        <x:f>IF(AND(28&gt;=$D37,28&lt;=$E37),IF($F37="Sí",2,1),0)</x:f>
        <x:v>0</x:v>
      </x:c>
      <x:c r="AI37" s="32" t="n">
        <x:f>IF(AND(29&gt;=$D37,29&lt;=$E37),IF($F37="Sí",2,1),0)</x:f>
        <x:v>0</x:v>
      </x:c>
      <x:c r="AJ37" s="32" t="n">
        <x:f>IF(AND(30&gt;=$D37,30&lt;=$E37),IF($F37="Sí",2,1),0)</x:f>
        <x:v>0</x:v>
      </x:c>
      <x:c r="AK37" s="32" t="n">
        <x:f>IF(AND(31&gt;=$D37,31&lt;=$E37),IF($F37="Sí",2,1),0)</x:f>
        <x:v>0</x:v>
      </x:c>
      <x:c r="AL37" s="32" t="n">
        <x:f>IF(AND(32&gt;=$D37,32&lt;=$E37),IF($F37="Sí",2,1),0)</x:f>
        <x:v>0</x:v>
      </x:c>
      <x:c r="AM37" s="32" t="n">
        <x:f>IF(AND(33&gt;=$D37,33&lt;=$E37),IF($F37="Sí",2,1),0)</x:f>
        <x:v>0</x:v>
      </x:c>
      <x:c r="AN37" s="33" t="n">
        <x:f>IF(AND(34&gt;=$D37,34&lt;=$E37),IF($F37="Sí",2,1),0)</x:f>
        <x:v>0</x:v>
      </x:c>
      <x:c r="AO37" s="33" t="n">
        <x:f>IF(AND(35&gt;=$D37,35&lt;=$E37),IF($F37="Sí",2,1),0)</x:f>
        <x:v>0</x:v>
      </x:c>
    </x:row>
    <x:row r="38" ht="36" customHeight="1">
      <x:c r="A38" s="3" t="str">
        <x:v>T33</x:v>
      </x:c>
      <x:c r="B38" s="16" t="str">
        <x:v>3.17 · Diseñar oferta, precio piloto y cobro manual</x:v>
      </x:c>
      <x:c r="C38" s="16" t="str">
        <x:v>Alejandro Maureira</x:v>
      </x:c>
      <x:c r="D38" s="3" t="n">
        <x:f>'EDT Y TAREAS'!T38</x:f>
        <x:v>7</x:v>
      </x:c>
      <x:c r="E38" s="3" t="n">
        <x:f>'EDT Y TAREAS'!U38</x:f>
        <x:v>9</x:v>
      </x:c>
      <x:c r="F38" s="3" t="str">
        <x:f>'EDT Y TAREAS'!S38</x:f>
        <x:v>No</x:v>
      </x:c>
      <x:c r="G38" s="32" t="n">
        <x:f>IF(AND(1&gt;=$D38,1&lt;=$E38),IF($F38="Sí",2,1),0)</x:f>
        <x:v>0</x:v>
      </x:c>
      <x:c r="H38" s="32" t="n">
        <x:f>IF(AND(2&gt;=$D38,2&lt;=$E38),IF($F38="Sí",2,1),0)</x:f>
        <x:v>0</x:v>
      </x:c>
      <x:c r="I38" s="32" t="n">
        <x:f>IF(AND(3&gt;=$D38,3&lt;=$E38),IF($F38="Sí",2,1),0)</x:f>
        <x:v>0</x:v>
      </x:c>
      <x:c r="J38" s="32" t="n">
        <x:f>IF(AND(4&gt;=$D38,4&lt;=$E38),IF($F38="Sí",2,1),0)</x:f>
        <x:v>0</x:v>
      </x:c>
      <x:c r="K38" s="32" t="n">
        <x:f>IF(AND(5&gt;=$D38,5&lt;=$E38),IF($F38="Sí",2,1),0)</x:f>
        <x:v>0</x:v>
      </x:c>
      <x:c r="L38" s="32" t="n">
        <x:f>IF(AND(6&gt;=$D38,6&lt;=$E38),IF($F38="Sí",2,1),0)</x:f>
        <x:v>0</x:v>
      </x:c>
      <x:c r="M38" s="32" t="n">
        <x:f>IF(AND(7&gt;=$D38,7&lt;=$E38),IF($F38="Sí",2,1),0)</x:f>
        <x:v>1</x:v>
      </x:c>
      <x:c r="N38" s="32" t="n">
        <x:f>IF(AND(8&gt;=$D38,8&lt;=$E38),IF($F38="Sí",2,1),0)</x:f>
        <x:v>1</x:v>
      </x:c>
      <x:c r="O38" s="32" t="n">
        <x:f>IF(AND(9&gt;=$D38,9&lt;=$E38),IF($F38="Sí",2,1),0)</x:f>
        <x:v>1</x:v>
      </x:c>
      <x:c r="P38" s="32" t="n">
        <x:f>IF(AND(10&gt;=$D38,10&lt;=$E38),IF($F38="Sí",2,1),0)</x:f>
        <x:v>0</x:v>
      </x:c>
      <x:c r="Q38" s="32" t="n">
        <x:f>IF(AND(11&gt;=$D38,11&lt;=$E38),IF($F38="Sí",2,1),0)</x:f>
        <x:v>0</x:v>
      </x:c>
      <x:c r="R38" s="32" t="n">
        <x:f>IF(AND(12&gt;=$D38,12&lt;=$E38),IF($F38="Sí",2,1),0)</x:f>
        <x:v>0</x:v>
      </x:c>
      <x:c r="S38" s="32" t="n">
        <x:f>IF(AND(13&gt;=$D38,13&lt;=$E38),IF($F38="Sí",2,1),0)</x:f>
        <x:v>0</x:v>
      </x:c>
      <x:c r="T38" s="32" t="n">
        <x:f>IF(AND(14&gt;=$D38,14&lt;=$E38),IF($F38="Sí",2,1),0)</x:f>
        <x:v>0</x:v>
      </x:c>
      <x:c r="U38" s="32" t="n">
        <x:f>IF(AND(15&gt;=$D38,15&lt;=$E38),IF($F38="Sí",2,1),0)</x:f>
        <x:v>0</x:v>
      </x:c>
      <x:c r="V38" s="32" t="n">
        <x:f>IF(AND(16&gt;=$D38,16&lt;=$E38),IF($F38="Sí",2,1),0)</x:f>
        <x:v>0</x:v>
      </x:c>
      <x:c r="W38" s="32" t="n">
        <x:f>IF(AND(17&gt;=$D38,17&lt;=$E38),IF($F38="Sí",2,1),0)</x:f>
        <x:v>0</x:v>
      </x:c>
      <x:c r="X38" s="32" t="n">
        <x:f>IF(AND(18&gt;=$D38,18&lt;=$E38),IF($F38="Sí",2,1),0)</x:f>
        <x:v>0</x:v>
      </x:c>
      <x:c r="Y38" s="32" t="n">
        <x:f>IF(AND(19&gt;=$D38,19&lt;=$E38),IF($F38="Sí",2,1),0)</x:f>
        <x:v>0</x:v>
      </x:c>
      <x:c r="Z38" s="32" t="n">
        <x:f>IF(AND(20&gt;=$D38,20&lt;=$E38),IF($F38="Sí",2,1),0)</x:f>
        <x:v>0</x:v>
      </x:c>
      <x:c r="AA38" s="32" t="n">
        <x:f>IF(AND(21&gt;=$D38,21&lt;=$E38),IF($F38="Sí",2,1),0)</x:f>
        <x:v>0</x:v>
      </x:c>
      <x:c r="AB38" s="32" t="n">
        <x:f>IF(AND(22&gt;=$D38,22&lt;=$E38),IF($F38="Sí",2,1),0)</x:f>
        <x:v>0</x:v>
      </x:c>
      <x:c r="AC38" s="32" t="n">
        <x:f>IF(AND(23&gt;=$D38,23&lt;=$E38),IF($F38="Sí",2,1),0)</x:f>
        <x:v>0</x:v>
      </x:c>
      <x:c r="AD38" s="32" t="n">
        <x:f>IF(AND(24&gt;=$D38,24&lt;=$E38),IF($F38="Sí",2,1),0)</x:f>
        <x:v>0</x:v>
      </x:c>
      <x:c r="AE38" s="32" t="n">
        <x:f>IF(AND(25&gt;=$D38,25&lt;=$E38),IF($F38="Sí",2,1),0)</x:f>
        <x:v>0</x:v>
      </x:c>
      <x:c r="AF38" s="32" t="n">
        <x:f>IF(AND(26&gt;=$D38,26&lt;=$E38),IF($F38="Sí",2,1),0)</x:f>
        <x:v>0</x:v>
      </x:c>
      <x:c r="AG38" s="32" t="n">
        <x:f>IF(AND(27&gt;=$D38,27&lt;=$E38),IF($F38="Sí",2,1),0)</x:f>
        <x:v>0</x:v>
      </x:c>
      <x:c r="AH38" s="32" t="n">
        <x:f>IF(AND(28&gt;=$D38,28&lt;=$E38),IF($F38="Sí",2,1),0)</x:f>
        <x:v>0</x:v>
      </x:c>
      <x:c r="AI38" s="32" t="n">
        <x:f>IF(AND(29&gt;=$D38,29&lt;=$E38),IF($F38="Sí",2,1),0)</x:f>
        <x:v>0</x:v>
      </x:c>
      <x:c r="AJ38" s="32" t="n">
        <x:f>IF(AND(30&gt;=$D38,30&lt;=$E38),IF($F38="Sí",2,1),0)</x:f>
        <x:v>0</x:v>
      </x:c>
      <x:c r="AK38" s="32" t="n">
        <x:f>IF(AND(31&gt;=$D38,31&lt;=$E38),IF($F38="Sí",2,1),0)</x:f>
        <x:v>0</x:v>
      </x:c>
      <x:c r="AL38" s="32" t="n">
        <x:f>IF(AND(32&gt;=$D38,32&lt;=$E38),IF($F38="Sí",2,1),0)</x:f>
        <x:v>0</x:v>
      </x:c>
      <x:c r="AM38" s="32" t="n">
        <x:f>IF(AND(33&gt;=$D38,33&lt;=$E38),IF($F38="Sí",2,1),0)</x:f>
        <x:v>0</x:v>
      </x:c>
      <x:c r="AN38" s="33" t="n">
        <x:f>IF(AND(34&gt;=$D38,34&lt;=$E38),IF($F38="Sí",2,1),0)</x:f>
        <x:v>0</x:v>
      </x:c>
      <x:c r="AO38" s="33" t="n">
        <x:f>IF(AND(35&gt;=$D38,35&lt;=$E38),IF($F38="Sí",2,1),0)</x:f>
        <x:v>0</x:v>
      </x:c>
    </x:row>
    <x:row r="39" ht="36" customHeight="1">
      <x:c r="A39" s="3" t="str">
        <x:v>T34</x:v>
      </x:c>
      <x:c r="B39" s="16" t="str">
        <x:v>4.01 · Pruebas de integración y aislamiento</x:v>
      </x:c>
      <x:c r="C39" s="16" t="str">
        <x:v>Empresa · QA</x:v>
      </x:c>
      <x:c r="D39" s="3" t="n">
        <x:f>'EDT Y TAREAS'!T39</x:f>
        <x:v>21</x:v>
      </x:c>
      <x:c r="E39" s="3" t="n">
        <x:f>'EDT Y TAREAS'!U39</x:f>
        <x:v>22</x:v>
      </x:c>
      <x:c r="F39" s="3" t="str">
        <x:f>'EDT Y TAREAS'!S39</x:f>
        <x:v>Sí</x:v>
      </x:c>
      <x:c r="G39" s="32" t="n">
        <x:f>IF(AND(1&gt;=$D39,1&lt;=$E39),IF($F39="Sí",2,1),0)</x:f>
        <x:v>0</x:v>
      </x:c>
      <x:c r="H39" s="32" t="n">
        <x:f>IF(AND(2&gt;=$D39,2&lt;=$E39),IF($F39="Sí",2,1),0)</x:f>
        <x:v>0</x:v>
      </x:c>
      <x:c r="I39" s="32" t="n">
        <x:f>IF(AND(3&gt;=$D39,3&lt;=$E39),IF($F39="Sí",2,1),0)</x:f>
        <x:v>0</x:v>
      </x:c>
      <x:c r="J39" s="32" t="n">
        <x:f>IF(AND(4&gt;=$D39,4&lt;=$E39),IF($F39="Sí",2,1),0)</x:f>
        <x:v>0</x:v>
      </x:c>
      <x:c r="K39" s="32" t="n">
        <x:f>IF(AND(5&gt;=$D39,5&lt;=$E39),IF($F39="Sí",2,1),0)</x:f>
        <x:v>0</x:v>
      </x:c>
      <x:c r="L39" s="32" t="n">
        <x:f>IF(AND(6&gt;=$D39,6&lt;=$E39),IF($F39="Sí",2,1),0)</x:f>
        <x:v>0</x:v>
      </x:c>
      <x:c r="M39" s="32" t="n">
        <x:f>IF(AND(7&gt;=$D39,7&lt;=$E39),IF($F39="Sí",2,1),0)</x:f>
        <x:v>0</x:v>
      </x:c>
      <x:c r="N39" s="32" t="n">
        <x:f>IF(AND(8&gt;=$D39,8&lt;=$E39),IF($F39="Sí",2,1),0)</x:f>
        <x:v>0</x:v>
      </x:c>
      <x:c r="O39" s="32" t="n">
        <x:f>IF(AND(9&gt;=$D39,9&lt;=$E39),IF($F39="Sí",2,1),0)</x:f>
        <x:v>0</x:v>
      </x:c>
      <x:c r="P39" s="32" t="n">
        <x:f>IF(AND(10&gt;=$D39,10&lt;=$E39),IF($F39="Sí",2,1),0)</x:f>
        <x:v>0</x:v>
      </x:c>
      <x:c r="Q39" s="32" t="n">
        <x:f>IF(AND(11&gt;=$D39,11&lt;=$E39),IF($F39="Sí",2,1),0)</x:f>
        <x:v>0</x:v>
      </x:c>
      <x:c r="R39" s="32" t="n">
        <x:f>IF(AND(12&gt;=$D39,12&lt;=$E39),IF($F39="Sí",2,1),0)</x:f>
        <x:v>0</x:v>
      </x:c>
      <x:c r="S39" s="32" t="n">
        <x:f>IF(AND(13&gt;=$D39,13&lt;=$E39),IF($F39="Sí",2,1),0)</x:f>
        <x:v>0</x:v>
      </x:c>
      <x:c r="T39" s="32" t="n">
        <x:f>IF(AND(14&gt;=$D39,14&lt;=$E39),IF($F39="Sí",2,1),0)</x:f>
        <x:v>0</x:v>
      </x:c>
      <x:c r="U39" s="32" t="n">
        <x:f>IF(AND(15&gt;=$D39,15&lt;=$E39),IF($F39="Sí",2,1),0)</x:f>
        <x:v>0</x:v>
      </x:c>
      <x:c r="V39" s="32" t="n">
        <x:f>IF(AND(16&gt;=$D39,16&lt;=$E39),IF($F39="Sí",2,1),0)</x:f>
        <x:v>0</x:v>
      </x:c>
      <x:c r="W39" s="32" t="n">
        <x:f>IF(AND(17&gt;=$D39,17&lt;=$E39),IF($F39="Sí",2,1),0)</x:f>
        <x:v>0</x:v>
      </x:c>
      <x:c r="X39" s="32" t="n">
        <x:f>IF(AND(18&gt;=$D39,18&lt;=$E39),IF($F39="Sí",2,1),0)</x:f>
        <x:v>0</x:v>
      </x:c>
      <x:c r="Y39" s="32" t="n">
        <x:f>IF(AND(19&gt;=$D39,19&lt;=$E39),IF($F39="Sí",2,1),0)</x:f>
        <x:v>0</x:v>
      </x:c>
      <x:c r="Z39" s="32" t="n">
        <x:f>IF(AND(20&gt;=$D39,20&lt;=$E39),IF($F39="Sí",2,1),0)</x:f>
        <x:v>0</x:v>
      </x:c>
      <x:c r="AA39" s="32" t="n">
        <x:f>IF(AND(21&gt;=$D39,21&lt;=$E39),IF($F39="Sí",2,1),0)</x:f>
        <x:v>2</x:v>
      </x:c>
      <x:c r="AB39" s="32" t="n">
        <x:f>IF(AND(22&gt;=$D39,22&lt;=$E39),IF($F39="Sí",2,1),0)</x:f>
        <x:v>2</x:v>
      </x:c>
      <x:c r="AC39" s="32" t="n">
        <x:f>IF(AND(23&gt;=$D39,23&lt;=$E39),IF($F39="Sí",2,1),0)</x:f>
        <x:v>0</x:v>
      </x:c>
      <x:c r="AD39" s="32" t="n">
        <x:f>IF(AND(24&gt;=$D39,24&lt;=$E39),IF($F39="Sí",2,1),0)</x:f>
        <x:v>0</x:v>
      </x:c>
      <x:c r="AE39" s="32" t="n">
        <x:f>IF(AND(25&gt;=$D39,25&lt;=$E39),IF($F39="Sí",2,1),0)</x:f>
        <x:v>0</x:v>
      </x:c>
      <x:c r="AF39" s="32" t="n">
        <x:f>IF(AND(26&gt;=$D39,26&lt;=$E39),IF($F39="Sí",2,1),0)</x:f>
        <x:v>0</x:v>
      </x:c>
      <x:c r="AG39" s="32" t="n">
        <x:f>IF(AND(27&gt;=$D39,27&lt;=$E39),IF($F39="Sí",2,1),0)</x:f>
        <x:v>0</x:v>
      </x:c>
      <x:c r="AH39" s="32" t="n">
        <x:f>IF(AND(28&gt;=$D39,28&lt;=$E39),IF($F39="Sí",2,1),0)</x:f>
        <x:v>0</x:v>
      </x:c>
      <x:c r="AI39" s="32" t="n">
        <x:f>IF(AND(29&gt;=$D39,29&lt;=$E39),IF($F39="Sí",2,1),0)</x:f>
        <x:v>0</x:v>
      </x:c>
      <x:c r="AJ39" s="32" t="n">
        <x:f>IF(AND(30&gt;=$D39,30&lt;=$E39),IF($F39="Sí",2,1),0)</x:f>
        <x:v>0</x:v>
      </x:c>
      <x:c r="AK39" s="32" t="n">
        <x:f>IF(AND(31&gt;=$D39,31&lt;=$E39),IF($F39="Sí",2,1),0)</x:f>
        <x:v>0</x:v>
      </x:c>
      <x:c r="AL39" s="32" t="n">
        <x:f>IF(AND(32&gt;=$D39,32&lt;=$E39),IF($F39="Sí",2,1),0)</x:f>
        <x:v>0</x:v>
      </x:c>
      <x:c r="AM39" s="32" t="n">
        <x:f>IF(AND(33&gt;=$D39,33&lt;=$E39),IF($F39="Sí",2,1),0)</x:f>
        <x:v>0</x:v>
      </x:c>
      <x:c r="AN39" s="33" t="n">
        <x:f>IF(AND(34&gt;=$D39,34&lt;=$E39),IF($F39="Sí",2,1),0)</x:f>
        <x:v>0</x:v>
      </x:c>
      <x:c r="AO39" s="33" t="n">
        <x:f>IF(AND(35&gt;=$D39,35&lt;=$E39),IF($F39="Sí",2,1),0)</x:f>
        <x:v>0</x:v>
      </x:c>
    </x:row>
    <x:row r="40" ht="36" customHeight="1">
      <x:c r="A40" s="3" t="str">
        <x:v>T35</x:v>
      </x:c>
      <x:c r="B40" s="16" t="str">
        <x:v>4.02 · Pruebas de carga y presupuesto de ejecución</x:v>
      </x:c>
      <x:c r="C40" s="16" t="str">
        <x:v>Empresa · QA</x:v>
      </x:c>
      <x:c r="D40" s="3" t="n">
        <x:f>'EDT Y TAREAS'!T40</x:f>
        <x:v>22</x:v>
      </x:c>
      <x:c r="E40" s="3" t="n">
        <x:f>'EDT Y TAREAS'!U40</x:f>
        <x:v>23</x:v>
      </x:c>
      <x:c r="F40" s="3" t="str">
        <x:f>'EDT Y TAREAS'!S40</x:f>
        <x:v>Sí</x:v>
      </x:c>
      <x:c r="G40" s="32" t="n">
        <x:f>IF(AND(1&gt;=$D40,1&lt;=$E40),IF($F40="Sí",2,1),0)</x:f>
        <x:v>0</x:v>
      </x:c>
      <x:c r="H40" s="32" t="n">
        <x:f>IF(AND(2&gt;=$D40,2&lt;=$E40),IF($F40="Sí",2,1),0)</x:f>
        <x:v>0</x:v>
      </x:c>
      <x:c r="I40" s="32" t="n">
        <x:f>IF(AND(3&gt;=$D40,3&lt;=$E40),IF($F40="Sí",2,1),0)</x:f>
        <x:v>0</x:v>
      </x:c>
      <x:c r="J40" s="32" t="n">
        <x:f>IF(AND(4&gt;=$D40,4&lt;=$E40),IF($F40="Sí",2,1),0)</x:f>
        <x:v>0</x:v>
      </x:c>
      <x:c r="K40" s="32" t="n">
        <x:f>IF(AND(5&gt;=$D40,5&lt;=$E40),IF($F40="Sí",2,1),0)</x:f>
        <x:v>0</x:v>
      </x:c>
      <x:c r="L40" s="32" t="n">
        <x:f>IF(AND(6&gt;=$D40,6&lt;=$E40),IF($F40="Sí",2,1),0)</x:f>
        <x:v>0</x:v>
      </x:c>
      <x:c r="M40" s="32" t="n">
        <x:f>IF(AND(7&gt;=$D40,7&lt;=$E40),IF($F40="Sí",2,1),0)</x:f>
        <x:v>0</x:v>
      </x:c>
      <x:c r="N40" s="32" t="n">
        <x:f>IF(AND(8&gt;=$D40,8&lt;=$E40),IF($F40="Sí",2,1),0)</x:f>
        <x:v>0</x:v>
      </x:c>
      <x:c r="O40" s="32" t="n">
        <x:f>IF(AND(9&gt;=$D40,9&lt;=$E40),IF($F40="Sí",2,1),0)</x:f>
        <x:v>0</x:v>
      </x:c>
      <x:c r="P40" s="32" t="n">
        <x:f>IF(AND(10&gt;=$D40,10&lt;=$E40),IF($F40="Sí",2,1),0)</x:f>
        <x:v>0</x:v>
      </x:c>
      <x:c r="Q40" s="32" t="n">
        <x:f>IF(AND(11&gt;=$D40,11&lt;=$E40),IF($F40="Sí",2,1),0)</x:f>
        <x:v>0</x:v>
      </x:c>
      <x:c r="R40" s="32" t="n">
        <x:f>IF(AND(12&gt;=$D40,12&lt;=$E40),IF($F40="Sí",2,1),0)</x:f>
        <x:v>0</x:v>
      </x:c>
      <x:c r="S40" s="32" t="n">
        <x:f>IF(AND(13&gt;=$D40,13&lt;=$E40),IF($F40="Sí",2,1),0)</x:f>
        <x:v>0</x:v>
      </x:c>
      <x:c r="T40" s="32" t="n">
        <x:f>IF(AND(14&gt;=$D40,14&lt;=$E40),IF($F40="Sí",2,1),0)</x:f>
        <x:v>0</x:v>
      </x:c>
      <x:c r="U40" s="32" t="n">
        <x:f>IF(AND(15&gt;=$D40,15&lt;=$E40),IF($F40="Sí",2,1),0)</x:f>
        <x:v>0</x:v>
      </x:c>
      <x:c r="V40" s="32" t="n">
        <x:f>IF(AND(16&gt;=$D40,16&lt;=$E40),IF($F40="Sí",2,1),0)</x:f>
        <x:v>0</x:v>
      </x:c>
      <x:c r="W40" s="32" t="n">
        <x:f>IF(AND(17&gt;=$D40,17&lt;=$E40),IF($F40="Sí",2,1),0)</x:f>
        <x:v>0</x:v>
      </x:c>
      <x:c r="X40" s="32" t="n">
        <x:f>IF(AND(18&gt;=$D40,18&lt;=$E40),IF($F40="Sí",2,1),0)</x:f>
        <x:v>0</x:v>
      </x:c>
      <x:c r="Y40" s="32" t="n">
        <x:f>IF(AND(19&gt;=$D40,19&lt;=$E40),IF($F40="Sí",2,1),0)</x:f>
        <x:v>0</x:v>
      </x:c>
      <x:c r="Z40" s="32" t="n">
        <x:f>IF(AND(20&gt;=$D40,20&lt;=$E40),IF($F40="Sí",2,1),0)</x:f>
        <x:v>0</x:v>
      </x:c>
      <x:c r="AA40" s="32" t="n">
        <x:f>IF(AND(21&gt;=$D40,21&lt;=$E40),IF($F40="Sí",2,1),0)</x:f>
        <x:v>0</x:v>
      </x:c>
      <x:c r="AB40" s="32" t="n">
        <x:f>IF(AND(22&gt;=$D40,22&lt;=$E40),IF($F40="Sí",2,1),0)</x:f>
        <x:v>2</x:v>
      </x:c>
      <x:c r="AC40" s="32" t="n">
        <x:f>IF(AND(23&gt;=$D40,23&lt;=$E40),IF($F40="Sí",2,1),0)</x:f>
        <x:v>2</x:v>
      </x:c>
      <x:c r="AD40" s="32" t="n">
        <x:f>IF(AND(24&gt;=$D40,24&lt;=$E40),IF($F40="Sí",2,1),0)</x:f>
        <x:v>0</x:v>
      </x:c>
      <x:c r="AE40" s="32" t="n">
        <x:f>IF(AND(25&gt;=$D40,25&lt;=$E40),IF($F40="Sí",2,1),0)</x:f>
        <x:v>0</x:v>
      </x:c>
      <x:c r="AF40" s="32" t="n">
        <x:f>IF(AND(26&gt;=$D40,26&lt;=$E40),IF($F40="Sí",2,1),0)</x:f>
        <x:v>0</x:v>
      </x:c>
      <x:c r="AG40" s="32" t="n">
        <x:f>IF(AND(27&gt;=$D40,27&lt;=$E40),IF($F40="Sí",2,1),0)</x:f>
        <x:v>0</x:v>
      </x:c>
      <x:c r="AH40" s="32" t="n">
        <x:f>IF(AND(28&gt;=$D40,28&lt;=$E40),IF($F40="Sí",2,1),0)</x:f>
        <x:v>0</x:v>
      </x:c>
      <x:c r="AI40" s="32" t="n">
        <x:f>IF(AND(29&gt;=$D40,29&lt;=$E40),IF($F40="Sí",2,1),0)</x:f>
        <x:v>0</x:v>
      </x:c>
      <x:c r="AJ40" s="32" t="n">
        <x:f>IF(AND(30&gt;=$D40,30&lt;=$E40),IF($F40="Sí",2,1),0)</x:f>
        <x:v>0</x:v>
      </x:c>
      <x:c r="AK40" s="32" t="n">
        <x:f>IF(AND(31&gt;=$D40,31&lt;=$E40),IF($F40="Sí",2,1),0)</x:f>
        <x:v>0</x:v>
      </x:c>
      <x:c r="AL40" s="32" t="n">
        <x:f>IF(AND(32&gt;=$D40,32&lt;=$E40),IF($F40="Sí",2,1),0)</x:f>
        <x:v>0</x:v>
      </x:c>
      <x:c r="AM40" s="32" t="n">
        <x:f>IF(AND(33&gt;=$D40,33&lt;=$E40),IF($F40="Sí",2,1),0)</x:f>
        <x:v>0</x:v>
      </x:c>
      <x:c r="AN40" s="33" t="n">
        <x:f>IF(AND(34&gt;=$D40,34&lt;=$E40),IF($F40="Sí",2,1),0)</x:f>
        <x:v>0</x:v>
      </x:c>
      <x:c r="AO40" s="33" t="n">
        <x:f>IF(AND(35&gt;=$D40,35&lt;=$E40),IF($F40="Sí",2,1),0)</x:f>
        <x:v>0</x:v>
      </x:c>
    </x:row>
    <x:row r="41" ht="36" customHeight="1">
      <x:c r="A41" s="3" t="str">
        <x:v>T36</x:v>
      </x:c>
      <x:c r="B41" s="16" t="str">
        <x:v>4.03 · Validar accesibilidad y comprensión</x:v>
      </x:c>
      <x:c r="C41" s="16" t="str">
        <x:v>Empresa · UX</x:v>
      </x:c>
      <x:c r="D41" s="3" t="n">
        <x:f>'EDT Y TAREAS'!T41</x:f>
        <x:v>19</x:v>
      </x:c>
      <x:c r="E41" s="3" t="n">
        <x:f>'EDT Y TAREAS'!U41</x:f>
        <x:v>21</x:v>
      </x:c>
      <x:c r="F41" s="3" t="str">
        <x:f>'EDT Y TAREAS'!S41</x:f>
        <x:v>No</x:v>
      </x:c>
      <x:c r="G41" s="32" t="n">
        <x:f>IF(AND(1&gt;=$D41,1&lt;=$E41),IF($F41="Sí",2,1),0)</x:f>
        <x:v>0</x:v>
      </x:c>
      <x:c r="H41" s="32" t="n">
        <x:f>IF(AND(2&gt;=$D41,2&lt;=$E41),IF($F41="Sí",2,1),0)</x:f>
        <x:v>0</x:v>
      </x:c>
      <x:c r="I41" s="32" t="n">
        <x:f>IF(AND(3&gt;=$D41,3&lt;=$E41),IF($F41="Sí",2,1),0)</x:f>
        <x:v>0</x:v>
      </x:c>
      <x:c r="J41" s="32" t="n">
        <x:f>IF(AND(4&gt;=$D41,4&lt;=$E41),IF($F41="Sí",2,1),0)</x:f>
        <x:v>0</x:v>
      </x:c>
      <x:c r="K41" s="32" t="n">
        <x:f>IF(AND(5&gt;=$D41,5&lt;=$E41),IF($F41="Sí",2,1),0)</x:f>
        <x:v>0</x:v>
      </x:c>
      <x:c r="L41" s="32" t="n">
        <x:f>IF(AND(6&gt;=$D41,6&lt;=$E41),IF($F41="Sí",2,1),0)</x:f>
        <x:v>0</x:v>
      </x:c>
      <x:c r="M41" s="32" t="n">
        <x:f>IF(AND(7&gt;=$D41,7&lt;=$E41),IF($F41="Sí",2,1),0)</x:f>
        <x:v>0</x:v>
      </x:c>
      <x:c r="N41" s="32" t="n">
        <x:f>IF(AND(8&gt;=$D41,8&lt;=$E41),IF($F41="Sí",2,1),0)</x:f>
        <x:v>0</x:v>
      </x:c>
      <x:c r="O41" s="32" t="n">
        <x:f>IF(AND(9&gt;=$D41,9&lt;=$E41),IF($F41="Sí",2,1),0)</x:f>
        <x:v>0</x:v>
      </x:c>
      <x:c r="P41" s="32" t="n">
        <x:f>IF(AND(10&gt;=$D41,10&lt;=$E41),IF($F41="Sí",2,1),0)</x:f>
        <x:v>0</x:v>
      </x:c>
      <x:c r="Q41" s="32" t="n">
        <x:f>IF(AND(11&gt;=$D41,11&lt;=$E41),IF($F41="Sí",2,1),0)</x:f>
        <x:v>0</x:v>
      </x:c>
      <x:c r="R41" s="32" t="n">
        <x:f>IF(AND(12&gt;=$D41,12&lt;=$E41),IF($F41="Sí",2,1),0)</x:f>
        <x:v>0</x:v>
      </x:c>
      <x:c r="S41" s="32" t="n">
        <x:f>IF(AND(13&gt;=$D41,13&lt;=$E41),IF($F41="Sí",2,1),0)</x:f>
        <x:v>0</x:v>
      </x:c>
      <x:c r="T41" s="32" t="n">
        <x:f>IF(AND(14&gt;=$D41,14&lt;=$E41),IF($F41="Sí",2,1),0)</x:f>
        <x:v>0</x:v>
      </x:c>
      <x:c r="U41" s="32" t="n">
        <x:f>IF(AND(15&gt;=$D41,15&lt;=$E41),IF($F41="Sí",2,1),0)</x:f>
        <x:v>0</x:v>
      </x:c>
      <x:c r="V41" s="32" t="n">
        <x:f>IF(AND(16&gt;=$D41,16&lt;=$E41),IF($F41="Sí",2,1),0)</x:f>
        <x:v>0</x:v>
      </x:c>
      <x:c r="W41" s="32" t="n">
        <x:f>IF(AND(17&gt;=$D41,17&lt;=$E41),IF($F41="Sí",2,1),0)</x:f>
        <x:v>0</x:v>
      </x:c>
      <x:c r="X41" s="32" t="n">
        <x:f>IF(AND(18&gt;=$D41,18&lt;=$E41),IF($F41="Sí",2,1),0)</x:f>
        <x:v>0</x:v>
      </x:c>
      <x:c r="Y41" s="32" t="n">
        <x:f>IF(AND(19&gt;=$D41,19&lt;=$E41),IF($F41="Sí",2,1),0)</x:f>
        <x:v>1</x:v>
      </x:c>
      <x:c r="Z41" s="32" t="n">
        <x:f>IF(AND(20&gt;=$D41,20&lt;=$E41),IF($F41="Sí",2,1),0)</x:f>
        <x:v>1</x:v>
      </x:c>
      <x:c r="AA41" s="32" t="n">
        <x:f>IF(AND(21&gt;=$D41,21&lt;=$E41),IF($F41="Sí",2,1),0)</x:f>
        <x:v>1</x:v>
      </x:c>
      <x:c r="AB41" s="32" t="n">
        <x:f>IF(AND(22&gt;=$D41,22&lt;=$E41),IF($F41="Sí",2,1),0)</x:f>
        <x:v>0</x:v>
      </x:c>
      <x:c r="AC41" s="32" t="n">
        <x:f>IF(AND(23&gt;=$D41,23&lt;=$E41),IF($F41="Sí",2,1),0)</x:f>
        <x:v>0</x:v>
      </x:c>
      <x:c r="AD41" s="32" t="n">
        <x:f>IF(AND(24&gt;=$D41,24&lt;=$E41),IF($F41="Sí",2,1),0)</x:f>
        <x:v>0</x:v>
      </x:c>
      <x:c r="AE41" s="32" t="n">
        <x:f>IF(AND(25&gt;=$D41,25&lt;=$E41),IF($F41="Sí",2,1),0)</x:f>
        <x:v>0</x:v>
      </x:c>
      <x:c r="AF41" s="32" t="n">
        <x:f>IF(AND(26&gt;=$D41,26&lt;=$E41),IF($F41="Sí",2,1),0)</x:f>
        <x:v>0</x:v>
      </x:c>
      <x:c r="AG41" s="32" t="n">
        <x:f>IF(AND(27&gt;=$D41,27&lt;=$E41),IF($F41="Sí",2,1),0)</x:f>
        <x:v>0</x:v>
      </x:c>
      <x:c r="AH41" s="32" t="n">
        <x:f>IF(AND(28&gt;=$D41,28&lt;=$E41),IF($F41="Sí",2,1),0)</x:f>
        <x:v>0</x:v>
      </x:c>
      <x:c r="AI41" s="32" t="n">
        <x:f>IF(AND(29&gt;=$D41,29&lt;=$E41),IF($F41="Sí",2,1),0)</x:f>
        <x:v>0</x:v>
      </x:c>
      <x:c r="AJ41" s="32" t="n">
        <x:f>IF(AND(30&gt;=$D41,30&lt;=$E41),IF($F41="Sí",2,1),0)</x:f>
        <x:v>0</x:v>
      </x:c>
      <x:c r="AK41" s="32" t="n">
        <x:f>IF(AND(31&gt;=$D41,31&lt;=$E41),IF($F41="Sí",2,1),0)</x:f>
        <x:v>0</x:v>
      </x:c>
      <x:c r="AL41" s="32" t="n">
        <x:f>IF(AND(32&gt;=$D41,32&lt;=$E41),IF($F41="Sí",2,1),0)</x:f>
        <x:v>0</x:v>
      </x:c>
      <x:c r="AM41" s="32" t="n">
        <x:f>IF(AND(33&gt;=$D41,33&lt;=$E41),IF($F41="Sí",2,1),0)</x:f>
        <x:v>0</x:v>
      </x:c>
      <x:c r="AN41" s="33" t="n">
        <x:f>IF(AND(34&gt;=$D41,34&lt;=$E41),IF($F41="Sí",2,1),0)</x:f>
        <x:v>0</x:v>
      </x:c>
      <x:c r="AO41" s="33" t="n">
        <x:f>IF(AND(35&gt;=$D41,35&lt;=$E41),IF($F41="Sí",2,1),0)</x:f>
        <x:v>0</x:v>
      </x:c>
    </x:row>
    <x:row r="42" ht="36" customHeight="1">
      <x:c r="A42" s="3" t="str">
        <x:v>T37</x:v>
      </x:c>
      <x:c r="B42" s="16" t="str">
        <x:v>4.04 · Revisión de seguridad previa al piloto</x:v>
      </x:c>
      <x:c r="C42" s="16" t="str">
        <x:v>Empresa · operación</x:v>
      </x:c>
      <x:c r="D42" s="3" t="n">
        <x:f>'EDT Y TAREAS'!T42</x:f>
        <x:v>22</x:v>
      </x:c>
      <x:c r="E42" s="3" t="n">
        <x:f>'EDT Y TAREAS'!U42</x:f>
        <x:v>23</x:v>
      </x:c>
      <x:c r="F42" s="3" t="str">
        <x:f>'EDT Y TAREAS'!S42</x:f>
        <x:v>Sí</x:v>
      </x:c>
      <x:c r="G42" s="32" t="n">
        <x:f>IF(AND(1&gt;=$D42,1&lt;=$E42),IF($F42="Sí",2,1),0)</x:f>
        <x:v>0</x:v>
      </x:c>
      <x:c r="H42" s="32" t="n">
        <x:f>IF(AND(2&gt;=$D42,2&lt;=$E42),IF($F42="Sí",2,1),0)</x:f>
        <x:v>0</x:v>
      </x:c>
      <x:c r="I42" s="32" t="n">
        <x:f>IF(AND(3&gt;=$D42,3&lt;=$E42),IF($F42="Sí",2,1),0)</x:f>
        <x:v>0</x:v>
      </x:c>
      <x:c r="J42" s="32" t="n">
        <x:f>IF(AND(4&gt;=$D42,4&lt;=$E42),IF($F42="Sí",2,1),0)</x:f>
        <x:v>0</x:v>
      </x:c>
      <x:c r="K42" s="32" t="n">
        <x:f>IF(AND(5&gt;=$D42,5&lt;=$E42),IF($F42="Sí",2,1),0)</x:f>
        <x:v>0</x:v>
      </x:c>
      <x:c r="L42" s="32" t="n">
        <x:f>IF(AND(6&gt;=$D42,6&lt;=$E42),IF($F42="Sí",2,1),0)</x:f>
        <x:v>0</x:v>
      </x:c>
      <x:c r="M42" s="32" t="n">
        <x:f>IF(AND(7&gt;=$D42,7&lt;=$E42),IF($F42="Sí",2,1),0)</x:f>
        <x:v>0</x:v>
      </x:c>
      <x:c r="N42" s="32" t="n">
        <x:f>IF(AND(8&gt;=$D42,8&lt;=$E42),IF($F42="Sí",2,1),0)</x:f>
        <x:v>0</x:v>
      </x:c>
      <x:c r="O42" s="32" t="n">
        <x:f>IF(AND(9&gt;=$D42,9&lt;=$E42),IF($F42="Sí",2,1),0)</x:f>
        <x:v>0</x:v>
      </x:c>
      <x:c r="P42" s="32" t="n">
        <x:f>IF(AND(10&gt;=$D42,10&lt;=$E42),IF($F42="Sí",2,1),0)</x:f>
        <x:v>0</x:v>
      </x:c>
      <x:c r="Q42" s="32" t="n">
        <x:f>IF(AND(11&gt;=$D42,11&lt;=$E42),IF($F42="Sí",2,1),0)</x:f>
        <x:v>0</x:v>
      </x:c>
      <x:c r="R42" s="32" t="n">
        <x:f>IF(AND(12&gt;=$D42,12&lt;=$E42),IF($F42="Sí",2,1),0)</x:f>
        <x:v>0</x:v>
      </x:c>
      <x:c r="S42" s="32" t="n">
        <x:f>IF(AND(13&gt;=$D42,13&lt;=$E42),IF($F42="Sí",2,1),0)</x:f>
        <x:v>0</x:v>
      </x:c>
      <x:c r="T42" s="32" t="n">
        <x:f>IF(AND(14&gt;=$D42,14&lt;=$E42),IF($F42="Sí",2,1),0)</x:f>
        <x:v>0</x:v>
      </x:c>
      <x:c r="U42" s="32" t="n">
        <x:f>IF(AND(15&gt;=$D42,15&lt;=$E42),IF($F42="Sí",2,1),0)</x:f>
        <x:v>0</x:v>
      </x:c>
      <x:c r="V42" s="32" t="n">
        <x:f>IF(AND(16&gt;=$D42,16&lt;=$E42),IF($F42="Sí",2,1),0)</x:f>
        <x:v>0</x:v>
      </x:c>
      <x:c r="W42" s="32" t="n">
        <x:f>IF(AND(17&gt;=$D42,17&lt;=$E42),IF($F42="Sí",2,1),0)</x:f>
        <x:v>0</x:v>
      </x:c>
      <x:c r="X42" s="32" t="n">
        <x:f>IF(AND(18&gt;=$D42,18&lt;=$E42),IF($F42="Sí",2,1),0)</x:f>
        <x:v>0</x:v>
      </x:c>
      <x:c r="Y42" s="32" t="n">
        <x:f>IF(AND(19&gt;=$D42,19&lt;=$E42),IF($F42="Sí",2,1),0)</x:f>
        <x:v>0</x:v>
      </x:c>
      <x:c r="Z42" s="32" t="n">
        <x:f>IF(AND(20&gt;=$D42,20&lt;=$E42),IF($F42="Sí",2,1),0)</x:f>
        <x:v>0</x:v>
      </x:c>
      <x:c r="AA42" s="32" t="n">
        <x:f>IF(AND(21&gt;=$D42,21&lt;=$E42),IF($F42="Sí",2,1),0)</x:f>
        <x:v>0</x:v>
      </x:c>
      <x:c r="AB42" s="32" t="n">
        <x:f>IF(AND(22&gt;=$D42,22&lt;=$E42),IF($F42="Sí",2,1),0)</x:f>
        <x:v>2</x:v>
      </x:c>
      <x:c r="AC42" s="32" t="n">
        <x:f>IF(AND(23&gt;=$D42,23&lt;=$E42),IF($F42="Sí",2,1),0)</x:f>
        <x:v>2</x:v>
      </x:c>
      <x:c r="AD42" s="32" t="n">
        <x:f>IF(AND(24&gt;=$D42,24&lt;=$E42),IF($F42="Sí",2,1),0)</x:f>
        <x:v>0</x:v>
      </x:c>
      <x:c r="AE42" s="32" t="n">
        <x:f>IF(AND(25&gt;=$D42,25&lt;=$E42),IF($F42="Sí",2,1),0)</x:f>
        <x:v>0</x:v>
      </x:c>
      <x:c r="AF42" s="32" t="n">
        <x:f>IF(AND(26&gt;=$D42,26&lt;=$E42),IF($F42="Sí",2,1),0)</x:f>
        <x:v>0</x:v>
      </x:c>
      <x:c r="AG42" s="32" t="n">
        <x:f>IF(AND(27&gt;=$D42,27&lt;=$E42),IF($F42="Sí",2,1),0)</x:f>
        <x:v>0</x:v>
      </x:c>
      <x:c r="AH42" s="32" t="n">
        <x:f>IF(AND(28&gt;=$D42,28&lt;=$E42),IF($F42="Sí",2,1),0)</x:f>
        <x:v>0</x:v>
      </x:c>
      <x:c r="AI42" s="32" t="n">
        <x:f>IF(AND(29&gt;=$D42,29&lt;=$E42),IF($F42="Sí",2,1),0)</x:f>
        <x:v>0</x:v>
      </x:c>
      <x:c r="AJ42" s="32" t="n">
        <x:f>IF(AND(30&gt;=$D42,30&lt;=$E42),IF($F42="Sí",2,1),0)</x:f>
        <x:v>0</x:v>
      </x:c>
      <x:c r="AK42" s="32" t="n">
        <x:f>IF(AND(31&gt;=$D42,31&lt;=$E42),IF($F42="Sí",2,1),0)</x:f>
        <x:v>0</x:v>
      </x:c>
      <x:c r="AL42" s="32" t="n">
        <x:f>IF(AND(32&gt;=$D42,32&lt;=$E42),IF($F42="Sí",2,1),0)</x:f>
        <x:v>0</x:v>
      </x:c>
      <x:c r="AM42" s="32" t="n">
        <x:f>IF(AND(33&gt;=$D42,33&lt;=$E42),IF($F42="Sí",2,1),0)</x:f>
        <x:v>0</x:v>
      </x:c>
      <x:c r="AN42" s="33" t="n">
        <x:f>IF(AND(34&gt;=$D42,34&lt;=$E42),IF($F42="Sí",2,1),0)</x:f>
        <x:v>0</x:v>
      </x:c>
      <x:c r="AO42" s="33" t="n">
        <x:f>IF(AND(35&gt;=$D42,35&lt;=$E42),IF($F42="Sí",2,1),0)</x:f>
        <x:v>0</x:v>
      </x:c>
    </x:row>
    <x:row r="43" ht="36" customHeight="1">
      <x:c r="A43" s="3" t="str">
        <x:v>T38</x:v>
      </x:c>
      <x:c r="B43" s="16" t="str">
        <x:v>4.05 · Autorizar piloto con datos reales</x:v>
      </x:c>
      <x:c r="C43" s="16" t="str">
        <x:v>Alonso Peña</x:v>
      </x:c>
      <x:c r="D43" s="3" t="n">
        <x:f>'EDT Y TAREAS'!T43</x:f>
        <x:v>23</x:v>
      </x:c>
      <x:c r="E43" s="3" t="n">
        <x:f>'EDT Y TAREAS'!U43</x:f>
        <x:v>24</x:v>
      </x:c>
      <x:c r="F43" s="3" t="str">
        <x:f>'EDT Y TAREAS'!S43</x:f>
        <x:v>Sí</x:v>
      </x:c>
      <x:c r="G43" s="32" t="n">
        <x:f>IF(AND(1&gt;=$D43,1&lt;=$E43),IF($F43="Sí",2,1),0)</x:f>
        <x:v>0</x:v>
      </x:c>
      <x:c r="H43" s="32" t="n">
        <x:f>IF(AND(2&gt;=$D43,2&lt;=$E43),IF($F43="Sí",2,1),0)</x:f>
        <x:v>0</x:v>
      </x:c>
      <x:c r="I43" s="32" t="n">
        <x:f>IF(AND(3&gt;=$D43,3&lt;=$E43),IF($F43="Sí",2,1),0)</x:f>
        <x:v>0</x:v>
      </x:c>
      <x:c r="J43" s="32" t="n">
        <x:f>IF(AND(4&gt;=$D43,4&lt;=$E43),IF($F43="Sí",2,1),0)</x:f>
        <x:v>0</x:v>
      </x:c>
      <x:c r="K43" s="32" t="n">
        <x:f>IF(AND(5&gt;=$D43,5&lt;=$E43),IF($F43="Sí",2,1),0)</x:f>
        <x:v>0</x:v>
      </x:c>
      <x:c r="L43" s="32" t="n">
        <x:f>IF(AND(6&gt;=$D43,6&lt;=$E43),IF($F43="Sí",2,1),0)</x:f>
        <x:v>0</x:v>
      </x:c>
      <x:c r="M43" s="32" t="n">
        <x:f>IF(AND(7&gt;=$D43,7&lt;=$E43),IF($F43="Sí",2,1),0)</x:f>
        <x:v>0</x:v>
      </x:c>
      <x:c r="N43" s="32" t="n">
        <x:f>IF(AND(8&gt;=$D43,8&lt;=$E43),IF($F43="Sí",2,1),0)</x:f>
        <x:v>0</x:v>
      </x:c>
      <x:c r="O43" s="32" t="n">
        <x:f>IF(AND(9&gt;=$D43,9&lt;=$E43),IF($F43="Sí",2,1),0)</x:f>
        <x:v>0</x:v>
      </x:c>
      <x:c r="P43" s="32" t="n">
        <x:f>IF(AND(10&gt;=$D43,10&lt;=$E43),IF($F43="Sí",2,1),0)</x:f>
        <x:v>0</x:v>
      </x:c>
      <x:c r="Q43" s="32" t="n">
        <x:f>IF(AND(11&gt;=$D43,11&lt;=$E43),IF($F43="Sí",2,1),0)</x:f>
        <x:v>0</x:v>
      </x:c>
      <x:c r="R43" s="32" t="n">
        <x:f>IF(AND(12&gt;=$D43,12&lt;=$E43),IF($F43="Sí",2,1),0)</x:f>
        <x:v>0</x:v>
      </x:c>
      <x:c r="S43" s="32" t="n">
        <x:f>IF(AND(13&gt;=$D43,13&lt;=$E43),IF($F43="Sí",2,1),0)</x:f>
        <x:v>0</x:v>
      </x:c>
      <x:c r="T43" s="32" t="n">
        <x:f>IF(AND(14&gt;=$D43,14&lt;=$E43),IF($F43="Sí",2,1),0)</x:f>
        <x:v>0</x:v>
      </x:c>
      <x:c r="U43" s="32" t="n">
        <x:f>IF(AND(15&gt;=$D43,15&lt;=$E43),IF($F43="Sí",2,1),0)</x:f>
        <x:v>0</x:v>
      </x:c>
      <x:c r="V43" s="32" t="n">
        <x:f>IF(AND(16&gt;=$D43,16&lt;=$E43),IF($F43="Sí",2,1),0)</x:f>
        <x:v>0</x:v>
      </x:c>
      <x:c r="W43" s="32" t="n">
        <x:f>IF(AND(17&gt;=$D43,17&lt;=$E43),IF($F43="Sí",2,1),0)</x:f>
        <x:v>0</x:v>
      </x:c>
      <x:c r="X43" s="32" t="n">
        <x:f>IF(AND(18&gt;=$D43,18&lt;=$E43),IF($F43="Sí",2,1),0)</x:f>
        <x:v>0</x:v>
      </x:c>
      <x:c r="Y43" s="32" t="n">
        <x:f>IF(AND(19&gt;=$D43,19&lt;=$E43),IF($F43="Sí",2,1),0)</x:f>
        <x:v>0</x:v>
      </x:c>
      <x:c r="Z43" s="32" t="n">
        <x:f>IF(AND(20&gt;=$D43,20&lt;=$E43),IF($F43="Sí",2,1),0)</x:f>
        <x:v>0</x:v>
      </x:c>
      <x:c r="AA43" s="32" t="n">
        <x:f>IF(AND(21&gt;=$D43,21&lt;=$E43),IF($F43="Sí",2,1),0)</x:f>
        <x:v>0</x:v>
      </x:c>
      <x:c r="AB43" s="32" t="n">
        <x:f>IF(AND(22&gt;=$D43,22&lt;=$E43),IF($F43="Sí",2,1),0)</x:f>
        <x:v>0</x:v>
      </x:c>
      <x:c r="AC43" s="32" t="n">
        <x:f>IF(AND(23&gt;=$D43,23&lt;=$E43),IF($F43="Sí",2,1),0)</x:f>
        <x:v>2</x:v>
      </x:c>
      <x:c r="AD43" s="32" t="n">
        <x:f>IF(AND(24&gt;=$D43,24&lt;=$E43),IF($F43="Sí",2,1),0)</x:f>
        <x:v>2</x:v>
      </x:c>
      <x:c r="AE43" s="32" t="n">
        <x:f>IF(AND(25&gt;=$D43,25&lt;=$E43),IF($F43="Sí",2,1),0)</x:f>
        <x:v>0</x:v>
      </x:c>
      <x:c r="AF43" s="32" t="n">
        <x:f>IF(AND(26&gt;=$D43,26&lt;=$E43),IF($F43="Sí",2,1),0)</x:f>
        <x:v>0</x:v>
      </x:c>
      <x:c r="AG43" s="32" t="n">
        <x:f>IF(AND(27&gt;=$D43,27&lt;=$E43),IF($F43="Sí",2,1),0)</x:f>
        <x:v>0</x:v>
      </x:c>
      <x:c r="AH43" s="32" t="n">
        <x:f>IF(AND(28&gt;=$D43,28&lt;=$E43),IF($F43="Sí",2,1),0)</x:f>
        <x:v>0</x:v>
      </x:c>
      <x:c r="AI43" s="32" t="n">
        <x:f>IF(AND(29&gt;=$D43,29&lt;=$E43),IF($F43="Sí",2,1),0)</x:f>
        <x:v>0</x:v>
      </x:c>
      <x:c r="AJ43" s="32" t="n">
        <x:f>IF(AND(30&gt;=$D43,30&lt;=$E43),IF($F43="Sí",2,1),0)</x:f>
        <x:v>0</x:v>
      </x:c>
      <x:c r="AK43" s="32" t="n">
        <x:f>IF(AND(31&gt;=$D43,31&lt;=$E43),IF($F43="Sí",2,1),0)</x:f>
        <x:v>0</x:v>
      </x:c>
      <x:c r="AL43" s="32" t="n">
        <x:f>IF(AND(32&gt;=$D43,32&lt;=$E43),IF($F43="Sí",2,1),0)</x:f>
        <x:v>0</x:v>
      </x:c>
      <x:c r="AM43" s="32" t="n">
        <x:f>IF(AND(33&gt;=$D43,33&lt;=$E43),IF($F43="Sí",2,1),0)</x:f>
        <x:v>0</x:v>
      </x:c>
      <x:c r="AN43" s="33" t="n">
        <x:f>IF(AND(34&gt;=$D43,34&lt;=$E43),IF($F43="Sí",2,1),0)</x:f>
        <x:v>0</x:v>
      </x:c>
      <x:c r="AO43" s="33" t="n">
        <x:f>IF(AND(35&gt;=$D43,35&lt;=$E43),IF($F43="Sí",2,1),0)</x:f>
        <x:v>0</x:v>
      </x:c>
    </x:row>
    <x:row r="44" ht="36" customHeight="1">
      <x:c r="A44" s="3" t="str">
        <x:v>T39</x:v>
      </x:c>
      <x:c r="B44" s="16" t="str">
        <x:v>4.06 · Ejecutar primera ronda con tres organizaciones</x:v>
      </x:c>
      <x:c r="C44" s="16" t="str">
        <x:v>Alonso Peña</x:v>
      </x:c>
      <x:c r="D44" s="3" t="n">
        <x:f>'EDT Y TAREAS'!T44</x:f>
        <x:v>24</x:v>
      </x:c>
      <x:c r="E44" s="3" t="n">
        <x:f>'EDT Y TAREAS'!U44</x:f>
        <x:v>25</x:v>
      </x:c>
      <x:c r="F44" s="3" t="str">
        <x:f>'EDT Y TAREAS'!S44</x:f>
        <x:v>Sí</x:v>
      </x:c>
      <x:c r="G44" s="32" t="n">
        <x:f>IF(AND(1&gt;=$D44,1&lt;=$E44),IF($F44="Sí",2,1),0)</x:f>
        <x:v>0</x:v>
      </x:c>
      <x:c r="H44" s="32" t="n">
        <x:f>IF(AND(2&gt;=$D44,2&lt;=$E44),IF($F44="Sí",2,1),0)</x:f>
        <x:v>0</x:v>
      </x:c>
      <x:c r="I44" s="32" t="n">
        <x:f>IF(AND(3&gt;=$D44,3&lt;=$E44),IF($F44="Sí",2,1),0)</x:f>
        <x:v>0</x:v>
      </x:c>
      <x:c r="J44" s="32" t="n">
        <x:f>IF(AND(4&gt;=$D44,4&lt;=$E44),IF($F44="Sí",2,1),0)</x:f>
        <x:v>0</x:v>
      </x:c>
      <x:c r="K44" s="32" t="n">
        <x:f>IF(AND(5&gt;=$D44,5&lt;=$E44),IF($F44="Sí",2,1),0)</x:f>
        <x:v>0</x:v>
      </x:c>
      <x:c r="L44" s="32" t="n">
        <x:f>IF(AND(6&gt;=$D44,6&lt;=$E44),IF($F44="Sí",2,1),0)</x:f>
        <x:v>0</x:v>
      </x:c>
      <x:c r="M44" s="32" t="n">
        <x:f>IF(AND(7&gt;=$D44,7&lt;=$E44),IF($F44="Sí",2,1),0)</x:f>
        <x:v>0</x:v>
      </x:c>
      <x:c r="N44" s="32" t="n">
        <x:f>IF(AND(8&gt;=$D44,8&lt;=$E44),IF($F44="Sí",2,1),0)</x:f>
        <x:v>0</x:v>
      </x:c>
      <x:c r="O44" s="32" t="n">
        <x:f>IF(AND(9&gt;=$D44,9&lt;=$E44),IF($F44="Sí",2,1),0)</x:f>
        <x:v>0</x:v>
      </x:c>
      <x:c r="P44" s="32" t="n">
        <x:f>IF(AND(10&gt;=$D44,10&lt;=$E44),IF($F44="Sí",2,1),0)</x:f>
        <x:v>0</x:v>
      </x:c>
      <x:c r="Q44" s="32" t="n">
        <x:f>IF(AND(11&gt;=$D44,11&lt;=$E44),IF($F44="Sí",2,1),0)</x:f>
        <x:v>0</x:v>
      </x:c>
      <x:c r="R44" s="32" t="n">
        <x:f>IF(AND(12&gt;=$D44,12&lt;=$E44),IF($F44="Sí",2,1),0)</x:f>
        <x:v>0</x:v>
      </x:c>
      <x:c r="S44" s="32" t="n">
        <x:f>IF(AND(13&gt;=$D44,13&lt;=$E44),IF($F44="Sí",2,1),0)</x:f>
        <x:v>0</x:v>
      </x:c>
      <x:c r="T44" s="32" t="n">
        <x:f>IF(AND(14&gt;=$D44,14&lt;=$E44),IF($F44="Sí",2,1),0)</x:f>
        <x:v>0</x:v>
      </x:c>
      <x:c r="U44" s="32" t="n">
        <x:f>IF(AND(15&gt;=$D44,15&lt;=$E44),IF($F44="Sí",2,1),0)</x:f>
        <x:v>0</x:v>
      </x:c>
      <x:c r="V44" s="32" t="n">
        <x:f>IF(AND(16&gt;=$D44,16&lt;=$E44),IF($F44="Sí",2,1),0)</x:f>
        <x:v>0</x:v>
      </x:c>
      <x:c r="W44" s="32" t="n">
        <x:f>IF(AND(17&gt;=$D44,17&lt;=$E44),IF($F44="Sí",2,1),0)</x:f>
        <x:v>0</x:v>
      </x:c>
      <x:c r="X44" s="32" t="n">
        <x:f>IF(AND(18&gt;=$D44,18&lt;=$E44),IF($F44="Sí",2,1),0)</x:f>
        <x:v>0</x:v>
      </x:c>
      <x:c r="Y44" s="32" t="n">
        <x:f>IF(AND(19&gt;=$D44,19&lt;=$E44),IF($F44="Sí",2,1),0)</x:f>
        <x:v>0</x:v>
      </x:c>
      <x:c r="Z44" s="32" t="n">
        <x:f>IF(AND(20&gt;=$D44,20&lt;=$E44),IF($F44="Sí",2,1),0)</x:f>
        <x:v>0</x:v>
      </x:c>
      <x:c r="AA44" s="32" t="n">
        <x:f>IF(AND(21&gt;=$D44,21&lt;=$E44),IF($F44="Sí",2,1),0)</x:f>
        <x:v>0</x:v>
      </x:c>
      <x:c r="AB44" s="32" t="n">
        <x:f>IF(AND(22&gt;=$D44,22&lt;=$E44),IF($F44="Sí",2,1),0)</x:f>
        <x:v>0</x:v>
      </x:c>
      <x:c r="AC44" s="32" t="n">
        <x:f>IF(AND(23&gt;=$D44,23&lt;=$E44),IF($F44="Sí",2,1),0)</x:f>
        <x:v>0</x:v>
      </x:c>
      <x:c r="AD44" s="32" t="n">
        <x:f>IF(AND(24&gt;=$D44,24&lt;=$E44),IF($F44="Sí",2,1),0)</x:f>
        <x:v>2</x:v>
      </x:c>
      <x:c r="AE44" s="32" t="n">
        <x:f>IF(AND(25&gt;=$D44,25&lt;=$E44),IF($F44="Sí",2,1),0)</x:f>
        <x:v>2</x:v>
      </x:c>
      <x:c r="AF44" s="32" t="n">
        <x:f>IF(AND(26&gt;=$D44,26&lt;=$E44),IF($F44="Sí",2,1),0)</x:f>
        <x:v>0</x:v>
      </x:c>
      <x:c r="AG44" s="32" t="n">
        <x:f>IF(AND(27&gt;=$D44,27&lt;=$E44),IF($F44="Sí",2,1),0)</x:f>
        <x:v>0</x:v>
      </x:c>
      <x:c r="AH44" s="32" t="n">
        <x:f>IF(AND(28&gt;=$D44,28&lt;=$E44),IF($F44="Sí",2,1),0)</x:f>
        <x:v>0</x:v>
      </x:c>
      <x:c r="AI44" s="32" t="n">
        <x:f>IF(AND(29&gt;=$D44,29&lt;=$E44),IF($F44="Sí",2,1),0)</x:f>
        <x:v>0</x:v>
      </x:c>
      <x:c r="AJ44" s="32" t="n">
        <x:f>IF(AND(30&gt;=$D44,30&lt;=$E44),IF($F44="Sí",2,1),0)</x:f>
        <x:v>0</x:v>
      </x:c>
      <x:c r="AK44" s="32" t="n">
        <x:f>IF(AND(31&gt;=$D44,31&lt;=$E44),IF($F44="Sí",2,1),0)</x:f>
        <x:v>0</x:v>
      </x:c>
      <x:c r="AL44" s="32" t="n">
        <x:f>IF(AND(32&gt;=$D44,32&lt;=$E44),IF($F44="Sí",2,1),0)</x:f>
        <x:v>0</x:v>
      </x:c>
      <x:c r="AM44" s="32" t="n">
        <x:f>IF(AND(33&gt;=$D44,33&lt;=$E44),IF($F44="Sí",2,1),0)</x:f>
        <x:v>0</x:v>
      </x:c>
      <x:c r="AN44" s="33" t="n">
        <x:f>IF(AND(34&gt;=$D44,34&lt;=$E44),IF($F44="Sí",2,1),0)</x:f>
        <x:v>0</x:v>
      </x:c>
      <x:c r="AO44" s="33" t="n">
        <x:f>IF(AND(35&gt;=$D44,35&lt;=$E44),IF($F44="Sí",2,1),0)</x:f>
        <x:v>0</x:v>
      </x:c>
    </x:row>
    <x:row r="45" ht="36" customHeight="1">
      <x:c r="A45" s="3" t="str">
        <x:v>T40</x:v>
      </x:c>
      <x:c r="B45" s="16" t="str">
        <x:v>4.07 · Corregir defectos del piloto</x:v>
      </x:c>
      <x:c r="C45" s="16" t="str">
        <x:v>Empresa · backend</x:v>
      </x:c>
      <x:c r="D45" s="3" t="n">
        <x:f>'EDT Y TAREAS'!T45</x:f>
        <x:v>25</x:v>
      </x:c>
      <x:c r="E45" s="3" t="n">
        <x:f>'EDT Y TAREAS'!U45</x:f>
        <x:v>27</x:v>
      </x:c>
      <x:c r="F45" s="3" t="str">
        <x:f>'EDT Y TAREAS'!S45</x:f>
        <x:v>Sí</x:v>
      </x:c>
      <x:c r="G45" s="32" t="n">
        <x:f>IF(AND(1&gt;=$D45,1&lt;=$E45),IF($F45="Sí",2,1),0)</x:f>
        <x:v>0</x:v>
      </x:c>
      <x:c r="H45" s="32" t="n">
        <x:f>IF(AND(2&gt;=$D45,2&lt;=$E45),IF($F45="Sí",2,1),0)</x:f>
        <x:v>0</x:v>
      </x:c>
      <x:c r="I45" s="32" t="n">
        <x:f>IF(AND(3&gt;=$D45,3&lt;=$E45),IF($F45="Sí",2,1),0)</x:f>
        <x:v>0</x:v>
      </x:c>
      <x:c r="J45" s="32" t="n">
        <x:f>IF(AND(4&gt;=$D45,4&lt;=$E45),IF($F45="Sí",2,1),0)</x:f>
        <x:v>0</x:v>
      </x:c>
      <x:c r="K45" s="32" t="n">
        <x:f>IF(AND(5&gt;=$D45,5&lt;=$E45),IF($F45="Sí",2,1),0)</x:f>
        <x:v>0</x:v>
      </x:c>
      <x:c r="L45" s="32" t="n">
        <x:f>IF(AND(6&gt;=$D45,6&lt;=$E45),IF($F45="Sí",2,1),0)</x:f>
        <x:v>0</x:v>
      </x:c>
      <x:c r="M45" s="32" t="n">
        <x:f>IF(AND(7&gt;=$D45,7&lt;=$E45),IF($F45="Sí",2,1),0)</x:f>
        <x:v>0</x:v>
      </x:c>
      <x:c r="N45" s="32" t="n">
        <x:f>IF(AND(8&gt;=$D45,8&lt;=$E45),IF($F45="Sí",2,1),0)</x:f>
        <x:v>0</x:v>
      </x:c>
      <x:c r="O45" s="32" t="n">
        <x:f>IF(AND(9&gt;=$D45,9&lt;=$E45),IF($F45="Sí",2,1),0)</x:f>
        <x:v>0</x:v>
      </x:c>
      <x:c r="P45" s="32" t="n">
        <x:f>IF(AND(10&gt;=$D45,10&lt;=$E45),IF($F45="Sí",2,1),0)</x:f>
        <x:v>0</x:v>
      </x:c>
      <x:c r="Q45" s="32" t="n">
        <x:f>IF(AND(11&gt;=$D45,11&lt;=$E45),IF($F45="Sí",2,1),0)</x:f>
        <x:v>0</x:v>
      </x:c>
      <x:c r="R45" s="32" t="n">
        <x:f>IF(AND(12&gt;=$D45,12&lt;=$E45),IF($F45="Sí",2,1),0)</x:f>
        <x:v>0</x:v>
      </x:c>
      <x:c r="S45" s="32" t="n">
        <x:f>IF(AND(13&gt;=$D45,13&lt;=$E45),IF($F45="Sí",2,1),0)</x:f>
        <x:v>0</x:v>
      </x:c>
      <x:c r="T45" s="32" t="n">
        <x:f>IF(AND(14&gt;=$D45,14&lt;=$E45),IF($F45="Sí",2,1),0)</x:f>
        <x:v>0</x:v>
      </x:c>
      <x:c r="U45" s="32" t="n">
        <x:f>IF(AND(15&gt;=$D45,15&lt;=$E45),IF($F45="Sí",2,1),0)</x:f>
        <x:v>0</x:v>
      </x:c>
      <x:c r="V45" s="32" t="n">
        <x:f>IF(AND(16&gt;=$D45,16&lt;=$E45),IF($F45="Sí",2,1),0)</x:f>
        <x:v>0</x:v>
      </x:c>
      <x:c r="W45" s="32" t="n">
        <x:f>IF(AND(17&gt;=$D45,17&lt;=$E45),IF($F45="Sí",2,1),0)</x:f>
        <x:v>0</x:v>
      </x:c>
      <x:c r="X45" s="32" t="n">
        <x:f>IF(AND(18&gt;=$D45,18&lt;=$E45),IF($F45="Sí",2,1),0)</x:f>
        <x:v>0</x:v>
      </x:c>
      <x:c r="Y45" s="32" t="n">
        <x:f>IF(AND(19&gt;=$D45,19&lt;=$E45),IF($F45="Sí",2,1),0)</x:f>
        <x:v>0</x:v>
      </x:c>
      <x:c r="Z45" s="32" t="n">
        <x:f>IF(AND(20&gt;=$D45,20&lt;=$E45),IF($F45="Sí",2,1),0)</x:f>
        <x:v>0</x:v>
      </x:c>
      <x:c r="AA45" s="32" t="n">
        <x:f>IF(AND(21&gt;=$D45,21&lt;=$E45),IF($F45="Sí",2,1),0)</x:f>
        <x:v>0</x:v>
      </x:c>
      <x:c r="AB45" s="32" t="n">
        <x:f>IF(AND(22&gt;=$D45,22&lt;=$E45),IF($F45="Sí",2,1),0)</x:f>
        <x:v>0</x:v>
      </x:c>
      <x:c r="AC45" s="32" t="n">
        <x:f>IF(AND(23&gt;=$D45,23&lt;=$E45),IF($F45="Sí",2,1),0)</x:f>
        <x:v>0</x:v>
      </x:c>
      <x:c r="AD45" s="32" t="n">
        <x:f>IF(AND(24&gt;=$D45,24&lt;=$E45),IF($F45="Sí",2,1),0)</x:f>
        <x:v>0</x:v>
      </x:c>
      <x:c r="AE45" s="32" t="n">
        <x:f>IF(AND(25&gt;=$D45,25&lt;=$E45),IF($F45="Sí",2,1),0)</x:f>
        <x:v>2</x:v>
      </x:c>
      <x:c r="AF45" s="32" t="n">
        <x:f>IF(AND(26&gt;=$D45,26&lt;=$E45),IF($F45="Sí",2,1),0)</x:f>
        <x:v>2</x:v>
      </x:c>
      <x:c r="AG45" s="32" t="n">
        <x:f>IF(AND(27&gt;=$D45,27&lt;=$E45),IF($F45="Sí",2,1),0)</x:f>
        <x:v>2</x:v>
      </x:c>
      <x:c r="AH45" s="32" t="n">
        <x:f>IF(AND(28&gt;=$D45,28&lt;=$E45),IF($F45="Sí",2,1),0)</x:f>
        <x:v>0</x:v>
      </x:c>
      <x:c r="AI45" s="32" t="n">
        <x:f>IF(AND(29&gt;=$D45,29&lt;=$E45),IF($F45="Sí",2,1),0)</x:f>
        <x:v>0</x:v>
      </x:c>
      <x:c r="AJ45" s="32" t="n">
        <x:f>IF(AND(30&gt;=$D45,30&lt;=$E45),IF($F45="Sí",2,1),0)</x:f>
        <x:v>0</x:v>
      </x:c>
      <x:c r="AK45" s="32" t="n">
        <x:f>IF(AND(31&gt;=$D45,31&lt;=$E45),IF($F45="Sí",2,1),0)</x:f>
        <x:v>0</x:v>
      </x:c>
      <x:c r="AL45" s="32" t="n">
        <x:f>IF(AND(32&gt;=$D45,32&lt;=$E45),IF($F45="Sí",2,1),0)</x:f>
        <x:v>0</x:v>
      </x:c>
      <x:c r="AM45" s="32" t="n">
        <x:f>IF(AND(33&gt;=$D45,33&lt;=$E45),IF($F45="Sí",2,1),0)</x:f>
        <x:v>0</x:v>
      </x:c>
      <x:c r="AN45" s="33" t="n">
        <x:f>IF(AND(34&gt;=$D45,34&lt;=$E45),IF($F45="Sí",2,1),0)</x:f>
        <x:v>0</x:v>
      </x:c>
      <x:c r="AO45" s="33" t="n">
        <x:f>IF(AND(35&gt;=$D45,35&lt;=$E45),IF($F45="Sí",2,1),0)</x:f>
        <x:v>0</x:v>
      </x:c>
    </x:row>
    <x:row r="46" ht="36" customHeight="1">
      <x:c r="A46" s="3" t="str">
        <x:v>T41</x:v>
      </x:c>
      <x:c r="B46" s="16" t="str">
        <x:v>4.08 · Repetir piloto y confirmar valor comercial</x:v>
      </x:c>
      <x:c r="C46" s="16" t="str">
        <x:v>Alonso Peña</x:v>
      </x:c>
      <x:c r="D46" s="3" t="n">
        <x:f>'EDT Y TAREAS'!T46</x:f>
        <x:v>27</x:v>
      </x:c>
      <x:c r="E46" s="3" t="n">
        <x:f>'EDT Y TAREAS'!U46</x:f>
        <x:v>28</x:v>
      </x:c>
      <x:c r="F46" s="3" t="str">
        <x:f>'EDT Y TAREAS'!S46</x:f>
        <x:v>Sí</x:v>
      </x:c>
      <x:c r="G46" s="32" t="n">
        <x:f>IF(AND(1&gt;=$D46,1&lt;=$E46),IF($F46="Sí",2,1),0)</x:f>
        <x:v>0</x:v>
      </x:c>
      <x:c r="H46" s="32" t="n">
        <x:f>IF(AND(2&gt;=$D46,2&lt;=$E46),IF($F46="Sí",2,1),0)</x:f>
        <x:v>0</x:v>
      </x:c>
      <x:c r="I46" s="32" t="n">
        <x:f>IF(AND(3&gt;=$D46,3&lt;=$E46),IF($F46="Sí",2,1),0)</x:f>
        <x:v>0</x:v>
      </x:c>
      <x:c r="J46" s="32" t="n">
        <x:f>IF(AND(4&gt;=$D46,4&lt;=$E46),IF($F46="Sí",2,1),0)</x:f>
        <x:v>0</x:v>
      </x:c>
      <x:c r="K46" s="32" t="n">
        <x:f>IF(AND(5&gt;=$D46,5&lt;=$E46),IF($F46="Sí",2,1),0)</x:f>
        <x:v>0</x:v>
      </x:c>
      <x:c r="L46" s="32" t="n">
        <x:f>IF(AND(6&gt;=$D46,6&lt;=$E46),IF($F46="Sí",2,1),0)</x:f>
        <x:v>0</x:v>
      </x:c>
      <x:c r="M46" s="32" t="n">
        <x:f>IF(AND(7&gt;=$D46,7&lt;=$E46),IF($F46="Sí",2,1),0)</x:f>
        <x:v>0</x:v>
      </x:c>
      <x:c r="N46" s="32" t="n">
        <x:f>IF(AND(8&gt;=$D46,8&lt;=$E46),IF($F46="Sí",2,1),0)</x:f>
        <x:v>0</x:v>
      </x:c>
      <x:c r="O46" s="32" t="n">
        <x:f>IF(AND(9&gt;=$D46,9&lt;=$E46),IF($F46="Sí",2,1),0)</x:f>
        <x:v>0</x:v>
      </x:c>
      <x:c r="P46" s="32" t="n">
        <x:f>IF(AND(10&gt;=$D46,10&lt;=$E46),IF($F46="Sí",2,1),0)</x:f>
        <x:v>0</x:v>
      </x:c>
      <x:c r="Q46" s="32" t="n">
        <x:f>IF(AND(11&gt;=$D46,11&lt;=$E46),IF($F46="Sí",2,1),0)</x:f>
        <x:v>0</x:v>
      </x:c>
      <x:c r="R46" s="32" t="n">
        <x:f>IF(AND(12&gt;=$D46,12&lt;=$E46),IF($F46="Sí",2,1),0)</x:f>
        <x:v>0</x:v>
      </x:c>
      <x:c r="S46" s="32" t="n">
        <x:f>IF(AND(13&gt;=$D46,13&lt;=$E46),IF($F46="Sí",2,1),0)</x:f>
        <x:v>0</x:v>
      </x:c>
      <x:c r="T46" s="32" t="n">
        <x:f>IF(AND(14&gt;=$D46,14&lt;=$E46),IF($F46="Sí",2,1),0)</x:f>
        <x:v>0</x:v>
      </x:c>
      <x:c r="U46" s="32" t="n">
        <x:f>IF(AND(15&gt;=$D46,15&lt;=$E46),IF($F46="Sí",2,1),0)</x:f>
        <x:v>0</x:v>
      </x:c>
      <x:c r="V46" s="32" t="n">
        <x:f>IF(AND(16&gt;=$D46,16&lt;=$E46),IF($F46="Sí",2,1),0)</x:f>
        <x:v>0</x:v>
      </x:c>
      <x:c r="W46" s="32" t="n">
        <x:f>IF(AND(17&gt;=$D46,17&lt;=$E46),IF($F46="Sí",2,1),0)</x:f>
        <x:v>0</x:v>
      </x:c>
      <x:c r="X46" s="32" t="n">
        <x:f>IF(AND(18&gt;=$D46,18&lt;=$E46),IF($F46="Sí",2,1),0)</x:f>
        <x:v>0</x:v>
      </x:c>
      <x:c r="Y46" s="32" t="n">
        <x:f>IF(AND(19&gt;=$D46,19&lt;=$E46),IF($F46="Sí",2,1),0)</x:f>
        <x:v>0</x:v>
      </x:c>
      <x:c r="Z46" s="32" t="n">
        <x:f>IF(AND(20&gt;=$D46,20&lt;=$E46),IF($F46="Sí",2,1),0)</x:f>
        <x:v>0</x:v>
      </x:c>
      <x:c r="AA46" s="32" t="n">
        <x:f>IF(AND(21&gt;=$D46,21&lt;=$E46),IF($F46="Sí",2,1),0)</x:f>
        <x:v>0</x:v>
      </x:c>
      <x:c r="AB46" s="32" t="n">
        <x:f>IF(AND(22&gt;=$D46,22&lt;=$E46),IF($F46="Sí",2,1),0)</x:f>
        <x:v>0</x:v>
      </x:c>
      <x:c r="AC46" s="32" t="n">
        <x:f>IF(AND(23&gt;=$D46,23&lt;=$E46),IF($F46="Sí",2,1),0)</x:f>
        <x:v>0</x:v>
      </x:c>
      <x:c r="AD46" s="32" t="n">
        <x:f>IF(AND(24&gt;=$D46,24&lt;=$E46),IF($F46="Sí",2,1),0)</x:f>
        <x:v>0</x:v>
      </x:c>
      <x:c r="AE46" s="32" t="n">
        <x:f>IF(AND(25&gt;=$D46,25&lt;=$E46),IF($F46="Sí",2,1),0)</x:f>
        <x:v>0</x:v>
      </x:c>
      <x:c r="AF46" s="32" t="n">
        <x:f>IF(AND(26&gt;=$D46,26&lt;=$E46),IF($F46="Sí",2,1),0)</x:f>
        <x:v>0</x:v>
      </x:c>
      <x:c r="AG46" s="32" t="n">
        <x:f>IF(AND(27&gt;=$D46,27&lt;=$E46),IF($F46="Sí",2,1),0)</x:f>
        <x:v>2</x:v>
      </x:c>
      <x:c r="AH46" s="32" t="n">
        <x:f>IF(AND(28&gt;=$D46,28&lt;=$E46),IF($F46="Sí",2,1),0)</x:f>
        <x:v>2</x:v>
      </x:c>
      <x:c r="AI46" s="32" t="n">
        <x:f>IF(AND(29&gt;=$D46,29&lt;=$E46),IF($F46="Sí",2,1),0)</x:f>
        <x:v>0</x:v>
      </x:c>
      <x:c r="AJ46" s="32" t="n">
        <x:f>IF(AND(30&gt;=$D46,30&lt;=$E46),IF($F46="Sí",2,1),0)</x:f>
        <x:v>0</x:v>
      </x:c>
      <x:c r="AK46" s="32" t="n">
        <x:f>IF(AND(31&gt;=$D46,31&lt;=$E46),IF($F46="Sí",2,1),0)</x:f>
        <x:v>0</x:v>
      </x:c>
      <x:c r="AL46" s="32" t="n">
        <x:f>IF(AND(32&gt;=$D46,32&lt;=$E46),IF($F46="Sí",2,1),0)</x:f>
        <x:v>0</x:v>
      </x:c>
      <x:c r="AM46" s="32" t="n">
        <x:f>IF(AND(33&gt;=$D46,33&lt;=$E46),IF($F46="Sí",2,1),0)</x:f>
        <x:v>0</x:v>
      </x:c>
      <x:c r="AN46" s="33" t="n">
        <x:f>IF(AND(34&gt;=$D46,34&lt;=$E46),IF($F46="Sí",2,1),0)</x:f>
        <x:v>0</x:v>
      </x:c>
      <x:c r="AO46" s="33" t="n">
        <x:f>IF(AND(35&gt;=$D46,35&lt;=$E46),IF($F46="Sí",2,1),0)</x:f>
        <x:v>0</x:v>
      </x:c>
    </x:row>
    <x:row r="47" ht="36" customHeight="1">
      <x:c r="A47" s="3" t="str">
        <x:v>T42</x:v>
      </x:c>
      <x:c r="B47" s="16" t="str">
        <x:v>5.01 · Preparar y negociar primera venta</x:v>
      </x:c>
      <x:c r="C47" s="16" t="str">
        <x:v>Alejandro Maureira</x:v>
      </x:c>
      <x:c r="D47" s="3" t="n">
        <x:f>'EDT Y TAREAS'!T47</x:f>
        <x:v>25</x:v>
      </x:c>
      <x:c r="E47" s="3" t="n">
        <x:f>'EDT Y TAREAS'!U47</x:f>
        <x:v>27</x:v>
      </x:c>
      <x:c r="F47" s="3" t="str">
        <x:f>'EDT Y TAREAS'!S47</x:f>
        <x:v>No</x:v>
      </x:c>
      <x:c r="G47" s="32" t="n">
        <x:f>IF(AND(1&gt;=$D47,1&lt;=$E47),IF($F47="Sí",2,1),0)</x:f>
        <x:v>0</x:v>
      </x:c>
      <x:c r="H47" s="32" t="n">
        <x:f>IF(AND(2&gt;=$D47,2&lt;=$E47),IF($F47="Sí",2,1),0)</x:f>
        <x:v>0</x:v>
      </x:c>
      <x:c r="I47" s="32" t="n">
        <x:f>IF(AND(3&gt;=$D47,3&lt;=$E47),IF($F47="Sí",2,1),0)</x:f>
        <x:v>0</x:v>
      </x:c>
      <x:c r="J47" s="32" t="n">
        <x:f>IF(AND(4&gt;=$D47,4&lt;=$E47),IF($F47="Sí",2,1),0)</x:f>
        <x:v>0</x:v>
      </x:c>
      <x:c r="K47" s="32" t="n">
        <x:f>IF(AND(5&gt;=$D47,5&lt;=$E47),IF($F47="Sí",2,1),0)</x:f>
        <x:v>0</x:v>
      </x:c>
      <x:c r="L47" s="32" t="n">
        <x:f>IF(AND(6&gt;=$D47,6&lt;=$E47),IF($F47="Sí",2,1),0)</x:f>
        <x:v>0</x:v>
      </x:c>
      <x:c r="M47" s="32" t="n">
        <x:f>IF(AND(7&gt;=$D47,7&lt;=$E47),IF($F47="Sí",2,1),0)</x:f>
        <x:v>0</x:v>
      </x:c>
      <x:c r="N47" s="32" t="n">
        <x:f>IF(AND(8&gt;=$D47,8&lt;=$E47),IF($F47="Sí",2,1),0)</x:f>
        <x:v>0</x:v>
      </x:c>
      <x:c r="O47" s="32" t="n">
        <x:f>IF(AND(9&gt;=$D47,9&lt;=$E47),IF($F47="Sí",2,1),0)</x:f>
        <x:v>0</x:v>
      </x:c>
      <x:c r="P47" s="32" t="n">
        <x:f>IF(AND(10&gt;=$D47,10&lt;=$E47),IF($F47="Sí",2,1),0)</x:f>
        <x:v>0</x:v>
      </x:c>
      <x:c r="Q47" s="32" t="n">
        <x:f>IF(AND(11&gt;=$D47,11&lt;=$E47),IF($F47="Sí",2,1),0)</x:f>
        <x:v>0</x:v>
      </x:c>
      <x:c r="R47" s="32" t="n">
        <x:f>IF(AND(12&gt;=$D47,12&lt;=$E47),IF($F47="Sí",2,1),0)</x:f>
        <x:v>0</x:v>
      </x:c>
      <x:c r="S47" s="32" t="n">
        <x:f>IF(AND(13&gt;=$D47,13&lt;=$E47),IF($F47="Sí",2,1),0)</x:f>
        <x:v>0</x:v>
      </x:c>
      <x:c r="T47" s="32" t="n">
        <x:f>IF(AND(14&gt;=$D47,14&lt;=$E47),IF($F47="Sí",2,1),0)</x:f>
        <x:v>0</x:v>
      </x:c>
      <x:c r="U47" s="32" t="n">
        <x:f>IF(AND(15&gt;=$D47,15&lt;=$E47),IF($F47="Sí",2,1),0)</x:f>
        <x:v>0</x:v>
      </x:c>
      <x:c r="V47" s="32" t="n">
        <x:f>IF(AND(16&gt;=$D47,16&lt;=$E47),IF($F47="Sí",2,1),0)</x:f>
        <x:v>0</x:v>
      </x:c>
      <x:c r="W47" s="32" t="n">
        <x:f>IF(AND(17&gt;=$D47,17&lt;=$E47),IF($F47="Sí",2,1),0)</x:f>
        <x:v>0</x:v>
      </x:c>
      <x:c r="X47" s="32" t="n">
        <x:f>IF(AND(18&gt;=$D47,18&lt;=$E47),IF($F47="Sí",2,1),0)</x:f>
        <x:v>0</x:v>
      </x:c>
      <x:c r="Y47" s="32" t="n">
        <x:f>IF(AND(19&gt;=$D47,19&lt;=$E47),IF($F47="Sí",2,1),0)</x:f>
        <x:v>0</x:v>
      </x:c>
      <x:c r="Z47" s="32" t="n">
        <x:f>IF(AND(20&gt;=$D47,20&lt;=$E47),IF($F47="Sí",2,1),0)</x:f>
        <x:v>0</x:v>
      </x:c>
      <x:c r="AA47" s="32" t="n">
        <x:f>IF(AND(21&gt;=$D47,21&lt;=$E47),IF($F47="Sí",2,1),0)</x:f>
        <x:v>0</x:v>
      </x:c>
      <x:c r="AB47" s="32" t="n">
        <x:f>IF(AND(22&gt;=$D47,22&lt;=$E47),IF($F47="Sí",2,1),0)</x:f>
        <x:v>0</x:v>
      </x:c>
      <x:c r="AC47" s="32" t="n">
        <x:f>IF(AND(23&gt;=$D47,23&lt;=$E47),IF($F47="Sí",2,1),0)</x:f>
        <x:v>0</x:v>
      </x:c>
      <x:c r="AD47" s="32" t="n">
        <x:f>IF(AND(24&gt;=$D47,24&lt;=$E47),IF($F47="Sí",2,1),0)</x:f>
        <x:v>0</x:v>
      </x:c>
      <x:c r="AE47" s="32" t="n">
        <x:f>IF(AND(25&gt;=$D47,25&lt;=$E47),IF($F47="Sí",2,1),0)</x:f>
        <x:v>1</x:v>
      </x:c>
      <x:c r="AF47" s="32" t="n">
        <x:f>IF(AND(26&gt;=$D47,26&lt;=$E47),IF($F47="Sí",2,1),0)</x:f>
        <x:v>1</x:v>
      </x:c>
      <x:c r="AG47" s="32" t="n">
        <x:f>IF(AND(27&gt;=$D47,27&lt;=$E47),IF($F47="Sí",2,1),0)</x:f>
        <x:v>1</x:v>
      </x:c>
      <x:c r="AH47" s="32" t="n">
        <x:f>IF(AND(28&gt;=$D47,28&lt;=$E47),IF($F47="Sí",2,1),0)</x:f>
        <x:v>0</x:v>
      </x:c>
      <x:c r="AI47" s="32" t="n">
        <x:f>IF(AND(29&gt;=$D47,29&lt;=$E47),IF($F47="Sí",2,1),0)</x:f>
        <x:v>0</x:v>
      </x:c>
      <x:c r="AJ47" s="32" t="n">
        <x:f>IF(AND(30&gt;=$D47,30&lt;=$E47),IF($F47="Sí",2,1),0)</x:f>
        <x:v>0</x:v>
      </x:c>
      <x:c r="AK47" s="32" t="n">
        <x:f>IF(AND(31&gt;=$D47,31&lt;=$E47),IF($F47="Sí",2,1),0)</x:f>
        <x:v>0</x:v>
      </x:c>
      <x:c r="AL47" s="32" t="n">
        <x:f>IF(AND(32&gt;=$D47,32&lt;=$E47),IF($F47="Sí",2,1),0)</x:f>
        <x:v>0</x:v>
      </x:c>
      <x:c r="AM47" s="32" t="n">
        <x:f>IF(AND(33&gt;=$D47,33&lt;=$E47),IF($F47="Sí",2,1),0)</x:f>
        <x:v>0</x:v>
      </x:c>
      <x:c r="AN47" s="33" t="n">
        <x:f>IF(AND(34&gt;=$D47,34&lt;=$E47),IF($F47="Sí",2,1),0)</x:f>
        <x:v>0</x:v>
      </x:c>
      <x:c r="AO47" s="33" t="n">
        <x:f>IF(AND(35&gt;=$D47,35&lt;=$E47),IF($F47="Sí",2,1),0)</x:f>
        <x:v>0</x:v>
      </x:c>
    </x:row>
    <x:row r="48" ht="36" customHeight="1">
      <x:c r="A48" s="3" t="str">
        <x:v>T43</x:v>
      </x:c>
      <x:c r="B48" s="16" t="str">
        <x:v>5.02 · Resolver pendientes de experiencia y soporte</x:v>
      </x:c>
      <x:c r="C48" s="16" t="str">
        <x:v>Empresa · frontend</x:v>
      </x:c>
      <x:c r="D48" s="3" t="n">
        <x:f>'EDT Y TAREAS'!T48</x:f>
        <x:v>28</x:v>
      </x:c>
      <x:c r="E48" s="3" t="n">
        <x:f>'EDT Y TAREAS'!U48</x:f>
        <x:v>29</x:v>
      </x:c>
      <x:c r="F48" s="3" t="str">
        <x:f>'EDT Y TAREAS'!S48</x:f>
        <x:v>Sí</x:v>
      </x:c>
      <x:c r="G48" s="32" t="n">
        <x:f>IF(AND(1&gt;=$D48,1&lt;=$E48),IF($F48="Sí",2,1),0)</x:f>
        <x:v>0</x:v>
      </x:c>
      <x:c r="H48" s="32" t="n">
        <x:f>IF(AND(2&gt;=$D48,2&lt;=$E48),IF($F48="Sí",2,1),0)</x:f>
        <x:v>0</x:v>
      </x:c>
      <x:c r="I48" s="32" t="n">
        <x:f>IF(AND(3&gt;=$D48,3&lt;=$E48),IF($F48="Sí",2,1),0)</x:f>
        <x:v>0</x:v>
      </x:c>
      <x:c r="J48" s="32" t="n">
        <x:f>IF(AND(4&gt;=$D48,4&lt;=$E48),IF($F48="Sí",2,1),0)</x:f>
        <x:v>0</x:v>
      </x:c>
      <x:c r="K48" s="32" t="n">
        <x:f>IF(AND(5&gt;=$D48,5&lt;=$E48),IF($F48="Sí",2,1),0)</x:f>
        <x:v>0</x:v>
      </x:c>
      <x:c r="L48" s="32" t="n">
        <x:f>IF(AND(6&gt;=$D48,6&lt;=$E48),IF($F48="Sí",2,1),0)</x:f>
        <x:v>0</x:v>
      </x:c>
      <x:c r="M48" s="32" t="n">
        <x:f>IF(AND(7&gt;=$D48,7&lt;=$E48),IF($F48="Sí",2,1),0)</x:f>
        <x:v>0</x:v>
      </x:c>
      <x:c r="N48" s="32" t="n">
        <x:f>IF(AND(8&gt;=$D48,8&lt;=$E48),IF($F48="Sí",2,1),0)</x:f>
        <x:v>0</x:v>
      </x:c>
      <x:c r="O48" s="32" t="n">
        <x:f>IF(AND(9&gt;=$D48,9&lt;=$E48),IF($F48="Sí",2,1),0)</x:f>
        <x:v>0</x:v>
      </x:c>
      <x:c r="P48" s="32" t="n">
        <x:f>IF(AND(10&gt;=$D48,10&lt;=$E48),IF($F48="Sí",2,1),0)</x:f>
        <x:v>0</x:v>
      </x:c>
      <x:c r="Q48" s="32" t="n">
        <x:f>IF(AND(11&gt;=$D48,11&lt;=$E48),IF($F48="Sí",2,1),0)</x:f>
        <x:v>0</x:v>
      </x:c>
      <x:c r="R48" s="32" t="n">
        <x:f>IF(AND(12&gt;=$D48,12&lt;=$E48),IF($F48="Sí",2,1),0)</x:f>
        <x:v>0</x:v>
      </x:c>
      <x:c r="S48" s="32" t="n">
        <x:f>IF(AND(13&gt;=$D48,13&lt;=$E48),IF($F48="Sí",2,1),0)</x:f>
        <x:v>0</x:v>
      </x:c>
      <x:c r="T48" s="32" t="n">
        <x:f>IF(AND(14&gt;=$D48,14&lt;=$E48),IF($F48="Sí",2,1),0)</x:f>
        <x:v>0</x:v>
      </x:c>
      <x:c r="U48" s="32" t="n">
        <x:f>IF(AND(15&gt;=$D48,15&lt;=$E48),IF($F48="Sí",2,1),0)</x:f>
        <x:v>0</x:v>
      </x:c>
      <x:c r="V48" s="32" t="n">
        <x:f>IF(AND(16&gt;=$D48,16&lt;=$E48),IF($F48="Sí",2,1),0)</x:f>
        <x:v>0</x:v>
      </x:c>
      <x:c r="W48" s="32" t="n">
        <x:f>IF(AND(17&gt;=$D48,17&lt;=$E48),IF($F48="Sí",2,1),0)</x:f>
        <x:v>0</x:v>
      </x:c>
      <x:c r="X48" s="32" t="n">
        <x:f>IF(AND(18&gt;=$D48,18&lt;=$E48),IF($F48="Sí",2,1),0)</x:f>
        <x:v>0</x:v>
      </x:c>
      <x:c r="Y48" s="32" t="n">
        <x:f>IF(AND(19&gt;=$D48,19&lt;=$E48),IF($F48="Sí",2,1),0)</x:f>
        <x:v>0</x:v>
      </x:c>
      <x:c r="Z48" s="32" t="n">
        <x:f>IF(AND(20&gt;=$D48,20&lt;=$E48),IF($F48="Sí",2,1),0)</x:f>
        <x:v>0</x:v>
      </x:c>
      <x:c r="AA48" s="32" t="n">
        <x:f>IF(AND(21&gt;=$D48,21&lt;=$E48),IF($F48="Sí",2,1),0)</x:f>
        <x:v>0</x:v>
      </x:c>
      <x:c r="AB48" s="32" t="n">
        <x:f>IF(AND(22&gt;=$D48,22&lt;=$E48),IF($F48="Sí",2,1),0)</x:f>
        <x:v>0</x:v>
      </x:c>
      <x:c r="AC48" s="32" t="n">
        <x:f>IF(AND(23&gt;=$D48,23&lt;=$E48),IF($F48="Sí",2,1),0)</x:f>
        <x:v>0</x:v>
      </x:c>
      <x:c r="AD48" s="32" t="n">
        <x:f>IF(AND(24&gt;=$D48,24&lt;=$E48),IF($F48="Sí",2,1),0)</x:f>
        <x:v>0</x:v>
      </x:c>
      <x:c r="AE48" s="32" t="n">
        <x:f>IF(AND(25&gt;=$D48,25&lt;=$E48),IF($F48="Sí",2,1),0)</x:f>
        <x:v>0</x:v>
      </x:c>
      <x:c r="AF48" s="32" t="n">
        <x:f>IF(AND(26&gt;=$D48,26&lt;=$E48),IF($F48="Sí",2,1),0)</x:f>
        <x:v>0</x:v>
      </x:c>
      <x:c r="AG48" s="32" t="n">
        <x:f>IF(AND(27&gt;=$D48,27&lt;=$E48),IF($F48="Sí",2,1),0)</x:f>
        <x:v>0</x:v>
      </x:c>
      <x:c r="AH48" s="32" t="n">
        <x:f>IF(AND(28&gt;=$D48,28&lt;=$E48),IF($F48="Sí",2,1),0)</x:f>
        <x:v>2</x:v>
      </x:c>
      <x:c r="AI48" s="32" t="n">
        <x:f>IF(AND(29&gt;=$D48,29&lt;=$E48),IF($F48="Sí",2,1),0)</x:f>
        <x:v>2</x:v>
      </x:c>
      <x:c r="AJ48" s="32" t="n">
        <x:f>IF(AND(30&gt;=$D48,30&lt;=$E48),IF($F48="Sí",2,1),0)</x:f>
        <x:v>0</x:v>
      </x:c>
      <x:c r="AK48" s="32" t="n">
        <x:f>IF(AND(31&gt;=$D48,31&lt;=$E48),IF($F48="Sí",2,1),0)</x:f>
        <x:v>0</x:v>
      </x:c>
      <x:c r="AL48" s="32" t="n">
        <x:f>IF(AND(32&gt;=$D48,32&lt;=$E48),IF($F48="Sí",2,1),0)</x:f>
        <x:v>0</x:v>
      </x:c>
      <x:c r="AM48" s="32" t="n">
        <x:f>IF(AND(33&gt;=$D48,33&lt;=$E48),IF($F48="Sí",2,1),0)</x:f>
        <x:v>0</x:v>
      </x:c>
      <x:c r="AN48" s="33" t="n">
        <x:f>IF(AND(34&gt;=$D48,34&lt;=$E48),IF($F48="Sí",2,1),0)</x:f>
        <x:v>0</x:v>
      </x:c>
      <x:c r="AO48" s="33" t="n">
        <x:f>IF(AND(35&gt;=$D48,35&lt;=$E48),IF($F48="Sí",2,1),0)</x:f>
        <x:v>0</x:v>
      </x:c>
    </x:row>
    <x:row r="49" ht="36" customHeight="1">
      <x:c r="A49" s="3" t="str">
        <x:v>T44</x:v>
      </x:c>
      <x:c r="B49" s="16" t="str">
        <x:v>5.03 · Transferir operación y mantenimiento</x:v>
      </x:c>
      <x:c r="C49" s="16" t="str">
        <x:v>Empresa · operación</x:v>
      </x:c>
      <x:c r="D49" s="3" t="n">
        <x:f>'EDT Y TAREAS'!T49</x:f>
        <x:v>27</x:v>
      </x:c>
      <x:c r="E49" s="3" t="n">
        <x:f>'EDT Y TAREAS'!U49</x:f>
        <x:v>29</x:v>
      </x:c>
      <x:c r="F49" s="3" t="str">
        <x:f>'EDT Y TAREAS'!S49</x:f>
        <x:v>Sí</x:v>
      </x:c>
      <x:c r="G49" s="32" t="n">
        <x:f>IF(AND(1&gt;=$D49,1&lt;=$E49),IF($F49="Sí",2,1),0)</x:f>
        <x:v>0</x:v>
      </x:c>
      <x:c r="H49" s="32" t="n">
        <x:f>IF(AND(2&gt;=$D49,2&lt;=$E49),IF($F49="Sí",2,1),0)</x:f>
        <x:v>0</x:v>
      </x:c>
      <x:c r="I49" s="32" t="n">
        <x:f>IF(AND(3&gt;=$D49,3&lt;=$E49),IF($F49="Sí",2,1),0)</x:f>
        <x:v>0</x:v>
      </x:c>
      <x:c r="J49" s="32" t="n">
        <x:f>IF(AND(4&gt;=$D49,4&lt;=$E49),IF($F49="Sí",2,1),0)</x:f>
        <x:v>0</x:v>
      </x:c>
      <x:c r="K49" s="32" t="n">
        <x:f>IF(AND(5&gt;=$D49,5&lt;=$E49),IF($F49="Sí",2,1),0)</x:f>
        <x:v>0</x:v>
      </x:c>
      <x:c r="L49" s="32" t="n">
        <x:f>IF(AND(6&gt;=$D49,6&lt;=$E49),IF($F49="Sí",2,1),0)</x:f>
        <x:v>0</x:v>
      </x:c>
      <x:c r="M49" s="32" t="n">
        <x:f>IF(AND(7&gt;=$D49,7&lt;=$E49),IF($F49="Sí",2,1),0)</x:f>
        <x:v>0</x:v>
      </x:c>
      <x:c r="N49" s="32" t="n">
        <x:f>IF(AND(8&gt;=$D49,8&lt;=$E49),IF($F49="Sí",2,1),0)</x:f>
        <x:v>0</x:v>
      </x:c>
      <x:c r="O49" s="32" t="n">
        <x:f>IF(AND(9&gt;=$D49,9&lt;=$E49),IF($F49="Sí",2,1),0)</x:f>
        <x:v>0</x:v>
      </x:c>
      <x:c r="P49" s="32" t="n">
        <x:f>IF(AND(10&gt;=$D49,10&lt;=$E49),IF($F49="Sí",2,1),0)</x:f>
        <x:v>0</x:v>
      </x:c>
      <x:c r="Q49" s="32" t="n">
        <x:f>IF(AND(11&gt;=$D49,11&lt;=$E49),IF($F49="Sí",2,1),0)</x:f>
        <x:v>0</x:v>
      </x:c>
      <x:c r="R49" s="32" t="n">
        <x:f>IF(AND(12&gt;=$D49,12&lt;=$E49),IF($F49="Sí",2,1),0)</x:f>
        <x:v>0</x:v>
      </x:c>
      <x:c r="S49" s="32" t="n">
        <x:f>IF(AND(13&gt;=$D49,13&lt;=$E49),IF($F49="Sí",2,1),0)</x:f>
        <x:v>0</x:v>
      </x:c>
      <x:c r="T49" s="32" t="n">
        <x:f>IF(AND(14&gt;=$D49,14&lt;=$E49),IF($F49="Sí",2,1),0)</x:f>
        <x:v>0</x:v>
      </x:c>
      <x:c r="U49" s="32" t="n">
        <x:f>IF(AND(15&gt;=$D49,15&lt;=$E49),IF($F49="Sí",2,1),0)</x:f>
        <x:v>0</x:v>
      </x:c>
      <x:c r="V49" s="32" t="n">
        <x:f>IF(AND(16&gt;=$D49,16&lt;=$E49),IF($F49="Sí",2,1),0)</x:f>
        <x:v>0</x:v>
      </x:c>
      <x:c r="W49" s="32" t="n">
        <x:f>IF(AND(17&gt;=$D49,17&lt;=$E49),IF($F49="Sí",2,1),0)</x:f>
        <x:v>0</x:v>
      </x:c>
      <x:c r="X49" s="32" t="n">
        <x:f>IF(AND(18&gt;=$D49,18&lt;=$E49),IF($F49="Sí",2,1),0)</x:f>
        <x:v>0</x:v>
      </x:c>
      <x:c r="Y49" s="32" t="n">
        <x:f>IF(AND(19&gt;=$D49,19&lt;=$E49),IF($F49="Sí",2,1),0)</x:f>
        <x:v>0</x:v>
      </x:c>
      <x:c r="Z49" s="32" t="n">
        <x:f>IF(AND(20&gt;=$D49,20&lt;=$E49),IF($F49="Sí",2,1),0)</x:f>
        <x:v>0</x:v>
      </x:c>
      <x:c r="AA49" s="32" t="n">
        <x:f>IF(AND(21&gt;=$D49,21&lt;=$E49),IF($F49="Sí",2,1),0)</x:f>
        <x:v>0</x:v>
      </x:c>
      <x:c r="AB49" s="32" t="n">
        <x:f>IF(AND(22&gt;=$D49,22&lt;=$E49),IF($F49="Sí",2,1),0)</x:f>
        <x:v>0</x:v>
      </x:c>
      <x:c r="AC49" s="32" t="n">
        <x:f>IF(AND(23&gt;=$D49,23&lt;=$E49),IF($F49="Sí",2,1),0)</x:f>
        <x:v>0</x:v>
      </x:c>
      <x:c r="AD49" s="32" t="n">
        <x:f>IF(AND(24&gt;=$D49,24&lt;=$E49),IF($F49="Sí",2,1),0)</x:f>
        <x:v>0</x:v>
      </x:c>
      <x:c r="AE49" s="32" t="n">
        <x:f>IF(AND(25&gt;=$D49,25&lt;=$E49),IF($F49="Sí",2,1),0)</x:f>
        <x:v>0</x:v>
      </x:c>
      <x:c r="AF49" s="32" t="n">
        <x:f>IF(AND(26&gt;=$D49,26&lt;=$E49),IF($F49="Sí",2,1),0)</x:f>
        <x:v>0</x:v>
      </x:c>
      <x:c r="AG49" s="32" t="n">
        <x:f>IF(AND(27&gt;=$D49,27&lt;=$E49),IF($F49="Sí",2,1),0)</x:f>
        <x:v>2</x:v>
      </x:c>
      <x:c r="AH49" s="32" t="n">
        <x:f>IF(AND(28&gt;=$D49,28&lt;=$E49),IF($F49="Sí",2,1),0)</x:f>
        <x:v>2</x:v>
      </x:c>
      <x:c r="AI49" s="32" t="n">
        <x:f>IF(AND(29&gt;=$D49,29&lt;=$E49),IF($F49="Sí",2,1),0)</x:f>
        <x:v>2</x:v>
      </x:c>
      <x:c r="AJ49" s="32" t="n">
        <x:f>IF(AND(30&gt;=$D49,30&lt;=$E49),IF($F49="Sí",2,1),0)</x:f>
        <x:v>0</x:v>
      </x:c>
      <x:c r="AK49" s="32" t="n">
        <x:f>IF(AND(31&gt;=$D49,31&lt;=$E49),IF($F49="Sí",2,1),0)</x:f>
        <x:v>0</x:v>
      </x:c>
      <x:c r="AL49" s="32" t="n">
        <x:f>IF(AND(32&gt;=$D49,32&lt;=$E49),IF($F49="Sí",2,1),0)</x:f>
        <x:v>0</x:v>
      </x:c>
      <x:c r="AM49" s="32" t="n">
        <x:f>IF(AND(33&gt;=$D49,33&lt;=$E49),IF($F49="Sí",2,1),0)</x:f>
        <x:v>0</x:v>
      </x:c>
      <x:c r="AN49" s="33" t="n">
        <x:f>IF(AND(34&gt;=$D49,34&lt;=$E49),IF($F49="Sí",2,1),0)</x:f>
        <x:v>0</x:v>
      </x:c>
      <x:c r="AO49" s="33" t="n">
        <x:f>IF(AND(35&gt;=$D49,35&lt;=$E49),IF($F49="Sí",2,1),0)</x:f>
        <x:v>0</x:v>
      </x:c>
    </x:row>
    <x:row r="50" ht="36" customHeight="1">
      <x:c r="A50" s="3" t="str">
        <x:v>T45</x:v>
      </x:c>
      <x:c r="B50" s="16" t="str">
        <x:v>5.04 · Validar versión candidata y recuperación</x:v>
      </x:c>
      <x:c r="C50" s="16" t="str">
        <x:v>Empresa · QA</x:v>
      </x:c>
      <x:c r="D50" s="3" t="n">
        <x:f>'EDT Y TAREAS'!T50</x:f>
        <x:v>29</x:v>
      </x:c>
      <x:c r="E50" s="3" t="n">
        <x:f>'EDT Y TAREAS'!U50</x:f>
        <x:v>30</x:v>
      </x:c>
      <x:c r="F50" s="3" t="str">
        <x:f>'EDT Y TAREAS'!S50</x:f>
        <x:v>Sí</x:v>
      </x:c>
      <x:c r="G50" s="32" t="n">
        <x:f>IF(AND(1&gt;=$D50,1&lt;=$E50),IF($F50="Sí",2,1),0)</x:f>
        <x:v>0</x:v>
      </x:c>
      <x:c r="H50" s="32" t="n">
        <x:f>IF(AND(2&gt;=$D50,2&lt;=$E50),IF($F50="Sí",2,1),0)</x:f>
        <x:v>0</x:v>
      </x:c>
      <x:c r="I50" s="32" t="n">
        <x:f>IF(AND(3&gt;=$D50,3&lt;=$E50),IF($F50="Sí",2,1),0)</x:f>
        <x:v>0</x:v>
      </x:c>
      <x:c r="J50" s="32" t="n">
        <x:f>IF(AND(4&gt;=$D50,4&lt;=$E50),IF($F50="Sí",2,1),0)</x:f>
        <x:v>0</x:v>
      </x:c>
      <x:c r="K50" s="32" t="n">
        <x:f>IF(AND(5&gt;=$D50,5&lt;=$E50),IF($F50="Sí",2,1),0)</x:f>
        <x:v>0</x:v>
      </x:c>
      <x:c r="L50" s="32" t="n">
        <x:f>IF(AND(6&gt;=$D50,6&lt;=$E50),IF($F50="Sí",2,1),0)</x:f>
        <x:v>0</x:v>
      </x:c>
      <x:c r="M50" s="32" t="n">
        <x:f>IF(AND(7&gt;=$D50,7&lt;=$E50),IF($F50="Sí",2,1),0)</x:f>
        <x:v>0</x:v>
      </x:c>
      <x:c r="N50" s="32" t="n">
        <x:f>IF(AND(8&gt;=$D50,8&lt;=$E50),IF($F50="Sí",2,1),0)</x:f>
        <x:v>0</x:v>
      </x:c>
      <x:c r="O50" s="32" t="n">
        <x:f>IF(AND(9&gt;=$D50,9&lt;=$E50),IF($F50="Sí",2,1),0)</x:f>
        <x:v>0</x:v>
      </x:c>
      <x:c r="P50" s="32" t="n">
        <x:f>IF(AND(10&gt;=$D50,10&lt;=$E50),IF($F50="Sí",2,1),0)</x:f>
        <x:v>0</x:v>
      </x:c>
      <x:c r="Q50" s="32" t="n">
        <x:f>IF(AND(11&gt;=$D50,11&lt;=$E50),IF($F50="Sí",2,1),0)</x:f>
        <x:v>0</x:v>
      </x:c>
      <x:c r="R50" s="32" t="n">
        <x:f>IF(AND(12&gt;=$D50,12&lt;=$E50),IF($F50="Sí",2,1),0)</x:f>
        <x:v>0</x:v>
      </x:c>
      <x:c r="S50" s="32" t="n">
        <x:f>IF(AND(13&gt;=$D50,13&lt;=$E50),IF($F50="Sí",2,1),0)</x:f>
        <x:v>0</x:v>
      </x:c>
      <x:c r="T50" s="32" t="n">
        <x:f>IF(AND(14&gt;=$D50,14&lt;=$E50),IF($F50="Sí",2,1),0)</x:f>
        <x:v>0</x:v>
      </x:c>
      <x:c r="U50" s="32" t="n">
        <x:f>IF(AND(15&gt;=$D50,15&lt;=$E50),IF($F50="Sí",2,1),0)</x:f>
        <x:v>0</x:v>
      </x:c>
      <x:c r="V50" s="32" t="n">
        <x:f>IF(AND(16&gt;=$D50,16&lt;=$E50),IF($F50="Sí",2,1),0)</x:f>
        <x:v>0</x:v>
      </x:c>
      <x:c r="W50" s="32" t="n">
        <x:f>IF(AND(17&gt;=$D50,17&lt;=$E50),IF($F50="Sí",2,1),0)</x:f>
        <x:v>0</x:v>
      </x:c>
      <x:c r="X50" s="32" t="n">
        <x:f>IF(AND(18&gt;=$D50,18&lt;=$E50),IF($F50="Sí",2,1),0)</x:f>
        <x:v>0</x:v>
      </x:c>
      <x:c r="Y50" s="32" t="n">
        <x:f>IF(AND(19&gt;=$D50,19&lt;=$E50),IF($F50="Sí",2,1),0)</x:f>
        <x:v>0</x:v>
      </x:c>
      <x:c r="Z50" s="32" t="n">
        <x:f>IF(AND(20&gt;=$D50,20&lt;=$E50),IF($F50="Sí",2,1),0)</x:f>
        <x:v>0</x:v>
      </x:c>
      <x:c r="AA50" s="32" t="n">
        <x:f>IF(AND(21&gt;=$D50,21&lt;=$E50),IF($F50="Sí",2,1),0)</x:f>
        <x:v>0</x:v>
      </x:c>
      <x:c r="AB50" s="32" t="n">
        <x:f>IF(AND(22&gt;=$D50,22&lt;=$E50),IF($F50="Sí",2,1),0)</x:f>
        <x:v>0</x:v>
      </x:c>
      <x:c r="AC50" s="32" t="n">
        <x:f>IF(AND(23&gt;=$D50,23&lt;=$E50),IF($F50="Sí",2,1),0)</x:f>
        <x:v>0</x:v>
      </x:c>
      <x:c r="AD50" s="32" t="n">
        <x:f>IF(AND(24&gt;=$D50,24&lt;=$E50),IF($F50="Sí",2,1),0)</x:f>
        <x:v>0</x:v>
      </x:c>
      <x:c r="AE50" s="32" t="n">
        <x:f>IF(AND(25&gt;=$D50,25&lt;=$E50),IF($F50="Sí",2,1),0)</x:f>
        <x:v>0</x:v>
      </x:c>
      <x:c r="AF50" s="32" t="n">
        <x:f>IF(AND(26&gt;=$D50,26&lt;=$E50),IF($F50="Sí",2,1),0)</x:f>
        <x:v>0</x:v>
      </x:c>
      <x:c r="AG50" s="32" t="n">
        <x:f>IF(AND(27&gt;=$D50,27&lt;=$E50),IF($F50="Sí",2,1),0)</x:f>
        <x:v>0</x:v>
      </x:c>
      <x:c r="AH50" s="32" t="n">
        <x:f>IF(AND(28&gt;=$D50,28&lt;=$E50),IF($F50="Sí",2,1),0)</x:f>
        <x:v>0</x:v>
      </x:c>
      <x:c r="AI50" s="32" t="n">
        <x:f>IF(AND(29&gt;=$D50,29&lt;=$E50),IF($F50="Sí",2,1),0)</x:f>
        <x:v>2</x:v>
      </x:c>
      <x:c r="AJ50" s="32" t="n">
        <x:f>IF(AND(30&gt;=$D50,30&lt;=$E50),IF($F50="Sí",2,1),0)</x:f>
        <x:v>2</x:v>
      </x:c>
      <x:c r="AK50" s="32" t="n">
        <x:f>IF(AND(31&gt;=$D50,31&lt;=$E50),IF($F50="Sí",2,1),0)</x:f>
        <x:v>0</x:v>
      </x:c>
      <x:c r="AL50" s="32" t="n">
        <x:f>IF(AND(32&gt;=$D50,32&lt;=$E50),IF($F50="Sí",2,1),0)</x:f>
        <x:v>0</x:v>
      </x:c>
      <x:c r="AM50" s="32" t="n">
        <x:f>IF(AND(33&gt;=$D50,33&lt;=$E50),IF($F50="Sí",2,1),0)</x:f>
        <x:v>0</x:v>
      </x:c>
      <x:c r="AN50" s="33" t="n">
        <x:f>IF(AND(34&gt;=$D50,34&lt;=$E50),IF($F50="Sí",2,1),0)</x:f>
        <x:v>0</x:v>
      </x:c>
      <x:c r="AO50" s="33" t="n">
        <x:f>IF(AND(35&gt;=$D50,35&lt;=$E50),IF($F50="Sí",2,1),0)</x:f>
        <x:v>0</x:v>
      </x:c>
    </x:row>
    <x:row r="51" ht="36" customHeight="1">
      <x:c r="A51" s="3" t="str">
        <x:v>T46</x:v>
      </x:c>
      <x:c r="B51" s="16" t="str">
        <x:v>5.05 · Aprobar lanzamiento y continuidad</x:v>
      </x:c>
      <x:c r="C51" s="16" t="str">
        <x:v>Alejandro Maureira</x:v>
      </x:c>
      <x:c r="D51" s="3" t="n">
        <x:f>'EDT Y TAREAS'!T51</x:f>
        <x:v>30</x:v>
      </x:c>
      <x:c r="E51" s="3" t="n">
        <x:f>'EDT Y TAREAS'!U51</x:f>
        <x:v>30</x:v>
      </x:c>
      <x:c r="F51" s="3" t="str">
        <x:f>'EDT Y TAREAS'!S51</x:f>
        <x:v>Sí</x:v>
      </x:c>
      <x:c r="G51" s="32" t="n">
        <x:f>IF(AND(1&gt;=$D51,1&lt;=$E51),IF($F51="Sí",2,1),0)</x:f>
        <x:v>0</x:v>
      </x:c>
      <x:c r="H51" s="32" t="n">
        <x:f>IF(AND(2&gt;=$D51,2&lt;=$E51),IF($F51="Sí",2,1),0)</x:f>
        <x:v>0</x:v>
      </x:c>
      <x:c r="I51" s="32" t="n">
        <x:f>IF(AND(3&gt;=$D51,3&lt;=$E51),IF($F51="Sí",2,1),0)</x:f>
        <x:v>0</x:v>
      </x:c>
      <x:c r="J51" s="32" t="n">
        <x:f>IF(AND(4&gt;=$D51,4&lt;=$E51),IF($F51="Sí",2,1),0)</x:f>
        <x:v>0</x:v>
      </x:c>
      <x:c r="K51" s="32" t="n">
        <x:f>IF(AND(5&gt;=$D51,5&lt;=$E51),IF($F51="Sí",2,1),0)</x:f>
        <x:v>0</x:v>
      </x:c>
      <x:c r="L51" s="32" t="n">
        <x:f>IF(AND(6&gt;=$D51,6&lt;=$E51),IF($F51="Sí",2,1),0)</x:f>
        <x:v>0</x:v>
      </x:c>
      <x:c r="M51" s="32" t="n">
        <x:f>IF(AND(7&gt;=$D51,7&lt;=$E51),IF($F51="Sí",2,1),0)</x:f>
        <x:v>0</x:v>
      </x:c>
      <x:c r="N51" s="32" t="n">
        <x:f>IF(AND(8&gt;=$D51,8&lt;=$E51),IF($F51="Sí",2,1),0)</x:f>
        <x:v>0</x:v>
      </x:c>
      <x:c r="O51" s="32" t="n">
        <x:f>IF(AND(9&gt;=$D51,9&lt;=$E51),IF($F51="Sí",2,1),0)</x:f>
        <x:v>0</x:v>
      </x:c>
      <x:c r="P51" s="32" t="n">
        <x:f>IF(AND(10&gt;=$D51,10&lt;=$E51),IF($F51="Sí",2,1),0)</x:f>
        <x:v>0</x:v>
      </x:c>
      <x:c r="Q51" s="32" t="n">
        <x:f>IF(AND(11&gt;=$D51,11&lt;=$E51),IF($F51="Sí",2,1),0)</x:f>
        <x:v>0</x:v>
      </x:c>
      <x:c r="R51" s="32" t="n">
        <x:f>IF(AND(12&gt;=$D51,12&lt;=$E51),IF($F51="Sí",2,1),0)</x:f>
        <x:v>0</x:v>
      </x:c>
      <x:c r="S51" s="32" t="n">
        <x:f>IF(AND(13&gt;=$D51,13&lt;=$E51),IF($F51="Sí",2,1),0)</x:f>
        <x:v>0</x:v>
      </x:c>
      <x:c r="T51" s="32" t="n">
        <x:f>IF(AND(14&gt;=$D51,14&lt;=$E51),IF($F51="Sí",2,1),0)</x:f>
        <x:v>0</x:v>
      </x:c>
      <x:c r="U51" s="32" t="n">
        <x:f>IF(AND(15&gt;=$D51,15&lt;=$E51),IF($F51="Sí",2,1),0)</x:f>
        <x:v>0</x:v>
      </x:c>
      <x:c r="V51" s="32" t="n">
        <x:f>IF(AND(16&gt;=$D51,16&lt;=$E51),IF($F51="Sí",2,1),0)</x:f>
        <x:v>0</x:v>
      </x:c>
      <x:c r="W51" s="32" t="n">
        <x:f>IF(AND(17&gt;=$D51,17&lt;=$E51),IF($F51="Sí",2,1),0)</x:f>
        <x:v>0</x:v>
      </x:c>
      <x:c r="X51" s="32" t="n">
        <x:f>IF(AND(18&gt;=$D51,18&lt;=$E51),IF($F51="Sí",2,1),0)</x:f>
        <x:v>0</x:v>
      </x:c>
      <x:c r="Y51" s="32" t="n">
        <x:f>IF(AND(19&gt;=$D51,19&lt;=$E51),IF($F51="Sí",2,1),0)</x:f>
        <x:v>0</x:v>
      </x:c>
      <x:c r="Z51" s="32" t="n">
        <x:f>IF(AND(20&gt;=$D51,20&lt;=$E51),IF($F51="Sí",2,1),0)</x:f>
        <x:v>0</x:v>
      </x:c>
      <x:c r="AA51" s="32" t="n">
        <x:f>IF(AND(21&gt;=$D51,21&lt;=$E51),IF($F51="Sí",2,1),0)</x:f>
        <x:v>0</x:v>
      </x:c>
      <x:c r="AB51" s="32" t="n">
        <x:f>IF(AND(22&gt;=$D51,22&lt;=$E51),IF($F51="Sí",2,1),0)</x:f>
        <x:v>0</x:v>
      </x:c>
      <x:c r="AC51" s="32" t="n">
        <x:f>IF(AND(23&gt;=$D51,23&lt;=$E51),IF($F51="Sí",2,1),0)</x:f>
        <x:v>0</x:v>
      </x:c>
      <x:c r="AD51" s="32" t="n">
        <x:f>IF(AND(24&gt;=$D51,24&lt;=$E51),IF($F51="Sí",2,1),0)</x:f>
        <x:v>0</x:v>
      </x:c>
      <x:c r="AE51" s="32" t="n">
        <x:f>IF(AND(25&gt;=$D51,25&lt;=$E51),IF($F51="Sí",2,1),0)</x:f>
        <x:v>0</x:v>
      </x:c>
      <x:c r="AF51" s="32" t="n">
        <x:f>IF(AND(26&gt;=$D51,26&lt;=$E51),IF($F51="Sí",2,1),0)</x:f>
        <x:v>0</x:v>
      </x:c>
      <x:c r="AG51" s="32" t="n">
        <x:f>IF(AND(27&gt;=$D51,27&lt;=$E51),IF($F51="Sí",2,1),0)</x:f>
        <x:v>0</x:v>
      </x:c>
      <x:c r="AH51" s="32" t="n">
        <x:f>IF(AND(28&gt;=$D51,28&lt;=$E51),IF($F51="Sí",2,1),0)</x:f>
        <x:v>0</x:v>
      </x:c>
      <x:c r="AI51" s="32" t="n">
        <x:f>IF(AND(29&gt;=$D51,29&lt;=$E51),IF($F51="Sí",2,1),0)</x:f>
        <x:v>0</x:v>
      </x:c>
      <x:c r="AJ51" s="32" t="n">
        <x:f>IF(AND(30&gt;=$D51,30&lt;=$E51),IF($F51="Sí",2,1),0)</x:f>
        <x:v>2</x:v>
      </x:c>
      <x:c r="AK51" s="32" t="n">
        <x:f>IF(AND(31&gt;=$D51,31&lt;=$E51),IF($F51="Sí",2,1),0)</x:f>
        <x:v>0</x:v>
      </x:c>
      <x:c r="AL51" s="32" t="n">
        <x:f>IF(AND(32&gt;=$D51,32&lt;=$E51),IF($F51="Sí",2,1),0)</x:f>
        <x:v>0</x:v>
      </x:c>
      <x:c r="AM51" s="32" t="n">
        <x:f>IF(AND(33&gt;=$D51,33&lt;=$E51),IF($F51="Sí",2,1),0)</x:f>
        <x:v>0</x:v>
      </x:c>
      <x:c r="AN51" s="33" t="n">
        <x:f>IF(AND(34&gt;=$D51,34&lt;=$E51),IF($F51="Sí",2,1),0)</x:f>
        <x:v>0</x:v>
      </x:c>
      <x:c r="AO51" s="33" t="n">
        <x:f>IF(AND(35&gt;=$D51,35&lt;=$E51),IF($F51="Sí",2,1),0)</x:f>
        <x:v>0</x:v>
      </x:c>
    </x:row>
    <x:row r="52" ht="36" customHeight="1">
      <x:c r="A52" s="3" t="str">
        <x:v>T47</x:v>
      </x:c>
      <x:c r="B52" s="16" t="str">
        <x:v>5.06 · Acompañar primeras operaciones y cierre</x:v>
      </x:c>
      <x:c r="C52" s="16" t="str">
        <x:v>Empresa · operación</x:v>
      </x:c>
      <x:c r="D52" s="3" t="n">
        <x:f>'EDT Y TAREAS'!T52</x:f>
        <x:v>30</x:v>
      </x:c>
      <x:c r="E52" s="3" t="n">
        <x:f>'EDT Y TAREAS'!U52</x:f>
        <x:v>32</x:v>
      </x:c>
      <x:c r="F52" s="3" t="str">
        <x:f>'EDT Y TAREAS'!S52</x:f>
        <x:v>Sí</x:v>
      </x:c>
      <x:c r="G52" s="32" t="n">
        <x:f>IF(AND(1&gt;=$D52,1&lt;=$E52),IF($F52="Sí",2,1),0)</x:f>
        <x:v>0</x:v>
      </x:c>
      <x:c r="H52" s="32" t="n">
        <x:f>IF(AND(2&gt;=$D52,2&lt;=$E52),IF($F52="Sí",2,1),0)</x:f>
        <x:v>0</x:v>
      </x:c>
      <x:c r="I52" s="32" t="n">
        <x:f>IF(AND(3&gt;=$D52,3&lt;=$E52),IF($F52="Sí",2,1),0)</x:f>
        <x:v>0</x:v>
      </x:c>
      <x:c r="J52" s="32" t="n">
        <x:f>IF(AND(4&gt;=$D52,4&lt;=$E52),IF($F52="Sí",2,1),0)</x:f>
        <x:v>0</x:v>
      </x:c>
      <x:c r="K52" s="32" t="n">
        <x:f>IF(AND(5&gt;=$D52,5&lt;=$E52),IF($F52="Sí",2,1),0)</x:f>
        <x:v>0</x:v>
      </x:c>
      <x:c r="L52" s="32" t="n">
        <x:f>IF(AND(6&gt;=$D52,6&lt;=$E52),IF($F52="Sí",2,1),0)</x:f>
        <x:v>0</x:v>
      </x:c>
      <x:c r="M52" s="32" t="n">
        <x:f>IF(AND(7&gt;=$D52,7&lt;=$E52),IF($F52="Sí",2,1),0)</x:f>
        <x:v>0</x:v>
      </x:c>
      <x:c r="N52" s="32" t="n">
        <x:f>IF(AND(8&gt;=$D52,8&lt;=$E52),IF($F52="Sí",2,1),0)</x:f>
        <x:v>0</x:v>
      </x:c>
      <x:c r="O52" s="32" t="n">
        <x:f>IF(AND(9&gt;=$D52,9&lt;=$E52),IF($F52="Sí",2,1),0)</x:f>
        <x:v>0</x:v>
      </x:c>
      <x:c r="P52" s="32" t="n">
        <x:f>IF(AND(10&gt;=$D52,10&lt;=$E52),IF($F52="Sí",2,1),0)</x:f>
        <x:v>0</x:v>
      </x:c>
      <x:c r="Q52" s="32" t="n">
        <x:f>IF(AND(11&gt;=$D52,11&lt;=$E52),IF($F52="Sí",2,1),0)</x:f>
        <x:v>0</x:v>
      </x:c>
      <x:c r="R52" s="32" t="n">
        <x:f>IF(AND(12&gt;=$D52,12&lt;=$E52),IF($F52="Sí",2,1),0)</x:f>
        <x:v>0</x:v>
      </x:c>
      <x:c r="S52" s="32" t="n">
        <x:f>IF(AND(13&gt;=$D52,13&lt;=$E52),IF($F52="Sí",2,1),0)</x:f>
        <x:v>0</x:v>
      </x:c>
      <x:c r="T52" s="32" t="n">
        <x:f>IF(AND(14&gt;=$D52,14&lt;=$E52),IF($F52="Sí",2,1),0)</x:f>
        <x:v>0</x:v>
      </x:c>
      <x:c r="U52" s="32" t="n">
        <x:f>IF(AND(15&gt;=$D52,15&lt;=$E52),IF($F52="Sí",2,1),0)</x:f>
        <x:v>0</x:v>
      </x:c>
      <x:c r="V52" s="32" t="n">
        <x:f>IF(AND(16&gt;=$D52,16&lt;=$E52),IF($F52="Sí",2,1),0)</x:f>
        <x:v>0</x:v>
      </x:c>
      <x:c r="W52" s="32" t="n">
        <x:f>IF(AND(17&gt;=$D52,17&lt;=$E52),IF($F52="Sí",2,1),0)</x:f>
        <x:v>0</x:v>
      </x:c>
      <x:c r="X52" s="32" t="n">
        <x:f>IF(AND(18&gt;=$D52,18&lt;=$E52),IF($F52="Sí",2,1),0)</x:f>
        <x:v>0</x:v>
      </x:c>
      <x:c r="Y52" s="32" t="n">
        <x:f>IF(AND(19&gt;=$D52,19&lt;=$E52),IF($F52="Sí",2,1),0)</x:f>
        <x:v>0</x:v>
      </x:c>
      <x:c r="Z52" s="32" t="n">
        <x:f>IF(AND(20&gt;=$D52,20&lt;=$E52),IF($F52="Sí",2,1),0)</x:f>
        <x:v>0</x:v>
      </x:c>
      <x:c r="AA52" s="32" t="n">
        <x:f>IF(AND(21&gt;=$D52,21&lt;=$E52),IF($F52="Sí",2,1),0)</x:f>
        <x:v>0</x:v>
      </x:c>
      <x:c r="AB52" s="32" t="n">
        <x:f>IF(AND(22&gt;=$D52,22&lt;=$E52),IF($F52="Sí",2,1),0)</x:f>
        <x:v>0</x:v>
      </x:c>
      <x:c r="AC52" s="32" t="n">
        <x:f>IF(AND(23&gt;=$D52,23&lt;=$E52),IF($F52="Sí",2,1),0)</x:f>
        <x:v>0</x:v>
      </x:c>
      <x:c r="AD52" s="32" t="n">
        <x:f>IF(AND(24&gt;=$D52,24&lt;=$E52),IF($F52="Sí",2,1),0)</x:f>
        <x:v>0</x:v>
      </x:c>
      <x:c r="AE52" s="32" t="n">
        <x:f>IF(AND(25&gt;=$D52,25&lt;=$E52),IF($F52="Sí",2,1),0)</x:f>
        <x:v>0</x:v>
      </x:c>
      <x:c r="AF52" s="32" t="n">
        <x:f>IF(AND(26&gt;=$D52,26&lt;=$E52),IF($F52="Sí",2,1),0)</x:f>
        <x:v>0</x:v>
      </x:c>
      <x:c r="AG52" s="32" t="n">
        <x:f>IF(AND(27&gt;=$D52,27&lt;=$E52),IF($F52="Sí",2,1),0)</x:f>
        <x:v>0</x:v>
      </x:c>
      <x:c r="AH52" s="32" t="n">
        <x:f>IF(AND(28&gt;=$D52,28&lt;=$E52),IF($F52="Sí",2,1),0)</x:f>
        <x:v>0</x:v>
      </x:c>
      <x:c r="AI52" s="32" t="n">
        <x:f>IF(AND(29&gt;=$D52,29&lt;=$E52),IF($F52="Sí",2,1),0)</x:f>
        <x:v>0</x:v>
      </x:c>
      <x:c r="AJ52" s="32" t="n">
        <x:f>IF(AND(30&gt;=$D52,30&lt;=$E52),IF($F52="Sí",2,1),0)</x:f>
        <x:v>2</x:v>
      </x:c>
      <x:c r="AK52" s="32" t="n">
        <x:f>IF(AND(31&gt;=$D52,31&lt;=$E52),IF($F52="Sí",2,1),0)</x:f>
        <x:v>2</x:v>
      </x:c>
      <x:c r="AL52" s="32" t="n">
        <x:f>IF(AND(32&gt;=$D52,32&lt;=$E52),IF($F52="Sí",2,1),0)</x:f>
        <x:v>2</x:v>
      </x:c>
      <x:c r="AM52" s="32" t="n">
        <x:f>IF(AND(33&gt;=$D52,33&lt;=$E52),IF($F52="Sí",2,1),0)</x:f>
        <x:v>0</x:v>
      </x:c>
      <x:c r="AN52" s="33" t="n">
        <x:f>IF(AND(34&gt;=$D52,34&lt;=$E52),IF($F52="Sí",2,1),0)</x:f>
        <x:v>0</x:v>
      </x:c>
      <x:c r="AO52" s="33" t="n">
        <x:f>IF(AND(35&gt;=$D52,35&lt;=$E52),IF($F52="Sí",2,1),0)</x:f>
        <x:v>0</x:v>
      </x:c>
    </x:row>
    <x:row r="53" ht="24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</x:row>
    <x:row r="54" ht="24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</x:row>
    <x:row r="55" ht="24" customHeight="1">
      <x:c r="A55" s="3" t="str">
        <x:v>H1</x:v>
      </x:c>
      <x:c r="B55" s="3" t="str">
        <x:v>Contrato empresa</x:v>
      </x:c>
      <x:c r="C55" s="3"/>
      <x:c r="D55" s="3" t="n">
        <x:f>'HITOS Y CONTROL'!G6</x:f>
        <x:v>3</x:v>
      </x:c>
      <x:c r="E55" s="3"/>
      <x:c r="F55" s="3"/>
      <x:c r="G55" s="32" t="n">
        <x:f>IF(1=$D55,3,0)</x:f>
        <x:v>0</x:v>
      </x:c>
      <x:c r="H55" s="32" t="n">
        <x:f>IF(2=$D55,3,0)</x:f>
        <x:v>0</x:v>
      </x:c>
      <x:c r="I55" s="32" t="n">
        <x:f>IF(3=$D55,3,0)</x:f>
        <x:v>3</x:v>
      </x:c>
      <x:c r="J55" s="32" t="n">
        <x:f>IF(4=$D55,3,0)</x:f>
        <x:v>0</x:v>
      </x:c>
      <x:c r="K55" s="32" t="n">
        <x:f>IF(5=$D55,3,0)</x:f>
        <x:v>0</x:v>
      </x:c>
      <x:c r="L55" s="32" t="n">
        <x:f>IF(6=$D55,3,0)</x:f>
        <x:v>0</x:v>
      </x:c>
      <x:c r="M55" s="32" t="n">
        <x:f>IF(7=$D55,3,0)</x:f>
        <x:v>0</x:v>
      </x:c>
      <x:c r="N55" s="32" t="n">
        <x:f>IF(8=$D55,3,0)</x:f>
        <x:v>0</x:v>
      </x:c>
      <x:c r="O55" s="32" t="n">
        <x:f>IF(9=$D55,3,0)</x:f>
        <x:v>0</x:v>
      </x:c>
      <x:c r="P55" s="32" t="n">
        <x:f>IF(10=$D55,3,0)</x:f>
        <x:v>0</x:v>
      </x:c>
      <x:c r="Q55" s="32" t="n">
        <x:f>IF(11=$D55,3,0)</x:f>
        <x:v>0</x:v>
      </x:c>
      <x:c r="R55" s="32" t="n">
        <x:f>IF(12=$D55,3,0)</x:f>
        <x:v>0</x:v>
      </x:c>
      <x:c r="S55" s="32" t="n">
        <x:f>IF(13=$D55,3,0)</x:f>
        <x:v>0</x:v>
      </x:c>
      <x:c r="T55" s="32" t="n">
        <x:f>IF(14=$D55,3,0)</x:f>
        <x:v>0</x:v>
      </x:c>
      <x:c r="U55" s="32" t="n">
        <x:f>IF(15=$D55,3,0)</x:f>
        <x:v>0</x:v>
      </x:c>
      <x:c r="V55" s="32" t="n">
        <x:f>IF(16=$D55,3,0)</x:f>
        <x:v>0</x:v>
      </x:c>
      <x:c r="W55" s="32" t="n">
        <x:f>IF(17=$D55,3,0)</x:f>
        <x:v>0</x:v>
      </x:c>
      <x:c r="X55" s="32" t="n">
        <x:f>IF(18=$D55,3,0)</x:f>
        <x:v>0</x:v>
      </x:c>
      <x:c r="Y55" s="32" t="n">
        <x:f>IF(19=$D55,3,0)</x:f>
        <x:v>0</x:v>
      </x:c>
      <x:c r="Z55" s="32" t="n">
        <x:f>IF(20=$D55,3,0)</x:f>
        <x:v>0</x:v>
      </x:c>
      <x:c r="AA55" s="32" t="n">
        <x:f>IF(21=$D55,3,0)</x:f>
        <x:v>0</x:v>
      </x:c>
      <x:c r="AB55" s="32" t="n">
        <x:f>IF(22=$D55,3,0)</x:f>
        <x:v>0</x:v>
      </x:c>
      <x:c r="AC55" s="32" t="n">
        <x:f>IF(23=$D55,3,0)</x:f>
        <x:v>0</x:v>
      </x:c>
      <x:c r="AD55" s="32" t="n">
        <x:f>IF(24=$D55,3,0)</x:f>
        <x:v>0</x:v>
      </x:c>
      <x:c r="AE55" s="32" t="n">
        <x:f>IF(25=$D55,3,0)</x:f>
        <x:v>0</x:v>
      </x:c>
      <x:c r="AF55" s="32" t="n">
        <x:f>IF(26=$D55,3,0)</x:f>
        <x:v>0</x:v>
      </x:c>
      <x:c r="AG55" s="32" t="n">
        <x:f>IF(27=$D55,3,0)</x:f>
        <x:v>0</x:v>
      </x:c>
      <x:c r="AH55" s="32" t="n">
        <x:f>IF(28=$D55,3,0)</x:f>
        <x:v>0</x:v>
      </x:c>
      <x:c r="AI55" s="32" t="n">
        <x:f>IF(29=$D55,3,0)</x:f>
        <x:v>0</x:v>
      </x:c>
      <x:c r="AJ55" s="32" t="n">
        <x:f>IF(30=$D55,3,0)</x:f>
        <x:v>0</x:v>
      </x:c>
      <x:c r="AK55" s="32" t="n">
        <x:f>IF(31=$D55,3,0)</x:f>
        <x:v>0</x:v>
      </x:c>
      <x:c r="AL55" s="32" t="n">
        <x:f>IF(32=$D55,3,0)</x:f>
        <x:v>0</x:v>
      </x:c>
      <x:c r="AM55" s="32" t="n">
        <x:f>IF(33=$D55,3,0)</x:f>
        <x:v>0</x:v>
      </x:c>
      <x:c r="AN55" s="33" t="n">
        <x:f>IF(34=$D55,3,0)</x:f>
        <x:v>0</x:v>
      </x:c>
      <x:c r="AO55" s="33" t="n">
        <x:f>IF(35=$D55,3,0)</x:f>
        <x:v>0</x:v>
      </x:c>
    </x:row>
    <x:row r="56" ht="24" customHeight="1">
      <x:c r="A56" s="3" t="str">
        <x:v>H2</x:v>
      </x:c>
      <x:c r="B56" s="3" t="str">
        <x:v>Alcance y UX aprobados</x:v>
      </x:c>
      <x:c r="C56" s="3"/>
      <x:c r="D56" s="3" t="n">
        <x:f>'HITOS Y CONTROL'!G7</x:f>
        <x:v>6</x:v>
      </x:c>
      <x:c r="E56" s="3"/>
      <x:c r="F56" s="3"/>
      <x:c r="G56" s="32" t="n">
        <x:f>IF(1=$D56,3,0)</x:f>
        <x:v>0</x:v>
      </x:c>
      <x:c r="H56" s="32" t="n">
        <x:f>IF(2=$D56,3,0)</x:f>
        <x:v>0</x:v>
      </x:c>
      <x:c r="I56" s="32" t="n">
        <x:f>IF(3=$D56,3,0)</x:f>
        <x:v>0</x:v>
      </x:c>
      <x:c r="J56" s="32" t="n">
        <x:f>IF(4=$D56,3,0)</x:f>
        <x:v>0</x:v>
      </x:c>
      <x:c r="K56" s="32" t="n">
        <x:f>IF(5=$D56,3,0)</x:f>
        <x:v>0</x:v>
      </x:c>
      <x:c r="L56" s="32" t="n">
        <x:f>IF(6=$D56,3,0)</x:f>
        <x:v>3</x:v>
      </x:c>
      <x:c r="M56" s="32" t="n">
        <x:f>IF(7=$D56,3,0)</x:f>
        <x:v>0</x:v>
      </x:c>
      <x:c r="N56" s="32" t="n">
        <x:f>IF(8=$D56,3,0)</x:f>
        <x:v>0</x:v>
      </x:c>
      <x:c r="O56" s="32" t="n">
        <x:f>IF(9=$D56,3,0)</x:f>
        <x:v>0</x:v>
      </x:c>
      <x:c r="P56" s="32" t="n">
        <x:f>IF(10=$D56,3,0)</x:f>
        <x:v>0</x:v>
      </x:c>
      <x:c r="Q56" s="32" t="n">
        <x:f>IF(11=$D56,3,0)</x:f>
        <x:v>0</x:v>
      </x:c>
      <x:c r="R56" s="32" t="n">
        <x:f>IF(12=$D56,3,0)</x:f>
        <x:v>0</x:v>
      </x:c>
      <x:c r="S56" s="32" t="n">
        <x:f>IF(13=$D56,3,0)</x:f>
        <x:v>0</x:v>
      </x:c>
      <x:c r="T56" s="32" t="n">
        <x:f>IF(14=$D56,3,0)</x:f>
        <x:v>0</x:v>
      </x:c>
      <x:c r="U56" s="32" t="n">
        <x:f>IF(15=$D56,3,0)</x:f>
        <x:v>0</x:v>
      </x:c>
      <x:c r="V56" s="32" t="n">
        <x:f>IF(16=$D56,3,0)</x:f>
        <x:v>0</x:v>
      </x:c>
      <x:c r="W56" s="32" t="n">
        <x:f>IF(17=$D56,3,0)</x:f>
        <x:v>0</x:v>
      </x:c>
      <x:c r="X56" s="32" t="n">
        <x:f>IF(18=$D56,3,0)</x:f>
        <x:v>0</x:v>
      </x:c>
      <x:c r="Y56" s="32" t="n">
        <x:f>IF(19=$D56,3,0)</x:f>
        <x:v>0</x:v>
      </x:c>
      <x:c r="Z56" s="32" t="n">
        <x:f>IF(20=$D56,3,0)</x:f>
        <x:v>0</x:v>
      </x:c>
      <x:c r="AA56" s="32" t="n">
        <x:f>IF(21=$D56,3,0)</x:f>
        <x:v>0</x:v>
      </x:c>
      <x:c r="AB56" s="32" t="n">
        <x:f>IF(22=$D56,3,0)</x:f>
        <x:v>0</x:v>
      </x:c>
      <x:c r="AC56" s="32" t="n">
        <x:f>IF(23=$D56,3,0)</x:f>
        <x:v>0</x:v>
      </x:c>
      <x:c r="AD56" s="32" t="n">
        <x:f>IF(24=$D56,3,0)</x:f>
        <x:v>0</x:v>
      </x:c>
      <x:c r="AE56" s="32" t="n">
        <x:f>IF(25=$D56,3,0)</x:f>
        <x:v>0</x:v>
      </x:c>
      <x:c r="AF56" s="32" t="n">
        <x:f>IF(26=$D56,3,0)</x:f>
        <x:v>0</x:v>
      </x:c>
      <x:c r="AG56" s="32" t="n">
        <x:f>IF(27=$D56,3,0)</x:f>
        <x:v>0</x:v>
      </x:c>
      <x:c r="AH56" s="32" t="n">
        <x:f>IF(28=$D56,3,0)</x:f>
        <x:v>0</x:v>
      </x:c>
      <x:c r="AI56" s="32" t="n">
        <x:f>IF(29=$D56,3,0)</x:f>
        <x:v>0</x:v>
      </x:c>
      <x:c r="AJ56" s="32" t="n">
        <x:f>IF(30=$D56,3,0)</x:f>
        <x:v>0</x:v>
      </x:c>
      <x:c r="AK56" s="32" t="n">
        <x:f>IF(31=$D56,3,0)</x:f>
        <x:v>0</x:v>
      </x:c>
      <x:c r="AL56" s="32" t="n">
        <x:f>IF(32=$D56,3,0)</x:f>
        <x:v>0</x:v>
      </x:c>
      <x:c r="AM56" s="32" t="n">
        <x:f>IF(33=$D56,3,0)</x:f>
        <x:v>0</x:v>
      </x:c>
      <x:c r="AN56" s="33" t="n">
        <x:f>IF(34=$D56,3,0)</x:f>
        <x:v>0</x:v>
      </x:c>
      <x:c r="AO56" s="33" t="n">
        <x:f>IF(35=$D56,3,0)</x:f>
        <x:v>0</x:v>
      </x:c>
    </x:row>
    <x:row r="57" ht="24" customHeight="1">
      <x:c r="A57" s="3" t="str">
        <x:v>H3</x:v>
      </x:c>
      <x:c r="B57" s="3" t="str">
        <x:v>Motor aceptado</x:v>
      </x:c>
      <x:c r="C57" s="3"/>
      <x:c r="D57" s="3" t="n">
        <x:f>'HITOS Y CONTROL'!G8</x:f>
        <x:v>14</x:v>
      </x:c>
      <x:c r="E57" s="3"/>
      <x:c r="F57" s="3"/>
      <x:c r="G57" s="32" t="n">
        <x:f>IF(1=$D57,3,0)</x:f>
        <x:v>0</x:v>
      </x:c>
      <x:c r="H57" s="32" t="n">
        <x:f>IF(2=$D57,3,0)</x:f>
        <x:v>0</x:v>
      </x:c>
      <x:c r="I57" s="32" t="n">
        <x:f>IF(3=$D57,3,0)</x:f>
        <x:v>0</x:v>
      </x:c>
      <x:c r="J57" s="32" t="n">
        <x:f>IF(4=$D57,3,0)</x:f>
        <x:v>0</x:v>
      </x:c>
      <x:c r="K57" s="32" t="n">
        <x:f>IF(5=$D57,3,0)</x:f>
        <x:v>0</x:v>
      </x:c>
      <x:c r="L57" s="32" t="n">
        <x:f>IF(6=$D57,3,0)</x:f>
        <x:v>0</x:v>
      </x:c>
      <x:c r="M57" s="32" t="n">
        <x:f>IF(7=$D57,3,0)</x:f>
        <x:v>0</x:v>
      </x:c>
      <x:c r="N57" s="32" t="n">
        <x:f>IF(8=$D57,3,0)</x:f>
        <x:v>0</x:v>
      </x:c>
      <x:c r="O57" s="32" t="n">
        <x:f>IF(9=$D57,3,0)</x:f>
        <x:v>0</x:v>
      </x:c>
      <x:c r="P57" s="32" t="n">
        <x:f>IF(10=$D57,3,0)</x:f>
        <x:v>0</x:v>
      </x:c>
      <x:c r="Q57" s="32" t="n">
        <x:f>IF(11=$D57,3,0)</x:f>
        <x:v>0</x:v>
      </x:c>
      <x:c r="R57" s="32" t="n">
        <x:f>IF(12=$D57,3,0)</x:f>
        <x:v>0</x:v>
      </x:c>
      <x:c r="S57" s="32" t="n">
        <x:f>IF(13=$D57,3,0)</x:f>
        <x:v>0</x:v>
      </x:c>
      <x:c r="T57" s="32" t="n">
        <x:f>IF(14=$D57,3,0)</x:f>
        <x:v>3</x:v>
      </x:c>
      <x:c r="U57" s="32" t="n">
        <x:f>IF(15=$D57,3,0)</x:f>
        <x:v>0</x:v>
      </x:c>
      <x:c r="V57" s="32" t="n">
        <x:f>IF(16=$D57,3,0)</x:f>
        <x:v>0</x:v>
      </x:c>
      <x:c r="W57" s="32" t="n">
        <x:f>IF(17=$D57,3,0)</x:f>
        <x:v>0</x:v>
      </x:c>
      <x:c r="X57" s="32" t="n">
        <x:f>IF(18=$D57,3,0)</x:f>
        <x:v>0</x:v>
      </x:c>
      <x:c r="Y57" s="32" t="n">
        <x:f>IF(19=$D57,3,0)</x:f>
        <x:v>0</x:v>
      </x:c>
      <x:c r="Z57" s="32" t="n">
        <x:f>IF(20=$D57,3,0)</x:f>
        <x:v>0</x:v>
      </x:c>
      <x:c r="AA57" s="32" t="n">
        <x:f>IF(21=$D57,3,0)</x:f>
        <x:v>0</x:v>
      </x:c>
      <x:c r="AB57" s="32" t="n">
        <x:f>IF(22=$D57,3,0)</x:f>
        <x:v>0</x:v>
      </x:c>
      <x:c r="AC57" s="32" t="n">
        <x:f>IF(23=$D57,3,0)</x:f>
        <x:v>0</x:v>
      </x:c>
      <x:c r="AD57" s="32" t="n">
        <x:f>IF(24=$D57,3,0)</x:f>
        <x:v>0</x:v>
      </x:c>
      <x:c r="AE57" s="32" t="n">
        <x:f>IF(25=$D57,3,0)</x:f>
        <x:v>0</x:v>
      </x:c>
      <x:c r="AF57" s="32" t="n">
        <x:f>IF(26=$D57,3,0)</x:f>
        <x:v>0</x:v>
      </x:c>
      <x:c r="AG57" s="32" t="n">
        <x:f>IF(27=$D57,3,0)</x:f>
        <x:v>0</x:v>
      </x:c>
      <x:c r="AH57" s="32" t="n">
        <x:f>IF(28=$D57,3,0)</x:f>
        <x:v>0</x:v>
      </x:c>
      <x:c r="AI57" s="32" t="n">
        <x:f>IF(29=$D57,3,0)</x:f>
        <x:v>0</x:v>
      </x:c>
      <x:c r="AJ57" s="32" t="n">
        <x:f>IF(30=$D57,3,0)</x:f>
        <x:v>0</x:v>
      </x:c>
      <x:c r="AK57" s="32" t="n">
        <x:f>IF(31=$D57,3,0)</x:f>
        <x:v>0</x:v>
      </x:c>
      <x:c r="AL57" s="32" t="n">
        <x:f>IF(32=$D57,3,0)</x:f>
        <x:v>0</x:v>
      </x:c>
      <x:c r="AM57" s="32" t="n">
        <x:f>IF(33=$D57,3,0)</x:f>
        <x:v>0</x:v>
      </x:c>
      <x:c r="AN57" s="33" t="n">
        <x:f>IF(34=$D57,3,0)</x:f>
        <x:v>0</x:v>
      </x:c>
      <x:c r="AO57" s="33" t="n">
        <x:f>IF(35=$D57,3,0)</x:f>
        <x:v>0</x:v>
      </x:c>
    </x:row>
    <x:row r="58" ht="24" customHeight="1">
      <x:c r="A58" s="3" t="str">
        <x:v>H4</x:v>
      </x:c>
      <x:c r="B58" s="3" t="str">
        <x:v>Recorrido SaaS integrado</x:v>
      </x:c>
      <x:c r="C58" s="3"/>
      <x:c r="D58" s="3" t="n">
        <x:f>'HITOS Y CONTROL'!G9</x:f>
        <x:v>19</x:v>
      </x:c>
      <x:c r="E58" s="3"/>
      <x:c r="F58" s="3"/>
      <x:c r="G58" s="32" t="n">
        <x:f>IF(1=$D58,3,0)</x:f>
        <x:v>0</x:v>
      </x:c>
      <x:c r="H58" s="32" t="n">
        <x:f>IF(2=$D58,3,0)</x:f>
        <x:v>0</x:v>
      </x:c>
      <x:c r="I58" s="32" t="n">
        <x:f>IF(3=$D58,3,0)</x:f>
        <x:v>0</x:v>
      </x:c>
      <x:c r="J58" s="32" t="n">
        <x:f>IF(4=$D58,3,0)</x:f>
        <x:v>0</x:v>
      </x:c>
      <x:c r="K58" s="32" t="n">
        <x:f>IF(5=$D58,3,0)</x:f>
        <x:v>0</x:v>
      </x:c>
      <x:c r="L58" s="32" t="n">
        <x:f>IF(6=$D58,3,0)</x:f>
        <x:v>0</x:v>
      </x:c>
      <x:c r="M58" s="32" t="n">
        <x:f>IF(7=$D58,3,0)</x:f>
        <x:v>0</x:v>
      </x:c>
      <x:c r="N58" s="32" t="n">
        <x:f>IF(8=$D58,3,0)</x:f>
        <x:v>0</x:v>
      </x:c>
      <x:c r="O58" s="32" t="n">
        <x:f>IF(9=$D58,3,0)</x:f>
        <x:v>0</x:v>
      </x:c>
      <x:c r="P58" s="32" t="n">
        <x:f>IF(10=$D58,3,0)</x:f>
        <x:v>0</x:v>
      </x:c>
      <x:c r="Q58" s="32" t="n">
        <x:f>IF(11=$D58,3,0)</x:f>
        <x:v>0</x:v>
      </x:c>
      <x:c r="R58" s="32" t="n">
        <x:f>IF(12=$D58,3,0)</x:f>
        <x:v>0</x:v>
      </x:c>
      <x:c r="S58" s="32" t="n">
        <x:f>IF(13=$D58,3,0)</x:f>
        <x:v>0</x:v>
      </x:c>
      <x:c r="T58" s="32" t="n">
        <x:f>IF(14=$D58,3,0)</x:f>
        <x:v>0</x:v>
      </x:c>
      <x:c r="U58" s="32" t="n">
        <x:f>IF(15=$D58,3,0)</x:f>
        <x:v>0</x:v>
      </x:c>
      <x:c r="V58" s="32" t="n">
        <x:f>IF(16=$D58,3,0)</x:f>
        <x:v>0</x:v>
      </x:c>
      <x:c r="W58" s="32" t="n">
        <x:f>IF(17=$D58,3,0)</x:f>
        <x:v>0</x:v>
      </x:c>
      <x:c r="X58" s="32" t="n">
        <x:f>IF(18=$D58,3,0)</x:f>
        <x:v>0</x:v>
      </x:c>
      <x:c r="Y58" s="32" t="n">
        <x:f>IF(19=$D58,3,0)</x:f>
        <x:v>3</x:v>
      </x:c>
      <x:c r="Z58" s="32" t="n">
        <x:f>IF(20=$D58,3,0)</x:f>
        <x:v>0</x:v>
      </x:c>
      <x:c r="AA58" s="32" t="n">
        <x:f>IF(21=$D58,3,0)</x:f>
        <x:v>0</x:v>
      </x:c>
      <x:c r="AB58" s="32" t="n">
        <x:f>IF(22=$D58,3,0)</x:f>
        <x:v>0</x:v>
      </x:c>
      <x:c r="AC58" s="32" t="n">
        <x:f>IF(23=$D58,3,0)</x:f>
        <x:v>0</x:v>
      </x:c>
      <x:c r="AD58" s="32" t="n">
        <x:f>IF(24=$D58,3,0)</x:f>
        <x:v>0</x:v>
      </x:c>
      <x:c r="AE58" s="32" t="n">
        <x:f>IF(25=$D58,3,0)</x:f>
        <x:v>0</x:v>
      </x:c>
      <x:c r="AF58" s="32" t="n">
        <x:f>IF(26=$D58,3,0)</x:f>
        <x:v>0</x:v>
      </x:c>
      <x:c r="AG58" s="32" t="n">
        <x:f>IF(27=$D58,3,0)</x:f>
        <x:v>0</x:v>
      </x:c>
      <x:c r="AH58" s="32" t="n">
        <x:f>IF(28=$D58,3,0)</x:f>
        <x:v>0</x:v>
      </x:c>
      <x:c r="AI58" s="32" t="n">
        <x:f>IF(29=$D58,3,0)</x:f>
        <x:v>0</x:v>
      </x:c>
      <x:c r="AJ58" s="32" t="n">
        <x:f>IF(30=$D58,3,0)</x:f>
        <x:v>0</x:v>
      </x:c>
      <x:c r="AK58" s="32" t="n">
        <x:f>IF(31=$D58,3,0)</x:f>
        <x:v>0</x:v>
      </x:c>
      <x:c r="AL58" s="32" t="n">
        <x:f>IF(32=$D58,3,0)</x:f>
        <x:v>0</x:v>
      </x:c>
      <x:c r="AM58" s="32" t="n">
        <x:f>IF(33=$D58,3,0)</x:f>
        <x:v>0</x:v>
      </x:c>
      <x:c r="AN58" s="33" t="n">
        <x:f>IF(34=$D58,3,0)</x:f>
        <x:v>0</x:v>
      </x:c>
      <x:c r="AO58" s="33" t="n">
        <x:f>IF(35=$D58,3,0)</x:f>
        <x:v>0</x:v>
      </x:c>
    </x:row>
    <x:row r="59" ht="24" customHeight="1">
      <x:c r="A59" s="3" t="str">
        <x:v>H5</x:v>
      </x:c>
      <x:c r="B59" s="3" t="str">
        <x:v>Autorización piloto</x:v>
      </x:c>
      <x:c r="C59" s="3"/>
      <x:c r="D59" s="3" t="n">
        <x:f>'HITOS Y CONTROL'!G10</x:f>
        <x:v>24</x:v>
      </x:c>
      <x:c r="E59" s="3"/>
      <x:c r="F59" s="3"/>
      <x:c r="G59" s="32" t="n">
        <x:f>IF(1=$D59,3,0)</x:f>
        <x:v>0</x:v>
      </x:c>
      <x:c r="H59" s="32" t="n">
        <x:f>IF(2=$D59,3,0)</x:f>
        <x:v>0</x:v>
      </x:c>
      <x:c r="I59" s="32" t="n">
        <x:f>IF(3=$D59,3,0)</x:f>
        <x:v>0</x:v>
      </x:c>
      <x:c r="J59" s="32" t="n">
        <x:f>IF(4=$D59,3,0)</x:f>
        <x:v>0</x:v>
      </x:c>
      <x:c r="K59" s="32" t="n">
        <x:f>IF(5=$D59,3,0)</x:f>
        <x:v>0</x:v>
      </x:c>
      <x:c r="L59" s="32" t="n">
        <x:f>IF(6=$D59,3,0)</x:f>
        <x:v>0</x:v>
      </x:c>
      <x:c r="M59" s="32" t="n">
        <x:f>IF(7=$D59,3,0)</x:f>
        <x:v>0</x:v>
      </x:c>
      <x:c r="N59" s="32" t="n">
        <x:f>IF(8=$D59,3,0)</x:f>
        <x:v>0</x:v>
      </x:c>
      <x:c r="O59" s="32" t="n">
        <x:f>IF(9=$D59,3,0)</x:f>
        <x:v>0</x:v>
      </x:c>
      <x:c r="P59" s="32" t="n">
        <x:f>IF(10=$D59,3,0)</x:f>
        <x:v>0</x:v>
      </x:c>
      <x:c r="Q59" s="32" t="n">
        <x:f>IF(11=$D59,3,0)</x:f>
        <x:v>0</x:v>
      </x:c>
      <x:c r="R59" s="32" t="n">
        <x:f>IF(12=$D59,3,0)</x:f>
        <x:v>0</x:v>
      </x:c>
      <x:c r="S59" s="32" t="n">
        <x:f>IF(13=$D59,3,0)</x:f>
        <x:v>0</x:v>
      </x:c>
      <x:c r="T59" s="32" t="n">
        <x:f>IF(14=$D59,3,0)</x:f>
        <x:v>0</x:v>
      </x:c>
      <x:c r="U59" s="32" t="n">
        <x:f>IF(15=$D59,3,0)</x:f>
        <x:v>0</x:v>
      </x:c>
      <x:c r="V59" s="32" t="n">
        <x:f>IF(16=$D59,3,0)</x:f>
        <x:v>0</x:v>
      </x:c>
      <x:c r="W59" s="32" t="n">
        <x:f>IF(17=$D59,3,0)</x:f>
        <x:v>0</x:v>
      </x:c>
      <x:c r="X59" s="32" t="n">
        <x:f>IF(18=$D59,3,0)</x:f>
        <x:v>0</x:v>
      </x:c>
      <x:c r="Y59" s="32" t="n">
        <x:f>IF(19=$D59,3,0)</x:f>
        <x:v>0</x:v>
      </x:c>
      <x:c r="Z59" s="32" t="n">
        <x:f>IF(20=$D59,3,0)</x:f>
        <x:v>0</x:v>
      </x:c>
      <x:c r="AA59" s="32" t="n">
        <x:f>IF(21=$D59,3,0)</x:f>
        <x:v>0</x:v>
      </x:c>
      <x:c r="AB59" s="32" t="n">
        <x:f>IF(22=$D59,3,0)</x:f>
        <x:v>0</x:v>
      </x:c>
      <x:c r="AC59" s="32" t="n">
        <x:f>IF(23=$D59,3,0)</x:f>
        <x:v>0</x:v>
      </x:c>
      <x:c r="AD59" s="32" t="n">
        <x:f>IF(24=$D59,3,0)</x:f>
        <x:v>3</x:v>
      </x:c>
      <x:c r="AE59" s="32" t="n">
        <x:f>IF(25=$D59,3,0)</x:f>
        <x:v>0</x:v>
      </x:c>
      <x:c r="AF59" s="32" t="n">
        <x:f>IF(26=$D59,3,0)</x:f>
        <x:v>0</x:v>
      </x:c>
      <x:c r="AG59" s="32" t="n">
        <x:f>IF(27=$D59,3,0)</x:f>
        <x:v>0</x:v>
      </x:c>
      <x:c r="AH59" s="32" t="n">
        <x:f>IF(28=$D59,3,0)</x:f>
        <x:v>0</x:v>
      </x:c>
      <x:c r="AI59" s="32" t="n">
        <x:f>IF(29=$D59,3,0)</x:f>
        <x:v>0</x:v>
      </x:c>
      <x:c r="AJ59" s="32" t="n">
        <x:f>IF(30=$D59,3,0)</x:f>
        <x:v>0</x:v>
      </x:c>
      <x:c r="AK59" s="32" t="n">
        <x:f>IF(31=$D59,3,0)</x:f>
        <x:v>0</x:v>
      </x:c>
      <x:c r="AL59" s="32" t="n">
        <x:f>IF(32=$D59,3,0)</x:f>
        <x:v>0</x:v>
      </x:c>
      <x:c r="AM59" s="32" t="n">
        <x:f>IF(33=$D59,3,0)</x:f>
        <x:v>0</x:v>
      </x:c>
      <x:c r="AN59" s="33" t="n">
        <x:f>IF(34=$D59,3,0)</x:f>
        <x:v>0</x:v>
      </x:c>
      <x:c r="AO59" s="33" t="n">
        <x:f>IF(35=$D59,3,0)</x:f>
        <x:v>0</x:v>
      </x:c>
    </x:row>
    <x:row r="60" ht="24" customHeight="1">
      <x:c r="A60" s="3" t="str">
        <x:v>H6</x:v>
      </x:c>
      <x:c r="B60" s="3" t="str">
        <x:v>Piloto repetido</x:v>
      </x:c>
      <x:c r="C60" s="3"/>
      <x:c r="D60" s="3" t="n">
        <x:f>'HITOS Y CONTROL'!G11</x:f>
        <x:v>28</x:v>
      </x:c>
      <x:c r="E60" s="3"/>
      <x:c r="F60" s="3"/>
      <x:c r="G60" s="32" t="n">
        <x:f>IF(1=$D60,3,0)</x:f>
        <x:v>0</x:v>
      </x:c>
      <x:c r="H60" s="32" t="n">
        <x:f>IF(2=$D60,3,0)</x:f>
        <x:v>0</x:v>
      </x:c>
      <x:c r="I60" s="32" t="n">
        <x:f>IF(3=$D60,3,0)</x:f>
        <x:v>0</x:v>
      </x:c>
      <x:c r="J60" s="32" t="n">
        <x:f>IF(4=$D60,3,0)</x:f>
        <x:v>0</x:v>
      </x:c>
      <x:c r="K60" s="32" t="n">
        <x:f>IF(5=$D60,3,0)</x:f>
        <x:v>0</x:v>
      </x:c>
      <x:c r="L60" s="32" t="n">
        <x:f>IF(6=$D60,3,0)</x:f>
        <x:v>0</x:v>
      </x:c>
      <x:c r="M60" s="32" t="n">
        <x:f>IF(7=$D60,3,0)</x:f>
        <x:v>0</x:v>
      </x:c>
      <x:c r="N60" s="32" t="n">
        <x:f>IF(8=$D60,3,0)</x:f>
        <x:v>0</x:v>
      </x:c>
      <x:c r="O60" s="32" t="n">
        <x:f>IF(9=$D60,3,0)</x:f>
        <x:v>0</x:v>
      </x:c>
      <x:c r="P60" s="32" t="n">
        <x:f>IF(10=$D60,3,0)</x:f>
        <x:v>0</x:v>
      </x:c>
      <x:c r="Q60" s="32" t="n">
        <x:f>IF(11=$D60,3,0)</x:f>
        <x:v>0</x:v>
      </x:c>
      <x:c r="R60" s="32" t="n">
        <x:f>IF(12=$D60,3,0)</x:f>
        <x:v>0</x:v>
      </x:c>
      <x:c r="S60" s="32" t="n">
        <x:f>IF(13=$D60,3,0)</x:f>
        <x:v>0</x:v>
      </x:c>
      <x:c r="T60" s="32" t="n">
        <x:f>IF(14=$D60,3,0)</x:f>
        <x:v>0</x:v>
      </x:c>
      <x:c r="U60" s="32" t="n">
        <x:f>IF(15=$D60,3,0)</x:f>
        <x:v>0</x:v>
      </x:c>
      <x:c r="V60" s="32" t="n">
        <x:f>IF(16=$D60,3,0)</x:f>
        <x:v>0</x:v>
      </x:c>
      <x:c r="W60" s="32" t="n">
        <x:f>IF(17=$D60,3,0)</x:f>
        <x:v>0</x:v>
      </x:c>
      <x:c r="X60" s="32" t="n">
        <x:f>IF(18=$D60,3,0)</x:f>
        <x:v>0</x:v>
      </x:c>
      <x:c r="Y60" s="32" t="n">
        <x:f>IF(19=$D60,3,0)</x:f>
        <x:v>0</x:v>
      </x:c>
      <x:c r="Z60" s="32" t="n">
        <x:f>IF(20=$D60,3,0)</x:f>
        <x:v>0</x:v>
      </x:c>
      <x:c r="AA60" s="32" t="n">
        <x:f>IF(21=$D60,3,0)</x:f>
        <x:v>0</x:v>
      </x:c>
      <x:c r="AB60" s="32" t="n">
        <x:f>IF(22=$D60,3,0)</x:f>
        <x:v>0</x:v>
      </x:c>
      <x:c r="AC60" s="32" t="n">
        <x:f>IF(23=$D60,3,0)</x:f>
        <x:v>0</x:v>
      </x:c>
      <x:c r="AD60" s="32" t="n">
        <x:f>IF(24=$D60,3,0)</x:f>
        <x:v>0</x:v>
      </x:c>
      <x:c r="AE60" s="32" t="n">
        <x:f>IF(25=$D60,3,0)</x:f>
        <x:v>0</x:v>
      </x:c>
      <x:c r="AF60" s="32" t="n">
        <x:f>IF(26=$D60,3,0)</x:f>
        <x:v>0</x:v>
      </x:c>
      <x:c r="AG60" s="32" t="n">
        <x:f>IF(27=$D60,3,0)</x:f>
        <x:v>0</x:v>
      </x:c>
      <x:c r="AH60" s="32" t="n">
        <x:f>IF(28=$D60,3,0)</x:f>
        <x:v>3</x:v>
      </x:c>
      <x:c r="AI60" s="32" t="n">
        <x:f>IF(29=$D60,3,0)</x:f>
        <x:v>0</x:v>
      </x:c>
      <x:c r="AJ60" s="32" t="n">
        <x:f>IF(30=$D60,3,0)</x:f>
        <x:v>0</x:v>
      </x:c>
      <x:c r="AK60" s="32" t="n">
        <x:f>IF(31=$D60,3,0)</x:f>
        <x:v>0</x:v>
      </x:c>
      <x:c r="AL60" s="32" t="n">
        <x:f>IF(32=$D60,3,0)</x:f>
        <x:v>0</x:v>
      </x:c>
      <x:c r="AM60" s="32" t="n">
        <x:f>IF(33=$D60,3,0)</x:f>
        <x:v>0</x:v>
      </x:c>
      <x:c r="AN60" s="33" t="n">
        <x:f>IF(34=$D60,3,0)</x:f>
        <x:v>0</x:v>
      </x:c>
      <x:c r="AO60" s="33" t="n">
        <x:f>IF(35=$D60,3,0)</x:f>
        <x:v>0</x:v>
      </x:c>
    </x:row>
    <x:row r="61" ht="24" customHeight="1">
      <x:c r="A61" s="3" t="str">
        <x:v>H7</x:v>
      </x:c>
      <x:c r="B61" s="3" t="str">
        <x:v>Primera oferta negociada</x:v>
      </x:c>
      <x:c r="C61" s="3"/>
      <x:c r="D61" s="3" t="n">
        <x:f>'HITOS Y CONTROL'!G12</x:f>
        <x:v>27</x:v>
      </x:c>
      <x:c r="E61" s="3"/>
      <x:c r="F61" s="3"/>
      <x:c r="G61" s="32" t="n">
        <x:f>IF(1=$D61,3,0)</x:f>
        <x:v>0</x:v>
      </x:c>
      <x:c r="H61" s="32" t="n">
        <x:f>IF(2=$D61,3,0)</x:f>
        <x:v>0</x:v>
      </x:c>
      <x:c r="I61" s="32" t="n">
        <x:f>IF(3=$D61,3,0)</x:f>
        <x:v>0</x:v>
      </x:c>
      <x:c r="J61" s="32" t="n">
        <x:f>IF(4=$D61,3,0)</x:f>
        <x:v>0</x:v>
      </x:c>
      <x:c r="K61" s="32" t="n">
        <x:f>IF(5=$D61,3,0)</x:f>
        <x:v>0</x:v>
      </x:c>
      <x:c r="L61" s="32" t="n">
        <x:f>IF(6=$D61,3,0)</x:f>
        <x:v>0</x:v>
      </x:c>
      <x:c r="M61" s="32" t="n">
        <x:f>IF(7=$D61,3,0)</x:f>
        <x:v>0</x:v>
      </x:c>
      <x:c r="N61" s="32" t="n">
        <x:f>IF(8=$D61,3,0)</x:f>
        <x:v>0</x:v>
      </x:c>
      <x:c r="O61" s="32" t="n">
        <x:f>IF(9=$D61,3,0)</x:f>
        <x:v>0</x:v>
      </x:c>
      <x:c r="P61" s="32" t="n">
        <x:f>IF(10=$D61,3,0)</x:f>
        <x:v>0</x:v>
      </x:c>
      <x:c r="Q61" s="32" t="n">
        <x:f>IF(11=$D61,3,0)</x:f>
        <x:v>0</x:v>
      </x:c>
      <x:c r="R61" s="32" t="n">
        <x:f>IF(12=$D61,3,0)</x:f>
        <x:v>0</x:v>
      </x:c>
      <x:c r="S61" s="32" t="n">
        <x:f>IF(13=$D61,3,0)</x:f>
        <x:v>0</x:v>
      </x:c>
      <x:c r="T61" s="32" t="n">
        <x:f>IF(14=$D61,3,0)</x:f>
        <x:v>0</x:v>
      </x:c>
      <x:c r="U61" s="32" t="n">
        <x:f>IF(15=$D61,3,0)</x:f>
        <x:v>0</x:v>
      </x:c>
      <x:c r="V61" s="32" t="n">
        <x:f>IF(16=$D61,3,0)</x:f>
        <x:v>0</x:v>
      </x:c>
      <x:c r="W61" s="32" t="n">
        <x:f>IF(17=$D61,3,0)</x:f>
        <x:v>0</x:v>
      </x:c>
      <x:c r="X61" s="32" t="n">
        <x:f>IF(18=$D61,3,0)</x:f>
        <x:v>0</x:v>
      </x:c>
      <x:c r="Y61" s="32" t="n">
        <x:f>IF(19=$D61,3,0)</x:f>
        <x:v>0</x:v>
      </x:c>
      <x:c r="Z61" s="32" t="n">
        <x:f>IF(20=$D61,3,0)</x:f>
        <x:v>0</x:v>
      </x:c>
      <x:c r="AA61" s="32" t="n">
        <x:f>IF(21=$D61,3,0)</x:f>
        <x:v>0</x:v>
      </x:c>
      <x:c r="AB61" s="32" t="n">
        <x:f>IF(22=$D61,3,0)</x:f>
        <x:v>0</x:v>
      </x:c>
      <x:c r="AC61" s="32" t="n">
        <x:f>IF(23=$D61,3,0)</x:f>
        <x:v>0</x:v>
      </x:c>
      <x:c r="AD61" s="32" t="n">
        <x:f>IF(24=$D61,3,0)</x:f>
        <x:v>0</x:v>
      </x:c>
      <x:c r="AE61" s="32" t="n">
        <x:f>IF(25=$D61,3,0)</x:f>
        <x:v>0</x:v>
      </x:c>
      <x:c r="AF61" s="32" t="n">
        <x:f>IF(26=$D61,3,0)</x:f>
        <x:v>0</x:v>
      </x:c>
      <x:c r="AG61" s="32" t="n">
        <x:f>IF(27=$D61,3,0)</x:f>
        <x:v>3</x:v>
      </x:c>
      <x:c r="AH61" s="32" t="n">
        <x:f>IF(28=$D61,3,0)</x:f>
        <x:v>0</x:v>
      </x:c>
      <x:c r="AI61" s="32" t="n">
        <x:f>IF(29=$D61,3,0)</x:f>
        <x:v>0</x:v>
      </x:c>
      <x:c r="AJ61" s="32" t="n">
        <x:f>IF(30=$D61,3,0)</x:f>
        <x:v>0</x:v>
      </x:c>
      <x:c r="AK61" s="32" t="n">
        <x:f>IF(31=$D61,3,0)</x:f>
        <x:v>0</x:v>
      </x:c>
      <x:c r="AL61" s="32" t="n">
        <x:f>IF(32=$D61,3,0)</x:f>
        <x:v>0</x:v>
      </x:c>
      <x:c r="AM61" s="32" t="n">
        <x:f>IF(33=$D61,3,0)</x:f>
        <x:v>0</x:v>
      </x:c>
      <x:c r="AN61" s="33" t="n">
        <x:f>IF(34=$D61,3,0)</x:f>
        <x:v>0</x:v>
      </x:c>
      <x:c r="AO61" s="33" t="n">
        <x:f>IF(35=$D61,3,0)</x:f>
        <x:v>0</x:v>
      </x:c>
    </x:row>
    <x:row r="62" ht="24" customHeight="1">
      <x:c r="A62" s="3" t="str">
        <x:v>H8</x:v>
      </x:c>
      <x:c r="B62" s="3" t="str">
        <x:v>Transferencia</x:v>
      </x:c>
      <x:c r="C62" s="3"/>
      <x:c r="D62" s="3" t="n">
        <x:f>'HITOS Y CONTROL'!G13</x:f>
        <x:v>29</x:v>
      </x:c>
      <x:c r="E62" s="3"/>
      <x:c r="F62" s="3"/>
      <x:c r="G62" s="32" t="n">
        <x:f>IF(1=$D62,3,0)</x:f>
        <x:v>0</x:v>
      </x:c>
      <x:c r="H62" s="32" t="n">
        <x:f>IF(2=$D62,3,0)</x:f>
        <x:v>0</x:v>
      </x:c>
      <x:c r="I62" s="32" t="n">
        <x:f>IF(3=$D62,3,0)</x:f>
        <x:v>0</x:v>
      </x:c>
      <x:c r="J62" s="32" t="n">
        <x:f>IF(4=$D62,3,0)</x:f>
        <x:v>0</x:v>
      </x:c>
      <x:c r="K62" s="32" t="n">
        <x:f>IF(5=$D62,3,0)</x:f>
        <x:v>0</x:v>
      </x:c>
      <x:c r="L62" s="32" t="n">
        <x:f>IF(6=$D62,3,0)</x:f>
        <x:v>0</x:v>
      </x:c>
      <x:c r="M62" s="32" t="n">
        <x:f>IF(7=$D62,3,0)</x:f>
        <x:v>0</x:v>
      </x:c>
      <x:c r="N62" s="32" t="n">
        <x:f>IF(8=$D62,3,0)</x:f>
        <x:v>0</x:v>
      </x:c>
      <x:c r="O62" s="32" t="n">
        <x:f>IF(9=$D62,3,0)</x:f>
        <x:v>0</x:v>
      </x:c>
      <x:c r="P62" s="32" t="n">
        <x:f>IF(10=$D62,3,0)</x:f>
        <x:v>0</x:v>
      </x:c>
      <x:c r="Q62" s="32" t="n">
        <x:f>IF(11=$D62,3,0)</x:f>
        <x:v>0</x:v>
      </x:c>
      <x:c r="R62" s="32" t="n">
        <x:f>IF(12=$D62,3,0)</x:f>
        <x:v>0</x:v>
      </x:c>
      <x:c r="S62" s="32" t="n">
        <x:f>IF(13=$D62,3,0)</x:f>
        <x:v>0</x:v>
      </x:c>
      <x:c r="T62" s="32" t="n">
        <x:f>IF(14=$D62,3,0)</x:f>
        <x:v>0</x:v>
      </x:c>
      <x:c r="U62" s="32" t="n">
        <x:f>IF(15=$D62,3,0)</x:f>
        <x:v>0</x:v>
      </x:c>
      <x:c r="V62" s="32" t="n">
        <x:f>IF(16=$D62,3,0)</x:f>
        <x:v>0</x:v>
      </x:c>
      <x:c r="W62" s="32" t="n">
        <x:f>IF(17=$D62,3,0)</x:f>
        <x:v>0</x:v>
      </x:c>
      <x:c r="X62" s="32" t="n">
        <x:f>IF(18=$D62,3,0)</x:f>
        <x:v>0</x:v>
      </x:c>
      <x:c r="Y62" s="32" t="n">
        <x:f>IF(19=$D62,3,0)</x:f>
        <x:v>0</x:v>
      </x:c>
      <x:c r="Z62" s="32" t="n">
        <x:f>IF(20=$D62,3,0)</x:f>
        <x:v>0</x:v>
      </x:c>
      <x:c r="AA62" s="32" t="n">
        <x:f>IF(21=$D62,3,0)</x:f>
        <x:v>0</x:v>
      </x:c>
      <x:c r="AB62" s="32" t="n">
        <x:f>IF(22=$D62,3,0)</x:f>
        <x:v>0</x:v>
      </x:c>
      <x:c r="AC62" s="32" t="n">
        <x:f>IF(23=$D62,3,0)</x:f>
        <x:v>0</x:v>
      </x:c>
      <x:c r="AD62" s="32" t="n">
        <x:f>IF(24=$D62,3,0)</x:f>
        <x:v>0</x:v>
      </x:c>
      <x:c r="AE62" s="32" t="n">
        <x:f>IF(25=$D62,3,0)</x:f>
        <x:v>0</x:v>
      </x:c>
      <x:c r="AF62" s="32" t="n">
        <x:f>IF(26=$D62,3,0)</x:f>
        <x:v>0</x:v>
      </x:c>
      <x:c r="AG62" s="32" t="n">
        <x:f>IF(27=$D62,3,0)</x:f>
        <x:v>0</x:v>
      </x:c>
      <x:c r="AH62" s="32" t="n">
        <x:f>IF(28=$D62,3,0)</x:f>
        <x:v>0</x:v>
      </x:c>
      <x:c r="AI62" s="32" t="n">
        <x:f>IF(29=$D62,3,0)</x:f>
        <x:v>3</x:v>
      </x:c>
      <x:c r="AJ62" s="32" t="n">
        <x:f>IF(30=$D62,3,0)</x:f>
        <x:v>0</x:v>
      </x:c>
      <x:c r="AK62" s="32" t="n">
        <x:f>IF(31=$D62,3,0)</x:f>
        <x:v>0</x:v>
      </x:c>
      <x:c r="AL62" s="32" t="n">
        <x:f>IF(32=$D62,3,0)</x:f>
        <x:v>0</x:v>
      </x:c>
      <x:c r="AM62" s="32" t="n">
        <x:f>IF(33=$D62,3,0)</x:f>
        <x:v>0</x:v>
      </x:c>
      <x:c r="AN62" s="33" t="n">
        <x:f>IF(34=$D62,3,0)</x:f>
        <x:v>0</x:v>
      </x:c>
      <x:c r="AO62" s="33" t="n">
        <x:f>IF(35=$D62,3,0)</x:f>
        <x:v>0</x:v>
      </x:c>
    </x:row>
    <x:row r="63" ht="24" customHeight="1">
      <x:c r="A63" s="3" t="str">
        <x:v>H9</x:v>
      </x:c>
      <x:c r="B63" s="3" t="str">
        <x:v>Lanzamiento aprobado</x:v>
      </x:c>
      <x:c r="C63" s="3"/>
      <x:c r="D63" s="3" t="n">
        <x:f>'HITOS Y CONTROL'!G14</x:f>
        <x:v>30</x:v>
      </x:c>
      <x:c r="E63" s="3"/>
      <x:c r="F63" s="3"/>
      <x:c r="G63" s="32" t="n">
        <x:f>IF(1=$D63,3,0)</x:f>
        <x:v>0</x:v>
      </x:c>
      <x:c r="H63" s="32" t="n">
        <x:f>IF(2=$D63,3,0)</x:f>
        <x:v>0</x:v>
      </x:c>
      <x:c r="I63" s="32" t="n">
        <x:f>IF(3=$D63,3,0)</x:f>
        <x:v>0</x:v>
      </x:c>
      <x:c r="J63" s="32" t="n">
        <x:f>IF(4=$D63,3,0)</x:f>
        <x:v>0</x:v>
      </x:c>
      <x:c r="K63" s="32" t="n">
        <x:f>IF(5=$D63,3,0)</x:f>
        <x:v>0</x:v>
      </x:c>
      <x:c r="L63" s="32" t="n">
        <x:f>IF(6=$D63,3,0)</x:f>
        <x:v>0</x:v>
      </x:c>
      <x:c r="M63" s="32" t="n">
        <x:f>IF(7=$D63,3,0)</x:f>
        <x:v>0</x:v>
      </x:c>
      <x:c r="N63" s="32" t="n">
        <x:f>IF(8=$D63,3,0)</x:f>
        <x:v>0</x:v>
      </x:c>
      <x:c r="O63" s="32" t="n">
        <x:f>IF(9=$D63,3,0)</x:f>
        <x:v>0</x:v>
      </x:c>
      <x:c r="P63" s="32" t="n">
        <x:f>IF(10=$D63,3,0)</x:f>
        <x:v>0</x:v>
      </x:c>
      <x:c r="Q63" s="32" t="n">
        <x:f>IF(11=$D63,3,0)</x:f>
        <x:v>0</x:v>
      </x:c>
      <x:c r="R63" s="32" t="n">
        <x:f>IF(12=$D63,3,0)</x:f>
        <x:v>0</x:v>
      </x:c>
      <x:c r="S63" s="32" t="n">
        <x:f>IF(13=$D63,3,0)</x:f>
        <x:v>0</x:v>
      </x:c>
      <x:c r="T63" s="32" t="n">
        <x:f>IF(14=$D63,3,0)</x:f>
        <x:v>0</x:v>
      </x:c>
      <x:c r="U63" s="32" t="n">
        <x:f>IF(15=$D63,3,0)</x:f>
        <x:v>0</x:v>
      </x:c>
      <x:c r="V63" s="32" t="n">
        <x:f>IF(16=$D63,3,0)</x:f>
        <x:v>0</x:v>
      </x:c>
      <x:c r="W63" s="32" t="n">
        <x:f>IF(17=$D63,3,0)</x:f>
        <x:v>0</x:v>
      </x:c>
      <x:c r="X63" s="32" t="n">
        <x:f>IF(18=$D63,3,0)</x:f>
        <x:v>0</x:v>
      </x:c>
      <x:c r="Y63" s="32" t="n">
        <x:f>IF(19=$D63,3,0)</x:f>
        <x:v>0</x:v>
      </x:c>
      <x:c r="Z63" s="32" t="n">
        <x:f>IF(20=$D63,3,0)</x:f>
        <x:v>0</x:v>
      </x:c>
      <x:c r="AA63" s="32" t="n">
        <x:f>IF(21=$D63,3,0)</x:f>
        <x:v>0</x:v>
      </x:c>
      <x:c r="AB63" s="32" t="n">
        <x:f>IF(22=$D63,3,0)</x:f>
        <x:v>0</x:v>
      </x:c>
      <x:c r="AC63" s="32" t="n">
        <x:f>IF(23=$D63,3,0)</x:f>
        <x:v>0</x:v>
      </x:c>
      <x:c r="AD63" s="32" t="n">
        <x:f>IF(24=$D63,3,0)</x:f>
        <x:v>0</x:v>
      </x:c>
      <x:c r="AE63" s="32" t="n">
        <x:f>IF(25=$D63,3,0)</x:f>
        <x:v>0</x:v>
      </x:c>
      <x:c r="AF63" s="32" t="n">
        <x:f>IF(26=$D63,3,0)</x:f>
        <x:v>0</x:v>
      </x:c>
      <x:c r="AG63" s="32" t="n">
        <x:f>IF(27=$D63,3,0)</x:f>
        <x:v>0</x:v>
      </x:c>
      <x:c r="AH63" s="32" t="n">
        <x:f>IF(28=$D63,3,0)</x:f>
        <x:v>0</x:v>
      </x:c>
      <x:c r="AI63" s="32" t="n">
        <x:f>IF(29=$D63,3,0)</x:f>
        <x:v>0</x:v>
      </x:c>
      <x:c r="AJ63" s="32" t="n">
        <x:f>IF(30=$D63,3,0)</x:f>
        <x:v>3</x:v>
      </x:c>
      <x:c r="AK63" s="32" t="n">
        <x:f>IF(31=$D63,3,0)</x:f>
        <x:v>0</x:v>
      </x:c>
      <x:c r="AL63" s="32" t="n">
        <x:f>IF(32=$D63,3,0)</x:f>
        <x:v>0</x:v>
      </x:c>
      <x:c r="AM63" s="32" t="n">
        <x:f>IF(33=$D63,3,0)</x:f>
        <x:v>0</x:v>
      </x:c>
      <x:c r="AN63" s="33" t="n">
        <x:f>IF(34=$D63,3,0)</x:f>
        <x:v>0</x:v>
      </x:c>
      <x:c r="AO63" s="33" t="n">
        <x:f>IF(35=$D63,3,0)</x:f>
        <x:v>0</x:v>
      </x:c>
    </x:row>
    <x:row r="64" ht="24" customHeight="1">
      <x:c r="A64" s="3" t="str">
        <x:v>H10</x:v>
      </x:c>
      <x:c r="B64" s="3" t="str">
        <x:v>Operación acompañada</x:v>
      </x:c>
      <x:c r="C64" s="3"/>
      <x:c r="D64" s="3" t="n">
        <x:f>'HITOS Y CONTROL'!G15</x:f>
        <x:v>32</x:v>
      </x:c>
      <x:c r="E64" s="3"/>
      <x:c r="F64" s="3"/>
      <x:c r="G64" s="32" t="n">
        <x:f>IF(1=$D64,3,0)</x:f>
        <x:v>0</x:v>
      </x:c>
      <x:c r="H64" s="32" t="n">
        <x:f>IF(2=$D64,3,0)</x:f>
        <x:v>0</x:v>
      </x:c>
      <x:c r="I64" s="32" t="n">
        <x:f>IF(3=$D64,3,0)</x:f>
        <x:v>0</x:v>
      </x:c>
      <x:c r="J64" s="32" t="n">
        <x:f>IF(4=$D64,3,0)</x:f>
        <x:v>0</x:v>
      </x:c>
      <x:c r="K64" s="32" t="n">
        <x:f>IF(5=$D64,3,0)</x:f>
        <x:v>0</x:v>
      </x:c>
      <x:c r="L64" s="32" t="n">
        <x:f>IF(6=$D64,3,0)</x:f>
        <x:v>0</x:v>
      </x:c>
      <x:c r="M64" s="32" t="n">
        <x:f>IF(7=$D64,3,0)</x:f>
        <x:v>0</x:v>
      </x:c>
      <x:c r="N64" s="32" t="n">
        <x:f>IF(8=$D64,3,0)</x:f>
        <x:v>0</x:v>
      </x:c>
      <x:c r="O64" s="32" t="n">
        <x:f>IF(9=$D64,3,0)</x:f>
        <x:v>0</x:v>
      </x:c>
      <x:c r="P64" s="32" t="n">
        <x:f>IF(10=$D64,3,0)</x:f>
        <x:v>0</x:v>
      </x:c>
      <x:c r="Q64" s="32" t="n">
        <x:f>IF(11=$D64,3,0)</x:f>
        <x:v>0</x:v>
      </x:c>
      <x:c r="R64" s="32" t="n">
        <x:f>IF(12=$D64,3,0)</x:f>
        <x:v>0</x:v>
      </x:c>
      <x:c r="S64" s="32" t="n">
        <x:f>IF(13=$D64,3,0)</x:f>
        <x:v>0</x:v>
      </x:c>
      <x:c r="T64" s="32" t="n">
        <x:f>IF(14=$D64,3,0)</x:f>
        <x:v>0</x:v>
      </x:c>
      <x:c r="U64" s="32" t="n">
        <x:f>IF(15=$D64,3,0)</x:f>
        <x:v>0</x:v>
      </x:c>
      <x:c r="V64" s="32" t="n">
        <x:f>IF(16=$D64,3,0)</x:f>
        <x:v>0</x:v>
      </x:c>
      <x:c r="W64" s="32" t="n">
        <x:f>IF(17=$D64,3,0)</x:f>
        <x:v>0</x:v>
      </x:c>
      <x:c r="X64" s="32" t="n">
        <x:f>IF(18=$D64,3,0)</x:f>
        <x:v>0</x:v>
      </x:c>
      <x:c r="Y64" s="32" t="n">
        <x:f>IF(19=$D64,3,0)</x:f>
        <x:v>0</x:v>
      </x:c>
      <x:c r="Z64" s="32" t="n">
        <x:f>IF(20=$D64,3,0)</x:f>
        <x:v>0</x:v>
      </x:c>
      <x:c r="AA64" s="32" t="n">
        <x:f>IF(21=$D64,3,0)</x:f>
        <x:v>0</x:v>
      </x:c>
      <x:c r="AB64" s="32" t="n">
        <x:f>IF(22=$D64,3,0)</x:f>
        <x:v>0</x:v>
      </x:c>
      <x:c r="AC64" s="32" t="n">
        <x:f>IF(23=$D64,3,0)</x:f>
        <x:v>0</x:v>
      </x:c>
      <x:c r="AD64" s="32" t="n">
        <x:f>IF(24=$D64,3,0)</x:f>
        <x:v>0</x:v>
      </x:c>
      <x:c r="AE64" s="32" t="n">
        <x:f>IF(25=$D64,3,0)</x:f>
        <x:v>0</x:v>
      </x:c>
      <x:c r="AF64" s="32" t="n">
        <x:f>IF(26=$D64,3,0)</x:f>
        <x:v>0</x:v>
      </x:c>
      <x:c r="AG64" s="32" t="n">
        <x:f>IF(27=$D64,3,0)</x:f>
        <x:v>0</x:v>
      </x:c>
      <x:c r="AH64" s="32" t="n">
        <x:f>IF(28=$D64,3,0)</x:f>
        <x:v>0</x:v>
      </x:c>
      <x:c r="AI64" s="32" t="n">
        <x:f>IF(29=$D64,3,0)</x:f>
        <x:v>0</x:v>
      </x:c>
      <x:c r="AJ64" s="32" t="n">
        <x:f>IF(30=$D64,3,0)</x:f>
        <x:v>0</x:v>
      </x:c>
      <x:c r="AK64" s="32" t="n">
        <x:f>IF(31=$D64,3,0)</x:f>
        <x:v>0</x:v>
      </x:c>
      <x:c r="AL64" s="32" t="n">
        <x:f>IF(32=$D64,3,0)</x:f>
        <x:v>3</x:v>
      </x:c>
      <x:c r="AM64" s="32" t="n">
        <x:f>IF(33=$D64,3,0)</x:f>
        <x:v>0</x:v>
      </x:c>
      <x:c r="AN64" s="33" t="n">
        <x:f>IF(34=$D64,3,0)</x:f>
        <x:v>0</x:v>
      </x:c>
      <x:c r="AO64" s="33" t="n">
        <x:f>IF(35=$D64,3,0)</x:f>
        <x:v>0</x:v>
      </x:c>
    </x:row>
    <x:row r="65" ht="24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  <x:c r="AL65" s="3"/>
      <x:c r="AM65" s="3"/>
    </x:row>
    <x:row r="66" ht="24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  <x:c r="AL66" s="3"/>
      <x:c r="AM66" s="3"/>
    </x:row>
  </x:sheetData>
  <x:conditionalFormatting sqref="G6:AO52">
    <x:cfRule type="cellIs" dxfId="1" priority="1" operator="equal">
      <x:formula>2</x:formula>
    </x:cfRule>
    <x:cfRule type="cellIs" dxfId="2" priority="2" operator="equal">
      <x:formula>1</x:formula>
    </x:cfRule>
  </x:conditionalFormatting>
  <x:conditionalFormatting sqref="G55:AO64">
    <x:cfRule type="cellIs" dxfId="11" priority="3" operator="equal">
      <x:formula>3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18" hidden="0" customWidth="1"/>
    <x:col min="4" max="4" width="15" hidden="0" customWidth="1"/>
    <x:col min="5" max="5" width="16" hidden="0" customWidth="1"/>
    <x:col min="6" max="6" width="16" hidden="0" customWidth="1"/>
    <x:col min="7" max="7" width="4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4" hidden="0" customWidth="1"/>
    <x:col min="14" max="14" width="20" hidden="0" customWidth="1"/>
    <x:col min="15" max="15" width="2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 ht="24" customHeight="1">
      <x:c r="A1" s="6" t="str">
        <x:v>RECURSOS · disponibilidad, carga y coordinación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</x:row>
    <x:row r="3" ht="24" customHeight="1">
      <x:c r="A3" s="3" t="str">
        <x:v>Capacidades de tarea reservadas; coordinación adicional AP 2 h/sem, AM 1 h/sem y BE 2 h/sem (S4–32).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</x:row>
    <x:row r="5" ht="42" customHeight="1">
      <x:c r="A5" s="15" t="str">
        <x:v>Recurso</x:v>
      </x:c>
      <x:c r="B5" s="15" t="str">
        <x:v>Rol</x:v>
      </x:c>
      <x:c r="C5" s="15" t="str">
        <x:v>Capacidad tareas h/sem</x:v>
      </x:c>
      <x:c r="D5" s="15" t="str">
        <x:v>Horas totales</x:v>
      </x:c>
      <x:c r="E5" s="15" t="str">
        <x:v>FTE medio (40 h)</x:v>
      </x:c>
      <x:c r="F5" s="15" t="str">
        <x:v>Meses equivalentes</x:v>
      </x:c>
      <x:c r="G5" s="15" t="str">
        <x:v>Responsabilidades</x:v>
      </x:c>
      <x:c r="H5" s="15" t="str">
        <x:v>Tarifa CLP/h</x:v>
      </x:c>
      <x:c r="I5" s="15" t="str">
        <x:v>Costo económico</x:v>
      </x:c>
      <x:c r="J5" s="15" t="str">
        <x:v>Horas tareas</x:v>
      </x:c>
      <x:c r="K5" s="15" t="str">
        <x:v>Horas coordinación</x:v>
      </x:c>
      <x:c r="L5" s="15" t="str">
        <x:v>Pico semanal tareas</x:v>
      </x:c>
      <x:c r="M5" s="15" t="str">
        <x:v>Estado</x:v>
      </x:c>
      <x:c r="N5" s="37" t="str">
        <x:v>Mes inicio tareas</x:v>
      </x:c>
      <x:c r="O5" s="37" t="str">
        <x:v>Mes término tareas</x:v>
      </x:c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</x:row>
    <x:row r="6" ht="60" customHeight="1">
      <x:c r="A6" s="16" t="str">
        <x:v>Alonso Peña</x:v>
      </x:c>
      <x:c r="B6" s="16" t="str">
        <x:v>Responsable científico e integración</x:v>
      </x:c>
      <x:c r="C6" s="25" t="n">
        <x:v>36</x:v>
      </x:c>
      <x:c r="D6" s="16" t="n">
        <x:f>J6+K6</x:f>
        <x:v>690</x:v>
      </x:c>
      <x:c r="E6" s="21" t="n">
        <x:f>D6/(40*35)</x:f>
        <x:v>0.4928571428571429</x:v>
      </x:c>
      <x:c r="F6" s="23" t="n">
        <x:f>D6/(40*52/12)</x:f>
        <x:v>3.9807692307692304</x:v>
      </x:c>
      <x:c r="G6" s="16" t="str">
        <x:v>Responsable científico e integración</x:v>
      </x:c>
      <x:c r="H6" s="38" t="n">
        <x:v>0</x:v>
      </x:c>
      <x:c r="I6" s="39" t="n">
        <x:f>'PRESUPUESTO'!F6</x:f>
        <x:v>11200000</x:v>
      </x:c>
      <x:c r="J6" s="16" t="n">
        <x:f>SUM('EDT Y TAREAS'!AD6:AD52)</x:f>
        <x:v>620</x:v>
      </x:c>
      <x:c r="K6" s="16" t="n">
        <x:v>70</x:v>
      </x:c>
      <x:c r="L6" s="16" t="n">
        <x:f>MAX(G18:AO18)</x:f>
        <x:v>33.6</x:v>
      </x:c>
      <x:c r="M6" s="16" t="str">
        <x:f>IF(MAX('EDT Y TAREAS'!AL6:AL52)&gt;260,"Ampliar control diario",IF(MAX(B40:B299)&gt;C6/5,"Sobrecarga","Dentro de capacidad"))</x:f>
        <x:v>Dentro de capacidad</x:v>
      </x:c>
      <x:c r="N6" s="3" t="n">
        <x:f>(YEAR(MIN('EDT Y TAREAS'!N6,'EDT Y TAREAS'!N7,'EDT Y TAREAS'!N8,'EDT Y TAREAS'!N9,'EDT Y TAREAS'!N10,'EDT Y TAREAS'!N11,'EDT Y TAREAS'!N12,'EDT Y TAREAS'!N13,'EDT Y TAREAS'!N14,'EDT Y TAREAS'!N15,'EDT Y TAREAS'!N16,'EDT Y TAREAS'!N17,'EDT Y TAREAS'!N18,'EDT Y TAREAS'!N19,'EDT Y TAREAS'!N20,'EDT Y TAREAS'!N21,'EDT Y TAREAS'!N22,'EDT Y TAREAS'!N23,'EDT Y TAREAS'!N26,'EDT Y TAREAS'!N28,'EDT Y TAREAS'!N30,'EDT Y TAREAS'!N32,'EDT Y TAREAS'!N34,'EDT Y TAREAS'!N38,'EDT Y TAREAS'!N39,'EDT Y TAREAS'!N43,'EDT Y TAREAS'!N44,'EDT Y TAREAS'!N45,'EDT Y TAREAS'!N46,'EDT Y TAREAS'!N47,'EDT Y TAREAS'!N49,'EDT Y TAREAS'!N50,'EDT Y TAREAS'!N51,'EDT Y TAREAS'!N52))-YEAR('RESUMEN'!$D$3))*12+MONTH(MIN('EDT Y TAREAS'!N6,'EDT Y TAREAS'!N7,'EDT Y TAREAS'!N8,'EDT Y TAREAS'!N9,'EDT Y TAREAS'!N10,'EDT Y TAREAS'!N11,'EDT Y TAREAS'!N12,'EDT Y TAREAS'!N13,'EDT Y TAREAS'!N14,'EDT Y TAREAS'!N15,'EDT Y TAREAS'!N16,'EDT Y TAREAS'!N17,'EDT Y TAREAS'!N18,'EDT Y TAREAS'!N19,'EDT Y TAREAS'!N20,'EDT Y TAREAS'!N21,'EDT Y TAREAS'!N22,'EDT Y TAREAS'!N23,'EDT Y TAREAS'!N26,'EDT Y TAREAS'!N28,'EDT Y TAREAS'!N30,'EDT Y TAREAS'!N32,'EDT Y TAREAS'!N34,'EDT Y TAREAS'!N38,'EDT Y TAREAS'!N39,'EDT Y TAREAS'!N43,'EDT Y TAREAS'!N44,'EDT Y TAREAS'!N45,'EDT Y TAREAS'!N46,'EDT Y TAREAS'!N47,'EDT Y TAREAS'!N49,'EDT Y TAREAS'!N50,'EDT Y TAREAS'!N51,'EDT Y TAREAS'!N52))-MONTH('RESUMEN'!$D$3)+1</x:f>
        <x:v>1</x:v>
      </x:c>
      <x:c r="O6" s="3" t="n">
        <x:f>(YEAR(MAX('EDT Y TAREAS'!O6,'EDT Y TAREAS'!O7,'EDT Y TAREAS'!O8,'EDT Y TAREAS'!O9,'EDT Y TAREAS'!O10,'EDT Y TAREAS'!O11,'EDT Y TAREAS'!O12,'EDT Y TAREAS'!O13,'EDT Y TAREAS'!O14,'EDT Y TAREAS'!O15,'EDT Y TAREAS'!O16,'EDT Y TAREAS'!O17,'EDT Y TAREAS'!O18,'EDT Y TAREAS'!O19,'EDT Y TAREAS'!O20,'EDT Y TAREAS'!O21,'EDT Y TAREAS'!O22,'EDT Y TAREAS'!O23,'EDT Y TAREAS'!O26,'EDT Y TAREAS'!O28,'EDT Y TAREAS'!O30,'EDT Y TAREAS'!O32,'EDT Y TAREAS'!O34,'EDT Y TAREAS'!O38,'EDT Y TAREAS'!O39,'EDT Y TAREAS'!O43,'EDT Y TAREAS'!O44,'EDT Y TAREAS'!O45,'EDT Y TAREAS'!O46,'EDT Y TAREAS'!O47,'EDT Y TAREAS'!O49,'EDT Y TAREAS'!O50,'EDT Y TAREAS'!O51,'EDT Y TAREAS'!O52))-YEAR('RESUMEN'!$D$3))*12+MONTH(MAX('EDT Y TAREAS'!O6,'EDT Y TAREAS'!O7,'EDT Y TAREAS'!O8,'EDT Y TAREAS'!O9,'EDT Y TAREAS'!O10,'EDT Y TAREAS'!O11,'EDT Y TAREAS'!O12,'EDT Y TAREAS'!O13,'EDT Y TAREAS'!O14,'EDT Y TAREAS'!O15,'EDT Y TAREAS'!O16,'EDT Y TAREAS'!O17,'EDT Y TAREAS'!O18,'EDT Y TAREAS'!O19,'EDT Y TAREAS'!O20,'EDT Y TAREAS'!O21,'EDT Y TAREAS'!O22,'EDT Y TAREAS'!O23,'EDT Y TAREAS'!O26,'EDT Y TAREAS'!O28,'EDT Y TAREAS'!O30,'EDT Y TAREAS'!O32,'EDT Y TAREAS'!O34,'EDT Y TAREAS'!O38,'EDT Y TAREAS'!O39,'EDT Y TAREAS'!O43,'EDT Y TAREAS'!O44,'EDT Y TAREAS'!O45,'EDT Y TAREAS'!O46,'EDT Y TAREAS'!O47,'EDT Y TAREAS'!O49,'EDT Y TAREAS'!O50,'EDT Y TAREAS'!O51,'EDT Y TAREAS'!O52))-MONTH('RESUMEN'!$D$3)+1</x:f>
        <x:v>8</x:v>
      </x:c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</x:row>
    <x:row r="7" ht="60" customHeight="1">
      <x:c r="A7" s="16" t="str">
        <x:v>Alejandro Maureira</x:v>
      </x:c>
      <x:c r="B7" s="16" t="str">
        <x:v>Dirección y validación comercial</x:v>
      </x:c>
      <x:c r="C7" s="25" t="n">
        <x:v>10</x:v>
      </x:c>
      <x:c r="D7" s="16" t="n">
        <x:f>J7+K7</x:f>
        <x:v>141</x:v>
      </x:c>
      <x:c r="E7" s="21" t="n">
        <x:f>D7/(40*35)</x:f>
        <x:v>0.10071428571428571</x:v>
      </x:c>
      <x:c r="F7" s="23" t="n">
        <x:f>D7/(40*52/12)</x:f>
        <x:v>0.8134615384615385</x:v>
      </x:c>
      <x:c r="G7" s="16" t="str">
        <x:v>Dirección y validación comercial</x:v>
      </x:c>
      <x:c r="H7" s="38" t="n">
        <x:v>15000</x:v>
      </x:c>
      <x:c r="I7" s="39" t="n">
        <x:f>D7*H7</x:f>
        <x:v>2115000</x:v>
      </x:c>
      <x:c r="J7" s="16" t="n">
        <x:f>SUM('EDT Y TAREAS'!AE6:AE52)</x:f>
        <x:v>106</x:v>
      </x:c>
      <x:c r="K7" s="16" t="n">
        <x:v>35</x:v>
      </x:c>
      <x:c r="L7" s="16" t="n">
        <x:f>MAX(G19:AO19)</x:f>
        <x:v>10</x:v>
      </x:c>
      <x:c r="M7" s="16" t="str">
        <x:f>IF(MAX('EDT Y TAREAS'!AL6:AL52)&gt;260,"Ampliar control diario",IF(MAX(C40:C299)&gt;C7/5,"Sobrecarga","Dentro de capacidad"))</x:f>
        <x:v>Dentro de capacidad</x:v>
      </x:c>
      <x:c r="N7" s="3" t="n">
        <x:f>(YEAR(MIN('EDT Y TAREAS'!N6,'EDT Y TAREAS'!N8,'EDT Y TAREAS'!N9,'EDT Y TAREAS'!N10,'EDT Y TAREAS'!N12,'EDT Y TAREAS'!N16,'EDT Y TAREAS'!N21,'EDT Y TAREAS'!N23,'EDT Y TAREAS'!N37,'EDT Y TAREAS'!N38,'EDT Y TAREAS'!N41,'EDT Y TAREAS'!N43,'EDT Y TAREAS'!N44,'EDT Y TAREAS'!N46,'EDT Y TAREAS'!N47,'EDT Y TAREAS'!N51,'EDT Y TAREAS'!N52))-YEAR('RESUMEN'!$D$3))*12+MONTH(MIN('EDT Y TAREAS'!N6,'EDT Y TAREAS'!N8,'EDT Y TAREAS'!N9,'EDT Y TAREAS'!N10,'EDT Y TAREAS'!N12,'EDT Y TAREAS'!N16,'EDT Y TAREAS'!N21,'EDT Y TAREAS'!N23,'EDT Y TAREAS'!N37,'EDT Y TAREAS'!N38,'EDT Y TAREAS'!N41,'EDT Y TAREAS'!N43,'EDT Y TAREAS'!N44,'EDT Y TAREAS'!N46,'EDT Y TAREAS'!N47,'EDT Y TAREAS'!N51,'EDT Y TAREAS'!N52))-MONTH('RESUMEN'!$D$3)+1</x:f>
        <x:v>1</x:v>
      </x:c>
      <x:c r="O7" s="3" t="n">
        <x:f>(YEAR(MAX('EDT Y TAREAS'!O6,'EDT Y TAREAS'!O8,'EDT Y TAREAS'!O9,'EDT Y TAREAS'!O10,'EDT Y TAREAS'!O12,'EDT Y TAREAS'!O16,'EDT Y TAREAS'!O21,'EDT Y TAREAS'!O23,'EDT Y TAREAS'!O37,'EDT Y TAREAS'!O38,'EDT Y TAREAS'!O41,'EDT Y TAREAS'!O43,'EDT Y TAREAS'!O44,'EDT Y TAREAS'!O46,'EDT Y TAREAS'!O47,'EDT Y TAREAS'!O51,'EDT Y TAREAS'!O52))-YEAR('RESUMEN'!$D$3))*12+MONTH(MAX('EDT Y TAREAS'!O6,'EDT Y TAREAS'!O8,'EDT Y TAREAS'!O9,'EDT Y TAREAS'!O10,'EDT Y TAREAS'!O12,'EDT Y TAREAS'!O16,'EDT Y TAREAS'!O21,'EDT Y TAREAS'!O23,'EDT Y TAREAS'!O37,'EDT Y TAREAS'!O38,'EDT Y TAREAS'!O41,'EDT Y TAREAS'!O43,'EDT Y TAREAS'!O44,'EDT Y TAREAS'!O46,'EDT Y TAREAS'!O47,'EDT Y TAREAS'!O51,'EDT Y TAREAS'!O52))-MONTH('RESUMEN'!$D$3)+1</x:f>
        <x:v>8</x:v>
      </x:c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</x:row>
    <x:row r="8" ht="60" customHeight="1">
      <x:c r="A8" s="16" t="str">
        <x:v>Empresa · backend</x:v>
      </x:c>
      <x:c r="B8" s="16" t="str">
        <x:v>Arquitectura, datos, API y trabajos</x:v>
      </x:c>
      <x:c r="C8" s="25" t="n">
        <x:v>38</x:v>
      </x:c>
      <x:c r="D8" s="16" t="n">
        <x:f>J8+K8</x:f>
        <x:v>486</x:v>
      </x:c>
      <x:c r="E8" s="21" t="n">
        <x:f>D8/(40*35)</x:f>
        <x:v>0.34714285714285714</x:v>
      </x:c>
      <x:c r="F8" s="23" t="n">
        <x:f>D8/(40*52/12)</x:f>
        <x:v>2.8038461538461537</x:v>
      </x:c>
      <x:c r="G8" s="16" t="str">
        <x:v>Arquitectura, datos, API y trabajos</x:v>
      </x:c>
      <x:c r="H8" s="38" t="n">
        <x:v>25000</x:v>
      </x:c>
      <x:c r="I8" s="39" t="n">
        <x:f>D8*H8</x:f>
        <x:v>12150000</x:v>
      </x:c>
      <x:c r="J8" s="16" t="n">
        <x:f>SUM('EDT Y TAREAS'!AF6:AF52)</x:f>
        <x:v>428</x:v>
      </x:c>
      <x:c r="K8" s="16" t="n">
        <x:v>58</x:v>
      </x:c>
      <x:c r="L8" s="16" t="n">
        <x:f>MAX(G20:AO20)</x:f>
        <x:v>35.599999999999994</x:v>
      </x:c>
      <x:c r="M8" s="16" t="str">
        <x:f>IF(MAX('EDT Y TAREAS'!AL6:AL52)&gt;260,"Ampliar control diario",IF(MAX(D40:D299)&gt;C8/5,"Sobrecarga","Dentro de capacidad"))</x:f>
        <x:v>Dentro de capacidad</x:v>
      </x:c>
      <x:c r="N8" s="3" t="n">
        <x:f>(YEAR(MIN('EDT Y TAREAS'!N11,'EDT Y TAREAS'!N24,'EDT Y TAREAS'!N25,'EDT Y TAREAS'!N26,'EDT Y TAREAS'!N27,'EDT Y TAREAS'!N28,'EDT Y TAREAS'!N31,'EDT Y TAREAS'!N33,'EDT Y TAREAS'!N34,'EDT Y TAREAS'!N35,'EDT Y TAREAS'!N37,'EDT Y TAREAS'!N39,'EDT Y TAREAS'!N40,'EDT Y TAREAS'!N42,'EDT Y TAREAS'!N45,'EDT Y TAREAS'!N49,'EDT Y TAREAS'!N52))-YEAR('RESUMEN'!$D$3))*12+MONTH(MIN('EDT Y TAREAS'!N11,'EDT Y TAREAS'!N24,'EDT Y TAREAS'!N25,'EDT Y TAREAS'!N26,'EDT Y TAREAS'!N27,'EDT Y TAREAS'!N28,'EDT Y TAREAS'!N31,'EDT Y TAREAS'!N33,'EDT Y TAREAS'!N34,'EDT Y TAREAS'!N35,'EDT Y TAREAS'!N37,'EDT Y TAREAS'!N39,'EDT Y TAREAS'!N40,'EDT Y TAREAS'!N42,'EDT Y TAREAS'!N45,'EDT Y TAREAS'!N49,'EDT Y TAREAS'!N52))-MONTH('RESUMEN'!$D$3)+1</x:f>
        <x:v>1</x:v>
      </x:c>
      <x:c r="O8" s="3" t="n">
        <x:f>(YEAR(MAX('EDT Y TAREAS'!O11,'EDT Y TAREAS'!O24,'EDT Y TAREAS'!O25,'EDT Y TAREAS'!O26,'EDT Y TAREAS'!O27,'EDT Y TAREAS'!O28,'EDT Y TAREAS'!O31,'EDT Y TAREAS'!O33,'EDT Y TAREAS'!O34,'EDT Y TAREAS'!O35,'EDT Y TAREAS'!O37,'EDT Y TAREAS'!O39,'EDT Y TAREAS'!O40,'EDT Y TAREAS'!O42,'EDT Y TAREAS'!O45,'EDT Y TAREAS'!O49,'EDT Y TAREAS'!O52))-YEAR('RESUMEN'!$D$3))*12+MONTH(MAX('EDT Y TAREAS'!O11,'EDT Y TAREAS'!O24,'EDT Y TAREAS'!O25,'EDT Y TAREAS'!O26,'EDT Y TAREAS'!O27,'EDT Y TAREAS'!O28,'EDT Y TAREAS'!O31,'EDT Y TAREAS'!O33,'EDT Y TAREAS'!O34,'EDT Y TAREAS'!O35,'EDT Y TAREAS'!O37,'EDT Y TAREAS'!O39,'EDT Y TAREAS'!O40,'EDT Y TAREAS'!O42,'EDT Y TAREAS'!O45,'EDT Y TAREAS'!O49,'EDT Y TAREAS'!O52))-MONTH('RESUMEN'!$D$3)+1</x:f>
        <x:v>8</x:v>
      </x:c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</x:row>
    <x:row r="9" ht="60" customHeight="1">
      <x:c r="A9" s="16" t="str">
        <x:v>Empresa · frontend</x:v>
      </x:c>
      <x:c r="B9" s="16" t="str">
        <x:v>Interfaz y accesibilidad</x:v>
      </x:c>
      <x:c r="C9" s="25" t="n">
        <x:v>40</x:v>
      </x:c>
      <x:c r="D9" s="16" t="n">
        <x:f>J9+K9</x:f>
        <x:v>284</x:v>
      </x:c>
      <x:c r="E9" s="21" t="n">
        <x:f>D9/(40*35)</x:f>
        <x:v>0.20285714285714285</x:v>
      </x:c>
      <x:c r="F9" s="23" t="n">
        <x:f>D9/(40*52/12)</x:f>
        <x:v>1.6384615384615384</x:v>
      </x:c>
      <x:c r="G9" s="16" t="str">
        <x:v>Interfaz y accesibilidad</x:v>
      </x:c>
      <x:c r="H9" s="38" t="n">
        <x:v>25000</x:v>
      </x:c>
      <x:c r="I9" s="39" t="n">
        <x:f>D9*H9</x:f>
        <x:v>7100000</x:v>
      </x:c>
      <x:c r="J9" s="16" t="n">
        <x:f>SUM('EDT Y TAREAS'!AG6:AG52)</x:f>
        <x:v>284</x:v>
      </x:c>
      <x:c r="K9" s="16" t="n">
        <x:v>0</x:v>
      </x:c>
      <x:c r="L9" s="16" t="n">
        <x:f>MAX(G21:AO21)</x:f>
        <x:v>28</x:v>
      </x:c>
      <x:c r="M9" s="16" t="str">
        <x:f>IF(MAX('EDT Y TAREAS'!AL6:AL52)&gt;260,"Ampliar control diario",IF(MAX(E40:E299)&gt;C9/5,"Sobrecarga","Dentro de capacidad"))</x:f>
        <x:v>Dentro de capacidad</x:v>
      </x:c>
      <x:c r="N9" s="3" t="n">
        <x:f>(YEAR(MIN('EDT Y TAREAS'!N29,'EDT Y TAREAS'!N30,'EDT Y TAREAS'!N31,'EDT Y TAREAS'!N32,'EDT Y TAREAS'!N41,'EDT Y TAREAS'!N45,'EDT Y TAREAS'!N48))-YEAR('RESUMEN'!$D$3))*12+MONTH(MIN('EDT Y TAREAS'!N29,'EDT Y TAREAS'!N30,'EDT Y TAREAS'!N31,'EDT Y TAREAS'!N32,'EDT Y TAREAS'!N41,'EDT Y TAREAS'!N45,'EDT Y TAREAS'!N48))-MONTH('RESUMEN'!$D$3)+1</x:f>
        <x:v>2</x:v>
      </x:c>
      <x:c r="O9" s="3" t="n">
        <x:f>(YEAR(MAX('EDT Y TAREAS'!O29,'EDT Y TAREAS'!O30,'EDT Y TAREAS'!O31,'EDT Y TAREAS'!O32,'EDT Y TAREAS'!O41,'EDT Y TAREAS'!O45,'EDT Y TAREAS'!O48))-YEAR('RESUMEN'!$D$3))*12+MONTH(MAX('EDT Y TAREAS'!O29,'EDT Y TAREAS'!O30,'EDT Y TAREAS'!O31,'EDT Y TAREAS'!O32,'EDT Y TAREAS'!O41,'EDT Y TAREAS'!O45,'EDT Y TAREAS'!O48))-MONTH('RESUMEN'!$D$3)+1</x:f>
        <x:v>7</x:v>
      </x:c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  <x:c r="AO9" s="3"/>
    </x:row>
    <x:row r="10" ht="60" customHeight="1">
      <x:c r="A10" s="16" t="str">
        <x:v>Empresa · UX</x:v>
      </x:c>
      <x:c r="B10" s="16" t="str">
        <x:v>Investigación y diseño</x:v>
      </x:c>
      <x:c r="C10" s="25" t="n">
        <x:v>20</x:v>
      </x:c>
      <x:c r="D10" s="16" t="n">
        <x:f>J10+K10</x:f>
        <x:v>152</x:v>
      </x:c>
      <x:c r="E10" s="21" t="n">
        <x:f>D10/(40*35)</x:f>
        <x:v>0.10857142857142857</x:v>
      </x:c>
      <x:c r="F10" s="23" t="n">
        <x:f>D10/(40*52/12)</x:f>
        <x:v>0.8769230769230769</x:v>
      </x:c>
      <x:c r="G10" s="16" t="str">
        <x:v>Investigación y diseño</x:v>
      </x:c>
      <x:c r="H10" s="38" t="n">
        <x:v>25000</x:v>
      </x:c>
      <x:c r="I10" s="39" t="n">
        <x:f>D10*H10</x:f>
        <x:v>3800000</x:v>
      </x:c>
      <x:c r="J10" s="16" t="n">
        <x:f>SUM('EDT Y TAREAS'!AH6:AH52)</x:f>
        <x:v>152</x:v>
      </x:c>
      <x:c r="K10" s="16" t="n">
        <x:v>0</x:v>
      </x:c>
      <x:c r="L10" s="16" t="n">
        <x:f>MAX(G22:AO22)</x:f>
        <x:v>16</x:v>
      </x:c>
      <x:c r="M10" s="16" t="str">
        <x:f>IF(MAX('EDT Y TAREAS'!AL6:AL52)&gt;260,"Ampliar control diario",IF(MAX(F40:F299)&gt;C10/5,"Sobrecarga","Dentro de capacidad"))</x:f>
        <x:v>Dentro de capacidad</x:v>
      </x:c>
      <x:c r="N10" s="3" t="n">
        <x:f>(YEAR(MIN('EDT Y TAREAS'!N10,'EDT Y TAREAS'!N12,'EDT Y TAREAS'!N22,'EDT Y TAREAS'!N23,'EDT Y TAREAS'!N29,'EDT Y TAREAS'!N30,'EDT Y TAREAS'!N32,'EDT Y TAREAS'!N41,'EDT Y TAREAS'!N44,'EDT Y TAREAS'!N46,'EDT Y TAREAS'!N48))-YEAR('RESUMEN'!$D$3))*12+MONTH(MIN('EDT Y TAREAS'!N10,'EDT Y TAREAS'!N12,'EDT Y TAREAS'!N22,'EDT Y TAREAS'!N23,'EDT Y TAREAS'!N29,'EDT Y TAREAS'!N30,'EDT Y TAREAS'!N32,'EDT Y TAREAS'!N41,'EDT Y TAREAS'!N44,'EDT Y TAREAS'!N46,'EDT Y TAREAS'!N48))-MONTH('RESUMEN'!$D$3)+1</x:f>
        <x:v>1</x:v>
      </x:c>
      <x:c r="O10" s="3" t="n">
        <x:f>(YEAR(MAX('EDT Y TAREAS'!O10,'EDT Y TAREAS'!O12,'EDT Y TAREAS'!O22,'EDT Y TAREAS'!O23,'EDT Y TAREAS'!O29,'EDT Y TAREAS'!O30,'EDT Y TAREAS'!O32,'EDT Y TAREAS'!O41,'EDT Y TAREAS'!O44,'EDT Y TAREAS'!O46,'EDT Y TAREAS'!O48))-YEAR('RESUMEN'!$D$3))*12+MONTH(MAX('EDT Y TAREAS'!O10,'EDT Y TAREAS'!O12,'EDT Y TAREAS'!O22,'EDT Y TAREAS'!O23,'EDT Y TAREAS'!O29,'EDT Y TAREAS'!O30,'EDT Y TAREAS'!O32,'EDT Y TAREAS'!O41,'EDT Y TAREAS'!O44,'EDT Y TAREAS'!O46,'EDT Y TAREAS'!O48))-MONTH('RESUMEN'!$D$3)+1</x:f>
        <x:v>7</x:v>
      </x:c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  <x:c r="AO10" s="3"/>
    </x:row>
    <x:row r="11" ht="60" customHeight="1">
      <x:c r="A11" s="16" t="str">
        <x:v>Empresa · QA</x:v>
      </x:c>
      <x:c r="B11" s="16" t="str">
        <x:v>Pruebas independientes y aceptación</x:v>
      </x:c>
      <x:c r="C11" s="25" t="n">
        <x:v>32</x:v>
      </x:c>
      <x:c r="D11" s="16" t="n">
        <x:f>J11+K11</x:f>
        <x:v>240</x:v>
      </x:c>
      <x:c r="E11" s="21" t="n">
        <x:f>D11/(40*35)</x:f>
        <x:v>0.17142857142857143</x:v>
      </x:c>
      <x:c r="F11" s="23" t="n">
        <x:f>D11/(40*52/12)</x:f>
        <x:v>1.3846153846153846</x:v>
      </x:c>
      <x:c r="G11" s="16" t="str">
        <x:v>Pruebas independientes y aceptación</x:v>
      </x:c>
      <x:c r="H11" s="38" t="n">
        <x:v>25000</x:v>
      </x:c>
      <x:c r="I11" s="39" t="n">
        <x:f>D11*H11</x:f>
        <x:v>6000000</x:v>
      </x:c>
      <x:c r="J11" s="16" t="n">
        <x:f>SUM('EDT Y TAREAS'!AI6:AI52)</x:f>
        <x:v>240</x:v>
      </x:c>
      <x:c r="K11" s="16" t="n">
        <x:v>0</x:v>
      </x:c>
      <x:c r="L11" s="16" t="n">
        <x:f>MAX(G23:AO23)</x:f>
        <x:v>27.6</x:v>
      </x:c>
      <x:c r="M11" s="16" t="str">
        <x:f>IF(MAX('EDT Y TAREAS'!AL6:AL52)&gt;260,"Ampliar control diario",IF(MAX(G40:G299)&gt;C11/5,"Sobrecarga","Dentro de capacidad"))</x:f>
        <x:v>Dentro de capacidad</x:v>
      </x:c>
      <x:c r="N11" s="3" t="n">
        <x:f>(YEAR(MIN('EDT Y TAREAS'!N20,'EDT Y TAREAS'!N25,'EDT Y TAREAS'!N33,'EDT Y TAREAS'!N34,'EDT Y TAREAS'!N36,'EDT Y TAREAS'!N39,'EDT Y TAREAS'!N40,'EDT Y TAREAS'!N42,'EDT Y TAREAS'!N43,'EDT Y TAREAS'!N44,'EDT Y TAREAS'!N45,'EDT Y TAREAS'!N46,'EDT Y TAREAS'!N48,'EDT Y TAREAS'!N50,'EDT Y TAREAS'!N52))-YEAR('RESUMEN'!$D$3))*12+MONTH(MIN('EDT Y TAREAS'!N20,'EDT Y TAREAS'!N25,'EDT Y TAREAS'!N33,'EDT Y TAREAS'!N34,'EDT Y TAREAS'!N36,'EDT Y TAREAS'!N39,'EDT Y TAREAS'!N40,'EDT Y TAREAS'!N42,'EDT Y TAREAS'!N43,'EDT Y TAREAS'!N44,'EDT Y TAREAS'!N45,'EDT Y TAREAS'!N46,'EDT Y TAREAS'!N48,'EDT Y TAREAS'!N50,'EDT Y TAREAS'!N52))-MONTH('RESUMEN'!$D$3)+1</x:f>
        <x:v>2</x:v>
      </x:c>
      <x:c r="O11" s="3" t="n">
        <x:f>(YEAR(MAX('EDT Y TAREAS'!O20,'EDT Y TAREAS'!O25,'EDT Y TAREAS'!O33,'EDT Y TAREAS'!O34,'EDT Y TAREAS'!O36,'EDT Y TAREAS'!O39,'EDT Y TAREAS'!O40,'EDT Y TAREAS'!O42,'EDT Y TAREAS'!O43,'EDT Y TAREAS'!O44,'EDT Y TAREAS'!O45,'EDT Y TAREAS'!O46,'EDT Y TAREAS'!O48,'EDT Y TAREAS'!O50,'EDT Y TAREAS'!O52))-YEAR('RESUMEN'!$D$3))*12+MONTH(MAX('EDT Y TAREAS'!O20,'EDT Y TAREAS'!O25,'EDT Y TAREAS'!O33,'EDT Y TAREAS'!O34,'EDT Y TAREAS'!O36,'EDT Y TAREAS'!O39,'EDT Y TAREAS'!O40,'EDT Y TAREAS'!O42,'EDT Y TAREAS'!O43,'EDT Y TAREAS'!O44,'EDT Y TAREAS'!O45,'EDT Y TAREAS'!O46,'EDT Y TAREAS'!O48,'EDT Y TAREAS'!O50,'EDT Y TAREAS'!O52))-MONTH('RESUMEN'!$D$3)+1</x:f>
        <x:v>8</x:v>
      </x:c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  <x:c r="AO11" s="3"/>
    </x:row>
    <x:row r="12" ht="60" customHeight="1">
      <x:c r="A12" s="16" t="str">
        <x:v>Empresa · operación</x:v>
      </x:c>
      <x:c r="B12" s="16" t="str">
        <x:v>Despliegue, seguridad y respaldos</x:v>
      </x:c>
      <x:c r="C12" s="25" t="n">
        <x:v>24</x:v>
      </x:c>
      <x:c r="D12" s="16" t="n">
        <x:f>J12+K12</x:f>
        <x:v>200</x:v>
      </x:c>
      <x:c r="E12" s="21" t="n">
        <x:f>D12/(40*35)</x:f>
        <x:v>0.14285714285714285</x:v>
      </x:c>
      <x:c r="F12" s="23" t="n">
        <x:f>D12/(40*52/12)</x:f>
        <x:v>1.1538461538461537</x:v>
      </x:c>
      <x:c r="G12" s="16" t="str">
        <x:v>Despliegue, seguridad y respaldos</x:v>
      </x:c>
      <x:c r="H12" s="38" t="n">
        <x:v>25000</x:v>
      </x:c>
      <x:c r="I12" s="39" t="n">
        <x:f>D12*H12</x:f>
        <x:v>5000000</x:v>
      </x:c>
      <x:c r="J12" s="16" t="n">
        <x:f>SUM('EDT Y TAREAS'!AJ6:AJ52)</x:f>
        <x:v>200</x:v>
      </x:c>
      <x:c r="K12" s="16" t="n">
        <x:v>0</x:v>
      </x:c>
      <x:c r="L12" s="16" t="n">
        <x:f>MAX(G24:AO24)</x:f>
        <x:v>20.4</x:v>
      </x:c>
      <x:c r="M12" s="16" t="str">
        <x:f>IF(MAX('EDT Y TAREAS'!AL6:AL52)&gt;260,"Ampliar control diario",IF(MAX(H40:H299)&gt;C12/5,"Sobrecarga","Dentro de capacidad"))</x:f>
        <x:v>Dentro de capacidad</x:v>
      </x:c>
      <x:c r="N12" s="3" t="n">
        <x:f>(YEAR(MIN('EDT Y TAREAS'!N11,'EDT Y TAREAS'!N24,'EDT Y TAREAS'!N27,'EDT Y TAREAS'!N28,'EDT Y TAREAS'!N33,'EDT Y TAREAS'!N35,'EDT Y TAREAS'!N36,'EDT Y TAREAS'!N37,'EDT Y TAREAS'!N40,'EDT Y TAREAS'!N42,'EDT Y TAREAS'!N49,'EDT Y TAREAS'!N50,'EDT Y TAREAS'!N51,'EDT Y TAREAS'!N52))-YEAR('RESUMEN'!$D$3))*12+MONTH(MIN('EDT Y TAREAS'!N11,'EDT Y TAREAS'!N24,'EDT Y TAREAS'!N27,'EDT Y TAREAS'!N28,'EDT Y TAREAS'!N33,'EDT Y TAREAS'!N35,'EDT Y TAREAS'!N36,'EDT Y TAREAS'!N37,'EDT Y TAREAS'!N40,'EDT Y TAREAS'!N42,'EDT Y TAREAS'!N49,'EDT Y TAREAS'!N50,'EDT Y TAREAS'!N51,'EDT Y TAREAS'!N52))-MONTH('RESUMEN'!$D$3)+1</x:f>
        <x:v>1</x:v>
      </x:c>
      <x:c r="O12" s="3" t="n">
        <x:f>(YEAR(MAX('EDT Y TAREAS'!O11,'EDT Y TAREAS'!O24,'EDT Y TAREAS'!O27,'EDT Y TAREAS'!O28,'EDT Y TAREAS'!O33,'EDT Y TAREAS'!O35,'EDT Y TAREAS'!O36,'EDT Y TAREAS'!O37,'EDT Y TAREAS'!O40,'EDT Y TAREAS'!O42,'EDT Y TAREAS'!O49,'EDT Y TAREAS'!O50,'EDT Y TAREAS'!O51,'EDT Y TAREAS'!O52))-YEAR('RESUMEN'!$D$3))*12+MONTH(MAX('EDT Y TAREAS'!O11,'EDT Y TAREAS'!O24,'EDT Y TAREAS'!O27,'EDT Y TAREAS'!O28,'EDT Y TAREAS'!O33,'EDT Y TAREAS'!O35,'EDT Y TAREAS'!O36,'EDT Y TAREAS'!O37,'EDT Y TAREAS'!O40,'EDT Y TAREAS'!O42,'EDT Y TAREAS'!O49,'EDT Y TAREAS'!O50,'EDT Y TAREAS'!O51,'EDT Y TAREAS'!O52))-MONTH('RESUMEN'!$D$3)+1</x:f>
        <x:v>8</x:v>
      </x:c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  <x:c r="AO12" s="3"/>
    </x:row>
    <x:row r="13" ht="2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  <x:c r="AO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  <x:c r="AO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  <x:c r="AO15" s="3"/>
    </x:row>
    <x:row r="16" ht="24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  <x:c r="AO16" s="3"/>
    </x:row>
    <x:row r="17" ht="42" customHeight="1">
      <x:c r="A17" s="15" t="str">
        <x:v>Carga semanal</x:v>
      </x:c>
      <x:c r="B17" s="15" t="str">
        <x:v>Rol</x:v>
      </x:c>
      <x:c r="C17" s="15" t="str">
        <x:v>Capacidad</x:v>
      </x:c>
      <x:c r="D17" s="15" t="str">
        <x:v>Pico</x:v>
      </x:c>
      <x:c r="E17" s="15" t="str">
        <x:v>Control</x:v>
      </x:c>
      <x:c r="F17" s="15" t="str"/>
      <x:c r="G17" s="15" t="str">
        <x:v>S1</x:v>
      </x:c>
      <x:c r="H17" s="15" t="str">
        <x:v>S2</x:v>
      </x:c>
      <x:c r="I17" s="15" t="str">
        <x:v>S3</x:v>
      </x:c>
      <x:c r="J17" s="15" t="str">
        <x:v>S4</x:v>
      </x:c>
      <x:c r="K17" s="15" t="str">
        <x:v>S5</x:v>
      </x:c>
      <x:c r="L17" s="15" t="str">
        <x:v>S6</x:v>
      </x:c>
      <x:c r="M17" s="15" t="str">
        <x:v>S7</x:v>
      </x:c>
      <x:c r="N17" s="15" t="str">
        <x:v>S8</x:v>
      </x:c>
      <x:c r="O17" s="15" t="str">
        <x:v>S9</x:v>
      </x:c>
      <x:c r="P17" s="15" t="str">
        <x:v>S10</x:v>
      </x:c>
      <x:c r="Q17" s="15" t="str">
        <x:v>S11</x:v>
      </x:c>
      <x:c r="R17" s="15" t="str">
        <x:v>S12</x:v>
      </x:c>
      <x:c r="S17" s="15" t="str">
        <x:v>S13</x:v>
      </x:c>
      <x:c r="T17" s="15" t="str">
        <x:v>S14</x:v>
      </x:c>
      <x:c r="U17" s="15" t="str">
        <x:v>S15</x:v>
      </x:c>
      <x:c r="V17" s="15" t="str">
        <x:v>S16</x:v>
      </x:c>
      <x:c r="W17" s="15" t="str">
        <x:v>S17</x:v>
      </x:c>
      <x:c r="X17" s="15" t="str">
        <x:v>S18</x:v>
      </x:c>
      <x:c r="Y17" s="15" t="str">
        <x:v>S19</x:v>
      </x:c>
      <x:c r="Z17" s="15" t="str">
        <x:v>S20</x:v>
      </x:c>
      <x:c r="AA17" s="15" t="str">
        <x:v>S21</x:v>
      </x:c>
      <x:c r="AB17" s="15" t="str">
        <x:v>S22</x:v>
      </x:c>
      <x:c r="AC17" s="15" t="str">
        <x:v>S23</x:v>
      </x:c>
      <x:c r="AD17" s="15" t="str">
        <x:v>S24</x:v>
      </x:c>
      <x:c r="AE17" s="15" t="str">
        <x:v>S25</x:v>
      </x:c>
      <x:c r="AF17" s="15" t="str">
        <x:v>S26</x:v>
      </x:c>
      <x:c r="AG17" s="15" t="str">
        <x:v>S27</x:v>
      </x:c>
      <x:c r="AH17" s="15" t="str">
        <x:v>S28</x:v>
      </x:c>
      <x:c r="AI17" s="15" t="str">
        <x:v>S29</x:v>
      </x:c>
      <x:c r="AJ17" s="15" t="str">
        <x:v>S30</x:v>
      </x:c>
      <x:c r="AK17" s="15" t="str">
        <x:v>S31</x:v>
      </x:c>
      <x:c r="AL17" s="15" t="str">
        <x:v>S32</x:v>
      </x:c>
      <x:c r="AM17" s="15" t="str">
        <x:v>S33</x:v>
      </x:c>
      <x:c r="AN17" s="15" t="str">
        <x:v>S34</x:v>
      </x:c>
      <x:c r="AO17" s="15" t="str">
        <x:v>S35</x:v>
      </x:c>
    </x:row>
    <x:row r="18" ht="24" customHeight="1">
      <x:c r="A18" s="3" t="str">
        <x:v>Alonso Peña</x:v>
      </x:c>
      <x:c r="B18" s="3"/>
      <x:c r="C18" s="3" t="n">
        <x:f>C6</x:f>
        <x:v>36</x:v>
      </x:c>
      <x:c r="D18" s="3" t="n">
        <x:f>MAX(G18:AO18)</x:f>
        <x:v>33.6</x:v>
      </x:c>
      <x:c r="E18" s="3" t="str">
        <x:f>M6</x:f>
        <x:v>Dentro de capacidad</x:v>
      </x:c>
      <x:c r="F18" s="3"/>
      <x:c r="G18" s="35" t="n">
        <x:f>SUMIFS(B$40:B$299,$I$40:$I$299,"&gt;="&amp;('RESUMEN'!$D$3+0),$I$40:$I$299,"&lt;"&amp;('RESUMEN'!$D$3+7))</x:f>
        <x:v>31.999999999999996</x:v>
      </x:c>
      <x:c r="H18" s="35" t="n">
        <x:f>SUMIFS(B$40:B$299,$I$40:$I$299,"&gt;="&amp;('RESUMEN'!$D$3+7),$I$40:$I$299,"&lt;"&amp;('RESUMEN'!$D$3+14))</x:f>
        <x:v>30</x:v>
      </x:c>
      <x:c r="I18" s="35" t="n">
        <x:f>SUMIFS(B$40:B$299,$I$40:$I$299,"&gt;="&amp;('RESUMEN'!$D$3+14),$I$40:$I$299,"&lt;"&amp;('RESUMEN'!$D$3+21))</x:f>
        <x:v>16.4</x:v>
      </x:c>
      <x:c r="J18" s="35" t="n">
        <x:f>SUMIFS(B$40:B$299,$I$40:$I$299,"&gt;="&amp;('RESUMEN'!$D$3+21),$I$40:$I$299,"&lt;"&amp;('RESUMEN'!$D$3+28))</x:f>
        <x:v>28</x:v>
      </x:c>
      <x:c r="K18" s="35" t="n">
        <x:f>SUMIFS(B$40:B$299,$I$40:$I$299,"&gt;="&amp;('RESUMEN'!$D$3+28),$I$40:$I$299,"&lt;"&amp;('RESUMEN'!$D$3+35))</x:f>
        <x:v>12.26666666666667</x:v>
      </x:c>
      <x:c r="L18" s="35" t="n">
        <x:f>SUMIFS(B$40:B$299,$I$40:$I$299,"&gt;="&amp;('RESUMEN'!$D$3+35),$I$40:$I$299,"&lt;"&amp;('RESUMEN'!$D$3+42))</x:f>
        <x:v>20.533333333333335</x:v>
      </x:c>
      <x:c r="M18" s="35" t="n">
        <x:f>SUMIFS(B$40:B$299,$I$40:$I$299,"&gt;="&amp;('RESUMEN'!$D$3+42),$I$40:$I$299,"&lt;"&amp;('RESUMEN'!$D$3+49))</x:f>
        <x:v>28.8</x:v>
      </x:c>
      <x:c r="N18" s="35" t="n">
        <x:f>SUMIFS(B$40:B$299,$I$40:$I$299,"&gt;="&amp;('RESUMEN'!$D$3+49),$I$40:$I$299,"&lt;"&amp;('RESUMEN'!$D$3+56))</x:f>
        <x:v>33.2</x:v>
      </x:c>
      <x:c r="O18" s="35" t="n">
        <x:f>SUMIFS(B$40:B$299,$I$40:$I$299,"&gt;="&amp;('RESUMEN'!$D$3+56),$I$40:$I$299,"&lt;"&amp;('RESUMEN'!$D$3+63))</x:f>
        <x:v>29.200000000000003</x:v>
      </x:c>
      <x:c r="P18" s="35" t="n">
        <x:f>SUMIFS(B$40:B$299,$I$40:$I$299,"&gt;="&amp;('RESUMEN'!$D$3+63),$I$40:$I$299,"&lt;"&amp;('RESUMEN'!$D$3+70))</x:f>
        <x:v>24.8</x:v>
      </x:c>
      <x:c r="Q18" s="35" t="n">
        <x:f>SUMIFS(B$40:B$299,$I$40:$I$299,"&gt;="&amp;('RESUMEN'!$D$3+70),$I$40:$I$299,"&lt;"&amp;('RESUMEN'!$D$3+77))</x:f>
        <x:v>24</x:v>
      </x:c>
      <x:c r="R18" s="35" t="n">
        <x:f>SUMIFS(B$40:B$299,$I$40:$I$299,"&gt;="&amp;('RESUMEN'!$D$3+77),$I$40:$I$299,"&lt;"&amp;('RESUMEN'!$D$3+84))</x:f>
        <x:v>30.4</x:v>
      </x:c>
      <x:c r="S18" s="35" t="n">
        <x:f>SUMIFS(B$40:B$299,$I$40:$I$299,"&gt;="&amp;('RESUMEN'!$D$3+84),$I$40:$I$299,"&lt;"&amp;('RESUMEN'!$D$3+91))</x:f>
        <x:v>33.6</x:v>
      </x:c>
      <x:c r="T18" s="35" t="n">
        <x:f>SUMIFS(B$40:B$299,$I$40:$I$299,"&gt;="&amp;('RESUMEN'!$D$3+91),$I$40:$I$299,"&lt;"&amp;('RESUMEN'!$D$3+98))</x:f>
        <x:v>30.8</x:v>
      </x:c>
      <x:c r="U18" s="35" t="n">
        <x:f>SUMIFS(B$40:B$299,$I$40:$I$299,"&gt;="&amp;('RESUMEN'!$D$3+98),$I$40:$I$299,"&lt;"&amp;('RESUMEN'!$D$3+105))</x:f>
        <x:v>25.200000000000003</x:v>
      </x:c>
      <x:c r="V18" s="35" t="n">
        <x:f>SUMIFS(B$40:B$299,$I$40:$I$299,"&gt;="&amp;('RESUMEN'!$D$3+105),$I$40:$I$299,"&lt;"&amp;('RESUMEN'!$D$3+112))</x:f>
        <x:v>20.8</x:v>
      </x:c>
      <x:c r="W18" s="35" t="n">
        <x:f>SUMIFS(B$40:B$299,$I$40:$I$299,"&gt;="&amp;('RESUMEN'!$D$3+112),$I$40:$I$299,"&lt;"&amp;('RESUMEN'!$D$3+119))</x:f>
        <x:v>24.799999999999997</x:v>
      </x:c>
      <x:c r="X18" s="35" t="n">
        <x:f>SUMIFS(B$40:B$299,$I$40:$I$299,"&gt;="&amp;('RESUMEN'!$D$3+119),$I$40:$I$299,"&lt;"&amp;('RESUMEN'!$D$3+126))</x:f>
        <x:v>10</x:v>
      </x:c>
      <x:c r="Y18" s="35" t="n">
        <x:f>SUMIFS(B$40:B$299,$I$40:$I$299,"&gt;="&amp;('RESUMEN'!$D$3+126),$I$40:$I$299,"&lt;"&amp;('RESUMEN'!$D$3+133))</x:f>
        <x:v>12.399999999999999</x:v>
      </x:c>
      <x:c r="Z18" s="35" t="n">
        <x:f>SUMIFS(B$40:B$299,$I$40:$I$299,"&gt;="&amp;('RESUMEN'!$D$3+133),$I$40:$I$299,"&lt;"&amp;('RESUMEN'!$D$3+140))</x:f>
        <x:v>14</x:v>
      </x:c>
      <x:c r="AA18" s="35" t="n">
        <x:f>SUMIFS(B$40:B$299,$I$40:$I$299,"&gt;="&amp;('RESUMEN'!$D$3+140),$I$40:$I$299,"&lt;"&amp;('RESUMEN'!$D$3+147))</x:f>
        <x:v>8.8</x:v>
      </x:c>
      <x:c r="AB18" s="35" t="n">
        <x:f>SUMIFS(B$40:B$299,$I$40:$I$299,"&gt;="&amp;('RESUMEN'!$D$3+147),$I$40:$I$299,"&lt;"&amp;('RESUMEN'!$D$3+154))</x:f>
        <x:v>6</x:v>
      </x:c>
      <x:c r="AC18" s="35" t="n">
        <x:f>SUMIFS(B$40:B$299,$I$40:$I$299,"&gt;="&amp;('RESUMEN'!$D$3+154),$I$40:$I$299,"&lt;"&amp;('RESUMEN'!$D$3+161))</x:f>
        <x:v>2</x:v>
      </x:c>
      <x:c r="AD18" s="35" t="n">
        <x:f>SUMIFS(B$40:B$299,$I$40:$I$299,"&gt;="&amp;('RESUMEN'!$D$3+161),$I$40:$I$299,"&lt;"&amp;('RESUMEN'!$D$3+168))</x:f>
        <x:v>21.2</x:v>
      </x:c>
      <x:c r="AE18" s="35" t="n">
        <x:f>SUMIFS(B$40:B$299,$I$40:$I$299,"&gt;="&amp;('RESUMEN'!$D$3+168),$I$40:$I$299,"&lt;"&amp;('RESUMEN'!$D$3+175))</x:f>
        <x:v>17.599999999999998</x:v>
      </x:c>
      <x:c r="AF18" s="35" t="n">
        <x:f>SUMIFS(B$40:B$299,$I$40:$I$299,"&gt;="&amp;('RESUMEN'!$D$3+175),$I$40:$I$299,"&lt;"&amp;('RESUMEN'!$D$3+182))</x:f>
        <x:v>16</x:v>
      </x:c>
      <x:c r="AG18" s="35" t="n">
        <x:f>SUMIFS(B$40:B$299,$I$40:$I$299,"&gt;="&amp;('RESUMEN'!$D$3+182),$I$40:$I$299,"&lt;"&amp;('RESUMEN'!$D$3+189))</x:f>
        <x:v>25.6</x:v>
      </x:c>
      <x:c r="AH18" s="35" t="n">
        <x:f>SUMIFS(B$40:B$299,$I$40:$I$299,"&gt;="&amp;('RESUMEN'!$D$3+189),$I$40:$I$299,"&lt;"&amp;('RESUMEN'!$D$3+196))</x:f>
        <x:v>11.999999999999998</x:v>
      </x:c>
      <x:c r="AI18" s="35" t="n">
        <x:f>SUMIFS(B$40:B$299,$I$40:$I$299,"&gt;="&amp;('RESUMEN'!$D$3+196),$I$40:$I$299,"&lt;"&amp;('RESUMEN'!$D$3+203))</x:f>
        <x:v>8</x:v>
      </x:c>
      <x:c r="AJ18" s="35" t="n">
        <x:f>SUMIFS(B$40:B$299,$I$40:$I$299,"&gt;="&amp;('RESUMEN'!$D$3+203),$I$40:$I$299,"&lt;"&amp;('RESUMEN'!$D$3+210))</x:f>
        <x:v>7.199999999999999</x:v>
      </x:c>
      <x:c r="AK18" s="35" t="n">
        <x:f>SUMIFS(B$40:B$299,$I$40:$I$299,"&gt;="&amp;('RESUMEN'!$D$3+210),$I$40:$I$299,"&lt;"&amp;('RESUMEN'!$D$3+217))</x:f>
        <x:v>8</x:v>
      </x:c>
      <x:c r="AL18" s="35" t="n">
        <x:f>SUMIFS(B$40:B$299,$I$40:$I$299,"&gt;="&amp;('RESUMEN'!$D$3+217),$I$40:$I$299,"&lt;"&amp;('RESUMEN'!$D$3+224))</x:f>
        <x:v>6.4</x:v>
      </x:c>
      <x:c r="AM18" s="35" t="n">
        <x:f>SUMIFS(B$40:B$299,$I$40:$I$299,"&gt;="&amp;('RESUMEN'!$D$3+224),$I$40:$I$299,"&lt;"&amp;('RESUMEN'!$D$3+231))</x:f>
        <x:v>0</x:v>
      </x:c>
      <x:c r="AN18" s="35" t="n">
        <x:f>SUMIFS(B$40:B$299,$I$40:$I$299,"&gt;="&amp;('RESUMEN'!$D$3+231),$I$40:$I$299,"&lt;"&amp;('RESUMEN'!$D$3+238))</x:f>
        <x:v>0</x:v>
      </x:c>
      <x:c r="AO18" s="35" t="n">
        <x:f>SUMIFS(B$40:B$299,$I$40:$I$299,"&gt;="&amp;('RESUMEN'!$D$3+238),$I$40:$I$299,"&lt;"&amp;('RESUMEN'!$D$3+245))</x:f>
        <x:v>0</x:v>
      </x:c>
    </x:row>
    <x:row r="19" ht="24" customHeight="1">
      <x:c r="A19" s="3" t="str">
        <x:v>Alejandro Maureira</x:v>
      </x:c>
      <x:c r="B19" s="3"/>
      <x:c r="C19" s="3" t="n">
        <x:f>C7</x:f>
        <x:v>10</x:v>
      </x:c>
      <x:c r="D19" s="3" t="n">
        <x:f>MAX(G19:AO19)</x:f>
        <x:v>10</x:v>
      </x:c>
      <x:c r="E19" s="3" t="str">
        <x:f>M7</x:f>
        <x:v>Dentro de capacidad</x:v>
      </x:c>
      <x:c r="F19" s="3"/>
      <x:c r="G19" s="35" t="n">
        <x:f>SUMIFS(C$40:C$299,$I$40:$I$299,"&gt;="&amp;('RESUMEN'!$D$3+0),$I$40:$I$299,"&lt;"&amp;('RESUMEN'!$D$3+7))</x:f>
        <x:v>6</x:v>
      </x:c>
      <x:c r="H19" s="35" t="n">
        <x:f>SUMIFS(C$40:C$299,$I$40:$I$299,"&gt;="&amp;('RESUMEN'!$D$3+7),$I$40:$I$299,"&lt;"&amp;('RESUMEN'!$D$3+14))</x:f>
        <x:v>6</x:v>
      </x:c>
      <x:c r="I19" s="35" t="n">
        <x:f>SUMIFS(C$40:C$299,$I$40:$I$299,"&gt;="&amp;('RESUMEN'!$D$3+14),$I$40:$I$299,"&lt;"&amp;('RESUMEN'!$D$3+21))</x:f>
        <x:v>7.199999999999999</x:v>
      </x:c>
      <x:c r="J19" s="35" t="n">
        <x:f>SUMIFS(C$40:C$299,$I$40:$I$299,"&gt;="&amp;('RESUMEN'!$D$3+21),$I$40:$I$299,"&lt;"&amp;('RESUMEN'!$D$3+28))</x:f>
        <x:v>6.4</x:v>
      </x:c>
      <x:c r="K19" s="35" t="n">
        <x:f>SUMIFS(C$40:C$299,$I$40:$I$299,"&gt;="&amp;('RESUMEN'!$D$3+28),$I$40:$I$299,"&lt;"&amp;('RESUMEN'!$D$3+35))</x:f>
        <x:v>5.066666666666666</x:v>
      </x:c>
      <x:c r="L19" s="35" t="n">
        <x:f>SUMIFS(C$40:C$299,$I$40:$I$299,"&gt;="&amp;('RESUMEN'!$D$3+35),$I$40:$I$299,"&lt;"&amp;('RESUMEN'!$D$3+42))</x:f>
        <x:v>7.7333333333333325</x:v>
      </x:c>
      <x:c r="M19" s="35" t="n">
        <x:f>SUMIFS(C$40:C$299,$I$40:$I$299,"&gt;="&amp;('RESUMEN'!$D$3+42),$I$40:$I$299,"&lt;"&amp;('RESUMEN'!$D$3+49))</x:f>
        <x:v>9.6</x:v>
      </x:c>
      <x:c r="N19" s="35" t="n">
        <x:f>SUMIFS(C$40:C$299,$I$40:$I$299,"&gt;="&amp;('RESUMEN'!$D$3+49),$I$40:$I$299,"&lt;"&amp;('RESUMEN'!$D$3+56))</x:f>
        <x:v>10</x:v>
      </x:c>
      <x:c r="O19" s="35" t="n">
        <x:f>SUMIFS(C$40:C$299,$I$40:$I$299,"&gt;="&amp;('RESUMEN'!$D$3+56),$I$40:$I$299,"&lt;"&amp;('RESUMEN'!$D$3+63))</x:f>
        <x:v>2</x:v>
      </x:c>
      <x:c r="P19" s="35" t="n">
        <x:f>SUMIFS(C$40:C$299,$I$40:$I$299,"&gt;="&amp;('RESUMEN'!$D$3+63),$I$40:$I$299,"&lt;"&amp;('RESUMEN'!$D$3+70))</x:f>
        <x:v>0</x:v>
      </x:c>
      <x:c r="Q19" s="35" t="n">
        <x:f>SUMIFS(C$40:C$299,$I$40:$I$299,"&gt;="&amp;('RESUMEN'!$D$3+70),$I$40:$I$299,"&lt;"&amp;('RESUMEN'!$D$3+77))</x:f>
        <x:v>0</x:v>
      </x:c>
      <x:c r="R19" s="35" t="n">
        <x:f>SUMIFS(C$40:C$299,$I$40:$I$299,"&gt;="&amp;('RESUMEN'!$D$3+77),$I$40:$I$299,"&lt;"&amp;('RESUMEN'!$D$3+84))</x:f>
        <x:v>0</x:v>
      </x:c>
      <x:c r="S19" s="35" t="n">
        <x:f>SUMIFS(C$40:C$299,$I$40:$I$299,"&gt;="&amp;('RESUMEN'!$D$3+84),$I$40:$I$299,"&lt;"&amp;('RESUMEN'!$D$3+91))</x:f>
        <x:v>0</x:v>
      </x:c>
      <x:c r="T19" s="35" t="n">
        <x:f>SUMIFS(C$40:C$299,$I$40:$I$299,"&gt;="&amp;('RESUMEN'!$D$3+91),$I$40:$I$299,"&lt;"&amp;('RESUMEN'!$D$3+98))</x:f>
        <x:v>0</x:v>
      </x:c>
      <x:c r="U19" s="35" t="n">
        <x:f>SUMIFS(C$40:C$299,$I$40:$I$299,"&gt;="&amp;('RESUMEN'!$D$3+98),$I$40:$I$299,"&lt;"&amp;('RESUMEN'!$D$3+105))</x:f>
        <x:v>0</x:v>
      </x:c>
      <x:c r="V19" s="35" t="n">
        <x:f>SUMIFS(C$40:C$299,$I$40:$I$299,"&gt;="&amp;('RESUMEN'!$D$3+105),$I$40:$I$299,"&lt;"&amp;('RESUMEN'!$D$3+112))</x:f>
        <x:v>0</x:v>
      </x:c>
      <x:c r="W19" s="35" t="n">
        <x:f>SUMIFS(C$40:C$299,$I$40:$I$299,"&gt;="&amp;('RESUMEN'!$D$3+112),$I$40:$I$299,"&lt;"&amp;('RESUMEN'!$D$3+119))</x:f>
        <x:v>0</x:v>
      </x:c>
      <x:c r="X19" s="35" t="n">
        <x:f>SUMIFS(C$40:C$299,$I$40:$I$299,"&gt;="&amp;('RESUMEN'!$D$3+119),$I$40:$I$299,"&lt;"&amp;('RESUMEN'!$D$3+126))</x:f>
        <x:v>0</x:v>
      </x:c>
      <x:c r="Y19" s="35" t="n">
        <x:f>SUMIFS(C$40:C$299,$I$40:$I$299,"&gt;="&amp;('RESUMEN'!$D$3+126),$I$40:$I$299,"&lt;"&amp;('RESUMEN'!$D$3+133))</x:f>
        <x:v>1.6</x:v>
      </x:c>
      <x:c r="Z19" s="35" t="n">
        <x:f>SUMIFS(C$40:C$299,$I$40:$I$299,"&gt;="&amp;('RESUMEN'!$D$3+133),$I$40:$I$299,"&lt;"&amp;('RESUMEN'!$D$3+140))</x:f>
        <x:v>2</x:v>
      </x:c>
      <x:c r="AA19" s="35" t="n">
        <x:f>SUMIFS(C$40:C$299,$I$40:$I$299,"&gt;="&amp;('RESUMEN'!$D$3+140),$I$40:$I$299,"&lt;"&amp;('RESUMEN'!$D$3+147))</x:f>
        <x:v>0.4</x:v>
      </x:c>
      <x:c r="AB19" s="35" t="n">
        <x:f>SUMIFS(C$40:C$299,$I$40:$I$299,"&gt;="&amp;('RESUMEN'!$D$3+147),$I$40:$I$299,"&lt;"&amp;('RESUMEN'!$D$3+154))</x:f>
        <x:v>0</x:v>
      </x:c>
      <x:c r="AC19" s="35" t="n">
        <x:f>SUMIFS(C$40:C$299,$I$40:$I$299,"&gt;="&amp;('RESUMEN'!$D$3+154),$I$40:$I$299,"&lt;"&amp;('RESUMEN'!$D$3+161))</x:f>
        <x:v>1</x:v>
      </x:c>
      <x:c r="AD19" s="35" t="n">
        <x:f>SUMIFS(C$40:C$299,$I$40:$I$299,"&gt;="&amp;('RESUMEN'!$D$3+161),$I$40:$I$299,"&lt;"&amp;('RESUMEN'!$D$3+168))</x:f>
        <x:v>7.4</x:v>
      </x:c>
      <x:c r="AE19" s="35" t="n">
        <x:f>SUMIFS(C$40:C$299,$I$40:$I$299,"&gt;="&amp;('RESUMEN'!$D$3+168),$I$40:$I$299,"&lt;"&amp;('RESUMEN'!$D$3+175))</x:f>
        <x:v>8</x:v>
      </x:c>
      <x:c r="AF19" s="35" t="n">
        <x:f>SUMIFS(C$40:C$299,$I$40:$I$299,"&gt;="&amp;('RESUMEN'!$D$3+175),$I$40:$I$299,"&lt;"&amp;('RESUMEN'!$D$3+182))</x:f>
        <x:v>8</x:v>
      </x:c>
      <x:c r="AG19" s="35" t="n">
        <x:f>SUMIFS(C$40:C$299,$I$40:$I$299,"&gt;="&amp;('RESUMEN'!$D$3+182),$I$40:$I$299,"&lt;"&amp;('RESUMEN'!$D$3+189))</x:f>
        <x:v>8</x:v>
      </x:c>
      <x:c r="AH19" s="35" t="n">
        <x:f>SUMIFS(C$40:C$299,$I$40:$I$299,"&gt;="&amp;('RESUMEN'!$D$3+189),$I$40:$I$299,"&lt;"&amp;('RESUMEN'!$D$3+196))</x:f>
        <x:v>1.6</x:v>
      </x:c>
      <x:c r="AI19" s="35" t="n">
        <x:f>SUMIFS(C$40:C$299,$I$40:$I$299,"&gt;="&amp;('RESUMEN'!$D$3+196),$I$40:$I$299,"&lt;"&amp;('RESUMEN'!$D$3+203))</x:f>
        <x:v>0</x:v>
      </x:c>
      <x:c r="AJ19" s="35" t="n">
        <x:f>SUMIFS(C$40:C$299,$I$40:$I$299,"&gt;="&amp;('RESUMEN'!$D$3+203),$I$40:$I$299,"&lt;"&amp;('RESUMEN'!$D$3+210))</x:f>
        <x:v>4.4</x:v>
      </x:c>
      <x:c r="AK19" s="35" t="n">
        <x:f>SUMIFS(C$40:C$299,$I$40:$I$299,"&gt;="&amp;('RESUMEN'!$D$3+210),$I$40:$I$299,"&lt;"&amp;('RESUMEN'!$D$3+217))</x:f>
        <x:v>2</x:v>
      </x:c>
      <x:c r="AL19" s="35" t="n">
        <x:f>SUMIFS(C$40:C$299,$I$40:$I$299,"&gt;="&amp;('RESUMEN'!$D$3+217),$I$40:$I$299,"&lt;"&amp;('RESUMEN'!$D$3+224))</x:f>
        <x:v>1.6</x:v>
      </x:c>
      <x:c r="AM19" s="35" t="n">
        <x:f>SUMIFS(C$40:C$299,$I$40:$I$299,"&gt;="&amp;('RESUMEN'!$D$3+224),$I$40:$I$299,"&lt;"&amp;('RESUMEN'!$D$3+231))</x:f>
        <x:v>0</x:v>
      </x:c>
      <x:c r="AN19" s="35" t="n">
        <x:f>SUMIFS(C$40:C$299,$I$40:$I$299,"&gt;="&amp;('RESUMEN'!$D$3+231),$I$40:$I$299,"&lt;"&amp;('RESUMEN'!$D$3+238))</x:f>
        <x:v>0</x:v>
      </x:c>
      <x:c r="AO19" s="35" t="n">
        <x:f>SUMIFS(C$40:C$299,$I$40:$I$299,"&gt;="&amp;('RESUMEN'!$D$3+238),$I$40:$I$299,"&lt;"&amp;('RESUMEN'!$D$3+245))</x:f>
        <x:v>0</x:v>
      </x:c>
    </x:row>
    <x:row r="20" ht="24" customHeight="1">
      <x:c r="A20" s="3" t="str">
        <x:v>Empresa · backend</x:v>
      </x:c>
      <x:c r="B20" s="3"/>
      <x:c r="C20" s="3" t="n">
        <x:f>C8</x:f>
        <x:v>38</x:v>
      </x:c>
      <x:c r="D20" s="3" t="n">
        <x:f>MAX(G20:AO20)</x:f>
        <x:v>35.599999999999994</x:v>
      </x:c>
      <x:c r="E20" s="3" t="str">
        <x:f>M8</x:f>
        <x:v>Dentro de capacidad</x:v>
      </x:c>
      <x:c r="F20" s="3"/>
      <x:c r="G20" s="35" t="n">
        <x:f>SUMIFS(D$40:D$299,$I$40:$I$299,"&gt;="&amp;('RESUMEN'!$D$3+0),$I$40:$I$299,"&lt;"&amp;('RESUMEN'!$D$3+7))</x:f>
        <x:v>0</x:v>
      </x:c>
      <x:c r="H20" s="35" t="n">
        <x:f>SUMIFS(D$40:D$299,$I$40:$I$299,"&gt;="&amp;('RESUMEN'!$D$3+7),$I$40:$I$299,"&lt;"&amp;('RESUMEN'!$D$3+14))</x:f>
        <x:v>0</x:v>
      </x:c>
      <x:c r="I20" s="35" t="n">
        <x:f>SUMIFS(D$40:D$299,$I$40:$I$299,"&gt;="&amp;('RESUMEN'!$D$3+14),$I$40:$I$299,"&lt;"&amp;('RESUMEN'!$D$3+21))</x:f>
        <x:v>8</x:v>
      </x:c>
      <x:c r="J20" s="35" t="n">
        <x:f>SUMIFS(D$40:D$299,$I$40:$I$299,"&gt;="&amp;('RESUMEN'!$D$3+21),$I$40:$I$299,"&lt;"&amp;('RESUMEN'!$D$3+28))</x:f>
        <x:v>20</x:v>
      </x:c>
      <x:c r="K20" s="35" t="n">
        <x:f>SUMIFS(D$40:D$299,$I$40:$I$299,"&gt;="&amp;('RESUMEN'!$D$3+28),$I$40:$I$299,"&lt;"&amp;('RESUMEN'!$D$3+35))</x:f>
        <x:v>14.399999999999999</x:v>
      </x:c>
      <x:c r="L20" s="35" t="n">
        <x:f>SUMIFS(D$40:D$299,$I$40:$I$299,"&gt;="&amp;('RESUMEN'!$D$3+35),$I$40:$I$299,"&lt;"&amp;('RESUMEN'!$D$3+42))</x:f>
        <x:v>31.6</x:v>
      </x:c>
      <x:c r="M20" s="35" t="n">
        <x:f>SUMIFS(D$40:D$299,$I$40:$I$299,"&gt;="&amp;('RESUMEN'!$D$3+42),$I$40:$I$299,"&lt;"&amp;('RESUMEN'!$D$3+49))</x:f>
        <x:v>35.599999999999994</x:v>
      </x:c>
      <x:c r="N20" s="35" t="n">
        <x:f>SUMIFS(D$40:D$299,$I$40:$I$299,"&gt;="&amp;('RESUMEN'!$D$3+49),$I$40:$I$299,"&lt;"&amp;('RESUMEN'!$D$3+56))</x:f>
        <x:v>28.800000000000004</x:v>
      </x:c>
      <x:c r="O20" s="35" t="n">
        <x:f>SUMIFS(D$40:D$299,$I$40:$I$299,"&gt;="&amp;('RESUMEN'!$D$3+56),$I$40:$I$299,"&lt;"&amp;('RESUMEN'!$D$3+63))</x:f>
        <x:v>28</x:v>
      </x:c>
      <x:c r="P20" s="35" t="n">
        <x:f>SUMIFS(D$40:D$299,$I$40:$I$299,"&gt;="&amp;('RESUMEN'!$D$3+63),$I$40:$I$299,"&lt;"&amp;('RESUMEN'!$D$3+70))</x:f>
        <x:v>28</x:v>
      </x:c>
      <x:c r="Q20" s="35" t="n">
        <x:f>SUMIFS(D$40:D$299,$I$40:$I$299,"&gt;="&amp;('RESUMEN'!$D$3+70),$I$40:$I$299,"&lt;"&amp;('RESUMEN'!$D$3+77))</x:f>
        <x:v>28</x:v>
      </x:c>
      <x:c r="R20" s="35" t="n">
        <x:f>SUMIFS(D$40:D$299,$I$40:$I$299,"&gt;="&amp;('RESUMEN'!$D$3+77),$I$40:$I$299,"&lt;"&amp;('RESUMEN'!$D$3+84))</x:f>
        <x:v>24.8</x:v>
      </x:c>
      <x:c r="S20" s="35" t="n">
        <x:f>SUMIFS(D$40:D$299,$I$40:$I$299,"&gt;="&amp;('RESUMEN'!$D$3+84),$I$40:$I$299,"&lt;"&amp;('RESUMEN'!$D$3+91))</x:f>
        <x:v>24</x:v>
      </x:c>
      <x:c r="T20" s="35" t="n">
        <x:f>SUMIFS(D$40:D$299,$I$40:$I$299,"&gt;="&amp;('RESUMEN'!$D$3+91),$I$40:$I$299,"&lt;"&amp;('RESUMEN'!$D$3+98))</x:f>
        <x:v>17.599999999999998</x:v>
      </x:c>
      <x:c r="U20" s="35" t="n">
        <x:f>SUMIFS(D$40:D$299,$I$40:$I$299,"&gt;="&amp;('RESUMEN'!$D$3+98),$I$40:$I$299,"&lt;"&amp;('RESUMEN'!$D$3+105))</x:f>
        <x:v>19.2</x:v>
      </x:c>
      <x:c r="V20" s="35" t="n">
        <x:f>SUMIFS(D$40:D$299,$I$40:$I$299,"&gt;="&amp;('RESUMEN'!$D$3+105),$I$40:$I$299,"&lt;"&amp;('RESUMEN'!$D$3+112))</x:f>
        <x:v>26.4</x:v>
      </x:c>
      <x:c r="W20" s="35" t="n">
        <x:f>SUMIFS(D$40:D$299,$I$40:$I$299,"&gt;="&amp;('RESUMEN'!$D$3+112),$I$40:$I$299,"&lt;"&amp;('RESUMEN'!$D$3+119))</x:f>
        <x:v>5.6</x:v>
      </x:c>
      <x:c r="X20" s="35" t="n">
        <x:f>SUMIFS(D$40:D$299,$I$40:$I$299,"&gt;="&amp;('RESUMEN'!$D$3+119),$I$40:$I$299,"&lt;"&amp;('RESUMEN'!$D$3+126))</x:f>
        <x:v>0</x:v>
      </x:c>
      <x:c r="Y20" s="35" t="n">
        <x:f>SUMIFS(D$40:D$299,$I$40:$I$299,"&gt;="&amp;('RESUMEN'!$D$3+126),$I$40:$I$299,"&lt;"&amp;('RESUMEN'!$D$3+133))</x:f>
        <x:v>3.2</x:v>
      </x:c>
      <x:c r="Z20" s="35" t="n">
        <x:f>SUMIFS(D$40:D$299,$I$40:$I$299,"&gt;="&amp;('RESUMEN'!$D$3+133),$I$40:$I$299,"&lt;"&amp;('RESUMEN'!$D$3+140))</x:f>
        <x:v>4</x:v>
      </x:c>
      <x:c r="AA20" s="35" t="n">
        <x:f>SUMIFS(D$40:D$299,$I$40:$I$299,"&gt;="&amp;('RESUMEN'!$D$3+140),$I$40:$I$299,"&lt;"&amp;('RESUMEN'!$D$3+147))</x:f>
        <x:v>8.8</x:v>
      </x:c>
      <x:c r="AB20" s="35" t="n">
        <x:f>SUMIFS(D$40:D$299,$I$40:$I$299,"&gt;="&amp;('RESUMEN'!$D$3+147),$I$40:$I$299,"&lt;"&amp;('RESUMEN'!$D$3+154))</x:f>
        <x:v>9.6</x:v>
      </x:c>
      <x:c r="AC20" s="35" t="n">
        <x:f>SUMIFS(D$40:D$299,$I$40:$I$299,"&gt;="&amp;('RESUMEN'!$D$3+154),$I$40:$I$299,"&lt;"&amp;('RESUMEN'!$D$3+161))</x:f>
        <x:v>6.4</x:v>
      </x:c>
      <x:c r="AD20" s="35" t="n">
        <x:f>SUMIFS(D$40:D$299,$I$40:$I$299,"&gt;="&amp;('RESUMEN'!$D$3+161),$I$40:$I$299,"&lt;"&amp;('RESUMEN'!$D$3+168))</x:f>
        <x:v>0</x:v>
      </x:c>
      <x:c r="AE20" s="35" t="n">
        <x:f>SUMIFS(D$40:D$299,$I$40:$I$299,"&gt;="&amp;('RESUMEN'!$D$3+168),$I$40:$I$299,"&lt;"&amp;('RESUMEN'!$D$3+175))</x:f>
        <x:v>12.8</x:v>
      </x:c>
      <x:c r="AF20" s="35" t="n">
        <x:f>SUMIFS(D$40:D$299,$I$40:$I$299,"&gt;="&amp;('RESUMEN'!$D$3+175),$I$40:$I$299,"&lt;"&amp;('RESUMEN'!$D$3+182))</x:f>
        <x:v>16</x:v>
      </x:c>
      <x:c r="AG20" s="35" t="n">
        <x:f>SUMIFS(D$40:D$299,$I$40:$I$299,"&gt;="&amp;('RESUMEN'!$D$3+182),$I$40:$I$299,"&lt;"&amp;('RESUMEN'!$D$3+189))</x:f>
        <x:v>9.6</x:v>
      </x:c>
      <x:c r="AH20" s="35" t="n">
        <x:f>SUMIFS(D$40:D$299,$I$40:$I$299,"&gt;="&amp;('RESUMEN'!$D$3+189),$I$40:$I$299,"&lt;"&amp;('RESUMEN'!$D$3+196))</x:f>
        <x:v>8</x:v>
      </x:c>
      <x:c r="AI20" s="35" t="n">
        <x:f>SUMIFS(D$40:D$299,$I$40:$I$299,"&gt;="&amp;('RESUMEN'!$D$3+196),$I$40:$I$299,"&lt;"&amp;('RESUMEN'!$D$3+203))</x:f>
        <x:v>1.6</x:v>
      </x:c>
      <x:c r="AJ20" s="35" t="n">
        <x:f>SUMIFS(D$40:D$299,$I$40:$I$299,"&gt;="&amp;('RESUMEN'!$D$3+203),$I$40:$I$299,"&lt;"&amp;('RESUMEN'!$D$3+210))</x:f>
        <x:v>0.8</x:v>
      </x:c>
      <x:c r="AK20" s="35" t="n">
        <x:f>SUMIFS(D$40:D$299,$I$40:$I$299,"&gt;="&amp;('RESUMEN'!$D$3+210),$I$40:$I$299,"&lt;"&amp;('RESUMEN'!$D$3+217))</x:f>
        <x:v>4</x:v>
      </x:c>
      <x:c r="AL20" s="35" t="n">
        <x:f>SUMIFS(D$40:D$299,$I$40:$I$299,"&gt;="&amp;('RESUMEN'!$D$3+217),$I$40:$I$299,"&lt;"&amp;('RESUMEN'!$D$3+224))</x:f>
        <x:v>3.2</x:v>
      </x:c>
      <x:c r="AM20" s="35" t="n">
        <x:f>SUMIFS(D$40:D$299,$I$40:$I$299,"&gt;="&amp;('RESUMEN'!$D$3+224),$I$40:$I$299,"&lt;"&amp;('RESUMEN'!$D$3+231))</x:f>
        <x:v>0</x:v>
      </x:c>
      <x:c r="AN20" s="35" t="n">
        <x:f>SUMIFS(D$40:D$299,$I$40:$I$299,"&gt;="&amp;('RESUMEN'!$D$3+231),$I$40:$I$299,"&lt;"&amp;('RESUMEN'!$D$3+238))</x:f>
        <x:v>0</x:v>
      </x:c>
      <x:c r="AO20" s="35" t="n">
        <x:f>SUMIFS(D$40:D$299,$I$40:$I$299,"&gt;="&amp;('RESUMEN'!$D$3+238),$I$40:$I$299,"&lt;"&amp;('RESUMEN'!$D$3+245))</x:f>
        <x:v>0</x:v>
      </x:c>
    </x:row>
    <x:row r="21" ht="24" customHeight="1">
      <x:c r="A21" s="3" t="str">
        <x:v>Empresa · frontend</x:v>
      </x:c>
      <x:c r="B21" s="3"/>
      <x:c r="C21" s="3" t="n">
        <x:f>C9</x:f>
        <x:v>40</x:v>
      </x:c>
      <x:c r="D21" s="3" t="n">
        <x:f>MAX(G21:AO21)</x:f>
        <x:v>28</x:v>
      </x:c>
      <x:c r="E21" s="3" t="str">
        <x:f>M9</x:f>
        <x:v>Dentro de capacidad</x:v>
      </x:c>
      <x:c r="F21" s="3"/>
      <x:c r="G21" s="35" t="n">
        <x:f>SUMIFS(E$40:E$299,$I$40:$I$299,"&gt;="&amp;('RESUMEN'!$D$3+0),$I$40:$I$299,"&lt;"&amp;('RESUMEN'!$D$3+7))</x:f>
        <x:v>0</x:v>
      </x:c>
      <x:c r="H21" s="35" t="n">
        <x:f>SUMIFS(E$40:E$299,$I$40:$I$299,"&gt;="&amp;('RESUMEN'!$D$3+7),$I$40:$I$299,"&lt;"&amp;('RESUMEN'!$D$3+14))</x:f>
        <x:v>0</x:v>
      </x:c>
      <x:c r="I21" s="35" t="n">
        <x:f>SUMIFS(E$40:E$299,$I$40:$I$299,"&gt;="&amp;('RESUMEN'!$D$3+14),$I$40:$I$299,"&lt;"&amp;('RESUMEN'!$D$3+21))</x:f>
        <x:v>0</x:v>
      </x:c>
      <x:c r="J21" s="35" t="n">
        <x:f>SUMIFS(E$40:E$299,$I$40:$I$299,"&gt;="&amp;('RESUMEN'!$D$3+21),$I$40:$I$299,"&lt;"&amp;('RESUMEN'!$D$3+28))</x:f>
        <x:v>0</x:v>
      </x:c>
      <x:c r="K21" s="35" t="n">
        <x:f>SUMIFS(E$40:E$299,$I$40:$I$299,"&gt;="&amp;('RESUMEN'!$D$3+28),$I$40:$I$299,"&lt;"&amp;('RESUMEN'!$D$3+35))</x:f>
        <x:v>0</x:v>
      </x:c>
      <x:c r="L21" s="35" t="n">
        <x:f>SUMIFS(E$40:E$299,$I$40:$I$299,"&gt;="&amp;('RESUMEN'!$D$3+35),$I$40:$I$299,"&lt;"&amp;('RESUMEN'!$D$3+42))</x:f>
        <x:v>0</x:v>
      </x:c>
      <x:c r="M21" s="35" t="n">
        <x:f>SUMIFS(E$40:E$299,$I$40:$I$299,"&gt;="&amp;('RESUMEN'!$D$3+42),$I$40:$I$299,"&lt;"&amp;('RESUMEN'!$D$3+49))</x:f>
        <x:v>0</x:v>
      </x:c>
      <x:c r="N21" s="35" t="n">
        <x:f>SUMIFS(E$40:E$299,$I$40:$I$299,"&gt;="&amp;('RESUMEN'!$D$3+49),$I$40:$I$299,"&lt;"&amp;('RESUMEN'!$D$3+56))</x:f>
        <x:v>0</x:v>
      </x:c>
      <x:c r="O21" s="35" t="n">
        <x:f>SUMIFS(E$40:E$299,$I$40:$I$299,"&gt;="&amp;('RESUMEN'!$D$3+56),$I$40:$I$299,"&lt;"&amp;('RESUMEN'!$D$3+63))</x:f>
        <x:v>19.2</x:v>
      </x:c>
      <x:c r="P21" s="35" t="n">
        <x:f>SUMIFS(E$40:E$299,$I$40:$I$299,"&gt;="&amp;('RESUMEN'!$D$3+63),$I$40:$I$299,"&lt;"&amp;('RESUMEN'!$D$3+70))</x:f>
        <x:v>24</x:v>
      </x:c>
      <x:c r="Q21" s="35" t="n">
        <x:f>SUMIFS(E$40:E$299,$I$40:$I$299,"&gt;="&amp;('RESUMEN'!$D$3+70),$I$40:$I$299,"&lt;"&amp;('RESUMEN'!$D$3+77))</x:f>
        <x:v>4.8</x:v>
      </x:c>
      <x:c r="R21" s="35" t="n">
        <x:f>SUMIFS(E$40:E$299,$I$40:$I$299,"&gt;="&amp;('RESUMEN'!$D$3+77),$I$40:$I$299,"&lt;"&amp;('RESUMEN'!$D$3+84))</x:f>
        <x:v>0</x:v>
      </x:c>
      <x:c r="S21" s="35" t="n">
        <x:f>SUMIFS(E$40:E$299,$I$40:$I$299,"&gt;="&amp;('RESUMEN'!$D$3+84),$I$40:$I$299,"&lt;"&amp;('RESUMEN'!$D$3+91))</x:f>
        <x:v>22.4</x:v>
      </x:c>
      <x:c r="T21" s="35" t="n">
        <x:f>SUMIFS(E$40:E$299,$I$40:$I$299,"&gt;="&amp;('RESUMEN'!$D$3+91),$I$40:$I$299,"&lt;"&amp;('RESUMEN'!$D$3+98))</x:f>
        <x:v>28</x:v>
      </x:c>
      <x:c r="U21" s="35" t="n">
        <x:f>SUMIFS(E$40:E$299,$I$40:$I$299,"&gt;="&amp;('RESUMEN'!$D$3+98),$I$40:$I$299,"&lt;"&amp;('RESUMEN'!$D$3+105))</x:f>
        <x:v>24.8</x:v>
      </x:c>
      <x:c r="V21" s="35" t="n">
        <x:f>SUMIFS(E$40:E$299,$I$40:$I$299,"&gt;="&amp;('RESUMEN'!$D$3+105),$I$40:$I$299,"&lt;"&amp;('RESUMEN'!$D$3+112))</x:f>
        <x:v>24</x:v>
      </x:c>
      <x:c r="W21" s="35" t="n">
        <x:f>SUMIFS(E$40:E$299,$I$40:$I$299,"&gt;="&amp;('RESUMEN'!$D$3+112),$I$40:$I$299,"&lt;"&amp;('RESUMEN'!$D$3+119))</x:f>
        <x:v>27.199999999999996</x:v>
      </x:c>
      <x:c r="X21" s="35" t="n">
        <x:f>SUMIFS(E$40:E$299,$I$40:$I$299,"&gt;="&amp;('RESUMEN'!$D$3+119),$I$40:$I$299,"&lt;"&amp;('RESUMEN'!$D$3+126))</x:f>
        <x:v>28</x:v>
      </x:c>
      <x:c r="Y21" s="35" t="n">
        <x:f>SUMIFS(E$40:E$299,$I$40:$I$299,"&gt;="&amp;('RESUMEN'!$D$3+126),$I$40:$I$299,"&lt;"&amp;('RESUMEN'!$D$3+133))</x:f>
        <x:v>11.999999999999998</x:v>
      </x:c>
      <x:c r="Z21" s="35" t="n">
        <x:f>SUMIFS(E$40:E$299,$I$40:$I$299,"&gt;="&amp;('RESUMEN'!$D$3+133),$I$40:$I$299,"&lt;"&amp;('RESUMEN'!$D$3+140))</x:f>
        <x:v>8</x:v>
      </x:c>
      <x:c r="AA21" s="35" t="n">
        <x:f>SUMIFS(E$40:E$299,$I$40:$I$299,"&gt;="&amp;('RESUMEN'!$D$3+140),$I$40:$I$299,"&lt;"&amp;('RESUMEN'!$D$3+147))</x:f>
        <x:v>1.6</x:v>
      </x:c>
      <x:c r="AB21" s="35" t="n">
        <x:f>SUMIFS(E$40:E$299,$I$40:$I$299,"&gt;="&amp;('RESUMEN'!$D$3+147),$I$40:$I$299,"&lt;"&amp;('RESUMEN'!$D$3+154))</x:f>
        <x:v>0</x:v>
      </x:c>
      <x:c r="AC21" s="35" t="n">
        <x:f>SUMIFS(E$40:E$299,$I$40:$I$299,"&gt;="&amp;('RESUMEN'!$D$3+154),$I$40:$I$299,"&lt;"&amp;('RESUMEN'!$D$3+161))</x:f>
        <x:v>0</x:v>
      </x:c>
      <x:c r="AD21" s="35" t="n">
        <x:f>SUMIFS(E$40:E$299,$I$40:$I$299,"&gt;="&amp;('RESUMEN'!$D$3+161),$I$40:$I$299,"&lt;"&amp;('RESUMEN'!$D$3+168))</x:f>
        <x:v>0</x:v>
      </x:c>
      <x:c r="AE21" s="35" t="n">
        <x:f>SUMIFS(E$40:E$299,$I$40:$I$299,"&gt;="&amp;('RESUMEN'!$D$3+168),$I$40:$I$299,"&lt;"&amp;('RESUMEN'!$D$3+175))</x:f>
        <x:v>12.8</x:v>
      </x:c>
      <x:c r="AF21" s="35" t="n">
        <x:f>SUMIFS(E$40:E$299,$I$40:$I$299,"&gt;="&amp;('RESUMEN'!$D$3+175),$I$40:$I$299,"&lt;"&amp;('RESUMEN'!$D$3+182))</x:f>
        <x:v>16</x:v>
      </x:c>
      <x:c r="AG21" s="35" t="n">
        <x:f>SUMIFS(E$40:E$299,$I$40:$I$299,"&gt;="&amp;('RESUMEN'!$D$3+182),$I$40:$I$299,"&lt;"&amp;('RESUMEN'!$D$3+189))</x:f>
        <x:v>3.2</x:v>
      </x:c>
      <x:c r="AH21" s="35" t="n">
        <x:f>SUMIFS(E$40:E$299,$I$40:$I$299,"&gt;="&amp;('RESUMEN'!$D$3+189),$I$40:$I$299,"&lt;"&amp;('RESUMEN'!$D$3+196))</x:f>
        <x:v>22.4</x:v>
      </x:c>
      <x:c r="AI21" s="35" t="n">
        <x:f>SUMIFS(E$40:E$299,$I$40:$I$299,"&gt;="&amp;('RESUMEN'!$D$3+196),$I$40:$I$299,"&lt;"&amp;('RESUMEN'!$D$3+203))</x:f>
        <x:v>5.6</x:v>
      </x:c>
      <x:c r="AJ21" s="35" t="n">
        <x:f>SUMIFS(E$40:E$299,$I$40:$I$299,"&gt;="&amp;('RESUMEN'!$D$3+203),$I$40:$I$299,"&lt;"&amp;('RESUMEN'!$D$3+210))</x:f>
        <x:v>0</x:v>
      </x:c>
      <x:c r="AK21" s="35" t="n">
        <x:f>SUMIFS(E$40:E$299,$I$40:$I$299,"&gt;="&amp;('RESUMEN'!$D$3+210),$I$40:$I$299,"&lt;"&amp;('RESUMEN'!$D$3+217))</x:f>
        <x:v>0</x:v>
      </x:c>
      <x:c r="AL21" s="35" t="n">
        <x:f>SUMIFS(E$40:E$299,$I$40:$I$299,"&gt;="&amp;('RESUMEN'!$D$3+217),$I$40:$I$299,"&lt;"&amp;('RESUMEN'!$D$3+224))</x:f>
        <x:v>0</x:v>
      </x:c>
      <x:c r="AM21" s="35" t="n">
        <x:f>SUMIFS(E$40:E$299,$I$40:$I$299,"&gt;="&amp;('RESUMEN'!$D$3+224),$I$40:$I$299,"&lt;"&amp;('RESUMEN'!$D$3+231))</x:f>
        <x:v>0</x:v>
      </x:c>
      <x:c r="AN21" s="35" t="n">
        <x:f>SUMIFS(E$40:E$299,$I$40:$I$299,"&gt;="&amp;('RESUMEN'!$D$3+231),$I$40:$I$299,"&lt;"&amp;('RESUMEN'!$D$3+238))</x:f>
        <x:v>0</x:v>
      </x:c>
      <x:c r="AO21" s="35" t="n">
        <x:f>SUMIFS(E$40:E$299,$I$40:$I$299,"&gt;="&amp;('RESUMEN'!$D$3+238),$I$40:$I$299,"&lt;"&amp;('RESUMEN'!$D$3+245))</x:f>
        <x:v>0</x:v>
      </x:c>
    </x:row>
    <x:row r="22" ht="24" customHeight="1">
      <x:c r="A22" s="3" t="str">
        <x:v>Empresa · UX</x:v>
      </x:c>
      <x:c r="B22" s="3"/>
      <x:c r="C22" s="3" t="n">
        <x:f>C10</x:f>
        <x:v>20</x:v>
      </x:c>
      <x:c r="D22" s="3" t="n">
        <x:f>MAX(G22:AO22)</x:f>
        <x:v>16</x:v>
      </x:c>
      <x:c r="E22" s="3" t="str">
        <x:f>M10</x:f>
        <x:v>Dentro de capacidad</x:v>
      </x:c>
      <x:c r="F22" s="3"/>
      <x:c r="G22" s="35" t="n">
        <x:f>SUMIFS(F$40:F$299,$I$40:$I$299,"&gt;="&amp;('RESUMEN'!$D$3+0),$I$40:$I$299,"&lt;"&amp;('RESUMEN'!$D$3+7))</x:f>
        <x:v>0</x:v>
      </x:c>
      <x:c r="H22" s="35" t="n">
        <x:f>SUMIFS(F$40:F$299,$I$40:$I$299,"&gt;="&amp;('RESUMEN'!$D$3+7),$I$40:$I$299,"&lt;"&amp;('RESUMEN'!$D$3+14))</x:f>
        <x:v>0</x:v>
      </x:c>
      <x:c r="I22" s="35" t="n">
        <x:f>SUMIFS(F$40:F$299,$I$40:$I$299,"&gt;="&amp;('RESUMEN'!$D$3+14),$I$40:$I$299,"&lt;"&amp;('RESUMEN'!$D$3+21))</x:f>
        <x:v>4.8</x:v>
      </x:c>
      <x:c r="J22" s="35" t="n">
        <x:f>SUMIFS(F$40:F$299,$I$40:$I$299,"&gt;="&amp;('RESUMEN'!$D$3+21),$I$40:$I$299,"&lt;"&amp;('RESUMEN'!$D$3+28))</x:f>
        <x:v>12</x:v>
      </x:c>
      <x:c r="K22" s="35" t="n">
        <x:f>SUMIFS(F$40:F$299,$I$40:$I$299,"&gt;="&amp;('RESUMEN'!$D$3+28),$I$40:$I$299,"&lt;"&amp;('RESUMEN'!$D$3+35))</x:f>
        <x:v>9.866666666666667</x:v>
      </x:c>
      <x:c r="L22" s="35" t="n">
        <x:f>SUMIFS(F$40:F$299,$I$40:$I$299,"&gt;="&amp;('RESUMEN'!$D$3+35),$I$40:$I$299,"&lt;"&amp;('RESUMEN'!$D$3+42))</x:f>
        <x:v>14.133333333333333</x:v>
      </x:c>
      <x:c r="M22" s="35" t="n">
        <x:f>SUMIFS(F$40:F$299,$I$40:$I$299,"&gt;="&amp;('RESUMEN'!$D$3+42),$I$40:$I$299,"&lt;"&amp;('RESUMEN'!$D$3+49))</x:f>
        <x:v>16</x:v>
      </x:c>
      <x:c r="N22" s="35" t="n">
        <x:f>SUMIFS(F$40:F$299,$I$40:$I$299,"&gt;="&amp;('RESUMEN'!$D$3+49),$I$40:$I$299,"&lt;"&amp;('RESUMEN'!$D$3+56))</x:f>
        <x:v>12.8</x:v>
      </x:c>
      <x:c r="O22" s="35" t="n">
        <x:f>SUMIFS(F$40:F$299,$I$40:$I$299,"&gt;="&amp;('RESUMEN'!$D$3+56),$I$40:$I$299,"&lt;"&amp;('RESUMEN'!$D$3+63))</x:f>
        <x:v>5.6</x:v>
      </x:c>
      <x:c r="P22" s="35" t="n">
        <x:f>SUMIFS(F$40:F$299,$I$40:$I$299,"&gt;="&amp;('RESUMEN'!$D$3+63),$I$40:$I$299,"&lt;"&amp;('RESUMEN'!$D$3+70))</x:f>
        <x:v>4</x:v>
      </x:c>
      <x:c r="Q22" s="35" t="n">
        <x:f>SUMIFS(F$40:F$299,$I$40:$I$299,"&gt;="&amp;('RESUMEN'!$D$3+70),$I$40:$I$299,"&lt;"&amp;('RESUMEN'!$D$3+77))</x:f>
        <x:v>0.8</x:v>
      </x:c>
      <x:c r="R22" s="35" t="n">
        <x:f>SUMIFS(F$40:F$299,$I$40:$I$299,"&gt;="&amp;('RESUMEN'!$D$3+77),$I$40:$I$299,"&lt;"&amp;('RESUMEN'!$D$3+84))</x:f>
        <x:v>0</x:v>
      </x:c>
      <x:c r="S22" s="35" t="n">
        <x:f>SUMIFS(F$40:F$299,$I$40:$I$299,"&gt;="&amp;('RESUMEN'!$D$3+84),$I$40:$I$299,"&lt;"&amp;('RESUMEN'!$D$3+91))</x:f>
        <x:v>3.2</x:v>
      </x:c>
      <x:c r="T22" s="35" t="n">
        <x:f>SUMIFS(F$40:F$299,$I$40:$I$299,"&gt;="&amp;('RESUMEN'!$D$3+91),$I$40:$I$299,"&lt;"&amp;('RESUMEN'!$D$3+98))</x:f>
        <x:v>4</x:v>
      </x:c>
      <x:c r="U22" s="35" t="n">
        <x:f>SUMIFS(F$40:F$299,$I$40:$I$299,"&gt;="&amp;('RESUMEN'!$D$3+98),$I$40:$I$299,"&lt;"&amp;('RESUMEN'!$D$3+105))</x:f>
        <x:v>0.8</x:v>
      </x:c>
      <x:c r="V22" s="35" t="n">
        <x:f>SUMIFS(F$40:F$299,$I$40:$I$299,"&gt;="&amp;('RESUMEN'!$D$3+105),$I$40:$I$299,"&lt;"&amp;('RESUMEN'!$D$3+112))</x:f>
        <x:v>0</x:v>
      </x:c>
      <x:c r="W22" s="35" t="n">
        <x:f>SUMIFS(F$40:F$299,$I$40:$I$299,"&gt;="&amp;('RESUMEN'!$D$3+112),$I$40:$I$299,"&lt;"&amp;('RESUMEN'!$D$3+119))</x:f>
        <x:v>3.2</x:v>
      </x:c>
      <x:c r="X22" s="35" t="n">
        <x:f>SUMIFS(F$40:F$299,$I$40:$I$299,"&gt;="&amp;('RESUMEN'!$D$3+119),$I$40:$I$299,"&lt;"&amp;('RESUMEN'!$D$3+126))</x:f>
        <x:v>4</x:v>
      </x:c>
      <x:c r="Y22" s="35" t="n">
        <x:f>SUMIFS(F$40:F$299,$I$40:$I$299,"&gt;="&amp;('RESUMEN'!$D$3+126),$I$40:$I$299,"&lt;"&amp;('RESUMEN'!$D$3+133))</x:f>
        <x:v>10.4</x:v>
      </x:c>
      <x:c r="Z22" s="35" t="n">
        <x:f>SUMIFS(F$40:F$299,$I$40:$I$299,"&gt;="&amp;('RESUMEN'!$D$3+133),$I$40:$I$299,"&lt;"&amp;('RESUMEN'!$D$3+140))</x:f>
        <x:v>12</x:v>
      </x:c>
      <x:c r="AA22" s="35" t="n">
        <x:f>SUMIFS(F$40:F$299,$I$40:$I$299,"&gt;="&amp;('RESUMEN'!$D$3+140),$I$40:$I$299,"&lt;"&amp;('RESUMEN'!$D$3+147))</x:f>
        <x:v>2.4</x:v>
      </x:c>
      <x:c r="AB22" s="35" t="n">
        <x:f>SUMIFS(F$40:F$299,$I$40:$I$299,"&gt;="&amp;('RESUMEN'!$D$3+147),$I$40:$I$299,"&lt;"&amp;('RESUMEN'!$D$3+154))</x:f>
        <x:v>0</x:v>
      </x:c>
      <x:c r="AC22" s="35" t="n">
        <x:f>SUMIFS(F$40:F$299,$I$40:$I$299,"&gt;="&amp;('RESUMEN'!$D$3+154),$I$40:$I$299,"&lt;"&amp;('RESUMEN'!$D$3+161))</x:f>
        <x:v>0</x:v>
      </x:c>
      <x:c r="AD22" s="35" t="n">
        <x:f>SUMIFS(F$40:F$299,$I$40:$I$299,"&gt;="&amp;('RESUMEN'!$D$3+161),$I$40:$I$299,"&lt;"&amp;('RESUMEN'!$D$3+168))</x:f>
        <x:v>9.6</x:v>
      </x:c>
      <x:c r="AE22" s="35" t="n">
        <x:f>SUMIFS(F$40:F$299,$I$40:$I$299,"&gt;="&amp;('RESUMEN'!$D$3+168),$I$40:$I$299,"&lt;"&amp;('RESUMEN'!$D$3+175))</x:f>
        <x:v>2.4</x:v>
      </x:c>
      <x:c r="AF22" s="35" t="n">
        <x:f>SUMIFS(F$40:F$299,$I$40:$I$299,"&gt;="&amp;('RESUMEN'!$D$3+175),$I$40:$I$299,"&lt;"&amp;('RESUMEN'!$D$3+182))</x:f>
        <x:v>0</x:v>
      </x:c>
      <x:c r="AG22" s="35" t="n">
        <x:f>SUMIFS(F$40:F$299,$I$40:$I$299,"&gt;="&amp;('RESUMEN'!$D$3+182),$I$40:$I$299,"&lt;"&amp;('RESUMEN'!$D$3+189))</x:f>
        <x:v>9.6</x:v>
      </x:c>
      <x:c r="AH22" s="35" t="n">
        <x:f>SUMIFS(F$40:F$299,$I$40:$I$299,"&gt;="&amp;('RESUMEN'!$D$3+189),$I$40:$I$299,"&lt;"&amp;('RESUMEN'!$D$3+196))</x:f>
        <x:v>8.799999999999999</x:v>
      </x:c>
      <x:c r="AI22" s="35" t="n">
        <x:f>SUMIFS(F$40:F$299,$I$40:$I$299,"&gt;="&amp;('RESUMEN'!$D$3+196),$I$40:$I$299,"&lt;"&amp;('RESUMEN'!$D$3+203))</x:f>
        <x:v>1.6</x:v>
      </x:c>
      <x:c r="AJ22" s="35" t="n">
        <x:f>SUMIFS(F$40:F$299,$I$40:$I$299,"&gt;="&amp;('RESUMEN'!$D$3+203),$I$40:$I$299,"&lt;"&amp;('RESUMEN'!$D$3+210))</x:f>
        <x:v>0</x:v>
      </x:c>
      <x:c r="AK22" s="35" t="n">
        <x:f>SUMIFS(F$40:F$299,$I$40:$I$299,"&gt;="&amp;('RESUMEN'!$D$3+210),$I$40:$I$299,"&lt;"&amp;('RESUMEN'!$D$3+217))</x:f>
        <x:v>0</x:v>
      </x:c>
      <x:c r="AL22" s="35" t="n">
        <x:f>SUMIFS(F$40:F$299,$I$40:$I$299,"&gt;="&amp;('RESUMEN'!$D$3+217),$I$40:$I$299,"&lt;"&amp;('RESUMEN'!$D$3+224))</x:f>
        <x:v>0</x:v>
      </x:c>
      <x:c r="AM22" s="35" t="n">
        <x:f>SUMIFS(F$40:F$299,$I$40:$I$299,"&gt;="&amp;('RESUMEN'!$D$3+224),$I$40:$I$299,"&lt;"&amp;('RESUMEN'!$D$3+231))</x:f>
        <x:v>0</x:v>
      </x:c>
      <x:c r="AN22" s="35" t="n">
        <x:f>SUMIFS(F$40:F$299,$I$40:$I$299,"&gt;="&amp;('RESUMEN'!$D$3+231),$I$40:$I$299,"&lt;"&amp;('RESUMEN'!$D$3+238))</x:f>
        <x:v>0</x:v>
      </x:c>
      <x:c r="AO22" s="35" t="n">
        <x:f>SUMIFS(F$40:F$299,$I$40:$I$299,"&gt;="&amp;('RESUMEN'!$D$3+238),$I$40:$I$299,"&lt;"&amp;('RESUMEN'!$D$3+245))</x:f>
        <x:v>0</x:v>
      </x:c>
    </x:row>
    <x:row r="23" ht="24" customHeight="1">
      <x:c r="A23" s="3" t="str">
        <x:v>Empresa · QA</x:v>
      </x:c>
      <x:c r="B23" s="3"/>
      <x:c r="C23" s="3" t="n">
        <x:f>C11</x:f>
        <x:v>32</x:v>
      </x:c>
      <x:c r="D23" s="3" t="n">
        <x:f>MAX(G23:AO23)</x:f>
        <x:v>27.6</x:v>
      </x:c>
      <x:c r="E23" s="3" t="str">
        <x:f>M11</x:f>
        <x:v>Dentro de capacidad</x:v>
      </x:c>
      <x:c r="F23" s="3"/>
      <x:c r="G23" s="35" t="n">
        <x:f>SUMIFS(G$40:G$299,$I$40:$I$299,"&gt;="&amp;('RESUMEN'!$D$3+0),$I$40:$I$299,"&lt;"&amp;('RESUMEN'!$D$3+7))</x:f>
        <x:v>0</x:v>
      </x:c>
      <x:c r="H23" s="35" t="n">
        <x:f>SUMIFS(G$40:G$299,$I$40:$I$299,"&gt;="&amp;('RESUMEN'!$D$3+7),$I$40:$I$299,"&lt;"&amp;('RESUMEN'!$D$3+14))</x:f>
        <x:v>0</x:v>
      </x:c>
      <x:c r="I23" s="35" t="n">
        <x:f>SUMIFS(G$40:G$299,$I$40:$I$299,"&gt;="&amp;('RESUMEN'!$D$3+14),$I$40:$I$299,"&lt;"&amp;('RESUMEN'!$D$3+21))</x:f>
        <x:v>0</x:v>
      </x:c>
      <x:c r="J23" s="35" t="n">
        <x:f>SUMIFS(G$40:G$299,$I$40:$I$299,"&gt;="&amp;('RESUMEN'!$D$3+21),$I$40:$I$299,"&lt;"&amp;('RESUMEN'!$D$3+28))</x:f>
        <x:v>0</x:v>
      </x:c>
      <x:c r="K23" s="35" t="n">
        <x:f>SUMIFS(G$40:G$299,$I$40:$I$299,"&gt;="&amp;('RESUMEN'!$D$3+28),$I$40:$I$299,"&lt;"&amp;('RESUMEN'!$D$3+35))</x:f>
        <x:v>0</x:v>
      </x:c>
      <x:c r="L23" s="35" t="n">
        <x:f>SUMIFS(G$40:G$299,$I$40:$I$299,"&gt;="&amp;('RESUMEN'!$D$3+35),$I$40:$I$299,"&lt;"&amp;('RESUMEN'!$D$3+42))</x:f>
        <x:v>3.2</x:v>
      </x:c>
      <x:c r="M23" s="35" t="n">
        <x:f>SUMIFS(G$40:G$299,$I$40:$I$299,"&gt;="&amp;('RESUMEN'!$D$3+42),$I$40:$I$299,"&lt;"&amp;('RESUMEN'!$D$3+49))</x:f>
        <x:v>4</x:v>
      </x:c>
      <x:c r="N23" s="35" t="n">
        <x:f>SUMIFS(G$40:G$299,$I$40:$I$299,"&gt;="&amp;('RESUMEN'!$D$3+49),$I$40:$I$299,"&lt;"&amp;('RESUMEN'!$D$3+56))</x:f>
        <x:v>0.8</x:v>
      </x:c>
      <x:c r="O23" s="35" t="n">
        <x:f>SUMIFS(G$40:G$299,$I$40:$I$299,"&gt;="&amp;('RESUMEN'!$D$3+56),$I$40:$I$299,"&lt;"&amp;('RESUMEN'!$D$3+63))</x:f>
        <x:v>0</x:v>
      </x:c>
      <x:c r="P23" s="35" t="n">
        <x:f>SUMIFS(G$40:G$299,$I$40:$I$299,"&gt;="&amp;('RESUMEN'!$D$3+63),$I$40:$I$299,"&lt;"&amp;('RESUMEN'!$D$3+70))</x:f>
        <x:v>4.8</x:v>
      </x:c>
      <x:c r="Q23" s="35" t="n">
        <x:f>SUMIFS(G$40:G$299,$I$40:$I$299,"&gt;="&amp;('RESUMEN'!$D$3+70),$I$40:$I$299,"&lt;"&amp;('RESUMEN'!$D$3+77))</x:f>
        <x:v>6</x:v>
      </x:c>
      <x:c r="R23" s="35" t="n">
        <x:f>SUMIFS(G$40:G$299,$I$40:$I$299,"&gt;="&amp;('RESUMEN'!$D$3+77),$I$40:$I$299,"&lt;"&amp;('RESUMEN'!$D$3+84))</x:f>
        <x:v>1.2</x:v>
      </x:c>
      <x:c r="S23" s="35" t="n">
        <x:f>SUMIFS(G$40:G$299,$I$40:$I$299,"&gt;="&amp;('RESUMEN'!$D$3+84),$I$40:$I$299,"&lt;"&amp;('RESUMEN'!$D$3+91))</x:f>
        <x:v>9.6</x:v>
      </x:c>
      <x:c r="T23" s="35" t="n">
        <x:f>SUMIFS(G$40:G$299,$I$40:$I$299,"&gt;="&amp;('RESUMEN'!$D$3+91),$I$40:$I$299,"&lt;"&amp;('RESUMEN'!$D$3+98))</x:f>
        <x:v>8.799999999999999</x:v>
      </x:c>
      <x:c r="U23" s="35" t="n">
        <x:f>SUMIFS(G$40:G$299,$I$40:$I$299,"&gt;="&amp;('RESUMEN'!$D$3+98),$I$40:$I$299,"&lt;"&amp;('RESUMEN'!$D$3+105))</x:f>
        <x:v>8</x:v>
      </x:c>
      <x:c r="V23" s="35" t="n">
        <x:f>SUMIFS(G$40:G$299,$I$40:$I$299,"&gt;="&amp;('RESUMEN'!$D$3+105),$I$40:$I$299,"&lt;"&amp;('RESUMEN'!$D$3+112))</x:f>
        <x:v>1.6</x:v>
      </x:c>
      <x:c r="W23" s="35" t="n">
        <x:f>SUMIFS(G$40:G$299,$I$40:$I$299,"&gt;="&amp;('RESUMEN'!$D$3+112),$I$40:$I$299,"&lt;"&amp;('RESUMEN'!$D$3+119))</x:f>
        <x:v>0</x:v>
      </x:c>
      <x:c r="X23" s="35" t="n">
        <x:f>SUMIFS(G$40:G$299,$I$40:$I$299,"&gt;="&amp;('RESUMEN'!$D$3+119),$I$40:$I$299,"&lt;"&amp;('RESUMEN'!$D$3+126))</x:f>
        <x:v>0</x:v>
      </x:c>
      <x:c r="Y23" s="35" t="n">
        <x:f>SUMIFS(G$40:G$299,$I$40:$I$299,"&gt;="&amp;('RESUMEN'!$D$3+126),$I$40:$I$299,"&lt;"&amp;('RESUMEN'!$D$3+133))</x:f>
        <x:v>9.6</x:v>
      </x:c>
      <x:c r="Z23" s="35" t="n">
        <x:f>SUMIFS(G$40:G$299,$I$40:$I$299,"&gt;="&amp;('RESUMEN'!$D$3+133),$I$40:$I$299,"&lt;"&amp;('RESUMEN'!$D$3+140))</x:f>
        <x:v>12</x:v>
      </x:c>
      <x:c r="AA23" s="35" t="n">
        <x:f>SUMIFS(G$40:G$299,$I$40:$I$299,"&gt;="&amp;('RESUMEN'!$D$3+140),$I$40:$I$299,"&lt;"&amp;('RESUMEN'!$D$3+147))</x:f>
        <x:v>22.4</x:v>
      </x:c>
      <x:c r="AB23" s="35" t="n">
        <x:f>SUMIFS(G$40:G$299,$I$40:$I$299,"&gt;="&amp;('RESUMEN'!$D$3+147),$I$40:$I$299,"&lt;"&amp;('RESUMEN'!$D$3+154))</x:f>
        <x:v>26.4</x:v>
      </x:c>
      <x:c r="AC23" s="35" t="n">
        <x:f>SUMIFS(G$40:G$299,$I$40:$I$299,"&gt;="&amp;('RESUMEN'!$D$3+154),$I$40:$I$299,"&lt;"&amp;('RESUMEN'!$D$3+161))</x:f>
        <x:v>27.6</x:v>
      </x:c>
      <x:c r="AD23" s="35" t="n">
        <x:f>SUMIFS(G$40:G$299,$I$40:$I$299,"&gt;="&amp;('RESUMEN'!$D$3+161),$I$40:$I$299,"&lt;"&amp;('RESUMEN'!$D$3+168))</x:f>
        <x:v>11.600000000000001</x:v>
      </x:c>
      <x:c r="AE23" s="35" t="n">
        <x:f>SUMIFS(G$40:G$299,$I$40:$I$299,"&gt;="&amp;('RESUMEN'!$D$3+168),$I$40:$I$299,"&lt;"&amp;('RESUMEN'!$D$3+175))</x:f>
        <x:v>12</x:v>
      </x:c>
      <x:c r="AF23" s="35" t="n">
        <x:f>SUMIFS(G$40:G$299,$I$40:$I$299,"&gt;="&amp;('RESUMEN'!$D$3+175),$I$40:$I$299,"&lt;"&amp;('RESUMEN'!$D$3+182))</x:f>
        <x:v>12</x:v>
      </x:c>
      <x:c r="AG23" s="35" t="n">
        <x:f>SUMIFS(G$40:G$299,$I$40:$I$299,"&gt;="&amp;('RESUMEN'!$D$3+182),$I$40:$I$299,"&lt;"&amp;('RESUMEN'!$D$3+189))</x:f>
        <x:v>12</x:v>
      </x:c>
      <x:c r="AH23" s="35" t="n">
        <x:f>SUMIFS(G$40:G$299,$I$40:$I$299,"&gt;="&amp;('RESUMEN'!$D$3+189),$I$40:$I$299,"&lt;"&amp;('RESUMEN'!$D$3+196))</x:f>
        <x:v>12</x:v>
      </x:c>
      <x:c r="AI23" s="35" t="n">
        <x:f>SUMIFS(G$40:G$299,$I$40:$I$299,"&gt;="&amp;('RESUMEN'!$D$3+196),$I$40:$I$299,"&lt;"&amp;('RESUMEN'!$D$3+203))</x:f>
        <x:v>21.6</x:v>
      </x:c>
      <x:c r="AJ23" s="35" t="n">
        <x:f>SUMIFS(G$40:G$299,$I$40:$I$299,"&gt;="&amp;('RESUMEN'!$D$3+203),$I$40:$I$299,"&lt;"&amp;('RESUMEN'!$D$3+210))</x:f>
        <x:v>5.6</x:v>
      </x:c>
      <x:c r="AK23" s="35" t="n">
        <x:f>SUMIFS(G$40:G$299,$I$40:$I$299,"&gt;="&amp;('RESUMEN'!$D$3+210),$I$40:$I$299,"&lt;"&amp;('RESUMEN'!$D$3+217))</x:f>
        <x:v>4</x:v>
      </x:c>
      <x:c r="AL23" s="35" t="n">
        <x:f>SUMIFS(G$40:G$299,$I$40:$I$299,"&gt;="&amp;('RESUMEN'!$D$3+217),$I$40:$I$299,"&lt;"&amp;('RESUMEN'!$D$3+224))</x:f>
        <x:v>3.2</x:v>
      </x:c>
      <x:c r="AM23" s="35" t="n">
        <x:f>SUMIFS(G$40:G$299,$I$40:$I$299,"&gt;="&amp;('RESUMEN'!$D$3+224),$I$40:$I$299,"&lt;"&amp;('RESUMEN'!$D$3+231))</x:f>
        <x:v>0</x:v>
      </x:c>
      <x:c r="AN23" s="35" t="n">
        <x:f>SUMIFS(G$40:G$299,$I$40:$I$299,"&gt;="&amp;('RESUMEN'!$D$3+231),$I$40:$I$299,"&lt;"&amp;('RESUMEN'!$D$3+238))</x:f>
        <x:v>0</x:v>
      </x:c>
      <x:c r="AO23" s="35" t="n">
        <x:f>SUMIFS(G$40:G$299,$I$40:$I$299,"&gt;="&amp;('RESUMEN'!$D$3+238),$I$40:$I$299,"&lt;"&amp;('RESUMEN'!$D$3+245))</x:f>
        <x:v>0</x:v>
      </x:c>
    </x:row>
    <x:row r="24" ht="24" customHeight="1">
      <x:c r="A24" s="3" t="str">
        <x:v>Empresa · operación</x:v>
      </x:c>
      <x:c r="B24" s="3"/>
      <x:c r="C24" s="3" t="n">
        <x:f>C12</x:f>
        <x:v>24</x:v>
      </x:c>
      <x:c r="D24" s="3" t="n">
        <x:f>MAX(G24:AO24)</x:f>
        <x:v>20.4</x:v>
      </x:c>
      <x:c r="E24" s="3" t="str">
        <x:f>M12</x:f>
        <x:v>Dentro de capacidad</x:v>
      </x:c>
      <x:c r="F24" s="3"/>
      <x:c r="G24" s="35" t="n">
        <x:f>SUMIFS(H$40:H$299,$I$40:$I$299,"&gt;="&amp;('RESUMEN'!$D$3+0),$I$40:$I$299,"&lt;"&amp;('RESUMEN'!$D$3+7))</x:f>
        <x:v>0</x:v>
      </x:c>
      <x:c r="H24" s="35" t="n">
        <x:f>SUMIFS(H$40:H$299,$I$40:$I$299,"&gt;="&amp;('RESUMEN'!$D$3+7),$I$40:$I$299,"&lt;"&amp;('RESUMEN'!$D$3+14))</x:f>
        <x:v>0</x:v>
      </x:c>
      <x:c r="I24" s="35" t="n">
        <x:f>SUMIFS(H$40:H$299,$I$40:$I$299,"&gt;="&amp;('RESUMEN'!$D$3+14),$I$40:$I$299,"&lt;"&amp;('RESUMEN'!$D$3+21))</x:f>
        <x:v>1.6</x:v>
      </x:c>
      <x:c r="J24" s="35" t="n">
        <x:f>SUMIFS(H$40:H$299,$I$40:$I$299,"&gt;="&amp;('RESUMEN'!$D$3+21),$I$40:$I$299,"&lt;"&amp;('RESUMEN'!$D$3+28))</x:f>
        <x:v>4</x:v>
      </x:c>
      <x:c r="K24" s="35" t="n">
        <x:f>SUMIFS(H$40:H$299,$I$40:$I$299,"&gt;="&amp;('RESUMEN'!$D$3+28),$I$40:$I$299,"&lt;"&amp;('RESUMEN'!$D$3+35))</x:f>
        <x:v>8</x:v>
      </x:c>
      <x:c r="L24" s="35" t="n">
        <x:f>SUMIFS(H$40:H$299,$I$40:$I$299,"&gt;="&amp;('RESUMEN'!$D$3+35),$I$40:$I$299,"&lt;"&amp;('RESUMEN'!$D$3+42))</x:f>
        <x:v>20.4</x:v>
      </x:c>
      <x:c r="M24" s="35" t="n">
        <x:f>SUMIFS(H$40:H$299,$I$40:$I$299,"&gt;="&amp;('RESUMEN'!$D$3+42),$I$40:$I$299,"&lt;"&amp;('RESUMEN'!$D$3+49))</x:f>
        <x:v>16.400000000000002</x:v>
      </x:c>
      <x:c r="N24" s="35" t="n">
        <x:f>SUMIFS(H$40:H$299,$I$40:$I$299,"&gt;="&amp;('RESUMEN'!$D$3+49),$I$40:$I$299,"&lt;"&amp;('RESUMEN'!$D$3+56))</x:f>
        <x:v>1.6</x:v>
      </x:c>
      <x:c r="O24" s="35" t="n">
        <x:f>SUMIFS(H$40:H$299,$I$40:$I$299,"&gt;="&amp;('RESUMEN'!$D$3+56),$I$40:$I$299,"&lt;"&amp;('RESUMEN'!$D$3+63))</x:f>
        <x:v>0</x:v>
      </x:c>
      <x:c r="P24" s="35" t="n">
        <x:f>SUMIFS(H$40:H$299,$I$40:$I$299,"&gt;="&amp;('RESUMEN'!$D$3+63),$I$40:$I$299,"&lt;"&amp;('RESUMEN'!$D$3+70))</x:f>
        <x:v>16</x:v>
      </x:c>
      <x:c r="Q24" s="35" t="n">
        <x:f>SUMIFS(H$40:H$299,$I$40:$I$299,"&gt;="&amp;('RESUMEN'!$D$3+70),$I$40:$I$299,"&lt;"&amp;('RESUMEN'!$D$3+77))</x:f>
        <x:v>20</x:v>
      </x:c>
      <x:c r="R24" s="35" t="n">
        <x:f>SUMIFS(H$40:H$299,$I$40:$I$299,"&gt;="&amp;('RESUMEN'!$D$3+77),$I$40:$I$299,"&lt;"&amp;('RESUMEN'!$D$3+84))</x:f>
        <x:v>7.199999999999999</x:v>
      </x:c>
      <x:c r="S24" s="35" t="n">
        <x:f>SUMIFS(H$40:H$299,$I$40:$I$299,"&gt;="&amp;('RESUMEN'!$D$3+84),$I$40:$I$299,"&lt;"&amp;('RESUMEN'!$D$3+91))</x:f>
        <x:v>4</x:v>
      </x:c>
      <x:c r="T24" s="35" t="n">
        <x:f>SUMIFS(H$40:H$299,$I$40:$I$299,"&gt;="&amp;('RESUMEN'!$D$3+91),$I$40:$I$299,"&lt;"&amp;('RESUMEN'!$D$3+98))</x:f>
        <x:v>7.199999999999999</x:v>
      </x:c>
      <x:c r="U24" s="35" t="n">
        <x:f>SUMIFS(H$40:H$299,$I$40:$I$299,"&gt;="&amp;('RESUMEN'!$D$3+98),$I$40:$I$299,"&lt;"&amp;('RESUMEN'!$D$3+105))</x:f>
        <x:v>8</x:v>
      </x:c>
      <x:c r="V24" s="35" t="n">
        <x:f>SUMIFS(H$40:H$299,$I$40:$I$299,"&gt;="&amp;('RESUMEN'!$D$3+105),$I$40:$I$299,"&lt;"&amp;('RESUMEN'!$D$3+112))</x:f>
        <x:v>8</x:v>
      </x:c>
      <x:c r="W24" s="35" t="n">
        <x:f>SUMIFS(H$40:H$299,$I$40:$I$299,"&gt;="&amp;('RESUMEN'!$D$3+112),$I$40:$I$299,"&lt;"&amp;('RESUMEN'!$D$3+119))</x:f>
        <x:v>1.6</x:v>
      </x:c>
      <x:c r="X24" s="35" t="n">
        <x:f>SUMIFS(H$40:H$299,$I$40:$I$299,"&gt;="&amp;('RESUMEN'!$D$3+119),$I$40:$I$299,"&lt;"&amp;('RESUMEN'!$D$3+126))</x:f>
        <x:v>0</x:v>
      </x:c>
      <x:c r="Y24" s="35" t="n">
        <x:f>SUMIFS(H$40:H$299,$I$40:$I$299,"&gt;="&amp;('RESUMEN'!$D$3+126),$I$40:$I$299,"&lt;"&amp;('RESUMEN'!$D$3+133))</x:f>
        <x:v>0</x:v>
      </x:c>
      <x:c r="Z24" s="35" t="n">
        <x:f>SUMIFS(H$40:H$299,$I$40:$I$299,"&gt;="&amp;('RESUMEN'!$D$3+133),$I$40:$I$299,"&lt;"&amp;('RESUMEN'!$D$3+140))</x:f>
        <x:v>0</x:v>
      </x:c>
      <x:c r="AA24" s="35" t="n">
        <x:f>SUMIFS(H$40:H$299,$I$40:$I$299,"&gt;="&amp;('RESUMEN'!$D$3+140),$I$40:$I$299,"&lt;"&amp;('RESUMEN'!$D$3+147))</x:f>
        <x:v>0</x:v>
      </x:c>
      <x:c r="AB24" s="35" t="n">
        <x:f>SUMIFS(H$40:H$299,$I$40:$I$299,"&gt;="&amp;('RESUMEN'!$D$3+147),$I$40:$I$299,"&lt;"&amp;('RESUMEN'!$D$3+154))</x:f>
        <x:v>4.8</x:v>
      </x:c>
      <x:c r="AC24" s="35" t="n">
        <x:f>SUMIFS(H$40:H$299,$I$40:$I$299,"&gt;="&amp;('RESUMEN'!$D$3+154),$I$40:$I$299,"&lt;"&amp;('RESUMEN'!$D$3+161))</x:f>
        <x:v>19.2</x:v>
      </x:c>
      <x:c r="AD24" s="35" t="n">
        <x:f>SUMIFS(H$40:H$299,$I$40:$I$299,"&gt;="&amp;('RESUMEN'!$D$3+161),$I$40:$I$299,"&lt;"&amp;('RESUMEN'!$D$3+168))</x:f>
        <x:v>0</x:v>
      </x:c>
      <x:c r="AE24" s="35" t="n">
        <x:f>SUMIFS(H$40:H$299,$I$40:$I$299,"&gt;="&amp;('RESUMEN'!$D$3+168),$I$40:$I$299,"&lt;"&amp;('RESUMEN'!$D$3+175))</x:f>
        <x:v>0</x:v>
      </x:c>
      <x:c r="AF24" s="35" t="n">
        <x:f>SUMIFS(H$40:H$299,$I$40:$I$299,"&gt;="&amp;('RESUMEN'!$D$3+175),$I$40:$I$299,"&lt;"&amp;('RESUMEN'!$D$3+182))</x:f>
        <x:v>0</x:v>
      </x:c>
      <x:c r="AG24" s="35" t="n">
        <x:f>SUMIFS(H$40:H$299,$I$40:$I$299,"&gt;="&amp;('RESUMEN'!$D$3+182),$I$40:$I$299,"&lt;"&amp;('RESUMEN'!$D$3+189))</x:f>
        <x:v>9.6</x:v>
      </x:c>
      <x:c r="AH24" s="35" t="n">
        <x:f>SUMIFS(H$40:H$299,$I$40:$I$299,"&gt;="&amp;('RESUMEN'!$D$3+189),$I$40:$I$299,"&lt;"&amp;('RESUMEN'!$D$3+196))</x:f>
        <x:v>12</x:v>
      </x:c>
      <x:c r="AI24" s="35" t="n">
        <x:f>SUMIFS(H$40:H$299,$I$40:$I$299,"&gt;="&amp;('RESUMEN'!$D$3+196),$I$40:$I$299,"&lt;"&amp;('RESUMEN'!$D$3+203))</x:f>
        <x:v>8.799999999999999</x:v>
      </x:c>
      <x:c r="AJ24" s="35" t="n">
        <x:f>SUMIFS(H$40:H$299,$I$40:$I$299,"&gt;="&amp;('RESUMEN'!$D$3+203),$I$40:$I$299,"&lt;"&amp;('RESUMEN'!$D$3+210))</x:f>
        <x:v>7.199999999999999</x:v>
      </x:c>
      <x:c r="AK24" s="35" t="n">
        <x:f>SUMIFS(H$40:H$299,$I$40:$I$299,"&gt;="&amp;('RESUMEN'!$D$3+210),$I$40:$I$299,"&lt;"&amp;('RESUMEN'!$D$3+217))</x:f>
        <x:v>8</x:v>
      </x:c>
      <x:c r="AL24" s="35" t="n">
        <x:f>SUMIFS(H$40:H$299,$I$40:$I$299,"&gt;="&amp;('RESUMEN'!$D$3+217),$I$40:$I$299,"&lt;"&amp;('RESUMEN'!$D$3+224))</x:f>
        <x:v>6.4</x:v>
      </x:c>
      <x:c r="AM24" s="35" t="n">
        <x:f>SUMIFS(H$40:H$299,$I$40:$I$299,"&gt;="&amp;('RESUMEN'!$D$3+224),$I$40:$I$299,"&lt;"&amp;('RESUMEN'!$D$3+231))</x:f>
        <x:v>0</x:v>
      </x:c>
      <x:c r="AN24" s="35" t="n">
        <x:f>SUMIFS(H$40:H$299,$I$40:$I$299,"&gt;="&amp;('RESUMEN'!$D$3+231),$I$40:$I$299,"&lt;"&amp;('RESUMEN'!$D$3+238))</x:f>
        <x:v>0</x:v>
      </x:c>
      <x:c r="AO24" s="35" t="n">
        <x:f>SUMIFS(H$40:H$299,$I$40:$I$299,"&gt;="&amp;('RESUMEN'!$D$3+238),$I$40:$I$299,"&lt;"&amp;('RESUMEN'!$D$3+245))</x:f>
        <x:v>0</x:v>
      </x:c>
    </x:row>
    <x:row r="25" ht="24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  <x:c r="AO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  <x:c r="AO26" s="3"/>
    </x:row>
    <x:row r="27" ht="24" customHeight="1">
      <x:c r="A27" s="3" t="str">
        <x:v>Hardware: mantener MacBook M1; sustituir sólo por memoria/SSD/batería insuficiente medidos. Sin GPU local.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  <x:c r="AO27" s="3"/>
    </x:row>
    <x:row r="28" ht="24" customHeight="1">
      <x:c r="A28" s="3" t="str">
        <x:v>Licencias: una principal entre ChatGPT/Claude; segunda sólo si aporta valor medido. Gemini gratuito si basta.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  <x:c r="AO28" s="3"/>
    </x:row>
    <x:row r="29" ht="24" customHeight="1">
      <x:c r="A29" s="3" t="str">
        <x:v>Infraestructura: staging + producción gestionada, PostgreSQL, objetos privados y workers CPU; sin Kubernetes inicial.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  <x:c r="AO29" s="3"/>
    </x:row>
    <x:row r="30" ht="24" customHeight="1">
      <x:c r="A30" s="3" t="str">
        <x:v>Horas uniformes por tarea. El detalle diario detecta sobrecargas que el promedio semanal puede ocultar.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  <x:c r="AO30" s="3"/>
    </x:row>
    <x:row r="31" ht="24" customHeight="1">
      <x:c r="A31" s="3" t="str">
        <x:v>Para sumar tareas o cambiar enlaces, regenerar y volver a nivelar. No resolver alertas inflando disponibilidad ficticia.</x:v>
      </x:c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  <x:c r="AO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  <x:c r="AO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  <x:c r="AO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  <x:c r="AO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  <x:c r="AO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  <x:c r="AO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  <x:c r="AO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  <x:c r="AO38" s="3"/>
    </x:row>
    <x:row r="39" ht="42" customHeight="1">
      <x:c r="A39" s="15" t="str">
        <x:v>Día hábil</x:v>
      </x:c>
      <x:c r="B39" s="15" t="str">
        <x:v>AP</x:v>
      </x:c>
      <x:c r="C39" s="15" t="str">
        <x:v>AM</x:v>
      </x:c>
      <x:c r="D39" s="15" t="str">
        <x:v>BE</x:v>
      </x:c>
      <x:c r="E39" s="15" t="str">
        <x:v>FE</x:v>
      </x:c>
      <x:c r="F39" s="15" t="str">
        <x:v>UX</x:v>
      </x:c>
      <x:c r="G39" s="15" t="str">
        <x:v>QA</x:v>
      </x:c>
      <x:c r="H39" s="15" t="str">
        <x:v>OP</x:v>
      </x:c>
      <x:c r="I39" s="15" t="str">
        <x:v>Fecha</x:v>
      </x:c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  <x:c r="AO39" s="3"/>
    </x:row>
    <x:row r="40" ht="24" customHeight="1">
      <x:c r="A40" s="3" t="n">
        <x:v>1</x:v>
      </x:c>
      <x:c r="B40" s="35" t="n">
        <x:f>SUM(IF(AND(0&gt;='EDT Y TAREAS'!AK6,0&lt;'EDT Y TAREAS'!AL6),'EDT Y TAREAS'!AD6/'EDT Y TAREAS'!M6,0),IF(AND(0&gt;='EDT Y TAREAS'!AK7,0&lt;'EDT Y TAREAS'!AL7),'EDT Y TAREAS'!AD7/'EDT Y TAREAS'!M7,0),IF(AND(0&gt;='EDT Y TAREAS'!AK8,0&lt;'EDT Y TAREAS'!AL8),'EDT Y TAREAS'!AD8/'EDT Y TAREAS'!M8,0),IF(AND(0&gt;='EDT Y TAREAS'!AK9,0&lt;'EDT Y TAREAS'!AL9),'EDT Y TAREAS'!AD9/'EDT Y TAREAS'!M9,0),IF(AND(0&gt;='EDT Y TAREAS'!AK10,0&lt;'EDT Y TAREAS'!AL10),'EDT Y TAREAS'!AD10/'EDT Y TAREAS'!M10,0),IF(AND(0&gt;='EDT Y TAREAS'!AK11,0&lt;'EDT Y TAREAS'!AL11),'EDT Y TAREAS'!AD11/'EDT Y TAREAS'!M11,0),IF(AND(0&gt;='EDT Y TAREAS'!AK12,0&lt;'EDT Y TAREAS'!AL12),'EDT Y TAREAS'!AD12/'EDT Y TAREAS'!M12,0),IF(AND(0&gt;='EDT Y TAREAS'!AK13,0&lt;'EDT Y TAREAS'!AL13),'EDT Y TAREAS'!AD13/'EDT Y TAREAS'!M13,0),IF(AND(0&gt;='EDT Y TAREAS'!AK14,0&lt;'EDT Y TAREAS'!AL14),'EDT Y TAREAS'!AD14/'EDT Y TAREAS'!M14,0),IF(AND(0&gt;='EDT Y TAREAS'!AK15,0&lt;'EDT Y TAREAS'!AL15),'EDT Y TAREAS'!AD15/'EDT Y TAREAS'!M15,0),IF(AND(0&gt;='EDT Y TAREAS'!AK16,0&lt;'EDT Y TAREAS'!AL16),'EDT Y TAREAS'!AD16/'EDT Y TAREAS'!M16,0),IF(AND(0&gt;='EDT Y TAREAS'!AK17,0&lt;'EDT Y TAREAS'!AL17),'EDT Y TAREAS'!AD17/'EDT Y TAREAS'!M17,0),IF(AND(0&gt;='EDT Y TAREAS'!AK18,0&lt;'EDT Y TAREAS'!AL18),'EDT Y TAREAS'!AD18/'EDT Y TAREAS'!M18,0),IF(AND(0&gt;='EDT Y TAREAS'!AK19,0&lt;'EDT Y TAREAS'!AL19),'EDT Y TAREAS'!AD19/'EDT Y TAREAS'!M19,0),IF(AND(0&gt;='EDT Y TAREAS'!AK20,0&lt;'EDT Y TAREAS'!AL20),'EDT Y TAREAS'!AD20/'EDT Y TAREAS'!M20,0),IF(AND(0&gt;='EDT Y TAREAS'!AK21,0&lt;'EDT Y TAREAS'!AL21),'EDT Y TAREAS'!AD21/'EDT Y TAREAS'!M21,0),IF(AND(0&gt;='EDT Y TAREAS'!AK22,0&lt;'EDT Y TAREAS'!AL22),'EDT Y TAREAS'!AD22/'EDT Y TAREAS'!M22,0),IF(AND(0&gt;='EDT Y TAREAS'!AK23,0&lt;'EDT Y TAREAS'!AL23),'EDT Y TAREAS'!AD23/'EDT Y TAREAS'!M23,0),IF(AND(0&gt;='EDT Y TAREAS'!AK26,0&lt;'EDT Y TAREAS'!AL26),'EDT Y TAREAS'!AD26/'EDT Y TAREAS'!M26,0),IF(AND(0&gt;='EDT Y TAREAS'!AK28,0&lt;'EDT Y TAREAS'!AL28),'EDT Y TAREAS'!AD28/'EDT Y TAREAS'!M28,0),IF(AND(0&gt;='EDT Y TAREAS'!AK30,0&lt;'EDT Y TAREAS'!AL30),'EDT Y TAREAS'!AD30/'EDT Y TAREAS'!M30,0),IF(AND(0&gt;='EDT Y TAREAS'!AK32,0&lt;'EDT Y TAREAS'!AL32),'EDT Y TAREAS'!AD32/'EDT Y TAREAS'!M32,0),IF(AND(0&gt;='EDT Y TAREAS'!AK34,0&lt;'EDT Y TAREAS'!AL34),'EDT Y TAREAS'!AD34/'EDT Y TAREAS'!M34,0),IF(AND(0&gt;='EDT Y TAREAS'!AK38,0&lt;'EDT Y TAREAS'!AL38),'EDT Y TAREAS'!AD38/'EDT Y TAREAS'!M38,0),IF(AND(0&gt;='EDT Y TAREAS'!AK39,0&lt;'EDT Y TAREAS'!AL39),'EDT Y TAREAS'!AD39/'EDT Y TAREAS'!M39,0),IF(AND(0&gt;='EDT Y TAREAS'!AK43,0&lt;'EDT Y TAREAS'!AL43),'EDT Y TAREAS'!AD43/'EDT Y TAREAS'!M43,0),IF(AND(0&gt;='EDT Y TAREAS'!AK44,0&lt;'EDT Y TAREAS'!AL44),'EDT Y TAREAS'!AD44/'EDT Y TAREAS'!M44,0),IF(AND(0&gt;='EDT Y TAREAS'!AK45,0&lt;'EDT Y TAREAS'!AL45),'EDT Y TAREAS'!AD45/'EDT Y TAREAS'!M45,0),IF(AND(0&gt;='EDT Y TAREAS'!AK46,0&lt;'EDT Y TAREAS'!AL46),'EDT Y TAREAS'!AD46/'EDT Y TAREAS'!M46,0),IF(AND(0&gt;='EDT Y TAREAS'!AK47,0&lt;'EDT Y TAREAS'!AL47),'EDT Y TAREAS'!AD47/'EDT Y TAREAS'!M47,0),IF(AND(0&gt;='EDT Y TAREAS'!AK49,0&lt;'EDT Y TAREAS'!AL49),'EDT Y TAREAS'!AD49/'EDT Y TAREAS'!M49,0),IF(AND(0&gt;='EDT Y TAREAS'!AK50,0&lt;'EDT Y TAREAS'!AL50),'EDT Y TAREAS'!AD50/'EDT Y TAREAS'!M50,0),IF(AND(0&gt;='EDT Y TAREAS'!AK51,0&lt;'EDT Y TAREAS'!AL51),'EDT Y TAREAS'!AD51/'EDT Y TAREAS'!M51,0),IF(AND(0&gt;='EDT Y TAREAS'!AK52,0&lt;'EDT Y TAREAS'!AL52),'EDT Y TAREAS'!AD52/'EDT Y TAREAS'!M52,0))</x:f>
        <x:v>6.3999999999999995</x:v>
      </x:c>
      <x:c r="C40" s="35" t="n">
        <x:f>SUM(IF(AND(0&gt;='EDT Y TAREAS'!AK6,0&lt;'EDT Y TAREAS'!AL6),'EDT Y TAREAS'!AE6/'EDT Y TAREAS'!M6,0),IF(AND(0&gt;='EDT Y TAREAS'!AK8,0&lt;'EDT Y TAREAS'!AL8),'EDT Y TAREAS'!AE8/'EDT Y TAREAS'!M8,0),IF(AND(0&gt;='EDT Y TAREAS'!AK9,0&lt;'EDT Y TAREAS'!AL9),'EDT Y TAREAS'!AE9/'EDT Y TAREAS'!M9,0),IF(AND(0&gt;='EDT Y TAREAS'!AK10,0&lt;'EDT Y TAREAS'!AL10),'EDT Y TAREAS'!AE10/'EDT Y TAREAS'!M10,0),IF(AND(0&gt;='EDT Y TAREAS'!AK12,0&lt;'EDT Y TAREAS'!AL12),'EDT Y TAREAS'!AE12/'EDT Y TAREAS'!M12,0),IF(AND(0&gt;='EDT Y TAREAS'!AK16,0&lt;'EDT Y TAREAS'!AL16),'EDT Y TAREAS'!AE16/'EDT Y TAREAS'!M16,0),IF(AND(0&gt;='EDT Y TAREAS'!AK21,0&lt;'EDT Y TAREAS'!AL21),'EDT Y TAREAS'!AE21/'EDT Y TAREAS'!M21,0),IF(AND(0&gt;='EDT Y TAREAS'!AK23,0&lt;'EDT Y TAREAS'!AL23),'EDT Y TAREAS'!AE23/'EDT Y TAREAS'!M23,0),IF(AND(0&gt;='EDT Y TAREAS'!AK37,0&lt;'EDT Y TAREAS'!AL37),'EDT Y TAREAS'!AE37/'EDT Y TAREAS'!M37,0),IF(AND(0&gt;='EDT Y TAREAS'!AK38,0&lt;'EDT Y TAREAS'!AL38),'EDT Y TAREAS'!AE38/'EDT Y TAREAS'!M38,0),IF(AND(0&gt;='EDT Y TAREAS'!AK41,0&lt;'EDT Y TAREAS'!AL41),'EDT Y TAREAS'!AE41/'EDT Y TAREAS'!M41,0),IF(AND(0&gt;='EDT Y TAREAS'!AK43,0&lt;'EDT Y TAREAS'!AL43),'EDT Y TAREAS'!AE43/'EDT Y TAREAS'!M43,0),IF(AND(0&gt;='EDT Y TAREAS'!AK44,0&lt;'EDT Y TAREAS'!AL44),'EDT Y TAREAS'!AE44/'EDT Y TAREAS'!M44,0),IF(AND(0&gt;='EDT Y TAREAS'!AK46,0&lt;'EDT Y TAREAS'!AL46),'EDT Y TAREAS'!AE46/'EDT Y TAREAS'!M46,0),IF(AND(0&gt;='EDT Y TAREAS'!AK47,0&lt;'EDT Y TAREAS'!AL47),'EDT Y TAREAS'!AE47/'EDT Y TAREAS'!M47,0),IF(AND(0&gt;='EDT Y TAREAS'!AK51,0&lt;'EDT Y TAREAS'!AL51),'EDT Y TAREAS'!AE51/'EDT Y TAREAS'!M51,0),IF(AND(0&gt;='EDT Y TAREAS'!AK52,0&lt;'EDT Y TAREAS'!AL52),'EDT Y TAREAS'!AE52/'EDT Y TAREAS'!M52,0))</x:f>
        <x:v>1.2</x:v>
      </x:c>
      <x:c r="D40" s="35" t="n">
        <x:f>SUM(IF(AND(0&gt;='EDT Y TAREAS'!AK11,0&lt;'EDT Y TAREAS'!AL11),'EDT Y TAREAS'!AF11/'EDT Y TAREAS'!M11,0),IF(AND(0&gt;='EDT Y TAREAS'!AK24,0&lt;'EDT Y TAREAS'!AL24),'EDT Y TAREAS'!AF24/'EDT Y TAREAS'!M24,0),IF(AND(0&gt;='EDT Y TAREAS'!AK25,0&lt;'EDT Y TAREAS'!AL25),'EDT Y TAREAS'!AF25/'EDT Y TAREAS'!M25,0),IF(AND(0&gt;='EDT Y TAREAS'!AK26,0&lt;'EDT Y TAREAS'!AL26),'EDT Y TAREAS'!AF26/'EDT Y TAREAS'!M26,0),IF(AND(0&gt;='EDT Y TAREAS'!AK27,0&lt;'EDT Y TAREAS'!AL27),'EDT Y TAREAS'!AF27/'EDT Y TAREAS'!M27,0),IF(AND(0&gt;='EDT Y TAREAS'!AK28,0&lt;'EDT Y TAREAS'!AL28),'EDT Y TAREAS'!AF28/'EDT Y TAREAS'!M28,0),IF(AND(0&gt;='EDT Y TAREAS'!AK31,0&lt;'EDT Y TAREAS'!AL31),'EDT Y TAREAS'!AF31/'EDT Y TAREAS'!M31,0),IF(AND(0&gt;='EDT Y TAREAS'!AK33,0&lt;'EDT Y TAREAS'!AL33),'EDT Y TAREAS'!AF33/'EDT Y TAREAS'!M33,0),IF(AND(0&gt;='EDT Y TAREAS'!AK34,0&lt;'EDT Y TAREAS'!AL34),'EDT Y TAREAS'!AF34/'EDT Y TAREAS'!M34,0),IF(AND(0&gt;='EDT Y TAREAS'!AK35,0&lt;'EDT Y TAREAS'!AL35),'EDT Y TAREAS'!AF35/'EDT Y TAREAS'!M35,0),IF(AND(0&gt;='EDT Y TAREAS'!AK37,0&lt;'EDT Y TAREAS'!AL37),'EDT Y TAREAS'!AF37/'EDT Y TAREAS'!M37,0),IF(AND(0&gt;='EDT Y TAREAS'!AK39,0&lt;'EDT Y TAREAS'!AL39),'EDT Y TAREAS'!AF39/'EDT Y TAREAS'!M39,0),IF(AND(0&gt;='EDT Y TAREAS'!AK40,0&lt;'EDT Y TAREAS'!AL40),'EDT Y TAREAS'!AF40/'EDT Y TAREAS'!M40,0),IF(AND(0&gt;='EDT Y TAREAS'!AK42,0&lt;'EDT Y TAREAS'!AL42),'EDT Y TAREAS'!AF42/'EDT Y TAREAS'!M42,0),IF(AND(0&gt;='EDT Y TAREAS'!AK45,0&lt;'EDT Y TAREAS'!AL45),'EDT Y TAREAS'!AF45/'EDT Y TAREAS'!M45,0),IF(AND(0&gt;='EDT Y TAREAS'!AK49,0&lt;'EDT Y TAREAS'!AL49),'EDT Y TAREAS'!AF49/'EDT Y TAREAS'!M49,0),IF(AND(0&gt;='EDT Y TAREAS'!AK52,0&lt;'EDT Y TAREAS'!AL52),'EDT Y TAREAS'!AF52/'EDT Y TAREAS'!M52,0))</x:f>
        <x:v>0</x:v>
      </x:c>
      <x:c r="E40" s="35" t="n">
        <x:f>SUM(IF(AND(0&gt;='EDT Y TAREAS'!AK29,0&lt;'EDT Y TAREAS'!AL29),'EDT Y TAREAS'!AG29/'EDT Y TAREAS'!M29,0),IF(AND(0&gt;='EDT Y TAREAS'!AK30,0&lt;'EDT Y TAREAS'!AL30),'EDT Y TAREAS'!AG30/'EDT Y TAREAS'!M30,0),IF(AND(0&gt;='EDT Y TAREAS'!AK31,0&lt;'EDT Y TAREAS'!AL31),'EDT Y TAREAS'!AG31/'EDT Y TAREAS'!M31,0),IF(AND(0&gt;='EDT Y TAREAS'!AK32,0&lt;'EDT Y TAREAS'!AL32),'EDT Y TAREAS'!AG32/'EDT Y TAREAS'!M32,0),IF(AND(0&gt;='EDT Y TAREAS'!AK41,0&lt;'EDT Y TAREAS'!AL41),'EDT Y TAREAS'!AG41/'EDT Y TAREAS'!M41,0),IF(AND(0&gt;='EDT Y TAREAS'!AK45,0&lt;'EDT Y TAREAS'!AL45),'EDT Y TAREAS'!AG45/'EDT Y TAREAS'!M45,0),IF(AND(0&gt;='EDT Y TAREAS'!AK48,0&lt;'EDT Y TAREAS'!AL48),'EDT Y TAREAS'!AG48/'EDT Y TAREAS'!M48,0))</x:f>
        <x:v>0</x:v>
      </x:c>
      <x:c r="F40" s="35" t="n">
        <x:f>SUM(IF(AND(0&gt;='EDT Y TAREAS'!AK10,0&lt;'EDT Y TAREAS'!AL10),'EDT Y TAREAS'!AH10/'EDT Y TAREAS'!M10,0),IF(AND(0&gt;='EDT Y TAREAS'!AK12,0&lt;'EDT Y TAREAS'!AL12),'EDT Y TAREAS'!AH12/'EDT Y TAREAS'!M12,0),IF(AND(0&gt;='EDT Y TAREAS'!AK22,0&lt;'EDT Y TAREAS'!AL22),'EDT Y TAREAS'!AH22/'EDT Y TAREAS'!M22,0),IF(AND(0&gt;='EDT Y TAREAS'!AK23,0&lt;'EDT Y TAREAS'!AL23),'EDT Y TAREAS'!AH23/'EDT Y TAREAS'!M23,0),IF(AND(0&gt;='EDT Y TAREAS'!AK29,0&lt;'EDT Y TAREAS'!AL29),'EDT Y TAREAS'!AH29/'EDT Y TAREAS'!M29,0),IF(AND(0&gt;='EDT Y TAREAS'!AK30,0&lt;'EDT Y TAREAS'!AL30),'EDT Y TAREAS'!AH30/'EDT Y TAREAS'!M30,0),IF(AND(0&gt;='EDT Y TAREAS'!AK32,0&lt;'EDT Y TAREAS'!AL32),'EDT Y TAREAS'!AH32/'EDT Y TAREAS'!M32,0),IF(AND(0&gt;='EDT Y TAREAS'!AK41,0&lt;'EDT Y TAREAS'!AL41),'EDT Y TAREAS'!AH41/'EDT Y TAREAS'!M41,0),IF(AND(0&gt;='EDT Y TAREAS'!AK44,0&lt;'EDT Y TAREAS'!AL44),'EDT Y TAREAS'!AH44/'EDT Y TAREAS'!M44,0),IF(AND(0&gt;='EDT Y TAREAS'!AK46,0&lt;'EDT Y TAREAS'!AL46),'EDT Y TAREAS'!AH46/'EDT Y TAREAS'!M46,0),IF(AND(0&gt;='EDT Y TAREAS'!AK48,0&lt;'EDT Y TAREAS'!AL48),'EDT Y TAREAS'!AH48/'EDT Y TAREAS'!M48,0))</x:f>
        <x:v>0</x:v>
      </x:c>
      <x:c r="G40" s="35" t="n">
        <x:f>SUM(IF(AND(0&gt;='EDT Y TAREAS'!AK20,0&lt;'EDT Y TAREAS'!AL20),'EDT Y TAREAS'!AI20/'EDT Y TAREAS'!M20,0),IF(AND(0&gt;='EDT Y TAREAS'!AK25,0&lt;'EDT Y TAREAS'!AL25),'EDT Y TAREAS'!AI25/'EDT Y TAREAS'!M25,0),IF(AND(0&gt;='EDT Y TAREAS'!AK33,0&lt;'EDT Y TAREAS'!AL33),'EDT Y TAREAS'!AI33/'EDT Y TAREAS'!M33,0),IF(AND(0&gt;='EDT Y TAREAS'!AK34,0&lt;'EDT Y TAREAS'!AL34),'EDT Y TAREAS'!AI34/'EDT Y TAREAS'!M34,0),IF(AND(0&gt;='EDT Y TAREAS'!AK36,0&lt;'EDT Y TAREAS'!AL36),'EDT Y TAREAS'!AI36/'EDT Y TAREAS'!M36,0),IF(AND(0&gt;='EDT Y TAREAS'!AK39,0&lt;'EDT Y TAREAS'!AL39),'EDT Y TAREAS'!AI39/'EDT Y TAREAS'!M39,0),IF(AND(0&gt;='EDT Y TAREAS'!AK40,0&lt;'EDT Y TAREAS'!AL40),'EDT Y TAREAS'!AI40/'EDT Y TAREAS'!M40,0),IF(AND(0&gt;='EDT Y TAREAS'!AK42,0&lt;'EDT Y TAREAS'!AL42),'EDT Y TAREAS'!AI42/'EDT Y TAREAS'!M42,0),IF(AND(0&gt;='EDT Y TAREAS'!AK43,0&lt;'EDT Y TAREAS'!AL43),'EDT Y TAREAS'!AI43/'EDT Y TAREAS'!M43,0),IF(AND(0&gt;='EDT Y TAREAS'!AK44,0&lt;'EDT Y TAREAS'!AL44),'EDT Y TAREAS'!AI44/'EDT Y TAREAS'!M44,0),IF(AND(0&gt;='EDT Y TAREAS'!AK45,0&lt;'EDT Y TAREAS'!AL45),'EDT Y TAREAS'!AI45/'EDT Y TAREAS'!M45,0),IF(AND(0&gt;='EDT Y TAREAS'!AK46,0&lt;'EDT Y TAREAS'!AL46),'EDT Y TAREAS'!AI46/'EDT Y TAREAS'!M46,0),IF(AND(0&gt;='EDT Y TAREAS'!AK48,0&lt;'EDT Y TAREAS'!AL48),'EDT Y TAREAS'!AI48/'EDT Y TAREAS'!M48,0),IF(AND(0&gt;='EDT Y TAREAS'!AK50,0&lt;'EDT Y TAREAS'!AL50),'EDT Y TAREAS'!AI50/'EDT Y TAREAS'!M50,0),IF(AND(0&gt;='EDT Y TAREAS'!AK52,0&lt;'EDT Y TAREAS'!AL52),'EDT Y TAREAS'!AI52/'EDT Y TAREAS'!M52,0))</x:f>
        <x:v>0</x:v>
      </x:c>
      <x:c r="H40" s="35" t="n">
        <x:f>SUM(IF(AND(0&gt;='EDT Y TAREAS'!AK11,0&lt;'EDT Y TAREAS'!AL11),'EDT Y TAREAS'!AJ11/'EDT Y TAREAS'!M11,0),IF(AND(0&gt;='EDT Y TAREAS'!AK24,0&lt;'EDT Y TAREAS'!AL24),'EDT Y TAREAS'!AJ24/'EDT Y TAREAS'!M24,0),IF(AND(0&gt;='EDT Y TAREAS'!AK27,0&lt;'EDT Y TAREAS'!AL27),'EDT Y TAREAS'!AJ27/'EDT Y TAREAS'!M27,0),IF(AND(0&gt;='EDT Y TAREAS'!AK28,0&lt;'EDT Y TAREAS'!AL28),'EDT Y TAREAS'!AJ28/'EDT Y TAREAS'!M28,0),IF(AND(0&gt;='EDT Y TAREAS'!AK33,0&lt;'EDT Y TAREAS'!AL33),'EDT Y TAREAS'!AJ33/'EDT Y TAREAS'!M33,0),IF(AND(0&gt;='EDT Y TAREAS'!AK35,0&lt;'EDT Y TAREAS'!AL35),'EDT Y TAREAS'!AJ35/'EDT Y TAREAS'!M35,0),IF(AND(0&gt;='EDT Y TAREAS'!AK36,0&lt;'EDT Y TAREAS'!AL36),'EDT Y TAREAS'!AJ36/'EDT Y TAREAS'!M36,0),IF(AND(0&gt;='EDT Y TAREAS'!AK37,0&lt;'EDT Y TAREAS'!AL37),'EDT Y TAREAS'!AJ37/'EDT Y TAREAS'!M37,0),IF(AND(0&gt;='EDT Y TAREAS'!AK40,0&lt;'EDT Y TAREAS'!AL40),'EDT Y TAREAS'!AJ40/'EDT Y TAREAS'!M40,0),IF(AND(0&gt;='EDT Y TAREAS'!AK42,0&lt;'EDT Y TAREAS'!AL42),'EDT Y TAREAS'!AJ42/'EDT Y TAREAS'!M42,0),IF(AND(0&gt;='EDT Y TAREAS'!AK49,0&lt;'EDT Y TAREAS'!AL49),'EDT Y TAREAS'!AJ49/'EDT Y TAREAS'!M49,0),IF(AND(0&gt;='EDT Y TAREAS'!AK50,0&lt;'EDT Y TAREAS'!AL50),'EDT Y TAREAS'!AJ50/'EDT Y TAREAS'!M50,0),IF(AND(0&gt;='EDT Y TAREAS'!AK51,0&lt;'EDT Y TAREAS'!AL51),'EDT Y TAREAS'!AJ51/'EDT Y TAREAS'!M51,0),IF(AND(0&gt;='EDT Y TAREAS'!AK52,0&lt;'EDT Y TAREAS'!AL52),'EDT Y TAREAS'!AJ52/'EDT Y TAREAS'!M52,0))</x:f>
        <x:v>0</x:v>
      </x:c>
      <x:c r="I40" s="10" t="n">
        <x:f>WORKDAY('RESUMEN'!$D$3-1,A40,'RESUMEN'!$J$6:$J$25)</x:f>
        <x:v>46328</x:v>
      </x:c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  <x:c r="AO40" s="3"/>
    </x:row>
    <x:row r="41" ht="24" customHeight="1">
      <x:c r="A41" s="3" t="n">
        <x:v>2</x:v>
      </x:c>
      <x:c r="B41" s="35" t="n">
        <x:f>SUM(IF(AND(1&gt;='EDT Y TAREAS'!AK6,1&lt;'EDT Y TAREAS'!AL6),'EDT Y TAREAS'!AD6/'EDT Y TAREAS'!M6,0),IF(AND(1&gt;='EDT Y TAREAS'!AK7,1&lt;'EDT Y TAREAS'!AL7),'EDT Y TAREAS'!AD7/'EDT Y TAREAS'!M7,0),IF(AND(1&gt;='EDT Y TAREAS'!AK8,1&lt;'EDT Y TAREAS'!AL8),'EDT Y TAREAS'!AD8/'EDT Y TAREAS'!M8,0),IF(AND(1&gt;='EDT Y TAREAS'!AK9,1&lt;'EDT Y TAREAS'!AL9),'EDT Y TAREAS'!AD9/'EDT Y TAREAS'!M9,0),IF(AND(1&gt;='EDT Y TAREAS'!AK10,1&lt;'EDT Y TAREAS'!AL10),'EDT Y TAREAS'!AD10/'EDT Y TAREAS'!M10,0),IF(AND(1&gt;='EDT Y TAREAS'!AK11,1&lt;'EDT Y TAREAS'!AL11),'EDT Y TAREAS'!AD11/'EDT Y TAREAS'!M11,0),IF(AND(1&gt;='EDT Y TAREAS'!AK12,1&lt;'EDT Y TAREAS'!AL12),'EDT Y TAREAS'!AD12/'EDT Y TAREAS'!M12,0),IF(AND(1&gt;='EDT Y TAREAS'!AK13,1&lt;'EDT Y TAREAS'!AL13),'EDT Y TAREAS'!AD13/'EDT Y TAREAS'!M13,0),IF(AND(1&gt;='EDT Y TAREAS'!AK14,1&lt;'EDT Y TAREAS'!AL14),'EDT Y TAREAS'!AD14/'EDT Y TAREAS'!M14,0),IF(AND(1&gt;='EDT Y TAREAS'!AK15,1&lt;'EDT Y TAREAS'!AL15),'EDT Y TAREAS'!AD15/'EDT Y TAREAS'!M15,0),IF(AND(1&gt;='EDT Y TAREAS'!AK16,1&lt;'EDT Y TAREAS'!AL16),'EDT Y TAREAS'!AD16/'EDT Y TAREAS'!M16,0),IF(AND(1&gt;='EDT Y TAREAS'!AK17,1&lt;'EDT Y TAREAS'!AL17),'EDT Y TAREAS'!AD17/'EDT Y TAREAS'!M17,0),IF(AND(1&gt;='EDT Y TAREAS'!AK18,1&lt;'EDT Y TAREAS'!AL18),'EDT Y TAREAS'!AD18/'EDT Y TAREAS'!M18,0),IF(AND(1&gt;='EDT Y TAREAS'!AK19,1&lt;'EDT Y TAREAS'!AL19),'EDT Y TAREAS'!AD19/'EDT Y TAREAS'!M19,0),IF(AND(1&gt;='EDT Y TAREAS'!AK20,1&lt;'EDT Y TAREAS'!AL20),'EDT Y TAREAS'!AD20/'EDT Y TAREAS'!M20,0),IF(AND(1&gt;='EDT Y TAREAS'!AK21,1&lt;'EDT Y TAREAS'!AL21),'EDT Y TAREAS'!AD21/'EDT Y TAREAS'!M21,0),IF(AND(1&gt;='EDT Y TAREAS'!AK22,1&lt;'EDT Y TAREAS'!AL22),'EDT Y TAREAS'!AD22/'EDT Y TAREAS'!M22,0),IF(AND(1&gt;='EDT Y TAREAS'!AK23,1&lt;'EDT Y TAREAS'!AL23),'EDT Y TAREAS'!AD23/'EDT Y TAREAS'!M23,0),IF(AND(1&gt;='EDT Y TAREAS'!AK26,1&lt;'EDT Y TAREAS'!AL26),'EDT Y TAREAS'!AD26/'EDT Y TAREAS'!M26,0),IF(AND(1&gt;='EDT Y TAREAS'!AK28,1&lt;'EDT Y TAREAS'!AL28),'EDT Y TAREAS'!AD28/'EDT Y TAREAS'!M28,0),IF(AND(1&gt;='EDT Y TAREAS'!AK30,1&lt;'EDT Y TAREAS'!AL30),'EDT Y TAREAS'!AD30/'EDT Y TAREAS'!M30,0),IF(AND(1&gt;='EDT Y TAREAS'!AK32,1&lt;'EDT Y TAREAS'!AL32),'EDT Y TAREAS'!AD32/'EDT Y TAREAS'!M32,0),IF(AND(1&gt;='EDT Y TAREAS'!AK34,1&lt;'EDT Y TAREAS'!AL34),'EDT Y TAREAS'!AD34/'EDT Y TAREAS'!M34,0),IF(AND(1&gt;='EDT Y TAREAS'!AK38,1&lt;'EDT Y TAREAS'!AL38),'EDT Y TAREAS'!AD38/'EDT Y TAREAS'!M38,0),IF(AND(1&gt;='EDT Y TAREAS'!AK39,1&lt;'EDT Y TAREAS'!AL39),'EDT Y TAREAS'!AD39/'EDT Y TAREAS'!M39,0),IF(AND(1&gt;='EDT Y TAREAS'!AK43,1&lt;'EDT Y TAREAS'!AL43),'EDT Y TAREAS'!AD43/'EDT Y TAREAS'!M43,0),IF(AND(1&gt;='EDT Y TAREAS'!AK44,1&lt;'EDT Y TAREAS'!AL44),'EDT Y TAREAS'!AD44/'EDT Y TAREAS'!M44,0),IF(AND(1&gt;='EDT Y TAREAS'!AK45,1&lt;'EDT Y TAREAS'!AL45),'EDT Y TAREAS'!AD45/'EDT Y TAREAS'!M45,0),IF(AND(1&gt;='EDT Y TAREAS'!AK46,1&lt;'EDT Y TAREAS'!AL46),'EDT Y TAREAS'!AD46/'EDT Y TAREAS'!M46,0),IF(AND(1&gt;='EDT Y TAREAS'!AK47,1&lt;'EDT Y TAREAS'!AL47),'EDT Y TAREAS'!AD47/'EDT Y TAREAS'!M47,0),IF(AND(1&gt;='EDT Y TAREAS'!AK49,1&lt;'EDT Y TAREAS'!AL49),'EDT Y TAREAS'!AD49/'EDT Y TAREAS'!M49,0),IF(AND(1&gt;='EDT Y TAREAS'!AK50,1&lt;'EDT Y TAREAS'!AL50),'EDT Y TAREAS'!AD50/'EDT Y TAREAS'!M50,0),IF(AND(1&gt;='EDT Y TAREAS'!AK51,1&lt;'EDT Y TAREAS'!AL51),'EDT Y TAREAS'!AD51/'EDT Y TAREAS'!M51,0),IF(AND(1&gt;='EDT Y TAREAS'!AK52,1&lt;'EDT Y TAREAS'!AL52),'EDT Y TAREAS'!AD52/'EDT Y TAREAS'!M52,0))</x:f>
        <x:v>6.3999999999999995</x:v>
      </x:c>
      <x:c r="C41" s="35" t="n">
        <x:f>SUM(IF(AND(1&gt;='EDT Y TAREAS'!AK6,1&lt;'EDT Y TAREAS'!AL6),'EDT Y TAREAS'!AE6/'EDT Y TAREAS'!M6,0),IF(AND(1&gt;='EDT Y TAREAS'!AK8,1&lt;'EDT Y TAREAS'!AL8),'EDT Y TAREAS'!AE8/'EDT Y TAREAS'!M8,0),IF(AND(1&gt;='EDT Y TAREAS'!AK9,1&lt;'EDT Y TAREAS'!AL9),'EDT Y TAREAS'!AE9/'EDT Y TAREAS'!M9,0),IF(AND(1&gt;='EDT Y TAREAS'!AK10,1&lt;'EDT Y TAREAS'!AL10),'EDT Y TAREAS'!AE10/'EDT Y TAREAS'!M10,0),IF(AND(1&gt;='EDT Y TAREAS'!AK12,1&lt;'EDT Y TAREAS'!AL12),'EDT Y TAREAS'!AE12/'EDT Y TAREAS'!M12,0),IF(AND(1&gt;='EDT Y TAREAS'!AK16,1&lt;'EDT Y TAREAS'!AL16),'EDT Y TAREAS'!AE16/'EDT Y TAREAS'!M16,0),IF(AND(1&gt;='EDT Y TAREAS'!AK21,1&lt;'EDT Y TAREAS'!AL21),'EDT Y TAREAS'!AE21/'EDT Y TAREAS'!M21,0),IF(AND(1&gt;='EDT Y TAREAS'!AK23,1&lt;'EDT Y TAREAS'!AL23),'EDT Y TAREAS'!AE23/'EDT Y TAREAS'!M23,0),IF(AND(1&gt;='EDT Y TAREAS'!AK37,1&lt;'EDT Y TAREAS'!AL37),'EDT Y TAREAS'!AE37/'EDT Y TAREAS'!M37,0),IF(AND(1&gt;='EDT Y TAREAS'!AK38,1&lt;'EDT Y TAREAS'!AL38),'EDT Y TAREAS'!AE38/'EDT Y TAREAS'!M38,0),IF(AND(1&gt;='EDT Y TAREAS'!AK41,1&lt;'EDT Y TAREAS'!AL41),'EDT Y TAREAS'!AE41/'EDT Y TAREAS'!M41,0),IF(AND(1&gt;='EDT Y TAREAS'!AK43,1&lt;'EDT Y TAREAS'!AL43),'EDT Y TAREAS'!AE43/'EDT Y TAREAS'!M43,0),IF(AND(1&gt;='EDT Y TAREAS'!AK44,1&lt;'EDT Y TAREAS'!AL44),'EDT Y TAREAS'!AE44/'EDT Y TAREAS'!M44,0),IF(AND(1&gt;='EDT Y TAREAS'!AK46,1&lt;'EDT Y TAREAS'!AL46),'EDT Y TAREAS'!AE46/'EDT Y TAREAS'!M46,0),IF(AND(1&gt;='EDT Y TAREAS'!AK47,1&lt;'EDT Y TAREAS'!AL47),'EDT Y TAREAS'!AE47/'EDT Y TAREAS'!M47,0),IF(AND(1&gt;='EDT Y TAREAS'!AK51,1&lt;'EDT Y TAREAS'!AL51),'EDT Y TAREAS'!AE51/'EDT Y TAREAS'!M51,0),IF(AND(1&gt;='EDT Y TAREAS'!AK52,1&lt;'EDT Y TAREAS'!AL52),'EDT Y TAREAS'!AE52/'EDT Y TAREAS'!M52,0))</x:f>
        <x:v>1.2</x:v>
      </x:c>
      <x:c r="D41" s="35" t="n">
        <x:f>SUM(IF(AND(1&gt;='EDT Y TAREAS'!AK11,1&lt;'EDT Y TAREAS'!AL11),'EDT Y TAREAS'!AF11/'EDT Y TAREAS'!M11,0),IF(AND(1&gt;='EDT Y TAREAS'!AK24,1&lt;'EDT Y TAREAS'!AL24),'EDT Y TAREAS'!AF24/'EDT Y TAREAS'!M24,0),IF(AND(1&gt;='EDT Y TAREAS'!AK25,1&lt;'EDT Y TAREAS'!AL25),'EDT Y TAREAS'!AF25/'EDT Y TAREAS'!M25,0),IF(AND(1&gt;='EDT Y TAREAS'!AK26,1&lt;'EDT Y TAREAS'!AL26),'EDT Y TAREAS'!AF26/'EDT Y TAREAS'!M26,0),IF(AND(1&gt;='EDT Y TAREAS'!AK27,1&lt;'EDT Y TAREAS'!AL27),'EDT Y TAREAS'!AF27/'EDT Y TAREAS'!M27,0),IF(AND(1&gt;='EDT Y TAREAS'!AK28,1&lt;'EDT Y TAREAS'!AL28),'EDT Y TAREAS'!AF28/'EDT Y TAREAS'!M28,0),IF(AND(1&gt;='EDT Y TAREAS'!AK31,1&lt;'EDT Y TAREAS'!AL31),'EDT Y TAREAS'!AF31/'EDT Y TAREAS'!M31,0),IF(AND(1&gt;='EDT Y TAREAS'!AK33,1&lt;'EDT Y TAREAS'!AL33),'EDT Y TAREAS'!AF33/'EDT Y TAREAS'!M33,0),IF(AND(1&gt;='EDT Y TAREAS'!AK34,1&lt;'EDT Y TAREAS'!AL34),'EDT Y TAREAS'!AF34/'EDT Y TAREAS'!M34,0),IF(AND(1&gt;='EDT Y TAREAS'!AK35,1&lt;'EDT Y TAREAS'!AL35),'EDT Y TAREAS'!AF35/'EDT Y TAREAS'!M35,0),IF(AND(1&gt;='EDT Y TAREAS'!AK37,1&lt;'EDT Y TAREAS'!AL37),'EDT Y TAREAS'!AF37/'EDT Y TAREAS'!M37,0),IF(AND(1&gt;='EDT Y TAREAS'!AK39,1&lt;'EDT Y TAREAS'!AL39),'EDT Y TAREAS'!AF39/'EDT Y TAREAS'!M39,0),IF(AND(1&gt;='EDT Y TAREAS'!AK40,1&lt;'EDT Y TAREAS'!AL40),'EDT Y TAREAS'!AF40/'EDT Y TAREAS'!M40,0),IF(AND(1&gt;='EDT Y TAREAS'!AK42,1&lt;'EDT Y TAREAS'!AL42),'EDT Y TAREAS'!AF42/'EDT Y TAREAS'!M42,0),IF(AND(1&gt;='EDT Y TAREAS'!AK45,1&lt;'EDT Y TAREAS'!AL45),'EDT Y TAREAS'!AF45/'EDT Y TAREAS'!M45,0),IF(AND(1&gt;='EDT Y TAREAS'!AK49,1&lt;'EDT Y TAREAS'!AL49),'EDT Y TAREAS'!AF49/'EDT Y TAREAS'!M49,0),IF(AND(1&gt;='EDT Y TAREAS'!AK52,1&lt;'EDT Y TAREAS'!AL52),'EDT Y TAREAS'!AF52/'EDT Y TAREAS'!M52,0))</x:f>
        <x:v>0</x:v>
      </x:c>
      <x:c r="E41" s="35" t="n">
        <x:f>SUM(IF(AND(1&gt;='EDT Y TAREAS'!AK29,1&lt;'EDT Y TAREAS'!AL29),'EDT Y TAREAS'!AG29/'EDT Y TAREAS'!M29,0),IF(AND(1&gt;='EDT Y TAREAS'!AK30,1&lt;'EDT Y TAREAS'!AL30),'EDT Y TAREAS'!AG30/'EDT Y TAREAS'!M30,0),IF(AND(1&gt;='EDT Y TAREAS'!AK31,1&lt;'EDT Y TAREAS'!AL31),'EDT Y TAREAS'!AG31/'EDT Y TAREAS'!M31,0),IF(AND(1&gt;='EDT Y TAREAS'!AK32,1&lt;'EDT Y TAREAS'!AL32),'EDT Y TAREAS'!AG32/'EDT Y TAREAS'!M32,0),IF(AND(1&gt;='EDT Y TAREAS'!AK41,1&lt;'EDT Y TAREAS'!AL41),'EDT Y TAREAS'!AG41/'EDT Y TAREAS'!M41,0),IF(AND(1&gt;='EDT Y TAREAS'!AK45,1&lt;'EDT Y TAREAS'!AL45),'EDT Y TAREAS'!AG45/'EDT Y TAREAS'!M45,0),IF(AND(1&gt;='EDT Y TAREAS'!AK48,1&lt;'EDT Y TAREAS'!AL48),'EDT Y TAREAS'!AG48/'EDT Y TAREAS'!M48,0))</x:f>
        <x:v>0</x:v>
      </x:c>
      <x:c r="F41" s="35" t="n">
        <x:f>SUM(IF(AND(1&gt;='EDT Y TAREAS'!AK10,1&lt;'EDT Y TAREAS'!AL10),'EDT Y TAREAS'!AH10/'EDT Y TAREAS'!M10,0),IF(AND(1&gt;='EDT Y TAREAS'!AK12,1&lt;'EDT Y TAREAS'!AL12),'EDT Y TAREAS'!AH12/'EDT Y TAREAS'!M12,0),IF(AND(1&gt;='EDT Y TAREAS'!AK22,1&lt;'EDT Y TAREAS'!AL22),'EDT Y TAREAS'!AH22/'EDT Y TAREAS'!M22,0),IF(AND(1&gt;='EDT Y TAREAS'!AK23,1&lt;'EDT Y TAREAS'!AL23),'EDT Y TAREAS'!AH23/'EDT Y TAREAS'!M23,0),IF(AND(1&gt;='EDT Y TAREAS'!AK29,1&lt;'EDT Y TAREAS'!AL29),'EDT Y TAREAS'!AH29/'EDT Y TAREAS'!M29,0),IF(AND(1&gt;='EDT Y TAREAS'!AK30,1&lt;'EDT Y TAREAS'!AL30),'EDT Y TAREAS'!AH30/'EDT Y TAREAS'!M30,0),IF(AND(1&gt;='EDT Y TAREAS'!AK32,1&lt;'EDT Y TAREAS'!AL32),'EDT Y TAREAS'!AH32/'EDT Y TAREAS'!M32,0),IF(AND(1&gt;='EDT Y TAREAS'!AK41,1&lt;'EDT Y TAREAS'!AL41),'EDT Y TAREAS'!AH41/'EDT Y TAREAS'!M41,0),IF(AND(1&gt;='EDT Y TAREAS'!AK44,1&lt;'EDT Y TAREAS'!AL44),'EDT Y TAREAS'!AH44/'EDT Y TAREAS'!M44,0),IF(AND(1&gt;='EDT Y TAREAS'!AK46,1&lt;'EDT Y TAREAS'!AL46),'EDT Y TAREAS'!AH46/'EDT Y TAREAS'!M46,0),IF(AND(1&gt;='EDT Y TAREAS'!AK48,1&lt;'EDT Y TAREAS'!AL48),'EDT Y TAREAS'!AH48/'EDT Y TAREAS'!M48,0))</x:f>
        <x:v>0</x:v>
      </x:c>
      <x:c r="G41" s="35" t="n">
        <x:f>SUM(IF(AND(1&gt;='EDT Y TAREAS'!AK20,1&lt;'EDT Y TAREAS'!AL20),'EDT Y TAREAS'!AI20/'EDT Y TAREAS'!M20,0),IF(AND(1&gt;='EDT Y TAREAS'!AK25,1&lt;'EDT Y TAREAS'!AL25),'EDT Y TAREAS'!AI25/'EDT Y TAREAS'!M25,0),IF(AND(1&gt;='EDT Y TAREAS'!AK33,1&lt;'EDT Y TAREAS'!AL33),'EDT Y TAREAS'!AI33/'EDT Y TAREAS'!M33,0),IF(AND(1&gt;='EDT Y TAREAS'!AK34,1&lt;'EDT Y TAREAS'!AL34),'EDT Y TAREAS'!AI34/'EDT Y TAREAS'!M34,0),IF(AND(1&gt;='EDT Y TAREAS'!AK36,1&lt;'EDT Y TAREAS'!AL36),'EDT Y TAREAS'!AI36/'EDT Y TAREAS'!M36,0),IF(AND(1&gt;='EDT Y TAREAS'!AK39,1&lt;'EDT Y TAREAS'!AL39),'EDT Y TAREAS'!AI39/'EDT Y TAREAS'!M39,0),IF(AND(1&gt;='EDT Y TAREAS'!AK40,1&lt;'EDT Y TAREAS'!AL40),'EDT Y TAREAS'!AI40/'EDT Y TAREAS'!M40,0),IF(AND(1&gt;='EDT Y TAREAS'!AK42,1&lt;'EDT Y TAREAS'!AL42),'EDT Y TAREAS'!AI42/'EDT Y TAREAS'!M42,0),IF(AND(1&gt;='EDT Y TAREAS'!AK43,1&lt;'EDT Y TAREAS'!AL43),'EDT Y TAREAS'!AI43/'EDT Y TAREAS'!M43,0),IF(AND(1&gt;='EDT Y TAREAS'!AK44,1&lt;'EDT Y TAREAS'!AL44),'EDT Y TAREAS'!AI44/'EDT Y TAREAS'!M44,0),IF(AND(1&gt;='EDT Y TAREAS'!AK45,1&lt;'EDT Y TAREAS'!AL45),'EDT Y TAREAS'!AI45/'EDT Y TAREAS'!M45,0),IF(AND(1&gt;='EDT Y TAREAS'!AK46,1&lt;'EDT Y TAREAS'!AL46),'EDT Y TAREAS'!AI46/'EDT Y TAREAS'!M46,0),IF(AND(1&gt;='EDT Y TAREAS'!AK48,1&lt;'EDT Y TAREAS'!AL48),'EDT Y TAREAS'!AI48/'EDT Y TAREAS'!M48,0),IF(AND(1&gt;='EDT Y TAREAS'!AK50,1&lt;'EDT Y TAREAS'!AL50),'EDT Y TAREAS'!AI50/'EDT Y TAREAS'!M50,0),IF(AND(1&gt;='EDT Y TAREAS'!AK52,1&lt;'EDT Y TAREAS'!AL52),'EDT Y TAREAS'!AI52/'EDT Y TAREAS'!M52,0))</x:f>
        <x:v>0</x:v>
      </x:c>
      <x:c r="H41" s="35" t="n">
        <x:f>SUM(IF(AND(1&gt;='EDT Y TAREAS'!AK11,1&lt;'EDT Y TAREAS'!AL11),'EDT Y TAREAS'!AJ11/'EDT Y TAREAS'!M11,0),IF(AND(1&gt;='EDT Y TAREAS'!AK24,1&lt;'EDT Y TAREAS'!AL24),'EDT Y TAREAS'!AJ24/'EDT Y TAREAS'!M24,0),IF(AND(1&gt;='EDT Y TAREAS'!AK27,1&lt;'EDT Y TAREAS'!AL27),'EDT Y TAREAS'!AJ27/'EDT Y TAREAS'!M27,0),IF(AND(1&gt;='EDT Y TAREAS'!AK28,1&lt;'EDT Y TAREAS'!AL28),'EDT Y TAREAS'!AJ28/'EDT Y TAREAS'!M28,0),IF(AND(1&gt;='EDT Y TAREAS'!AK33,1&lt;'EDT Y TAREAS'!AL33),'EDT Y TAREAS'!AJ33/'EDT Y TAREAS'!M33,0),IF(AND(1&gt;='EDT Y TAREAS'!AK35,1&lt;'EDT Y TAREAS'!AL35),'EDT Y TAREAS'!AJ35/'EDT Y TAREAS'!M35,0),IF(AND(1&gt;='EDT Y TAREAS'!AK36,1&lt;'EDT Y TAREAS'!AL36),'EDT Y TAREAS'!AJ36/'EDT Y TAREAS'!M36,0),IF(AND(1&gt;='EDT Y TAREAS'!AK37,1&lt;'EDT Y TAREAS'!AL37),'EDT Y TAREAS'!AJ37/'EDT Y TAREAS'!M37,0),IF(AND(1&gt;='EDT Y TAREAS'!AK40,1&lt;'EDT Y TAREAS'!AL40),'EDT Y TAREAS'!AJ40/'EDT Y TAREAS'!M40,0),IF(AND(1&gt;='EDT Y TAREAS'!AK42,1&lt;'EDT Y TAREAS'!AL42),'EDT Y TAREAS'!AJ42/'EDT Y TAREAS'!M42,0),IF(AND(1&gt;='EDT Y TAREAS'!AK49,1&lt;'EDT Y TAREAS'!AL49),'EDT Y TAREAS'!AJ49/'EDT Y TAREAS'!M49,0),IF(AND(1&gt;='EDT Y TAREAS'!AK50,1&lt;'EDT Y TAREAS'!AL50),'EDT Y TAREAS'!AJ50/'EDT Y TAREAS'!M50,0),IF(AND(1&gt;='EDT Y TAREAS'!AK51,1&lt;'EDT Y TAREAS'!AL51),'EDT Y TAREAS'!AJ51/'EDT Y TAREAS'!M51,0),IF(AND(1&gt;='EDT Y TAREAS'!AK52,1&lt;'EDT Y TAREAS'!AL52),'EDT Y TAREAS'!AJ52/'EDT Y TAREAS'!M52,0))</x:f>
        <x:v>0</x:v>
      </x:c>
      <x:c r="I41" s="10" t="n">
        <x:f>WORKDAY('RESUMEN'!$D$3-1,A41,'RESUMEN'!$J$6:$J$25)</x:f>
        <x:v>46329</x:v>
      </x:c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  <x:c r="AO41" s="3"/>
    </x:row>
    <x:row r="42" ht="24" customHeight="1">
      <x:c r="A42" s="3" t="n">
        <x:v>3</x:v>
      </x:c>
      <x:c r="B42" s="35" t="n">
        <x:f>SUM(IF(AND(2&gt;='EDT Y TAREAS'!AK6,2&lt;'EDT Y TAREAS'!AL6),'EDT Y TAREAS'!AD6/'EDT Y TAREAS'!M6,0),IF(AND(2&gt;='EDT Y TAREAS'!AK7,2&lt;'EDT Y TAREAS'!AL7),'EDT Y TAREAS'!AD7/'EDT Y TAREAS'!M7,0),IF(AND(2&gt;='EDT Y TAREAS'!AK8,2&lt;'EDT Y TAREAS'!AL8),'EDT Y TAREAS'!AD8/'EDT Y TAREAS'!M8,0),IF(AND(2&gt;='EDT Y TAREAS'!AK9,2&lt;'EDT Y TAREAS'!AL9),'EDT Y TAREAS'!AD9/'EDT Y TAREAS'!M9,0),IF(AND(2&gt;='EDT Y TAREAS'!AK10,2&lt;'EDT Y TAREAS'!AL10),'EDT Y TAREAS'!AD10/'EDT Y TAREAS'!M10,0),IF(AND(2&gt;='EDT Y TAREAS'!AK11,2&lt;'EDT Y TAREAS'!AL11),'EDT Y TAREAS'!AD11/'EDT Y TAREAS'!M11,0),IF(AND(2&gt;='EDT Y TAREAS'!AK12,2&lt;'EDT Y TAREAS'!AL12),'EDT Y TAREAS'!AD12/'EDT Y TAREAS'!M12,0),IF(AND(2&gt;='EDT Y TAREAS'!AK13,2&lt;'EDT Y TAREAS'!AL13),'EDT Y TAREAS'!AD13/'EDT Y TAREAS'!M13,0),IF(AND(2&gt;='EDT Y TAREAS'!AK14,2&lt;'EDT Y TAREAS'!AL14),'EDT Y TAREAS'!AD14/'EDT Y TAREAS'!M14,0),IF(AND(2&gt;='EDT Y TAREAS'!AK15,2&lt;'EDT Y TAREAS'!AL15),'EDT Y TAREAS'!AD15/'EDT Y TAREAS'!M15,0),IF(AND(2&gt;='EDT Y TAREAS'!AK16,2&lt;'EDT Y TAREAS'!AL16),'EDT Y TAREAS'!AD16/'EDT Y TAREAS'!M16,0),IF(AND(2&gt;='EDT Y TAREAS'!AK17,2&lt;'EDT Y TAREAS'!AL17),'EDT Y TAREAS'!AD17/'EDT Y TAREAS'!M17,0),IF(AND(2&gt;='EDT Y TAREAS'!AK18,2&lt;'EDT Y TAREAS'!AL18),'EDT Y TAREAS'!AD18/'EDT Y TAREAS'!M18,0),IF(AND(2&gt;='EDT Y TAREAS'!AK19,2&lt;'EDT Y TAREAS'!AL19),'EDT Y TAREAS'!AD19/'EDT Y TAREAS'!M19,0),IF(AND(2&gt;='EDT Y TAREAS'!AK20,2&lt;'EDT Y TAREAS'!AL20),'EDT Y TAREAS'!AD20/'EDT Y TAREAS'!M20,0),IF(AND(2&gt;='EDT Y TAREAS'!AK21,2&lt;'EDT Y TAREAS'!AL21),'EDT Y TAREAS'!AD21/'EDT Y TAREAS'!M21,0),IF(AND(2&gt;='EDT Y TAREAS'!AK22,2&lt;'EDT Y TAREAS'!AL22),'EDT Y TAREAS'!AD22/'EDT Y TAREAS'!M22,0),IF(AND(2&gt;='EDT Y TAREAS'!AK23,2&lt;'EDT Y TAREAS'!AL23),'EDT Y TAREAS'!AD23/'EDT Y TAREAS'!M23,0),IF(AND(2&gt;='EDT Y TAREAS'!AK26,2&lt;'EDT Y TAREAS'!AL26),'EDT Y TAREAS'!AD26/'EDT Y TAREAS'!M26,0),IF(AND(2&gt;='EDT Y TAREAS'!AK28,2&lt;'EDT Y TAREAS'!AL28),'EDT Y TAREAS'!AD28/'EDT Y TAREAS'!M28,0),IF(AND(2&gt;='EDT Y TAREAS'!AK30,2&lt;'EDT Y TAREAS'!AL30),'EDT Y TAREAS'!AD30/'EDT Y TAREAS'!M30,0),IF(AND(2&gt;='EDT Y TAREAS'!AK32,2&lt;'EDT Y TAREAS'!AL32),'EDT Y TAREAS'!AD32/'EDT Y TAREAS'!M32,0),IF(AND(2&gt;='EDT Y TAREAS'!AK34,2&lt;'EDT Y TAREAS'!AL34),'EDT Y TAREAS'!AD34/'EDT Y TAREAS'!M34,0),IF(AND(2&gt;='EDT Y TAREAS'!AK38,2&lt;'EDT Y TAREAS'!AL38),'EDT Y TAREAS'!AD38/'EDT Y TAREAS'!M38,0),IF(AND(2&gt;='EDT Y TAREAS'!AK39,2&lt;'EDT Y TAREAS'!AL39),'EDT Y TAREAS'!AD39/'EDT Y TAREAS'!M39,0),IF(AND(2&gt;='EDT Y TAREAS'!AK43,2&lt;'EDT Y TAREAS'!AL43),'EDT Y TAREAS'!AD43/'EDT Y TAREAS'!M43,0),IF(AND(2&gt;='EDT Y TAREAS'!AK44,2&lt;'EDT Y TAREAS'!AL44),'EDT Y TAREAS'!AD44/'EDT Y TAREAS'!M44,0),IF(AND(2&gt;='EDT Y TAREAS'!AK45,2&lt;'EDT Y TAREAS'!AL45),'EDT Y TAREAS'!AD45/'EDT Y TAREAS'!M45,0),IF(AND(2&gt;='EDT Y TAREAS'!AK46,2&lt;'EDT Y TAREAS'!AL46),'EDT Y TAREAS'!AD46/'EDT Y TAREAS'!M46,0),IF(AND(2&gt;='EDT Y TAREAS'!AK47,2&lt;'EDT Y TAREAS'!AL47),'EDT Y TAREAS'!AD47/'EDT Y TAREAS'!M47,0),IF(AND(2&gt;='EDT Y TAREAS'!AK49,2&lt;'EDT Y TAREAS'!AL49),'EDT Y TAREAS'!AD49/'EDT Y TAREAS'!M49,0),IF(AND(2&gt;='EDT Y TAREAS'!AK50,2&lt;'EDT Y TAREAS'!AL50),'EDT Y TAREAS'!AD50/'EDT Y TAREAS'!M50,0),IF(AND(2&gt;='EDT Y TAREAS'!AK51,2&lt;'EDT Y TAREAS'!AL51),'EDT Y TAREAS'!AD51/'EDT Y TAREAS'!M51,0),IF(AND(2&gt;='EDT Y TAREAS'!AK52,2&lt;'EDT Y TAREAS'!AL52),'EDT Y TAREAS'!AD52/'EDT Y TAREAS'!M52,0))</x:f>
        <x:v>6.3999999999999995</x:v>
      </x:c>
      <x:c r="C42" s="35" t="n">
        <x:f>SUM(IF(AND(2&gt;='EDT Y TAREAS'!AK6,2&lt;'EDT Y TAREAS'!AL6),'EDT Y TAREAS'!AE6/'EDT Y TAREAS'!M6,0),IF(AND(2&gt;='EDT Y TAREAS'!AK8,2&lt;'EDT Y TAREAS'!AL8),'EDT Y TAREAS'!AE8/'EDT Y TAREAS'!M8,0),IF(AND(2&gt;='EDT Y TAREAS'!AK9,2&lt;'EDT Y TAREAS'!AL9),'EDT Y TAREAS'!AE9/'EDT Y TAREAS'!M9,0),IF(AND(2&gt;='EDT Y TAREAS'!AK10,2&lt;'EDT Y TAREAS'!AL10),'EDT Y TAREAS'!AE10/'EDT Y TAREAS'!M10,0),IF(AND(2&gt;='EDT Y TAREAS'!AK12,2&lt;'EDT Y TAREAS'!AL12),'EDT Y TAREAS'!AE12/'EDT Y TAREAS'!M12,0),IF(AND(2&gt;='EDT Y TAREAS'!AK16,2&lt;'EDT Y TAREAS'!AL16),'EDT Y TAREAS'!AE16/'EDT Y TAREAS'!M16,0),IF(AND(2&gt;='EDT Y TAREAS'!AK21,2&lt;'EDT Y TAREAS'!AL21),'EDT Y TAREAS'!AE21/'EDT Y TAREAS'!M21,0),IF(AND(2&gt;='EDT Y TAREAS'!AK23,2&lt;'EDT Y TAREAS'!AL23),'EDT Y TAREAS'!AE23/'EDT Y TAREAS'!M23,0),IF(AND(2&gt;='EDT Y TAREAS'!AK37,2&lt;'EDT Y TAREAS'!AL37),'EDT Y TAREAS'!AE37/'EDT Y TAREAS'!M37,0),IF(AND(2&gt;='EDT Y TAREAS'!AK38,2&lt;'EDT Y TAREAS'!AL38),'EDT Y TAREAS'!AE38/'EDT Y TAREAS'!M38,0),IF(AND(2&gt;='EDT Y TAREAS'!AK41,2&lt;'EDT Y TAREAS'!AL41),'EDT Y TAREAS'!AE41/'EDT Y TAREAS'!M41,0),IF(AND(2&gt;='EDT Y TAREAS'!AK43,2&lt;'EDT Y TAREAS'!AL43),'EDT Y TAREAS'!AE43/'EDT Y TAREAS'!M43,0),IF(AND(2&gt;='EDT Y TAREAS'!AK44,2&lt;'EDT Y TAREAS'!AL44),'EDT Y TAREAS'!AE44/'EDT Y TAREAS'!M44,0),IF(AND(2&gt;='EDT Y TAREAS'!AK46,2&lt;'EDT Y TAREAS'!AL46),'EDT Y TAREAS'!AE46/'EDT Y TAREAS'!M46,0),IF(AND(2&gt;='EDT Y TAREAS'!AK47,2&lt;'EDT Y TAREAS'!AL47),'EDT Y TAREAS'!AE47/'EDT Y TAREAS'!M47,0),IF(AND(2&gt;='EDT Y TAREAS'!AK51,2&lt;'EDT Y TAREAS'!AL51),'EDT Y TAREAS'!AE51/'EDT Y TAREAS'!M51,0),IF(AND(2&gt;='EDT Y TAREAS'!AK52,2&lt;'EDT Y TAREAS'!AL52),'EDT Y TAREAS'!AE52/'EDT Y TAREAS'!M52,0))</x:f>
        <x:v>1.2</x:v>
      </x:c>
      <x:c r="D42" s="35" t="n">
        <x:f>SUM(IF(AND(2&gt;='EDT Y TAREAS'!AK11,2&lt;'EDT Y TAREAS'!AL11),'EDT Y TAREAS'!AF11/'EDT Y TAREAS'!M11,0),IF(AND(2&gt;='EDT Y TAREAS'!AK24,2&lt;'EDT Y TAREAS'!AL24),'EDT Y TAREAS'!AF24/'EDT Y TAREAS'!M24,0),IF(AND(2&gt;='EDT Y TAREAS'!AK25,2&lt;'EDT Y TAREAS'!AL25),'EDT Y TAREAS'!AF25/'EDT Y TAREAS'!M25,0),IF(AND(2&gt;='EDT Y TAREAS'!AK26,2&lt;'EDT Y TAREAS'!AL26),'EDT Y TAREAS'!AF26/'EDT Y TAREAS'!M26,0),IF(AND(2&gt;='EDT Y TAREAS'!AK27,2&lt;'EDT Y TAREAS'!AL27),'EDT Y TAREAS'!AF27/'EDT Y TAREAS'!M27,0),IF(AND(2&gt;='EDT Y TAREAS'!AK28,2&lt;'EDT Y TAREAS'!AL28),'EDT Y TAREAS'!AF28/'EDT Y TAREAS'!M28,0),IF(AND(2&gt;='EDT Y TAREAS'!AK31,2&lt;'EDT Y TAREAS'!AL31),'EDT Y TAREAS'!AF31/'EDT Y TAREAS'!M31,0),IF(AND(2&gt;='EDT Y TAREAS'!AK33,2&lt;'EDT Y TAREAS'!AL33),'EDT Y TAREAS'!AF33/'EDT Y TAREAS'!M33,0),IF(AND(2&gt;='EDT Y TAREAS'!AK34,2&lt;'EDT Y TAREAS'!AL34),'EDT Y TAREAS'!AF34/'EDT Y TAREAS'!M34,0),IF(AND(2&gt;='EDT Y TAREAS'!AK35,2&lt;'EDT Y TAREAS'!AL35),'EDT Y TAREAS'!AF35/'EDT Y TAREAS'!M35,0),IF(AND(2&gt;='EDT Y TAREAS'!AK37,2&lt;'EDT Y TAREAS'!AL37),'EDT Y TAREAS'!AF37/'EDT Y TAREAS'!M37,0),IF(AND(2&gt;='EDT Y TAREAS'!AK39,2&lt;'EDT Y TAREAS'!AL39),'EDT Y TAREAS'!AF39/'EDT Y TAREAS'!M39,0),IF(AND(2&gt;='EDT Y TAREAS'!AK40,2&lt;'EDT Y TAREAS'!AL40),'EDT Y TAREAS'!AF40/'EDT Y TAREAS'!M40,0),IF(AND(2&gt;='EDT Y TAREAS'!AK42,2&lt;'EDT Y TAREAS'!AL42),'EDT Y TAREAS'!AF42/'EDT Y TAREAS'!M42,0),IF(AND(2&gt;='EDT Y TAREAS'!AK45,2&lt;'EDT Y TAREAS'!AL45),'EDT Y TAREAS'!AF45/'EDT Y TAREAS'!M45,0),IF(AND(2&gt;='EDT Y TAREAS'!AK49,2&lt;'EDT Y TAREAS'!AL49),'EDT Y TAREAS'!AF49/'EDT Y TAREAS'!M49,0),IF(AND(2&gt;='EDT Y TAREAS'!AK52,2&lt;'EDT Y TAREAS'!AL52),'EDT Y TAREAS'!AF52/'EDT Y TAREAS'!M52,0))</x:f>
        <x:v>0</x:v>
      </x:c>
      <x:c r="E42" s="35" t="n">
        <x:f>SUM(IF(AND(2&gt;='EDT Y TAREAS'!AK29,2&lt;'EDT Y TAREAS'!AL29),'EDT Y TAREAS'!AG29/'EDT Y TAREAS'!M29,0),IF(AND(2&gt;='EDT Y TAREAS'!AK30,2&lt;'EDT Y TAREAS'!AL30),'EDT Y TAREAS'!AG30/'EDT Y TAREAS'!M30,0),IF(AND(2&gt;='EDT Y TAREAS'!AK31,2&lt;'EDT Y TAREAS'!AL31),'EDT Y TAREAS'!AG31/'EDT Y TAREAS'!M31,0),IF(AND(2&gt;='EDT Y TAREAS'!AK32,2&lt;'EDT Y TAREAS'!AL32),'EDT Y TAREAS'!AG32/'EDT Y TAREAS'!M32,0),IF(AND(2&gt;='EDT Y TAREAS'!AK41,2&lt;'EDT Y TAREAS'!AL41),'EDT Y TAREAS'!AG41/'EDT Y TAREAS'!M41,0),IF(AND(2&gt;='EDT Y TAREAS'!AK45,2&lt;'EDT Y TAREAS'!AL45),'EDT Y TAREAS'!AG45/'EDT Y TAREAS'!M45,0),IF(AND(2&gt;='EDT Y TAREAS'!AK48,2&lt;'EDT Y TAREAS'!AL48),'EDT Y TAREAS'!AG48/'EDT Y TAREAS'!M48,0))</x:f>
        <x:v>0</x:v>
      </x:c>
      <x:c r="F42" s="35" t="n">
        <x:f>SUM(IF(AND(2&gt;='EDT Y TAREAS'!AK10,2&lt;'EDT Y TAREAS'!AL10),'EDT Y TAREAS'!AH10/'EDT Y TAREAS'!M10,0),IF(AND(2&gt;='EDT Y TAREAS'!AK12,2&lt;'EDT Y TAREAS'!AL12),'EDT Y TAREAS'!AH12/'EDT Y TAREAS'!M12,0),IF(AND(2&gt;='EDT Y TAREAS'!AK22,2&lt;'EDT Y TAREAS'!AL22),'EDT Y TAREAS'!AH22/'EDT Y TAREAS'!M22,0),IF(AND(2&gt;='EDT Y TAREAS'!AK23,2&lt;'EDT Y TAREAS'!AL23),'EDT Y TAREAS'!AH23/'EDT Y TAREAS'!M23,0),IF(AND(2&gt;='EDT Y TAREAS'!AK29,2&lt;'EDT Y TAREAS'!AL29),'EDT Y TAREAS'!AH29/'EDT Y TAREAS'!M29,0),IF(AND(2&gt;='EDT Y TAREAS'!AK30,2&lt;'EDT Y TAREAS'!AL30),'EDT Y TAREAS'!AH30/'EDT Y TAREAS'!M30,0),IF(AND(2&gt;='EDT Y TAREAS'!AK32,2&lt;'EDT Y TAREAS'!AL32),'EDT Y TAREAS'!AH32/'EDT Y TAREAS'!M32,0),IF(AND(2&gt;='EDT Y TAREAS'!AK41,2&lt;'EDT Y TAREAS'!AL41),'EDT Y TAREAS'!AH41/'EDT Y TAREAS'!M41,0),IF(AND(2&gt;='EDT Y TAREAS'!AK44,2&lt;'EDT Y TAREAS'!AL44),'EDT Y TAREAS'!AH44/'EDT Y TAREAS'!M44,0),IF(AND(2&gt;='EDT Y TAREAS'!AK46,2&lt;'EDT Y TAREAS'!AL46),'EDT Y TAREAS'!AH46/'EDT Y TAREAS'!M46,0),IF(AND(2&gt;='EDT Y TAREAS'!AK48,2&lt;'EDT Y TAREAS'!AL48),'EDT Y TAREAS'!AH48/'EDT Y TAREAS'!M48,0))</x:f>
        <x:v>0</x:v>
      </x:c>
      <x:c r="G42" s="35" t="n">
        <x:f>SUM(IF(AND(2&gt;='EDT Y TAREAS'!AK20,2&lt;'EDT Y TAREAS'!AL20),'EDT Y TAREAS'!AI20/'EDT Y TAREAS'!M20,0),IF(AND(2&gt;='EDT Y TAREAS'!AK25,2&lt;'EDT Y TAREAS'!AL25),'EDT Y TAREAS'!AI25/'EDT Y TAREAS'!M25,0),IF(AND(2&gt;='EDT Y TAREAS'!AK33,2&lt;'EDT Y TAREAS'!AL33),'EDT Y TAREAS'!AI33/'EDT Y TAREAS'!M33,0),IF(AND(2&gt;='EDT Y TAREAS'!AK34,2&lt;'EDT Y TAREAS'!AL34),'EDT Y TAREAS'!AI34/'EDT Y TAREAS'!M34,0),IF(AND(2&gt;='EDT Y TAREAS'!AK36,2&lt;'EDT Y TAREAS'!AL36),'EDT Y TAREAS'!AI36/'EDT Y TAREAS'!M36,0),IF(AND(2&gt;='EDT Y TAREAS'!AK39,2&lt;'EDT Y TAREAS'!AL39),'EDT Y TAREAS'!AI39/'EDT Y TAREAS'!M39,0),IF(AND(2&gt;='EDT Y TAREAS'!AK40,2&lt;'EDT Y TAREAS'!AL40),'EDT Y TAREAS'!AI40/'EDT Y TAREAS'!M40,0),IF(AND(2&gt;='EDT Y TAREAS'!AK42,2&lt;'EDT Y TAREAS'!AL42),'EDT Y TAREAS'!AI42/'EDT Y TAREAS'!M42,0),IF(AND(2&gt;='EDT Y TAREAS'!AK43,2&lt;'EDT Y TAREAS'!AL43),'EDT Y TAREAS'!AI43/'EDT Y TAREAS'!M43,0),IF(AND(2&gt;='EDT Y TAREAS'!AK44,2&lt;'EDT Y TAREAS'!AL44),'EDT Y TAREAS'!AI44/'EDT Y TAREAS'!M44,0),IF(AND(2&gt;='EDT Y TAREAS'!AK45,2&lt;'EDT Y TAREAS'!AL45),'EDT Y TAREAS'!AI45/'EDT Y TAREAS'!M45,0),IF(AND(2&gt;='EDT Y TAREAS'!AK46,2&lt;'EDT Y TAREAS'!AL46),'EDT Y TAREAS'!AI46/'EDT Y TAREAS'!M46,0),IF(AND(2&gt;='EDT Y TAREAS'!AK48,2&lt;'EDT Y TAREAS'!AL48),'EDT Y TAREAS'!AI48/'EDT Y TAREAS'!M48,0),IF(AND(2&gt;='EDT Y TAREAS'!AK50,2&lt;'EDT Y TAREAS'!AL50),'EDT Y TAREAS'!AI50/'EDT Y TAREAS'!M50,0),IF(AND(2&gt;='EDT Y TAREAS'!AK52,2&lt;'EDT Y TAREAS'!AL52),'EDT Y TAREAS'!AI52/'EDT Y TAREAS'!M52,0))</x:f>
        <x:v>0</x:v>
      </x:c>
      <x:c r="H42" s="35" t="n">
        <x:f>SUM(IF(AND(2&gt;='EDT Y TAREAS'!AK11,2&lt;'EDT Y TAREAS'!AL11),'EDT Y TAREAS'!AJ11/'EDT Y TAREAS'!M11,0),IF(AND(2&gt;='EDT Y TAREAS'!AK24,2&lt;'EDT Y TAREAS'!AL24),'EDT Y TAREAS'!AJ24/'EDT Y TAREAS'!M24,0),IF(AND(2&gt;='EDT Y TAREAS'!AK27,2&lt;'EDT Y TAREAS'!AL27),'EDT Y TAREAS'!AJ27/'EDT Y TAREAS'!M27,0),IF(AND(2&gt;='EDT Y TAREAS'!AK28,2&lt;'EDT Y TAREAS'!AL28),'EDT Y TAREAS'!AJ28/'EDT Y TAREAS'!M28,0),IF(AND(2&gt;='EDT Y TAREAS'!AK33,2&lt;'EDT Y TAREAS'!AL33),'EDT Y TAREAS'!AJ33/'EDT Y TAREAS'!M33,0),IF(AND(2&gt;='EDT Y TAREAS'!AK35,2&lt;'EDT Y TAREAS'!AL35),'EDT Y TAREAS'!AJ35/'EDT Y TAREAS'!M35,0),IF(AND(2&gt;='EDT Y TAREAS'!AK36,2&lt;'EDT Y TAREAS'!AL36),'EDT Y TAREAS'!AJ36/'EDT Y TAREAS'!M36,0),IF(AND(2&gt;='EDT Y TAREAS'!AK37,2&lt;'EDT Y TAREAS'!AL37),'EDT Y TAREAS'!AJ37/'EDT Y TAREAS'!M37,0),IF(AND(2&gt;='EDT Y TAREAS'!AK40,2&lt;'EDT Y TAREAS'!AL40),'EDT Y TAREAS'!AJ40/'EDT Y TAREAS'!M40,0),IF(AND(2&gt;='EDT Y TAREAS'!AK42,2&lt;'EDT Y TAREAS'!AL42),'EDT Y TAREAS'!AJ42/'EDT Y TAREAS'!M42,0),IF(AND(2&gt;='EDT Y TAREAS'!AK49,2&lt;'EDT Y TAREAS'!AL49),'EDT Y TAREAS'!AJ49/'EDT Y TAREAS'!M49,0),IF(AND(2&gt;='EDT Y TAREAS'!AK50,2&lt;'EDT Y TAREAS'!AL50),'EDT Y TAREAS'!AJ50/'EDT Y TAREAS'!M50,0),IF(AND(2&gt;='EDT Y TAREAS'!AK51,2&lt;'EDT Y TAREAS'!AL51),'EDT Y TAREAS'!AJ51/'EDT Y TAREAS'!M51,0),IF(AND(2&gt;='EDT Y TAREAS'!AK52,2&lt;'EDT Y TAREAS'!AL52),'EDT Y TAREAS'!AJ52/'EDT Y TAREAS'!M52,0))</x:f>
        <x:v>0</x:v>
      </x:c>
      <x:c r="I42" s="10" t="n">
        <x:f>WORKDAY('RESUMEN'!$D$3-1,A42,'RESUMEN'!$J$6:$J$25)</x:f>
        <x:v>46330</x:v>
      </x:c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  <x:c r="AO42" s="3"/>
    </x:row>
    <x:row r="43" ht="24" customHeight="1">
      <x:c r="A43" s="3" t="n">
        <x:v>4</x:v>
      </x:c>
      <x:c r="B43" s="35" t="n">
        <x:f>SUM(IF(AND(3&gt;='EDT Y TAREAS'!AK6,3&lt;'EDT Y TAREAS'!AL6),'EDT Y TAREAS'!AD6/'EDT Y TAREAS'!M6,0),IF(AND(3&gt;='EDT Y TAREAS'!AK7,3&lt;'EDT Y TAREAS'!AL7),'EDT Y TAREAS'!AD7/'EDT Y TAREAS'!M7,0),IF(AND(3&gt;='EDT Y TAREAS'!AK8,3&lt;'EDT Y TAREAS'!AL8),'EDT Y TAREAS'!AD8/'EDT Y TAREAS'!M8,0),IF(AND(3&gt;='EDT Y TAREAS'!AK9,3&lt;'EDT Y TAREAS'!AL9),'EDT Y TAREAS'!AD9/'EDT Y TAREAS'!M9,0),IF(AND(3&gt;='EDT Y TAREAS'!AK10,3&lt;'EDT Y TAREAS'!AL10),'EDT Y TAREAS'!AD10/'EDT Y TAREAS'!M10,0),IF(AND(3&gt;='EDT Y TAREAS'!AK11,3&lt;'EDT Y TAREAS'!AL11),'EDT Y TAREAS'!AD11/'EDT Y TAREAS'!M11,0),IF(AND(3&gt;='EDT Y TAREAS'!AK12,3&lt;'EDT Y TAREAS'!AL12),'EDT Y TAREAS'!AD12/'EDT Y TAREAS'!M12,0),IF(AND(3&gt;='EDT Y TAREAS'!AK13,3&lt;'EDT Y TAREAS'!AL13),'EDT Y TAREAS'!AD13/'EDT Y TAREAS'!M13,0),IF(AND(3&gt;='EDT Y TAREAS'!AK14,3&lt;'EDT Y TAREAS'!AL14),'EDT Y TAREAS'!AD14/'EDT Y TAREAS'!M14,0),IF(AND(3&gt;='EDT Y TAREAS'!AK15,3&lt;'EDT Y TAREAS'!AL15),'EDT Y TAREAS'!AD15/'EDT Y TAREAS'!M15,0),IF(AND(3&gt;='EDT Y TAREAS'!AK16,3&lt;'EDT Y TAREAS'!AL16),'EDT Y TAREAS'!AD16/'EDT Y TAREAS'!M16,0),IF(AND(3&gt;='EDT Y TAREAS'!AK17,3&lt;'EDT Y TAREAS'!AL17),'EDT Y TAREAS'!AD17/'EDT Y TAREAS'!M17,0),IF(AND(3&gt;='EDT Y TAREAS'!AK18,3&lt;'EDT Y TAREAS'!AL18),'EDT Y TAREAS'!AD18/'EDT Y TAREAS'!M18,0),IF(AND(3&gt;='EDT Y TAREAS'!AK19,3&lt;'EDT Y TAREAS'!AL19),'EDT Y TAREAS'!AD19/'EDT Y TAREAS'!M19,0),IF(AND(3&gt;='EDT Y TAREAS'!AK20,3&lt;'EDT Y TAREAS'!AL20),'EDT Y TAREAS'!AD20/'EDT Y TAREAS'!M20,0),IF(AND(3&gt;='EDT Y TAREAS'!AK21,3&lt;'EDT Y TAREAS'!AL21),'EDT Y TAREAS'!AD21/'EDT Y TAREAS'!M21,0),IF(AND(3&gt;='EDT Y TAREAS'!AK22,3&lt;'EDT Y TAREAS'!AL22),'EDT Y TAREAS'!AD22/'EDT Y TAREAS'!M22,0),IF(AND(3&gt;='EDT Y TAREAS'!AK23,3&lt;'EDT Y TAREAS'!AL23),'EDT Y TAREAS'!AD23/'EDT Y TAREAS'!M23,0),IF(AND(3&gt;='EDT Y TAREAS'!AK26,3&lt;'EDT Y TAREAS'!AL26),'EDT Y TAREAS'!AD26/'EDT Y TAREAS'!M26,0),IF(AND(3&gt;='EDT Y TAREAS'!AK28,3&lt;'EDT Y TAREAS'!AL28),'EDT Y TAREAS'!AD28/'EDT Y TAREAS'!M28,0),IF(AND(3&gt;='EDT Y TAREAS'!AK30,3&lt;'EDT Y TAREAS'!AL30),'EDT Y TAREAS'!AD30/'EDT Y TAREAS'!M30,0),IF(AND(3&gt;='EDT Y TAREAS'!AK32,3&lt;'EDT Y TAREAS'!AL32),'EDT Y TAREAS'!AD32/'EDT Y TAREAS'!M32,0),IF(AND(3&gt;='EDT Y TAREAS'!AK34,3&lt;'EDT Y TAREAS'!AL34),'EDT Y TAREAS'!AD34/'EDT Y TAREAS'!M34,0),IF(AND(3&gt;='EDT Y TAREAS'!AK38,3&lt;'EDT Y TAREAS'!AL38),'EDT Y TAREAS'!AD38/'EDT Y TAREAS'!M38,0),IF(AND(3&gt;='EDT Y TAREAS'!AK39,3&lt;'EDT Y TAREAS'!AL39),'EDT Y TAREAS'!AD39/'EDT Y TAREAS'!M39,0),IF(AND(3&gt;='EDT Y TAREAS'!AK43,3&lt;'EDT Y TAREAS'!AL43),'EDT Y TAREAS'!AD43/'EDT Y TAREAS'!M43,0),IF(AND(3&gt;='EDT Y TAREAS'!AK44,3&lt;'EDT Y TAREAS'!AL44),'EDT Y TAREAS'!AD44/'EDT Y TAREAS'!M44,0),IF(AND(3&gt;='EDT Y TAREAS'!AK45,3&lt;'EDT Y TAREAS'!AL45),'EDT Y TAREAS'!AD45/'EDT Y TAREAS'!M45,0),IF(AND(3&gt;='EDT Y TAREAS'!AK46,3&lt;'EDT Y TAREAS'!AL46),'EDT Y TAREAS'!AD46/'EDT Y TAREAS'!M46,0),IF(AND(3&gt;='EDT Y TAREAS'!AK47,3&lt;'EDT Y TAREAS'!AL47),'EDT Y TAREAS'!AD47/'EDT Y TAREAS'!M47,0),IF(AND(3&gt;='EDT Y TAREAS'!AK49,3&lt;'EDT Y TAREAS'!AL49),'EDT Y TAREAS'!AD49/'EDT Y TAREAS'!M49,0),IF(AND(3&gt;='EDT Y TAREAS'!AK50,3&lt;'EDT Y TAREAS'!AL50),'EDT Y TAREAS'!AD50/'EDT Y TAREAS'!M50,0),IF(AND(3&gt;='EDT Y TAREAS'!AK51,3&lt;'EDT Y TAREAS'!AL51),'EDT Y TAREAS'!AD51/'EDT Y TAREAS'!M51,0),IF(AND(3&gt;='EDT Y TAREAS'!AK52,3&lt;'EDT Y TAREAS'!AL52),'EDT Y TAREAS'!AD52/'EDT Y TAREAS'!M52,0))</x:f>
        <x:v>6.3999999999999995</x:v>
      </x:c>
      <x:c r="C43" s="35" t="n">
        <x:f>SUM(IF(AND(3&gt;='EDT Y TAREAS'!AK6,3&lt;'EDT Y TAREAS'!AL6),'EDT Y TAREAS'!AE6/'EDT Y TAREAS'!M6,0),IF(AND(3&gt;='EDT Y TAREAS'!AK8,3&lt;'EDT Y TAREAS'!AL8),'EDT Y TAREAS'!AE8/'EDT Y TAREAS'!M8,0),IF(AND(3&gt;='EDT Y TAREAS'!AK9,3&lt;'EDT Y TAREAS'!AL9),'EDT Y TAREAS'!AE9/'EDT Y TAREAS'!M9,0),IF(AND(3&gt;='EDT Y TAREAS'!AK10,3&lt;'EDT Y TAREAS'!AL10),'EDT Y TAREAS'!AE10/'EDT Y TAREAS'!M10,0),IF(AND(3&gt;='EDT Y TAREAS'!AK12,3&lt;'EDT Y TAREAS'!AL12),'EDT Y TAREAS'!AE12/'EDT Y TAREAS'!M12,0),IF(AND(3&gt;='EDT Y TAREAS'!AK16,3&lt;'EDT Y TAREAS'!AL16),'EDT Y TAREAS'!AE16/'EDT Y TAREAS'!M16,0),IF(AND(3&gt;='EDT Y TAREAS'!AK21,3&lt;'EDT Y TAREAS'!AL21),'EDT Y TAREAS'!AE21/'EDT Y TAREAS'!M21,0),IF(AND(3&gt;='EDT Y TAREAS'!AK23,3&lt;'EDT Y TAREAS'!AL23),'EDT Y TAREAS'!AE23/'EDT Y TAREAS'!M23,0),IF(AND(3&gt;='EDT Y TAREAS'!AK37,3&lt;'EDT Y TAREAS'!AL37),'EDT Y TAREAS'!AE37/'EDT Y TAREAS'!M37,0),IF(AND(3&gt;='EDT Y TAREAS'!AK38,3&lt;'EDT Y TAREAS'!AL38),'EDT Y TAREAS'!AE38/'EDT Y TAREAS'!M38,0),IF(AND(3&gt;='EDT Y TAREAS'!AK41,3&lt;'EDT Y TAREAS'!AL41),'EDT Y TAREAS'!AE41/'EDT Y TAREAS'!M41,0),IF(AND(3&gt;='EDT Y TAREAS'!AK43,3&lt;'EDT Y TAREAS'!AL43),'EDT Y TAREAS'!AE43/'EDT Y TAREAS'!M43,0),IF(AND(3&gt;='EDT Y TAREAS'!AK44,3&lt;'EDT Y TAREAS'!AL44),'EDT Y TAREAS'!AE44/'EDT Y TAREAS'!M44,0),IF(AND(3&gt;='EDT Y TAREAS'!AK46,3&lt;'EDT Y TAREAS'!AL46),'EDT Y TAREAS'!AE46/'EDT Y TAREAS'!M46,0),IF(AND(3&gt;='EDT Y TAREAS'!AK47,3&lt;'EDT Y TAREAS'!AL47),'EDT Y TAREAS'!AE47/'EDT Y TAREAS'!M47,0),IF(AND(3&gt;='EDT Y TAREAS'!AK51,3&lt;'EDT Y TAREAS'!AL51),'EDT Y TAREAS'!AE51/'EDT Y TAREAS'!M51,0),IF(AND(3&gt;='EDT Y TAREAS'!AK52,3&lt;'EDT Y TAREAS'!AL52),'EDT Y TAREAS'!AE52/'EDT Y TAREAS'!M52,0))</x:f>
        <x:v>1.2</x:v>
      </x:c>
      <x:c r="D43" s="35" t="n">
        <x:f>SUM(IF(AND(3&gt;='EDT Y TAREAS'!AK11,3&lt;'EDT Y TAREAS'!AL11),'EDT Y TAREAS'!AF11/'EDT Y TAREAS'!M11,0),IF(AND(3&gt;='EDT Y TAREAS'!AK24,3&lt;'EDT Y TAREAS'!AL24),'EDT Y TAREAS'!AF24/'EDT Y TAREAS'!M24,0),IF(AND(3&gt;='EDT Y TAREAS'!AK25,3&lt;'EDT Y TAREAS'!AL25),'EDT Y TAREAS'!AF25/'EDT Y TAREAS'!M25,0),IF(AND(3&gt;='EDT Y TAREAS'!AK26,3&lt;'EDT Y TAREAS'!AL26),'EDT Y TAREAS'!AF26/'EDT Y TAREAS'!M26,0),IF(AND(3&gt;='EDT Y TAREAS'!AK27,3&lt;'EDT Y TAREAS'!AL27),'EDT Y TAREAS'!AF27/'EDT Y TAREAS'!M27,0),IF(AND(3&gt;='EDT Y TAREAS'!AK28,3&lt;'EDT Y TAREAS'!AL28),'EDT Y TAREAS'!AF28/'EDT Y TAREAS'!M28,0),IF(AND(3&gt;='EDT Y TAREAS'!AK31,3&lt;'EDT Y TAREAS'!AL31),'EDT Y TAREAS'!AF31/'EDT Y TAREAS'!M31,0),IF(AND(3&gt;='EDT Y TAREAS'!AK33,3&lt;'EDT Y TAREAS'!AL33),'EDT Y TAREAS'!AF33/'EDT Y TAREAS'!M33,0),IF(AND(3&gt;='EDT Y TAREAS'!AK34,3&lt;'EDT Y TAREAS'!AL34),'EDT Y TAREAS'!AF34/'EDT Y TAREAS'!M34,0),IF(AND(3&gt;='EDT Y TAREAS'!AK35,3&lt;'EDT Y TAREAS'!AL35),'EDT Y TAREAS'!AF35/'EDT Y TAREAS'!M35,0),IF(AND(3&gt;='EDT Y TAREAS'!AK37,3&lt;'EDT Y TAREAS'!AL37),'EDT Y TAREAS'!AF37/'EDT Y TAREAS'!M37,0),IF(AND(3&gt;='EDT Y TAREAS'!AK39,3&lt;'EDT Y TAREAS'!AL39),'EDT Y TAREAS'!AF39/'EDT Y TAREAS'!M39,0),IF(AND(3&gt;='EDT Y TAREAS'!AK40,3&lt;'EDT Y TAREAS'!AL40),'EDT Y TAREAS'!AF40/'EDT Y TAREAS'!M40,0),IF(AND(3&gt;='EDT Y TAREAS'!AK42,3&lt;'EDT Y TAREAS'!AL42),'EDT Y TAREAS'!AF42/'EDT Y TAREAS'!M42,0),IF(AND(3&gt;='EDT Y TAREAS'!AK45,3&lt;'EDT Y TAREAS'!AL45),'EDT Y TAREAS'!AF45/'EDT Y TAREAS'!M45,0),IF(AND(3&gt;='EDT Y TAREAS'!AK49,3&lt;'EDT Y TAREAS'!AL49),'EDT Y TAREAS'!AF49/'EDT Y TAREAS'!M49,0),IF(AND(3&gt;='EDT Y TAREAS'!AK52,3&lt;'EDT Y TAREAS'!AL52),'EDT Y TAREAS'!AF52/'EDT Y TAREAS'!M52,0))</x:f>
        <x:v>0</x:v>
      </x:c>
      <x:c r="E43" s="35" t="n">
        <x:f>SUM(IF(AND(3&gt;='EDT Y TAREAS'!AK29,3&lt;'EDT Y TAREAS'!AL29),'EDT Y TAREAS'!AG29/'EDT Y TAREAS'!M29,0),IF(AND(3&gt;='EDT Y TAREAS'!AK30,3&lt;'EDT Y TAREAS'!AL30),'EDT Y TAREAS'!AG30/'EDT Y TAREAS'!M30,0),IF(AND(3&gt;='EDT Y TAREAS'!AK31,3&lt;'EDT Y TAREAS'!AL31),'EDT Y TAREAS'!AG31/'EDT Y TAREAS'!M31,0),IF(AND(3&gt;='EDT Y TAREAS'!AK32,3&lt;'EDT Y TAREAS'!AL32),'EDT Y TAREAS'!AG32/'EDT Y TAREAS'!M32,0),IF(AND(3&gt;='EDT Y TAREAS'!AK41,3&lt;'EDT Y TAREAS'!AL41),'EDT Y TAREAS'!AG41/'EDT Y TAREAS'!M41,0),IF(AND(3&gt;='EDT Y TAREAS'!AK45,3&lt;'EDT Y TAREAS'!AL45),'EDT Y TAREAS'!AG45/'EDT Y TAREAS'!M45,0),IF(AND(3&gt;='EDT Y TAREAS'!AK48,3&lt;'EDT Y TAREAS'!AL48),'EDT Y TAREAS'!AG48/'EDT Y TAREAS'!M48,0))</x:f>
        <x:v>0</x:v>
      </x:c>
      <x:c r="F43" s="35" t="n">
        <x:f>SUM(IF(AND(3&gt;='EDT Y TAREAS'!AK10,3&lt;'EDT Y TAREAS'!AL10),'EDT Y TAREAS'!AH10/'EDT Y TAREAS'!M10,0),IF(AND(3&gt;='EDT Y TAREAS'!AK12,3&lt;'EDT Y TAREAS'!AL12),'EDT Y TAREAS'!AH12/'EDT Y TAREAS'!M12,0),IF(AND(3&gt;='EDT Y TAREAS'!AK22,3&lt;'EDT Y TAREAS'!AL22),'EDT Y TAREAS'!AH22/'EDT Y TAREAS'!M22,0),IF(AND(3&gt;='EDT Y TAREAS'!AK23,3&lt;'EDT Y TAREAS'!AL23),'EDT Y TAREAS'!AH23/'EDT Y TAREAS'!M23,0),IF(AND(3&gt;='EDT Y TAREAS'!AK29,3&lt;'EDT Y TAREAS'!AL29),'EDT Y TAREAS'!AH29/'EDT Y TAREAS'!M29,0),IF(AND(3&gt;='EDT Y TAREAS'!AK30,3&lt;'EDT Y TAREAS'!AL30),'EDT Y TAREAS'!AH30/'EDT Y TAREAS'!M30,0),IF(AND(3&gt;='EDT Y TAREAS'!AK32,3&lt;'EDT Y TAREAS'!AL32),'EDT Y TAREAS'!AH32/'EDT Y TAREAS'!M32,0),IF(AND(3&gt;='EDT Y TAREAS'!AK41,3&lt;'EDT Y TAREAS'!AL41),'EDT Y TAREAS'!AH41/'EDT Y TAREAS'!M41,0),IF(AND(3&gt;='EDT Y TAREAS'!AK44,3&lt;'EDT Y TAREAS'!AL44),'EDT Y TAREAS'!AH44/'EDT Y TAREAS'!M44,0),IF(AND(3&gt;='EDT Y TAREAS'!AK46,3&lt;'EDT Y TAREAS'!AL46),'EDT Y TAREAS'!AH46/'EDT Y TAREAS'!M46,0),IF(AND(3&gt;='EDT Y TAREAS'!AK48,3&lt;'EDT Y TAREAS'!AL48),'EDT Y TAREAS'!AH48/'EDT Y TAREAS'!M48,0))</x:f>
        <x:v>0</x:v>
      </x:c>
      <x:c r="G43" s="35" t="n">
        <x:f>SUM(IF(AND(3&gt;='EDT Y TAREAS'!AK20,3&lt;'EDT Y TAREAS'!AL20),'EDT Y TAREAS'!AI20/'EDT Y TAREAS'!M20,0),IF(AND(3&gt;='EDT Y TAREAS'!AK25,3&lt;'EDT Y TAREAS'!AL25),'EDT Y TAREAS'!AI25/'EDT Y TAREAS'!M25,0),IF(AND(3&gt;='EDT Y TAREAS'!AK33,3&lt;'EDT Y TAREAS'!AL33),'EDT Y TAREAS'!AI33/'EDT Y TAREAS'!M33,0),IF(AND(3&gt;='EDT Y TAREAS'!AK34,3&lt;'EDT Y TAREAS'!AL34),'EDT Y TAREAS'!AI34/'EDT Y TAREAS'!M34,0),IF(AND(3&gt;='EDT Y TAREAS'!AK36,3&lt;'EDT Y TAREAS'!AL36),'EDT Y TAREAS'!AI36/'EDT Y TAREAS'!M36,0),IF(AND(3&gt;='EDT Y TAREAS'!AK39,3&lt;'EDT Y TAREAS'!AL39),'EDT Y TAREAS'!AI39/'EDT Y TAREAS'!M39,0),IF(AND(3&gt;='EDT Y TAREAS'!AK40,3&lt;'EDT Y TAREAS'!AL40),'EDT Y TAREAS'!AI40/'EDT Y TAREAS'!M40,0),IF(AND(3&gt;='EDT Y TAREAS'!AK42,3&lt;'EDT Y TAREAS'!AL42),'EDT Y TAREAS'!AI42/'EDT Y TAREAS'!M42,0),IF(AND(3&gt;='EDT Y TAREAS'!AK43,3&lt;'EDT Y TAREAS'!AL43),'EDT Y TAREAS'!AI43/'EDT Y TAREAS'!M43,0),IF(AND(3&gt;='EDT Y TAREAS'!AK44,3&lt;'EDT Y TAREAS'!AL44),'EDT Y TAREAS'!AI44/'EDT Y TAREAS'!M44,0),IF(AND(3&gt;='EDT Y TAREAS'!AK45,3&lt;'EDT Y TAREAS'!AL45),'EDT Y TAREAS'!AI45/'EDT Y TAREAS'!M45,0),IF(AND(3&gt;='EDT Y TAREAS'!AK46,3&lt;'EDT Y TAREAS'!AL46),'EDT Y TAREAS'!AI46/'EDT Y TAREAS'!M46,0),IF(AND(3&gt;='EDT Y TAREAS'!AK48,3&lt;'EDT Y TAREAS'!AL48),'EDT Y TAREAS'!AI48/'EDT Y TAREAS'!M48,0),IF(AND(3&gt;='EDT Y TAREAS'!AK50,3&lt;'EDT Y TAREAS'!AL50),'EDT Y TAREAS'!AI50/'EDT Y TAREAS'!M50,0),IF(AND(3&gt;='EDT Y TAREAS'!AK52,3&lt;'EDT Y TAREAS'!AL52),'EDT Y TAREAS'!AI52/'EDT Y TAREAS'!M52,0))</x:f>
        <x:v>0</x:v>
      </x:c>
      <x:c r="H43" s="35" t="n">
        <x:f>SUM(IF(AND(3&gt;='EDT Y TAREAS'!AK11,3&lt;'EDT Y TAREAS'!AL11),'EDT Y TAREAS'!AJ11/'EDT Y TAREAS'!M11,0),IF(AND(3&gt;='EDT Y TAREAS'!AK24,3&lt;'EDT Y TAREAS'!AL24),'EDT Y TAREAS'!AJ24/'EDT Y TAREAS'!M24,0),IF(AND(3&gt;='EDT Y TAREAS'!AK27,3&lt;'EDT Y TAREAS'!AL27),'EDT Y TAREAS'!AJ27/'EDT Y TAREAS'!M27,0),IF(AND(3&gt;='EDT Y TAREAS'!AK28,3&lt;'EDT Y TAREAS'!AL28),'EDT Y TAREAS'!AJ28/'EDT Y TAREAS'!M28,0),IF(AND(3&gt;='EDT Y TAREAS'!AK33,3&lt;'EDT Y TAREAS'!AL33),'EDT Y TAREAS'!AJ33/'EDT Y TAREAS'!M33,0),IF(AND(3&gt;='EDT Y TAREAS'!AK35,3&lt;'EDT Y TAREAS'!AL35),'EDT Y TAREAS'!AJ35/'EDT Y TAREAS'!M35,0),IF(AND(3&gt;='EDT Y TAREAS'!AK36,3&lt;'EDT Y TAREAS'!AL36),'EDT Y TAREAS'!AJ36/'EDT Y TAREAS'!M36,0),IF(AND(3&gt;='EDT Y TAREAS'!AK37,3&lt;'EDT Y TAREAS'!AL37),'EDT Y TAREAS'!AJ37/'EDT Y TAREAS'!M37,0),IF(AND(3&gt;='EDT Y TAREAS'!AK40,3&lt;'EDT Y TAREAS'!AL40),'EDT Y TAREAS'!AJ40/'EDT Y TAREAS'!M40,0),IF(AND(3&gt;='EDT Y TAREAS'!AK42,3&lt;'EDT Y TAREAS'!AL42),'EDT Y TAREAS'!AJ42/'EDT Y TAREAS'!M42,0),IF(AND(3&gt;='EDT Y TAREAS'!AK49,3&lt;'EDT Y TAREAS'!AL49),'EDT Y TAREAS'!AJ49/'EDT Y TAREAS'!M49,0),IF(AND(3&gt;='EDT Y TAREAS'!AK50,3&lt;'EDT Y TAREAS'!AL50),'EDT Y TAREAS'!AJ50/'EDT Y TAREAS'!M50,0),IF(AND(3&gt;='EDT Y TAREAS'!AK51,3&lt;'EDT Y TAREAS'!AL51),'EDT Y TAREAS'!AJ51/'EDT Y TAREAS'!M51,0),IF(AND(3&gt;='EDT Y TAREAS'!AK52,3&lt;'EDT Y TAREAS'!AL52),'EDT Y TAREAS'!AJ52/'EDT Y TAREAS'!M52,0))</x:f>
        <x:v>0</x:v>
      </x:c>
      <x:c r="I43" s="10" t="n">
        <x:f>WORKDAY('RESUMEN'!$D$3-1,A43,'RESUMEN'!$J$6:$J$25)</x:f>
        <x:v>46331</x:v>
      </x:c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  <x:c r="AO43" s="3"/>
    </x:row>
    <x:row r="44" ht="24" customHeight="1">
      <x:c r="A44" s="3" t="n">
        <x:v>5</x:v>
      </x:c>
      <x:c r="B44" s="35" t="n">
        <x:f>SUM(IF(AND(4&gt;='EDT Y TAREAS'!AK6,4&lt;'EDT Y TAREAS'!AL6),'EDT Y TAREAS'!AD6/'EDT Y TAREAS'!M6,0),IF(AND(4&gt;='EDT Y TAREAS'!AK7,4&lt;'EDT Y TAREAS'!AL7),'EDT Y TAREAS'!AD7/'EDT Y TAREAS'!M7,0),IF(AND(4&gt;='EDT Y TAREAS'!AK8,4&lt;'EDT Y TAREAS'!AL8),'EDT Y TAREAS'!AD8/'EDT Y TAREAS'!M8,0),IF(AND(4&gt;='EDT Y TAREAS'!AK9,4&lt;'EDT Y TAREAS'!AL9),'EDT Y TAREAS'!AD9/'EDT Y TAREAS'!M9,0),IF(AND(4&gt;='EDT Y TAREAS'!AK10,4&lt;'EDT Y TAREAS'!AL10),'EDT Y TAREAS'!AD10/'EDT Y TAREAS'!M10,0),IF(AND(4&gt;='EDT Y TAREAS'!AK11,4&lt;'EDT Y TAREAS'!AL11),'EDT Y TAREAS'!AD11/'EDT Y TAREAS'!M11,0),IF(AND(4&gt;='EDT Y TAREAS'!AK12,4&lt;'EDT Y TAREAS'!AL12),'EDT Y TAREAS'!AD12/'EDT Y TAREAS'!M12,0),IF(AND(4&gt;='EDT Y TAREAS'!AK13,4&lt;'EDT Y TAREAS'!AL13),'EDT Y TAREAS'!AD13/'EDT Y TAREAS'!M13,0),IF(AND(4&gt;='EDT Y TAREAS'!AK14,4&lt;'EDT Y TAREAS'!AL14),'EDT Y TAREAS'!AD14/'EDT Y TAREAS'!M14,0),IF(AND(4&gt;='EDT Y TAREAS'!AK15,4&lt;'EDT Y TAREAS'!AL15),'EDT Y TAREAS'!AD15/'EDT Y TAREAS'!M15,0),IF(AND(4&gt;='EDT Y TAREAS'!AK16,4&lt;'EDT Y TAREAS'!AL16),'EDT Y TAREAS'!AD16/'EDT Y TAREAS'!M16,0),IF(AND(4&gt;='EDT Y TAREAS'!AK17,4&lt;'EDT Y TAREAS'!AL17),'EDT Y TAREAS'!AD17/'EDT Y TAREAS'!M17,0),IF(AND(4&gt;='EDT Y TAREAS'!AK18,4&lt;'EDT Y TAREAS'!AL18),'EDT Y TAREAS'!AD18/'EDT Y TAREAS'!M18,0),IF(AND(4&gt;='EDT Y TAREAS'!AK19,4&lt;'EDT Y TAREAS'!AL19),'EDT Y TAREAS'!AD19/'EDT Y TAREAS'!M19,0),IF(AND(4&gt;='EDT Y TAREAS'!AK20,4&lt;'EDT Y TAREAS'!AL20),'EDT Y TAREAS'!AD20/'EDT Y TAREAS'!M20,0),IF(AND(4&gt;='EDT Y TAREAS'!AK21,4&lt;'EDT Y TAREAS'!AL21),'EDT Y TAREAS'!AD21/'EDT Y TAREAS'!M21,0),IF(AND(4&gt;='EDT Y TAREAS'!AK22,4&lt;'EDT Y TAREAS'!AL22),'EDT Y TAREAS'!AD22/'EDT Y TAREAS'!M22,0),IF(AND(4&gt;='EDT Y TAREAS'!AK23,4&lt;'EDT Y TAREAS'!AL23),'EDT Y TAREAS'!AD23/'EDT Y TAREAS'!M23,0),IF(AND(4&gt;='EDT Y TAREAS'!AK26,4&lt;'EDT Y TAREAS'!AL26),'EDT Y TAREAS'!AD26/'EDT Y TAREAS'!M26,0),IF(AND(4&gt;='EDT Y TAREAS'!AK28,4&lt;'EDT Y TAREAS'!AL28),'EDT Y TAREAS'!AD28/'EDT Y TAREAS'!M28,0),IF(AND(4&gt;='EDT Y TAREAS'!AK30,4&lt;'EDT Y TAREAS'!AL30),'EDT Y TAREAS'!AD30/'EDT Y TAREAS'!M30,0),IF(AND(4&gt;='EDT Y TAREAS'!AK32,4&lt;'EDT Y TAREAS'!AL32),'EDT Y TAREAS'!AD32/'EDT Y TAREAS'!M32,0),IF(AND(4&gt;='EDT Y TAREAS'!AK34,4&lt;'EDT Y TAREAS'!AL34),'EDT Y TAREAS'!AD34/'EDT Y TAREAS'!M34,0),IF(AND(4&gt;='EDT Y TAREAS'!AK38,4&lt;'EDT Y TAREAS'!AL38),'EDT Y TAREAS'!AD38/'EDT Y TAREAS'!M38,0),IF(AND(4&gt;='EDT Y TAREAS'!AK39,4&lt;'EDT Y TAREAS'!AL39),'EDT Y TAREAS'!AD39/'EDT Y TAREAS'!M39,0),IF(AND(4&gt;='EDT Y TAREAS'!AK43,4&lt;'EDT Y TAREAS'!AL43),'EDT Y TAREAS'!AD43/'EDT Y TAREAS'!M43,0),IF(AND(4&gt;='EDT Y TAREAS'!AK44,4&lt;'EDT Y TAREAS'!AL44),'EDT Y TAREAS'!AD44/'EDT Y TAREAS'!M44,0),IF(AND(4&gt;='EDT Y TAREAS'!AK45,4&lt;'EDT Y TAREAS'!AL45),'EDT Y TAREAS'!AD45/'EDT Y TAREAS'!M45,0),IF(AND(4&gt;='EDT Y TAREAS'!AK46,4&lt;'EDT Y TAREAS'!AL46),'EDT Y TAREAS'!AD46/'EDT Y TAREAS'!M46,0),IF(AND(4&gt;='EDT Y TAREAS'!AK47,4&lt;'EDT Y TAREAS'!AL47),'EDT Y TAREAS'!AD47/'EDT Y TAREAS'!M47,0),IF(AND(4&gt;='EDT Y TAREAS'!AK49,4&lt;'EDT Y TAREAS'!AL49),'EDT Y TAREAS'!AD49/'EDT Y TAREAS'!M49,0),IF(AND(4&gt;='EDT Y TAREAS'!AK50,4&lt;'EDT Y TAREAS'!AL50),'EDT Y TAREAS'!AD50/'EDT Y TAREAS'!M50,0),IF(AND(4&gt;='EDT Y TAREAS'!AK51,4&lt;'EDT Y TAREAS'!AL51),'EDT Y TAREAS'!AD51/'EDT Y TAREAS'!M51,0),IF(AND(4&gt;='EDT Y TAREAS'!AK52,4&lt;'EDT Y TAREAS'!AL52),'EDT Y TAREAS'!AD52/'EDT Y TAREAS'!M52,0))</x:f>
        <x:v>6.3999999999999995</x:v>
      </x:c>
      <x:c r="C44" s="35" t="n">
        <x:f>SUM(IF(AND(4&gt;='EDT Y TAREAS'!AK6,4&lt;'EDT Y TAREAS'!AL6),'EDT Y TAREAS'!AE6/'EDT Y TAREAS'!M6,0),IF(AND(4&gt;='EDT Y TAREAS'!AK8,4&lt;'EDT Y TAREAS'!AL8),'EDT Y TAREAS'!AE8/'EDT Y TAREAS'!M8,0),IF(AND(4&gt;='EDT Y TAREAS'!AK9,4&lt;'EDT Y TAREAS'!AL9),'EDT Y TAREAS'!AE9/'EDT Y TAREAS'!M9,0),IF(AND(4&gt;='EDT Y TAREAS'!AK10,4&lt;'EDT Y TAREAS'!AL10),'EDT Y TAREAS'!AE10/'EDT Y TAREAS'!M10,0),IF(AND(4&gt;='EDT Y TAREAS'!AK12,4&lt;'EDT Y TAREAS'!AL12),'EDT Y TAREAS'!AE12/'EDT Y TAREAS'!M12,0),IF(AND(4&gt;='EDT Y TAREAS'!AK16,4&lt;'EDT Y TAREAS'!AL16),'EDT Y TAREAS'!AE16/'EDT Y TAREAS'!M16,0),IF(AND(4&gt;='EDT Y TAREAS'!AK21,4&lt;'EDT Y TAREAS'!AL21),'EDT Y TAREAS'!AE21/'EDT Y TAREAS'!M21,0),IF(AND(4&gt;='EDT Y TAREAS'!AK23,4&lt;'EDT Y TAREAS'!AL23),'EDT Y TAREAS'!AE23/'EDT Y TAREAS'!M23,0),IF(AND(4&gt;='EDT Y TAREAS'!AK37,4&lt;'EDT Y TAREAS'!AL37),'EDT Y TAREAS'!AE37/'EDT Y TAREAS'!M37,0),IF(AND(4&gt;='EDT Y TAREAS'!AK38,4&lt;'EDT Y TAREAS'!AL38),'EDT Y TAREAS'!AE38/'EDT Y TAREAS'!M38,0),IF(AND(4&gt;='EDT Y TAREAS'!AK41,4&lt;'EDT Y TAREAS'!AL41),'EDT Y TAREAS'!AE41/'EDT Y TAREAS'!M41,0),IF(AND(4&gt;='EDT Y TAREAS'!AK43,4&lt;'EDT Y TAREAS'!AL43),'EDT Y TAREAS'!AE43/'EDT Y TAREAS'!M43,0),IF(AND(4&gt;='EDT Y TAREAS'!AK44,4&lt;'EDT Y TAREAS'!AL44),'EDT Y TAREAS'!AE44/'EDT Y TAREAS'!M44,0),IF(AND(4&gt;='EDT Y TAREAS'!AK46,4&lt;'EDT Y TAREAS'!AL46),'EDT Y TAREAS'!AE46/'EDT Y TAREAS'!M46,0),IF(AND(4&gt;='EDT Y TAREAS'!AK47,4&lt;'EDT Y TAREAS'!AL47),'EDT Y TAREAS'!AE47/'EDT Y TAREAS'!M47,0),IF(AND(4&gt;='EDT Y TAREAS'!AK51,4&lt;'EDT Y TAREAS'!AL51),'EDT Y TAREAS'!AE51/'EDT Y TAREAS'!M51,0),IF(AND(4&gt;='EDT Y TAREAS'!AK52,4&lt;'EDT Y TAREAS'!AL52),'EDT Y TAREAS'!AE52/'EDT Y TAREAS'!M52,0))</x:f>
        <x:v>1.2</x:v>
      </x:c>
      <x:c r="D44" s="35" t="n">
        <x:f>SUM(IF(AND(4&gt;='EDT Y TAREAS'!AK11,4&lt;'EDT Y TAREAS'!AL11),'EDT Y TAREAS'!AF11/'EDT Y TAREAS'!M11,0),IF(AND(4&gt;='EDT Y TAREAS'!AK24,4&lt;'EDT Y TAREAS'!AL24),'EDT Y TAREAS'!AF24/'EDT Y TAREAS'!M24,0),IF(AND(4&gt;='EDT Y TAREAS'!AK25,4&lt;'EDT Y TAREAS'!AL25),'EDT Y TAREAS'!AF25/'EDT Y TAREAS'!M25,0),IF(AND(4&gt;='EDT Y TAREAS'!AK26,4&lt;'EDT Y TAREAS'!AL26),'EDT Y TAREAS'!AF26/'EDT Y TAREAS'!M26,0),IF(AND(4&gt;='EDT Y TAREAS'!AK27,4&lt;'EDT Y TAREAS'!AL27),'EDT Y TAREAS'!AF27/'EDT Y TAREAS'!M27,0),IF(AND(4&gt;='EDT Y TAREAS'!AK28,4&lt;'EDT Y TAREAS'!AL28),'EDT Y TAREAS'!AF28/'EDT Y TAREAS'!M28,0),IF(AND(4&gt;='EDT Y TAREAS'!AK31,4&lt;'EDT Y TAREAS'!AL31),'EDT Y TAREAS'!AF31/'EDT Y TAREAS'!M31,0),IF(AND(4&gt;='EDT Y TAREAS'!AK33,4&lt;'EDT Y TAREAS'!AL33),'EDT Y TAREAS'!AF33/'EDT Y TAREAS'!M33,0),IF(AND(4&gt;='EDT Y TAREAS'!AK34,4&lt;'EDT Y TAREAS'!AL34),'EDT Y TAREAS'!AF34/'EDT Y TAREAS'!M34,0),IF(AND(4&gt;='EDT Y TAREAS'!AK35,4&lt;'EDT Y TAREAS'!AL35),'EDT Y TAREAS'!AF35/'EDT Y TAREAS'!M35,0),IF(AND(4&gt;='EDT Y TAREAS'!AK37,4&lt;'EDT Y TAREAS'!AL37),'EDT Y TAREAS'!AF37/'EDT Y TAREAS'!M37,0),IF(AND(4&gt;='EDT Y TAREAS'!AK39,4&lt;'EDT Y TAREAS'!AL39),'EDT Y TAREAS'!AF39/'EDT Y TAREAS'!M39,0),IF(AND(4&gt;='EDT Y TAREAS'!AK40,4&lt;'EDT Y TAREAS'!AL40),'EDT Y TAREAS'!AF40/'EDT Y TAREAS'!M40,0),IF(AND(4&gt;='EDT Y TAREAS'!AK42,4&lt;'EDT Y TAREAS'!AL42),'EDT Y TAREAS'!AF42/'EDT Y TAREAS'!M42,0),IF(AND(4&gt;='EDT Y TAREAS'!AK45,4&lt;'EDT Y TAREAS'!AL45),'EDT Y TAREAS'!AF45/'EDT Y TAREAS'!M45,0),IF(AND(4&gt;='EDT Y TAREAS'!AK49,4&lt;'EDT Y TAREAS'!AL49),'EDT Y TAREAS'!AF49/'EDT Y TAREAS'!M49,0),IF(AND(4&gt;='EDT Y TAREAS'!AK52,4&lt;'EDT Y TAREAS'!AL52),'EDT Y TAREAS'!AF52/'EDT Y TAREAS'!M52,0))</x:f>
        <x:v>0</x:v>
      </x:c>
      <x:c r="E44" s="35" t="n">
        <x:f>SUM(IF(AND(4&gt;='EDT Y TAREAS'!AK29,4&lt;'EDT Y TAREAS'!AL29),'EDT Y TAREAS'!AG29/'EDT Y TAREAS'!M29,0),IF(AND(4&gt;='EDT Y TAREAS'!AK30,4&lt;'EDT Y TAREAS'!AL30),'EDT Y TAREAS'!AG30/'EDT Y TAREAS'!M30,0),IF(AND(4&gt;='EDT Y TAREAS'!AK31,4&lt;'EDT Y TAREAS'!AL31),'EDT Y TAREAS'!AG31/'EDT Y TAREAS'!M31,0),IF(AND(4&gt;='EDT Y TAREAS'!AK32,4&lt;'EDT Y TAREAS'!AL32),'EDT Y TAREAS'!AG32/'EDT Y TAREAS'!M32,0),IF(AND(4&gt;='EDT Y TAREAS'!AK41,4&lt;'EDT Y TAREAS'!AL41),'EDT Y TAREAS'!AG41/'EDT Y TAREAS'!M41,0),IF(AND(4&gt;='EDT Y TAREAS'!AK45,4&lt;'EDT Y TAREAS'!AL45),'EDT Y TAREAS'!AG45/'EDT Y TAREAS'!M45,0),IF(AND(4&gt;='EDT Y TAREAS'!AK48,4&lt;'EDT Y TAREAS'!AL48),'EDT Y TAREAS'!AG48/'EDT Y TAREAS'!M48,0))</x:f>
        <x:v>0</x:v>
      </x:c>
      <x:c r="F44" s="35" t="n">
        <x:f>SUM(IF(AND(4&gt;='EDT Y TAREAS'!AK10,4&lt;'EDT Y TAREAS'!AL10),'EDT Y TAREAS'!AH10/'EDT Y TAREAS'!M10,0),IF(AND(4&gt;='EDT Y TAREAS'!AK12,4&lt;'EDT Y TAREAS'!AL12),'EDT Y TAREAS'!AH12/'EDT Y TAREAS'!M12,0),IF(AND(4&gt;='EDT Y TAREAS'!AK22,4&lt;'EDT Y TAREAS'!AL22),'EDT Y TAREAS'!AH22/'EDT Y TAREAS'!M22,0),IF(AND(4&gt;='EDT Y TAREAS'!AK23,4&lt;'EDT Y TAREAS'!AL23),'EDT Y TAREAS'!AH23/'EDT Y TAREAS'!M23,0),IF(AND(4&gt;='EDT Y TAREAS'!AK29,4&lt;'EDT Y TAREAS'!AL29),'EDT Y TAREAS'!AH29/'EDT Y TAREAS'!M29,0),IF(AND(4&gt;='EDT Y TAREAS'!AK30,4&lt;'EDT Y TAREAS'!AL30),'EDT Y TAREAS'!AH30/'EDT Y TAREAS'!M30,0),IF(AND(4&gt;='EDT Y TAREAS'!AK32,4&lt;'EDT Y TAREAS'!AL32),'EDT Y TAREAS'!AH32/'EDT Y TAREAS'!M32,0),IF(AND(4&gt;='EDT Y TAREAS'!AK41,4&lt;'EDT Y TAREAS'!AL41),'EDT Y TAREAS'!AH41/'EDT Y TAREAS'!M41,0),IF(AND(4&gt;='EDT Y TAREAS'!AK44,4&lt;'EDT Y TAREAS'!AL44),'EDT Y TAREAS'!AH44/'EDT Y TAREAS'!M44,0),IF(AND(4&gt;='EDT Y TAREAS'!AK46,4&lt;'EDT Y TAREAS'!AL46),'EDT Y TAREAS'!AH46/'EDT Y TAREAS'!M46,0),IF(AND(4&gt;='EDT Y TAREAS'!AK48,4&lt;'EDT Y TAREAS'!AL48),'EDT Y TAREAS'!AH48/'EDT Y TAREAS'!M48,0))</x:f>
        <x:v>0</x:v>
      </x:c>
      <x:c r="G44" s="35" t="n">
        <x:f>SUM(IF(AND(4&gt;='EDT Y TAREAS'!AK20,4&lt;'EDT Y TAREAS'!AL20),'EDT Y TAREAS'!AI20/'EDT Y TAREAS'!M20,0),IF(AND(4&gt;='EDT Y TAREAS'!AK25,4&lt;'EDT Y TAREAS'!AL25),'EDT Y TAREAS'!AI25/'EDT Y TAREAS'!M25,0),IF(AND(4&gt;='EDT Y TAREAS'!AK33,4&lt;'EDT Y TAREAS'!AL33),'EDT Y TAREAS'!AI33/'EDT Y TAREAS'!M33,0),IF(AND(4&gt;='EDT Y TAREAS'!AK34,4&lt;'EDT Y TAREAS'!AL34),'EDT Y TAREAS'!AI34/'EDT Y TAREAS'!M34,0),IF(AND(4&gt;='EDT Y TAREAS'!AK36,4&lt;'EDT Y TAREAS'!AL36),'EDT Y TAREAS'!AI36/'EDT Y TAREAS'!M36,0),IF(AND(4&gt;='EDT Y TAREAS'!AK39,4&lt;'EDT Y TAREAS'!AL39),'EDT Y TAREAS'!AI39/'EDT Y TAREAS'!M39,0),IF(AND(4&gt;='EDT Y TAREAS'!AK40,4&lt;'EDT Y TAREAS'!AL40),'EDT Y TAREAS'!AI40/'EDT Y TAREAS'!M40,0),IF(AND(4&gt;='EDT Y TAREAS'!AK42,4&lt;'EDT Y TAREAS'!AL42),'EDT Y TAREAS'!AI42/'EDT Y TAREAS'!M42,0),IF(AND(4&gt;='EDT Y TAREAS'!AK43,4&lt;'EDT Y TAREAS'!AL43),'EDT Y TAREAS'!AI43/'EDT Y TAREAS'!M43,0),IF(AND(4&gt;='EDT Y TAREAS'!AK44,4&lt;'EDT Y TAREAS'!AL44),'EDT Y TAREAS'!AI44/'EDT Y TAREAS'!M44,0),IF(AND(4&gt;='EDT Y TAREAS'!AK45,4&lt;'EDT Y TAREAS'!AL45),'EDT Y TAREAS'!AI45/'EDT Y TAREAS'!M45,0),IF(AND(4&gt;='EDT Y TAREAS'!AK46,4&lt;'EDT Y TAREAS'!AL46),'EDT Y TAREAS'!AI46/'EDT Y TAREAS'!M46,0),IF(AND(4&gt;='EDT Y TAREAS'!AK48,4&lt;'EDT Y TAREAS'!AL48),'EDT Y TAREAS'!AI48/'EDT Y TAREAS'!M48,0),IF(AND(4&gt;='EDT Y TAREAS'!AK50,4&lt;'EDT Y TAREAS'!AL50),'EDT Y TAREAS'!AI50/'EDT Y TAREAS'!M50,0),IF(AND(4&gt;='EDT Y TAREAS'!AK52,4&lt;'EDT Y TAREAS'!AL52),'EDT Y TAREAS'!AI52/'EDT Y TAREAS'!M52,0))</x:f>
        <x:v>0</x:v>
      </x:c>
      <x:c r="H44" s="35" t="n">
        <x:f>SUM(IF(AND(4&gt;='EDT Y TAREAS'!AK11,4&lt;'EDT Y TAREAS'!AL11),'EDT Y TAREAS'!AJ11/'EDT Y TAREAS'!M11,0),IF(AND(4&gt;='EDT Y TAREAS'!AK24,4&lt;'EDT Y TAREAS'!AL24),'EDT Y TAREAS'!AJ24/'EDT Y TAREAS'!M24,0),IF(AND(4&gt;='EDT Y TAREAS'!AK27,4&lt;'EDT Y TAREAS'!AL27),'EDT Y TAREAS'!AJ27/'EDT Y TAREAS'!M27,0),IF(AND(4&gt;='EDT Y TAREAS'!AK28,4&lt;'EDT Y TAREAS'!AL28),'EDT Y TAREAS'!AJ28/'EDT Y TAREAS'!M28,0),IF(AND(4&gt;='EDT Y TAREAS'!AK33,4&lt;'EDT Y TAREAS'!AL33),'EDT Y TAREAS'!AJ33/'EDT Y TAREAS'!M33,0),IF(AND(4&gt;='EDT Y TAREAS'!AK35,4&lt;'EDT Y TAREAS'!AL35),'EDT Y TAREAS'!AJ35/'EDT Y TAREAS'!M35,0),IF(AND(4&gt;='EDT Y TAREAS'!AK36,4&lt;'EDT Y TAREAS'!AL36),'EDT Y TAREAS'!AJ36/'EDT Y TAREAS'!M36,0),IF(AND(4&gt;='EDT Y TAREAS'!AK37,4&lt;'EDT Y TAREAS'!AL37),'EDT Y TAREAS'!AJ37/'EDT Y TAREAS'!M37,0),IF(AND(4&gt;='EDT Y TAREAS'!AK40,4&lt;'EDT Y TAREAS'!AL40),'EDT Y TAREAS'!AJ40/'EDT Y TAREAS'!M40,0),IF(AND(4&gt;='EDT Y TAREAS'!AK42,4&lt;'EDT Y TAREAS'!AL42),'EDT Y TAREAS'!AJ42/'EDT Y TAREAS'!M42,0),IF(AND(4&gt;='EDT Y TAREAS'!AK49,4&lt;'EDT Y TAREAS'!AL49),'EDT Y TAREAS'!AJ49/'EDT Y TAREAS'!M49,0),IF(AND(4&gt;='EDT Y TAREAS'!AK50,4&lt;'EDT Y TAREAS'!AL50),'EDT Y TAREAS'!AJ50/'EDT Y TAREAS'!M50,0),IF(AND(4&gt;='EDT Y TAREAS'!AK51,4&lt;'EDT Y TAREAS'!AL51),'EDT Y TAREAS'!AJ51/'EDT Y TAREAS'!M51,0),IF(AND(4&gt;='EDT Y TAREAS'!AK52,4&lt;'EDT Y TAREAS'!AL52),'EDT Y TAREAS'!AJ52/'EDT Y TAREAS'!M52,0))</x:f>
        <x:v>0</x:v>
      </x:c>
      <x:c r="I44" s="10" t="n">
        <x:f>WORKDAY('RESUMEN'!$D$3-1,A44,'RESUMEN'!$J$6:$J$25)</x:f>
        <x:v>46332</x:v>
      </x:c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  <x:c r="AO44" s="3"/>
    </x:row>
    <x:row r="45" ht="24" customHeight="1">
      <x:c r="A45" s="3" t="n">
        <x:v>6</x:v>
      </x:c>
      <x:c r="B45" s="35" t="n">
        <x:f>SUM(IF(AND(5&gt;='EDT Y TAREAS'!AK6,5&lt;'EDT Y TAREAS'!AL6),'EDT Y TAREAS'!AD6/'EDT Y TAREAS'!M6,0),IF(AND(5&gt;='EDT Y TAREAS'!AK7,5&lt;'EDT Y TAREAS'!AL7),'EDT Y TAREAS'!AD7/'EDT Y TAREAS'!M7,0),IF(AND(5&gt;='EDT Y TAREAS'!AK8,5&lt;'EDT Y TAREAS'!AL8),'EDT Y TAREAS'!AD8/'EDT Y TAREAS'!M8,0),IF(AND(5&gt;='EDT Y TAREAS'!AK9,5&lt;'EDT Y TAREAS'!AL9),'EDT Y TAREAS'!AD9/'EDT Y TAREAS'!M9,0),IF(AND(5&gt;='EDT Y TAREAS'!AK10,5&lt;'EDT Y TAREAS'!AL10),'EDT Y TAREAS'!AD10/'EDT Y TAREAS'!M10,0),IF(AND(5&gt;='EDT Y TAREAS'!AK11,5&lt;'EDT Y TAREAS'!AL11),'EDT Y TAREAS'!AD11/'EDT Y TAREAS'!M11,0),IF(AND(5&gt;='EDT Y TAREAS'!AK12,5&lt;'EDT Y TAREAS'!AL12),'EDT Y TAREAS'!AD12/'EDT Y TAREAS'!M12,0),IF(AND(5&gt;='EDT Y TAREAS'!AK13,5&lt;'EDT Y TAREAS'!AL13),'EDT Y TAREAS'!AD13/'EDT Y TAREAS'!M13,0),IF(AND(5&gt;='EDT Y TAREAS'!AK14,5&lt;'EDT Y TAREAS'!AL14),'EDT Y TAREAS'!AD14/'EDT Y TAREAS'!M14,0),IF(AND(5&gt;='EDT Y TAREAS'!AK15,5&lt;'EDT Y TAREAS'!AL15),'EDT Y TAREAS'!AD15/'EDT Y TAREAS'!M15,0),IF(AND(5&gt;='EDT Y TAREAS'!AK16,5&lt;'EDT Y TAREAS'!AL16),'EDT Y TAREAS'!AD16/'EDT Y TAREAS'!M16,0),IF(AND(5&gt;='EDT Y TAREAS'!AK17,5&lt;'EDT Y TAREAS'!AL17),'EDT Y TAREAS'!AD17/'EDT Y TAREAS'!M17,0),IF(AND(5&gt;='EDT Y TAREAS'!AK18,5&lt;'EDT Y TAREAS'!AL18),'EDT Y TAREAS'!AD18/'EDT Y TAREAS'!M18,0),IF(AND(5&gt;='EDT Y TAREAS'!AK19,5&lt;'EDT Y TAREAS'!AL19),'EDT Y TAREAS'!AD19/'EDT Y TAREAS'!M19,0),IF(AND(5&gt;='EDT Y TAREAS'!AK20,5&lt;'EDT Y TAREAS'!AL20),'EDT Y TAREAS'!AD20/'EDT Y TAREAS'!M20,0),IF(AND(5&gt;='EDT Y TAREAS'!AK21,5&lt;'EDT Y TAREAS'!AL21),'EDT Y TAREAS'!AD21/'EDT Y TAREAS'!M21,0),IF(AND(5&gt;='EDT Y TAREAS'!AK22,5&lt;'EDT Y TAREAS'!AL22),'EDT Y TAREAS'!AD22/'EDT Y TAREAS'!M22,0),IF(AND(5&gt;='EDT Y TAREAS'!AK23,5&lt;'EDT Y TAREAS'!AL23),'EDT Y TAREAS'!AD23/'EDT Y TAREAS'!M23,0),IF(AND(5&gt;='EDT Y TAREAS'!AK26,5&lt;'EDT Y TAREAS'!AL26),'EDT Y TAREAS'!AD26/'EDT Y TAREAS'!M26,0),IF(AND(5&gt;='EDT Y TAREAS'!AK28,5&lt;'EDT Y TAREAS'!AL28),'EDT Y TAREAS'!AD28/'EDT Y TAREAS'!M28,0),IF(AND(5&gt;='EDT Y TAREAS'!AK30,5&lt;'EDT Y TAREAS'!AL30),'EDT Y TAREAS'!AD30/'EDT Y TAREAS'!M30,0),IF(AND(5&gt;='EDT Y TAREAS'!AK32,5&lt;'EDT Y TAREAS'!AL32),'EDT Y TAREAS'!AD32/'EDT Y TAREAS'!M32,0),IF(AND(5&gt;='EDT Y TAREAS'!AK34,5&lt;'EDT Y TAREAS'!AL34),'EDT Y TAREAS'!AD34/'EDT Y TAREAS'!M34,0),IF(AND(5&gt;='EDT Y TAREAS'!AK38,5&lt;'EDT Y TAREAS'!AL38),'EDT Y TAREAS'!AD38/'EDT Y TAREAS'!M38,0),IF(AND(5&gt;='EDT Y TAREAS'!AK39,5&lt;'EDT Y TAREAS'!AL39),'EDT Y TAREAS'!AD39/'EDT Y TAREAS'!M39,0),IF(AND(5&gt;='EDT Y TAREAS'!AK43,5&lt;'EDT Y TAREAS'!AL43),'EDT Y TAREAS'!AD43/'EDT Y TAREAS'!M43,0),IF(AND(5&gt;='EDT Y TAREAS'!AK44,5&lt;'EDT Y TAREAS'!AL44),'EDT Y TAREAS'!AD44/'EDT Y TAREAS'!M44,0),IF(AND(5&gt;='EDT Y TAREAS'!AK45,5&lt;'EDT Y TAREAS'!AL45),'EDT Y TAREAS'!AD45/'EDT Y TAREAS'!M45,0),IF(AND(5&gt;='EDT Y TAREAS'!AK46,5&lt;'EDT Y TAREAS'!AL46),'EDT Y TAREAS'!AD46/'EDT Y TAREAS'!M46,0),IF(AND(5&gt;='EDT Y TAREAS'!AK47,5&lt;'EDT Y TAREAS'!AL47),'EDT Y TAREAS'!AD47/'EDT Y TAREAS'!M47,0),IF(AND(5&gt;='EDT Y TAREAS'!AK49,5&lt;'EDT Y TAREAS'!AL49),'EDT Y TAREAS'!AD49/'EDT Y TAREAS'!M49,0),IF(AND(5&gt;='EDT Y TAREAS'!AK50,5&lt;'EDT Y TAREAS'!AL50),'EDT Y TAREAS'!AD50/'EDT Y TAREAS'!M50,0),IF(AND(5&gt;='EDT Y TAREAS'!AK51,5&lt;'EDT Y TAREAS'!AL51),'EDT Y TAREAS'!AD51/'EDT Y TAREAS'!M51,0),IF(AND(5&gt;='EDT Y TAREAS'!AK52,5&lt;'EDT Y TAREAS'!AL52),'EDT Y TAREAS'!AD52/'EDT Y TAREAS'!M52,0))</x:f>
        <x:v>6</x:v>
      </x:c>
      <x:c r="C45" s="35" t="n">
        <x:f>SUM(IF(AND(5&gt;='EDT Y TAREAS'!AK6,5&lt;'EDT Y TAREAS'!AL6),'EDT Y TAREAS'!AE6/'EDT Y TAREAS'!M6,0),IF(AND(5&gt;='EDT Y TAREAS'!AK8,5&lt;'EDT Y TAREAS'!AL8),'EDT Y TAREAS'!AE8/'EDT Y TAREAS'!M8,0),IF(AND(5&gt;='EDT Y TAREAS'!AK9,5&lt;'EDT Y TAREAS'!AL9),'EDT Y TAREAS'!AE9/'EDT Y TAREAS'!M9,0),IF(AND(5&gt;='EDT Y TAREAS'!AK10,5&lt;'EDT Y TAREAS'!AL10),'EDT Y TAREAS'!AE10/'EDT Y TAREAS'!M10,0),IF(AND(5&gt;='EDT Y TAREAS'!AK12,5&lt;'EDT Y TAREAS'!AL12),'EDT Y TAREAS'!AE12/'EDT Y TAREAS'!M12,0),IF(AND(5&gt;='EDT Y TAREAS'!AK16,5&lt;'EDT Y TAREAS'!AL16),'EDT Y TAREAS'!AE16/'EDT Y TAREAS'!M16,0),IF(AND(5&gt;='EDT Y TAREAS'!AK21,5&lt;'EDT Y TAREAS'!AL21),'EDT Y TAREAS'!AE21/'EDT Y TAREAS'!M21,0),IF(AND(5&gt;='EDT Y TAREAS'!AK23,5&lt;'EDT Y TAREAS'!AL23),'EDT Y TAREAS'!AE23/'EDT Y TAREAS'!M23,0),IF(AND(5&gt;='EDT Y TAREAS'!AK37,5&lt;'EDT Y TAREAS'!AL37),'EDT Y TAREAS'!AE37/'EDT Y TAREAS'!M37,0),IF(AND(5&gt;='EDT Y TAREAS'!AK38,5&lt;'EDT Y TAREAS'!AL38),'EDT Y TAREAS'!AE38/'EDT Y TAREAS'!M38,0),IF(AND(5&gt;='EDT Y TAREAS'!AK41,5&lt;'EDT Y TAREAS'!AL41),'EDT Y TAREAS'!AE41/'EDT Y TAREAS'!M41,0),IF(AND(5&gt;='EDT Y TAREAS'!AK43,5&lt;'EDT Y TAREAS'!AL43),'EDT Y TAREAS'!AE43/'EDT Y TAREAS'!M43,0),IF(AND(5&gt;='EDT Y TAREAS'!AK44,5&lt;'EDT Y TAREAS'!AL44),'EDT Y TAREAS'!AE44/'EDT Y TAREAS'!M44,0),IF(AND(5&gt;='EDT Y TAREAS'!AK46,5&lt;'EDT Y TAREAS'!AL46),'EDT Y TAREAS'!AE46/'EDT Y TAREAS'!M46,0),IF(AND(5&gt;='EDT Y TAREAS'!AK47,5&lt;'EDT Y TAREAS'!AL47),'EDT Y TAREAS'!AE47/'EDT Y TAREAS'!M47,0),IF(AND(5&gt;='EDT Y TAREAS'!AK51,5&lt;'EDT Y TAREAS'!AL51),'EDT Y TAREAS'!AE51/'EDT Y TAREAS'!M51,0),IF(AND(5&gt;='EDT Y TAREAS'!AK52,5&lt;'EDT Y TAREAS'!AL52),'EDT Y TAREAS'!AE52/'EDT Y TAREAS'!M52,0))</x:f>
        <x:v>1.2</x:v>
      </x:c>
      <x:c r="D45" s="35" t="n">
        <x:f>SUM(IF(AND(5&gt;='EDT Y TAREAS'!AK11,5&lt;'EDT Y TAREAS'!AL11),'EDT Y TAREAS'!AF11/'EDT Y TAREAS'!M11,0),IF(AND(5&gt;='EDT Y TAREAS'!AK24,5&lt;'EDT Y TAREAS'!AL24),'EDT Y TAREAS'!AF24/'EDT Y TAREAS'!M24,0),IF(AND(5&gt;='EDT Y TAREAS'!AK25,5&lt;'EDT Y TAREAS'!AL25),'EDT Y TAREAS'!AF25/'EDT Y TAREAS'!M25,0),IF(AND(5&gt;='EDT Y TAREAS'!AK26,5&lt;'EDT Y TAREAS'!AL26),'EDT Y TAREAS'!AF26/'EDT Y TAREAS'!M26,0),IF(AND(5&gt;='EDT Y TAREAS'!AK27,5&lt;'EDT Y TAREAS'!AL27),'EDT Y TAREAS'!AF27/'EDT Y TAREAS'!M27,0),IF(AND(5&gt;='EDT Y TAREAS'!AK28,5&lt;'EDT Y TAREAS'!AL28),'EDT Y TAREAS'!AF28/'EDT Y TAREAS'!M28,0),IF(AND(5&gt;='EDT Y TAREAS'!AK31,5&lt;'EDT Y TAREAS'!AL31),'EDT Y TAREAS'!AF31/'EDT Y TAREAS'!M31,0),IF(AND(5&gt;='EDT Y TAREAS'!AK33,5&lt;'EDT Y TAREAS'!AL33),'EDT Y TAREAS'!AF33/'EDT Y TAREAS'!M33,0),IF(AND(5&gt;='EDT Y TAREAS'!AK34,5&lt;'EDT Y TAREAS'!AL34),'EDT Y TAREAS'!AF34/'EDT Y TAREAS'!M34,0),IF(AND(5&gt;='EDT Y TAREAS'!AK35,5&lt;'EDT Y TAREAS'!AL35),'EDT Y TAREAS'!AF35/'EDT Y TAREAS'!M35,0),IF(AND(5&gt;='EDT Y TAREAS'!AK37,5&lt;'EDT Y TAREAS'!AL37),'EDT Y TAREAS'!AF37/'EDT Y TAREAS'!M37,0),IF(AND(5&gt;='EDT Y TAREAS'!AK39,5&lt;'EDT Y TAREAS'!AL39),'EDT Y TAREAS'!AF39/'EDT Y TAREAS'!M39,0),IF(AND(5&gt;='EDT Y TAREAS'!AK40,5&lt;'EDT Y TAREAS'!AL40),'EDT Y TAREAS'!AF40/'EDT Y TAREAS'!M40,0),IF(AND(5&gt;='EDT Y TAREAS'!AK42,5&lt;'EDT Y TAREAS'!AL42),'EDT Y TAREAS'!AF42/'EDT Y TAREAS'!M42,0),IF(AND(5&gt;='EDT Y TAREAS'!AK45,5&lt;'EDT Y TAREAS'!AL45),'EDT Y TAREAS'!AF45/'EDT Y TAREAS'!M45,0),IF(AND(5&gt;='EDT Y TAREAS'!AK49,5&lt;'EDT Y TAREAS'!AL49),'EDT Y TAREAS'!AF49/'EDT Y TAREAS'!M49,0),IF(AND(5&gt;='EDT Y TAREAS'!AK52,5&lt;'EDT Y TAREAS'!AL52),'EDT Y TAREAS'!AF52/'EDT Y TAREAS'!M52,0))</x:f>
        <x:v>0</x:v>
      </x:c>
      <x:c r="E45" s="35" t="n">
        <x:f>SUM(IF(AND(5&gt;='EDT Y TAREAS'!AK29,5&lt;'EDT Y TAREAS'!AL29),'EDT Y TAREAS'!AG29/'EDT Y TAREAS'!M29,0),IF(AND(5&gt;='EDT Y TAREAS'!AK30,5&lt;'EDT Y TAREAS'!AL30),'EDT Y TAREAS'!AG30/'EDT Y TAREAS'!M30,0),IF(AND(5&gt;='EDT Y TAREAS'!AK31,5&lt;'EDT Y TAREAS'!AL31),'EDT Y TAREAS'!AG31/'EDT Y TAREAS'!M31,0),IF(AND(5&gt;='EDT Y TAREAS'!AK32,5&lt;'EDT Y TAREAS'!AL32),'EDT Y TAREAS'!AG32/'EDT Y TAREAS'!M32,0),IF(AND(5&gt;='EDT Y TAREAS'!AK41,5&lt;'EDT Y TAREAS'!AL41),'EDT Y TAREAS'!AG41/'EDT Y TAREAS'!M41,0),IF(AND(5&gt;='EDT Y TAREAS'!AK45,5&lt;'EDT Y TAREAS'!AL45),'EDT Y TAREAS'!AG45/'EDT Y TAREAS'!M45,0),IF(AND(5&gt;='EDT Y TAREAS'!AK48,5&lt;'EDT Y TAREAS'!AL48),'EDT Y TAREAS'!AG48/'EDT Y TAREAS'!M48,0))</x:f>
        <x:v>0</x:v>
      </x:c>
      <x:c r="F45" s="35" t="n">
        <x:f>SUM(IF(AND(5&gt;='EDT Y TAREAS'!AK10,5&lt;'EDT Y TAREAS'!AL10),'EDT Y TAREAS'!AH10/'EDT Y TAREAS'!M10,0),IF(AND(5&gt;='EDT Y TAREAS'!AK12,5&lt;'EDT Y TAREAS'!AL12),'EDT Y TAREAS'!AH12/'EDT Y TAREAS'!M12,0),IF(AND(5&gt;='EDT Y TAREAS'!AK22,5&lt;'EDT Y TAREAS'!AL22),'EDT Y TAREAS'!AH22/'EDT Y TAREAS'!M22,0),IF(AND(5&gt;='EDT Y TAREAS'!AK23,5&lt;'EDT Y TAREAS'!AL23),'EDT Y TAREAS'!AH23/'EDT Y TAREAS'!M23,0),IF(AND(5&gt;='EDT Y TAREAS'!AK29,5&lt;'EDT Y TAREAS'!AL29),'EDT Y TAREAS'!AH29/'EDT Y TAREAS'!M29,0),IF(AND(5&gt;='EDT Y TAREAS'!AK30,5&lt;'EDT Y TAREAS'!AL30),'EDT Y TAREAS'!AH30/'EDT Y TAREAS'!M30,0),IF(AND(5&gt;='EDT Y TAREAS'!AK32,5&lt;'EDT Y TAREAS'!AL32),'EDT Y TAREAS'!AH32/'EDT Y TAREAS'!M32,0),IF(AND(5&gt;='EDT Y TAREAS'!AK41,5&lt;'EDT Y TAREAS'!AL41),'EDT Y TAREAS'!AH41/'EDT Y TAREAS'!M41,0),IF(AND(5&gt;='EDT Y TAREAS'!AK44,5&lt;'EDT Y TAREAS'!AL44),'EDT Y TAREAS'!AH44/'EDT Y TAREAS'!M44,0),IF(AND(5&gt;='EDT Y TAREAS'!AK46,5&lt;'EDT Y TAREAS'!AL46),'EDT Y TAREAS'!AH46/'EDT Y TAREAS'!M46,0),IF(AND(5&gt;='EDT Y TAREAS'!AK48,5&lt;'EDT Y TAREAS'!AL48),'EDT Y TAREAS'!AH48/'EDT Y TAREAS'!M48,0))</x:f>
        <x:v>0</x:v>
      </x:c>
      <x:c r="G45" s="35" t="n">
        <x:f>SUM(IF(AND(5&gt;='EDT Y TAREAS'!AK20,5&lt;'EDT Y TAREAS'!AL20),'EDT Y TAREAS'!AI20/'EDT Y TAREAS'!M20,0),IF(AND(5&gt;='EDT Y TAREAS'!AK25,5&lt;'EDT Y TAREAS'!AL25),'EDT Y TAREAS'!AI25/'EDT Y TAREAS'!M25,0),IF(AND(5&gt;='EDT Y TAREAS'!AK33,5&lt;'EDT Y TAREAS'!AL33),'EDT Y TAREAS'!AI33/'EDT Y TAREAS'!M33,0),IF(AND(5&gt;='EDT Y TAREAS'!AK34,5&lt;'EDT Y TAREAS'!AL34),'EDT Y TAREAS'!AI34/'EDT Y TAREAS'!M34,0),IF(AND(5&gt;='EDT Y TAREAS'!AK36,5&lt;'EDT Y TAREAS'!AL36),'EDT Y TAREAS'!AI36/'EDT Y TAREAS'!M36,0),IF(AND(5&gt;='EDT Y TAREAS'!AK39,5&lt;'EDT Y TAREAS'!AL39),'EDT Y TAREAS'!AI39/'EDT Y TAREAS'!M39,0),IF(AND(5&gt;='EDT Y TAREAS'!AK40,5&lt;'EDT Y TAREAS'!AL40),'EDT Y TAREAS'!AI40/'EDT Y TAREAS'!M40,0),IF(AND(5&gt;='EDT Y TAREAS'!AK42,5&lt;'EDT Y TAREAS'!AL42),'EDT Y TAREAS'!AI42/'EDT Y TAREAS'!M42,0),IF(AND(5&gt;='EDT Y TAREAS'!AK43,5&lt;'EDT Y TAREAS'!AL43),'EDT Y TAREAS'!AI43/'EDT Y TAREAS'!M43,0),IF(AND(5&gt;='EDT Y TAREAS'!AK44,5&lt;'EDT Y TAREAS'!AL44),'EDT Y TAREAS'!AI44/'EDT Y TAREAS'!M44,0),IF(AND(5&gt;='EDT Y TAREAS'!AK45,5&lt;'EDT Y TAREAS'!AL45),'EDT Y TAREAS'!AI45/'EDT Y TAREAS'!M45,0),IF(AND(5&gt;='EDT Y TAREAS'!AK46,5&lt;'EDT Y TAREAS'!AL46),'EDT Y TAREAS'!AI46/'EDT Y TAREAS'!M46,0),IF(AND(5&gt;='EDT Y TAREAS'!AK48,5&lt;'EDT Y TAREAS'!AL48),'EDT Y TAREAS'!AI48/'EDT Y TAREAS'!M48,0),IF(AND(5&gt;='EDT Y TAREAS'!AK50,5&lt;'EDT Y TAREAS'!AL50),'EDT Y TAREAS'!AI50/'EDT Y TAREAS'!M50,0),IF(AND(5&gt;='EDT Y TAREAS'!AK52,5&lt;'EDT Y TAREAS'!AL52),'EDT Y TAREAS'!AI52/'EDT Y TAREAS'!M52,0))</x:f>
        <x:v>0</x:v>
      </x:c>
      <x:c r="H45" s="35" t="n">
        <x:f>SUM(IF(AND(5&gt;='EDT Y TAREAS'!AK11,5&lt;'EDT Y TAREAS'!AL11),'EDT Y TAREAS'!AJ11/'EDT Y TAREAS'!M11,0),IF(AND(5&gt;='EDT Y TAREAS'!AK24,5&lt;'EDT Y TAREAS'!AL24),'EDT Y TAREAS'!AJ24/'EDT Y TAREAS'!M24,0),IF(AND(5&gt;='EDT Y TAREAS'!AK27,5&lt;'EDT Y TAREAS'!AL27),'EDT Y TAREAS'!AJ27/'EDT Y TAREAS'!M27,0),IF(AND(5&gt;='EDT Y TAREAS'!AK28,5&lt;'EDT Y TAREAS'!AL28),'EDT Y TAREAS'!AJ28/'EDT Y TAREAS'!M28,0),IF(AND(5&gt;='EDT Y TAREAS'!AK33,5&lt;'EDT Y TAREAS'!AL33),'EDT Y TAREAS'!AJ33/'EDT Y TAREAS'!M33,0),IF(AND(5&gt;='EDT Y TAREAS'!AK35,5&lt;'EDT Y TAREAS'!AL35),'EDT Y TAREAS'!AJ35/'EDT Y TAREAS'!M35,0),IF(AND(5&gt;='EDT Y TAREAS'!AK36,5&lt;'EDT Y TAREAS'!AL36),'EDT Y TAREAS'!AJ36/'EDT Y TAREAS'!M36,0),IF(AND(5&gt;='EDT Y TAREAS'!AK37,5&lt;'EDT Y TAREAS'!AL37),'EDT Y TAREAS'!AJ37/'EDT Y TAREAS'!M37,0),IF(AND(5&gt;='EDT Y TAREAS'!AK40,5&lt;'EDT Y TAREAS'!AL40),'EDT Y TAREAS'!AJ40/'EDT Y TAREAS'!M40,0),IF(AND(5&gt;='EDT Y TAREAS'!AK42,5&lt;'EDT Y TAREAS'!AL42),'EDT Y TAREAS'!AJ42/'EDT Y TAREAS'!M42,0),IF(AND(5&gt;='EDT Y TAREAS'!AK49,5&lt;'EDT Y TAREAS'!AL49),'EDT Y TAREAS'!AJ49/'EDT Y TAREAS'!M49,0),IF(AND(5&gt;='EDT Y TAREAS'!AK50,5&lt;'EDT Y TAREAS'!AL50),'EDT Y TAREAS'!AJ50/'EDT Y TAREAS'!M50,0),IF(AND(5&gt;='EDT Y TAREAS'!AK51,5&lt;'EDT Y TAREAS'!AL51),'EDT Y TAREAS'!AJ51/'EDT Y TAREAS'!M51,0),IF(AND(5&gt;='EDT Y TAREAS'!AK52,5&lt;'EDT Y TAREAS'!AL52),'EDT Y TAREAS'!AJ52/'EDT Y TAREAS'!M52,0))</x:f>
        <x:v>0</x:v>
      </x:c>
      <x:c r="I45" s="10" t="n">
        <x:f>WORKDAY('RESUMEN'!$D$3-1,A45,'RESUMEN'!$J$6:$J$25)</x:f>
        <x:v>46335</x:v>
      </x:c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</x:row>
    <x:row r="46" ht="24" customHeight="1">
      <x:c r="A46" s="3" t="n">
        <x:v>7</x:v>
      </x:c>
      <x:c r="B46" s="35" t="n">
        <x:f>SUM(IF(AND(6&gt;='EDT Y TAREAS'!AK6,6&lt;'EDT Y TAREAS'!AL6),'EDT Y TAREAS'!AD6/'EDT Y TAREAS'!M6,0),IF(AND(6&gt;='EDT Y TAREAS'!AK7,6&lt;'EDT Y TAREAS'!AL7),'EDT Y TAREAS'!AD7/'EDT Y TAREAS'!M7,0),IF(AND(6&gt;='EDT Y TAREAS'!AK8,6&lt;'EDT Y TAREAS'!AL8),'EDT Y TAREAS'!AD8/'EDT Y TAREAS'!M8,0),IF(AND(6&gt;='EDT Y TAREAS'!AK9,6&lt;'EDT Y TAREAS'!AL9),'EDT Y TAREAS'!AD9/'EDT Y TAREAS'!M9,0),IF(AND(6&gt;='EDT Y TAREAS'!AK10,6&lt;'EDT Y TAREAS'!AL10),'EDT Y TAREAS'!AD10/'EDT Y TAREAS'!M10,0),IF(AND(6&gt;='EDT Y TAREAS'!AK11,6&lt;'EDT Y TAREAS'!AL11),'EDT Y TAREAS'!AD11/'EDT Y TAREAS'!M11,0),IF(AND(6&gt;='EDT Y TAREAS'!AK12,6&lt;'EDT Y TAREAS'!AL12),'EDT Y TAREAS'!AD12/'EDT Y TAREAS'!M12,0),IF(AND(6&gt;='EDT Y TAREAS'!AK13,6&lt;'EDT Y TAREAS'!AL13),'EDT Y TAREAS'!AD13/'EDT Y TAREAS'!M13,0),IF(AND(6&gt;='EDT Y TAREAS'!AK14,6&lt;'EDT Y TAREAS'!AL14),'EDT Y TAREAS'!AD14/'EDT Y TAREAS'!M14,0),IF(AND(6&gt;='EDT Y TAREAS'!AK15,6&lt;'EDT Y TAREAS'!AL15),'EDT Y TAREAS'!AD15/'EDT Y TAREAS'!M15,0),IF(AND(6&gt;='EDT Y TAREAS'!AK16,6&lt;'EDT Y TAREAS'!AL16),'EDT Y TAREAS'!AD16/'EDT Y TAREAS'!M16,0),IF(AND(6&gt;='EDT Y TAREAS'!AK17,6&lt;'EDT Y TAREAS'!AL17),'EDT Y TAREAS'!AD17/'EDT Y TAREAS'!M17,0),IF(AND(6&gt;='EDT Y TAREAS'!AK18,6&lt;'EDT Y TAREAS'!AL18),'EDT Y TAREAS'!AD18/'EDT Y TAREAS'!M18,0),IF(AND(6&gt;='EDT Y TAREAS'!AK19,6&lt;'EDT Y TAREAS'!AL19),'EDT Y TAREAS'!AD19/'EDT Y TAREAS'!M19,0),IF(AND(6&gt;='EDT Y TAREAS'!AK20,6&lt;'EDT Y TAREAS'!AL20),'EDT Y TAREAS'!AD20/'EDT Y TAREAS'!M20,0),IF(AND(6&gt;='EDT Y TAREAS'!AK21,6&lt;'EDT Y TAREAS'!AL21),'EDT Y TAREAS'!AD21/'EDT Y TAREAS'!M21,0),IF(AND(6&gt;='EDT Y TAREAS'!AK22,6&lt;'EDT Y TAREAS'!AL22),'EDT Y TAREAS'!AD22/'EDT Y TAREAS'!M22,0),IF(AND(6&gt;='EDT Y TAREAS'!AK23,6&lt;'EDT Y TAREAS'!AL23),'EDT Y TAREAS'!AD23/'EDT Y TAREAS'!M23,0),IF(AND(6&gt;='EDT Y TAREAS'!AK26,6&lt;'EDT Y TAREAS'!AL26),'EDT Y TAREAS'!AD26/'EDT Y TAREAS'!M26,0),IF(AND(6&gt;='EDT Y TAREAS'!AK28,6&lt;'EDT Y TAREAS'!AL28),'EDT Y TAREAS'!AD28/'EDT Y TAREAS'!M28,0),IF(AND(6&gt;='EDT Y TAREAS'!AK30,6&lt;'EDT Y TAREAS'!AL30),'EDT Y TAREAS'!AD30/'EDT Y TAREAS'!M30,0),IF(AND(6&gt;='EDT Y TAREAS'!AK32,6&lt;'EDT Y TAREAS'!AL32),'EDT Y TAREAS'!AD32/'EDT Y TAREAS'!M32,0),IF(AND(6&gt;='EDT Y TAREAS'!AK34,6&lt;'EDT Y TAREAS'!AL34),'EDT Y TAREAS'!AD34/'EDT Y TAREAS'!M34,0),IF(AND(6&gt;='EDT Y TAREAS'!AK38,6&lt;'EDT Y TAREAS'!AL38),'EDT Y TAREAS'!AD38/'EDT Y TAREAS'!M38,0),IF(AND(6&gt;='EDT Y TAREAS'!AK39,6&lt;'EDT Y TAREAS'!AL39),'EDT Y TAREAS'!AD39/'EDT Y TAREAS'!M39,0),IF(AND(6&gt;='EDT Y TAREAS'!AK43,6&lt;'EDT Y TAREAS'!AL43),'EDT Y TAREAS'!AD43/'EDT Y TAREAS'!M43,0),IF(AND(6&gt;='EDT Y TAREAS'!AK44,6&lt;'EDT Y TAREAS'!AL44),'EDT Y TAREAS'!AD44/'EDT Y TAREAS'!M44,0),IF(AND(6&gt;='EDT Y TAREAS'!AK45,6&lt;'EDT Y TAREAS'!AL45),'EDT Y TAREAS'!AD45/'EDT Y TAREAS'!M45,0),IF(AND(6&gt;='EDT Y TAREAS'!AK46,6&lt;'EDT Y TAREAS'!AL46),'EDT Y TAREAS'!AD46/'EDT Y TAREAS'!M46,0),IF(AND(6&gt;='EDT Y TAREAS'!AK47,6&lt;'EDT Y TAREAS'!AL47),'EDT Y TAREAS'!AD47/'EDT Y TAREAS'!M47,0),IF(AND(6&gt;='EDT Y TAREAS'!AK49,6&lt;'EDT Y TAREAS'!AL49),'EDT Y TAREAS'!AD49/'EDT Y TAREAS'!M49,0),IF(AND(6&gt;='EDT Y TAREAS'!AK50,6&lt;'EDT Y TAREAS'!AL50),'EDT Y TAREAS'!AD50/'EDT Y TAREAS'!M50,0),IF(AND(6&gt;='EDT Y TAREAS'!AK51,6&lt;'EDT Y TAREAS'!AL51),'EDT Y TAREAS'!AD51/'EDT Y TAREAS'!M51,0),IF(AND(6&gt;='EDT Y TAREAS'!AK52,6&lt;'EDT Y TAREAS'!AL52),'EDT Y TAREAS'!AD52/'EDT Y TAREAS'!M52,0))</x:f>
        <x:v>6</x:v>
      </x:c>
      <x:c r="C46" s="35" t="n">
        <x:f>SUM(IF(AND(6&gt;='EDT Y TAREAS'!AK6,6&lt;'EDT Y TAREAS'!AL6),'EDT Y TAREAS'!AE6/'EDT Y TAREAS'!M6,0),IF(AND(6&gt;='EDT Y TAREAS'!AK8,6&lt;'EDT Y TAREAS'!AL8),'EDT Y TAREAS'!AE8/'EDT Y TAREAS'!M8,0),IF(AND(6&gt;='EDT Y TAREAS'!AK9,6&lt;'EDT Y TAREAS'!AL9),'EDT Y TAREAS'!AE9/'EDT Y TAREAS'!M9,0),IF(AND(6&gt;='EDT Y TAREAS'!AK10,6&lt;'EDT Y TAREAS'!AL10),'EDT Y TAREAS'!AE10/'EDT Y TAREAS'!M10,0),IF(AND(6&gt;='EDT Y TAREAS'!AK12,6&lt;'EDT Y TAREAS'!AL12),'EDT Y TAREAS'!AE12/'EDT Y TAREAS'!M12,0),IF(AND(6&gt;='EDT Y TAREAS'!AK16,6&lt;'EDT Y TAREAS'!AL16),'EDT Y TAREAS'!AE16/'EDT Y TAREAS'!M16,0),IF(AND(6&gt;='EDT Y TAREAS'!AK21,6&lt;'EDT Y TAREAS'!AL21),'EDT Y TAREAS'!AE21/'EDT Y TAREAS'!M21,0),IF(AND(6&gt;='EDT Y TAREAS'!AK23,6&lt;'EDT Y TAREAS'!AL23),'EDT Y TAREAS'!AE23/'EDT Y TAREAS'!M23,0),IF(AND(6&gt;='EDT Y TAREAS'!AK37,6&lt;'EDT Y TAREAS'!AL37),'EDT Y TAREAS'!AE37/'EDT Y TAREAS'!M37,0),IF(AND(6&gt;='EDT Y TAREAS'!AK38,6&lt;'EDT Y TAREAS'!AL38),'EDT Y TAREAS'!AE38/'EDT Y TAREAS'!M38,0),IF(AND(6&gt;='EDT Y TAREAS'!AK41,6&lt;'EDT Y TAREAS'!AL41),'EDT Y TAREAS'!AE41/'EDT Y TAREAS'!M41,0),IF(AND(6&gt;='EDT Y TAREAS'!AK43,6&lt;'EDT Y TAREAS'!AL43),'EDT Y TAREAS'!AE43/'EDT Y TAREAS'!M43,0),IF(AND(6&gt;='EDT Y TAREAS'!AK44,6&lt;'EDT Y TAREAS'!AL44),'EDT Y TAREAS'!AE44/'EDT Y TAREAS'!M44,0),IF(AND(6&gt;='EDT Y TAREAS'!AK46,6&lt;'EDT Y TAREAS'!AL46),'EDT Y TAREAS'!AE46/'EDT Y TAREAS'!M46,0),IF(AND(6&gt;='EDT Y TAREAS'!AK47,6&lt;'EDT Y TAREAS'!AL47),'EDT Y TAREAS'!AE47/'EDT Y TAREAS'!M47,0),IF(AND(6&gt;='EDT Y TAREAS'!AK51,6&lt;'EDT Y TAREAS'!AL51),'EDT Y TAREAS'!AE51/'EDT Y TAREAS'!M51,0),IF(AND(6&gt;='EDT Y TAREAS'!AK52,6&lt;'EDT Y TAREAS'!AL52),'EDT Y TAREAS'!AE52/'EDT Y TAREAS'!M52,0))</x:f>
        <x:v>1.2</x:v>
      </x:c>
      <x:c r="D46" s="35" t="n">
        <x:f>SUM(IF(AND(6&gt;='EDT Y TAREAS'!AK11,6&lt;'EDT Y TAREAS'!AL11),'EDT Y TAREAS'!AF11/'EDT Y TAREAS'!M11,0),IF(AND(6&gt;='EDT Y TAREAS'!AK24,6&lt;'EDT Y TAREAS'!AL24),'EDT Y TAREAS'!AF24/'EDT Y TAREAS'!M24,0),IF(AND(6&gt;='EDT Y TAREAS'!AK25,6&lt;'EDT Y TAREAS'!AL25),'EDT Y TAREAS'!AF25/'EDT Y TAREAS'!M25,0),IF(AND(6&gt;='EDT Y TAREAS'!AK26,6&lt;'EDT Y TAREAS'!AL26),'EDT Y TAREAS'!AF26/'EDT Y TAREAS'!M26,0),IF(AND(6&gt;='EDT Y TAREAS'!AK27,6&lt;'EDT Y TAREAS'!AL27),'EDT Y TAREAS'!AF27/'EDT Y TAREAS'!M27,0),IF(AND(6&gt;='EDT Y TAREAS'!AK28,6&lt;'EDT Y TAREAS'!AL28),'EDT Y TAREAS'!AF28/'EDT Y TAREAS'!M28,0),IF(AND(6&gt;='EDT Y TAREAS'!AK31,6&lt;'EDT Y TAREAS'!AL31),'EDT Y TAREAS'!AF31/'EDT Y TAREAS'!M31,0),IF(AND(6&gt;='EDT Y TAREAS'!AK33,6&lt;'EDT Y TAREAS'!AL33),'EDT Y TAREAS'!AF33/'EDT Y TAREAS'!M33,0),IF(AND(6&gt;='EDT Y TAREAS'!AK34,6&lt;'EDT Y TAREAS'!AL34),'EDT Y TAREAS'!AF34/'EDT Y TAREAS'!M34,0),IF(AND(6&gt;='EDT Y TAREAS'!AK35,6&lt;'EDT Y TAREAS'!AL35),'EDT Y TAREAS'!AF35/'EDT Y TAREAS'!M35,0),IF(AND(6&gt;='EDT Y TAREAS'!AK37,6&lt;'EDT Y TAREAS'!AL37),'EDT Y TAREAS'!AF37/'EDT Y TAREAS'!M37,0),IF(AND(6&gt;='EDT Y TAREAS'!AK39,6&lt;'EDT Y TAREAS'!AL39),'EDT Y TAREAS'!AF39/'EDT Y TAREAS'!M39,0),IF(AND(6&gt;='EDT Y TAREAS'!AK40,6&lt;'EDT Y TAREAS'!AL40),'EDT Y TAREAS'!AF40/'EDT Y TAREAS'!M40,0),IF(AND(6&gt;='EDT Y TAREAS'!AK42,6&lt;'EDT Y TAREAS'!AL42),'EDT Y TAREAS'!AF42/'EDT Y TAREAS'!M42,0),IF(AND(6&gt;='EDT Y TAREAS'!AK45,6&lt;'EDT Y TAREAS'!AL45),'EDT Y TAREAS'!AF45/'EDT Y TAREAS'!M45,0),IF(AND(6&gt;='EDT Y TAREAS'!AK49,6&lt;'EDT Y TAREAS'!AL49),'EDT Y TAREAS'!AF49/'EDT Y TAREAS'!M49,0),IF(AND(6&gt;='EDT Y TAREAS'!AK52,6&lt;'EDT Y TAREAS'!AL52),'EDT Y TAREAS'!AF52/'EDT Y TAREAS'!M52,0))</x:f>
        <x:v>0</x:v>
      </x:c>
      <x:c r="E46" s="35" t="n">
        <x:f>SUM(IF(AND(6&gt;='EDT Y TAREAS'!AK29,6&lt;'EDT Y TAREAS'!AL29),'EDT Y TAREAS'!AG29/'EDT Y TAREAS'!M29,0),IF(AND(6&gt;='EDT Y TAREAS'!AK30,6&lt;'EDT Y TAREAS'!AL30),'EDT Y TAREAS'!AG30/'EDT Y TAREAS'!M30,0),IF(AND(6&gt;='EDT Y TAREAS'!AK31,6&lt;'EDT Y TAREAS'!AL31),'EDT Y TAREAS'!AG31/'EDT Y TAREAS'!M31,0),IF(AND(6&gt;='EDT Y TAREAS'!AK32,6&lt;'EDT Y TAREAS'!AL32),'EDT Y TAREAS'!AG32/'EDT Y TAREAS'!M32,0),IF(AND(6&gt;='EDT Y TAREAS'!AK41,6&lt;'EDT Y TAREAS'!AL41),'EDT Y TAREAS'!AG41/'EDT Y TAREAS'!M41,0),IF(AND(6&gt;='EDT Y TAREAS'!AK45,6&lt;'EDT Y TAREAS'!AL45),'EDT Y TAREAS'!AG45/'EDT Y TAREAS'!M45,0),IF(AND(6&gt;='EDT Y TAREAS'!AK48,6&lt;'EDT Y TAREAS'!AL48),'EDT Y TAREAS'!AG48/'EDT Y TAREAS'!M48,0))</x:f>
        <x:v>0</x:v>
      </x:c>
      <x:c r="F46" s="35" t="n">
        <x:f>SUM(IF(AND(6&gt;='EDT Y TAREAS'!AK10,6&lt;'EDT Y TAREAS'!AL10),'EDT Y TAREAS'!AH10/'EDT Y TAREAS'!M10,0),IF(AND(6&gt;='EDT Y TAREAS'!AK12,6&lt;'EDT Y TAREAS'!AL12),'EDT Y TAREAS'!AH12/'EDT Y TAREAS'!M12,0),IF(AND(6&gt;='EDT Y TAREAS'!AK22,6&lt;'EDT Y TAREAS'!AL22),'EDT Y TAREAS'!AH22/'EDT Y TAREAS'!M22,0),IF(AND(6&gt;='EDT Y TAREAS'!AK23,6&lt;'EDT Y TAREAS'!AL23),'EDT Y TAREAS'!AH23/'EDT Y TAREAS'!M23,0),IF(AND(6&gt;='EDT Y TAREAS'!AK29,6&lt;'EDT Y TAREAS'!AL29),'EDT Y TAREAS'!AH29/'EDT Y TAREAS'!M29,0),IF(AND(6&gt;='EDT Y TAREAS'!AK30,6&lt;'EDT Y TAREAS'!AL30),'EDT Y TAREAS'!AH30/'EDT Y TAREAS'!M30,0),IF(AND(6&gt;='EDT Y TAREAS'!AK32,6&lt;'EDT Y TAREAS'!AL32),'EDT Y TAREAS'!AH32/'EDT Y TAREAS'!M32,0),IF(AND(6&gt;='EDT Y TAREAS'!AK41,6&lt;'EDT Y TAREAS'!AL41),'EDT Y TAREAS'!AH41/'EDT Y TAREAS'!M41,0),IF(AND(6&gt;='EDT Y TAREAS'!AK44,6&lt;'EDT Y TAREAS'!AL44),'EDT Y TAREAS'!AH44/'EDT Y TAREAS'!M44,0),IF(AND(6&gt;='EDT Y TAREAS'!AK46,6&lt;'EDT Y TAREAS'!AL46),'EDT Y TAREAS'!AH46/'EDT Y TAREAS'!M46,0),IF(AND(6&gt;='EDT Y TAREAS'!AK48,6&lt;'EDT Y TAREAS'!AL48),'EDT Y TAREAS'!AH48/'EDT Y TAREAS'!M48,0))</x:f>
        <x:v>0</x:v>
      </x:c>
      <x:c r="G46" s="35" t="n">
        <x:f>SUM(IF(AND(6&gt;='EDT Y TAREAS'!AK20,6&lt;'EDT Y TAREAS'!AL20),'EDT Y TAREAS'!AI20/'EDT Y TAREAS'!M20,0),IF(AND(6&gt;='EDT Y TAREAS'!AK25,6&lt;'EDT Y TAREAS'!AL25),'EDT Y TAREAS'!AI25/'EDT Y TAREAS'!M25,0),IF(AND(6&gt;='EDT Y TAREAS'!AK33,6&lt;'EDT Y TAREAS'!AL33),'EDT Y TAREAS'!AI33/'EDT Y TAREAS'!M33,0),IF(AND(6&gt;='EDT Y TAREAS'!AK34,6&lt;'EDT Y TAREAS'!AL34),'EDT Y TAREAS'!AI34/'EDT Y TAREAS'!M34,0),IF(AND(6&gt;='EDT Y TAREAS'!AK36,6&lt;'EDT Y TAREAS'!AL36),'EDT Y TAREAS'!AI36/'EDT Y TAREAS'!M36,0),IF(AND(6&gt;='EDT Y TAREAS'!AK39,6&lt;'EDT Y TAREAS'!AL39),'EDT Y TAREAS'!AI39/'EDT Y TAREAS'!M39,0),IF(AND(6&gt;='EDT Y TAREAS'!AK40,6&lt;'EDT Y TAREAS'!AL40),'EDT Y TAREAS'!AI40/'EDT Y TAREAS'!M40,0),IF(AND(6&gt;='EDT Y TAREAS'!AK42,6&lt;'EDT Y TAREAS'!AL42),'EDT Y TAREAS'!AI42/'EDT Y TAREAS'!M42,0),IF(AND(6&gt;='EDT Y TAREAS'!AK43,6&lt;'EDT Y TAREAS'!AL43),'EDT Y TAREAS'!AI43/'EDT Y TAREAS'!M43,0),IF(AND(6&gt;='EDT Y TAREAS'!AK44,6&lt;'EDT Y TAREAS'!AL44),'EDT Y TAREAS'!AI44/'EDT Y TAREAS'!M44,0),IF(AND(6&gt;='EDT Y TAREAS'!AK45,6&lt;'EDT Y TAREAS'!AL45),'EDT Y TAREAS'!AI45/'EDT Y TAREAS'!M45,0),IF(AND(6&gt;='EDT Y TAREAS'!AK46,6&lt;'EDT Y TAREAS'!AL46),'EDT Y TAREAS'!AI46/'EDT Y TAREAS'!M46,0),IF(AND(6&gt;='EDT Y TAREAS'!AK48,6&lt;'EDT Y TAREAS'!AL48),'EDT Y TAREAS'!AI48/'EDT Y TAREAS'!M48,0),IF(AND(6&gt;='EDT Y TAREAS'!AK50,6&lt;'EDT Y TAREAS'!AL50),'EDT Y TAREAS'!AI50/'EDT Y TAREAS'!M50,0),IF(AND(6&gt;='EDT Y TAREAS'!AK52,6&lt;'EDT Y TAREAS'!AL52),'EDT Y TAREAS'!AI52/'EDT Y TAREAS'!M52,0))</x:f>
        <x:v>0</x:v>
      </x:c>
      <x:c r="H46" s="35" t="n">
        <x:f>SUM(IF(AND(6&gt;='EDT Y TAREAS'!AK11,6&lt;'EDT Y TAREAS'!AL11),'EDT Y TAREAS'!AJ11/'EDT Y TAREAS'!M11,0),IF(AND(6&gt;='EDT Y TAREAS'!AK24,6&lt;'EDT Y TAREAS'!AL24),'EDT Y TAREAS'!AJ24/'EDT Y TAREAS'!M24,0),IF(AND(6&gt;='EDT Y TAREAS'!AK27,6&lt;'EDT Y TAREAS'!AL27),'EDT Y TAREAS'!AJ27/'EDT Y TAREAS'!M27,0),IF(AND(6&gt;='EDT Y TAREAS'!AK28,6&lt;'EDT Y TAREAS'!AL28),'EDT Y TAREAS'!AJ28/'EDT Y TAREAS'!M28,0),IF(AND(6&gt;='EDT Y TAREAS'!AK33,6&lt;'EDT Y TAREAS'!AL33),'EDT Y TAREAS'!AJ33/'EDT Y TAREAS'!M33,0),IF(AND(6&gt;='EDT Y TAREAS'!AK35,6&lt;'EDT Y TAREAS'!AL35),'EDT Y TAREAS'!AJ35/'EDT Y TAREAS'!M35,0),IF(AND(6&gt;='EDT Y TAREAS'!AK36,6&lt;'EDT Y TAREAS'!AL36),'EDT Y TAREAS'!AJ36/'EDT Y TAREAS'!M36,0),IF(AND(6&gt;='EDT Y TAREAS'!AK37,6&lt;'EDT Y TAREAS'!AL37),'EDT Y TAREAS'!AJ37/'EDT Y TAREAS'!M37,0),IF(AND(6&gt;='EDT Y TAREAS'!AK40,6&lt;'EDT Y TAREAS'!AL40),'EDT Y TAREAS'!AJ40/'EDT Y TAREAS'!M40,0),IF(AND(6&gt;='EDT Y TAREAS'!AK42,6&lt;'EDT Y TAREAS'!AL42),'EDT Y TAREAS'!AJ42/'EDT Y TAREAS'!M42,0),IF(AND(6&gt;='EDT Y TAREAS'!AK49,6&lt;'EDT Y TAREAS'!AL49),'EDT Y TAREAS'!AJ49/'EDT Y TAREAS'!M49,0),IF(AND(6&gt;='EDT Y TAREAS'!AK50,6&lt;'EDT Y TAREAS'!AL50),'EDT Y TAREAS'!AJ50/'EDT Y TAREAS'!M50,0),IF(AND(6&gt;='EDT Y TAREAS'!AK51,6&lt;'EDT Y TAREAS'!AL51),'EDT Y TAREAS'!AJ51/'EDT Y TAREAS'!M51,0),IF(AND(6&gt;='EDT Y TAREAS'!AK52,6&lt;'EDT Y TAREAS'!AL52),'EDT Y TAREAS'!AJ52/'EDT Y TAREAS'!M52,0))</x:f>
        <x:v>0</x:v>
      </x:c>
      <x:c r="I46" s="10" t="n">
        <x:f>WORKDAY('RESUMEN'!$D$3-1,A46,'RESUMEN'!$J$6:$J$25)</x:f>
        <x:v>46336</x:v>
      </x:c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</x:row>
    <x:row r="47" ht="24" customHeight="1">
      <x:c r="A47" s="3" t="n">
        <x:v>8</x:v>
      </x:c>
      <x:c r="B47" s="35" t="n">
        <x:f>SUM(IF(AND(7&gt;='EDT Y TAREAS'!AK6,7&lt;'EDT Y TAREAS'!AL6),'EDT Y TAREAS'!AD6/'EDT Y TAREAS'!M6,0),IF(AND(7&gt;='EDT Y TAREAS'!AK7,7&lt;'EDT Y TAREAS'!AL7),'EDT Y TAREAS'!AD7/'EDT Y TAREAS'!M7,0),IF(AND(7&gt;='EDT Y TAREAS'!AK8,7&lt;'EDT Y TAREAS'!AL8),'EDT Y TAREAS'!AD8/'EDT Y TAREAS'!M8,0),IF(AND(7&gt;='EDT Y TAREAS'!AK9,7&lt;'EDT Y TAREAS'!AL9),'EDT Y TAREAS'!AD9/'EDT Y TAREAS'!M9,0),IF(AND(7&gt;='EDT Y TAREAS'!AK10,7&lt;'EDT Y TAREAS'!AL10),'EDT Y TAREAS'!AD10/'EDT Y TAREAS'!M10,0),IF(AND(7&gt;='EDT Y TAREAS'!AK11,7&lt;'EDT Y TAREAS'!AL11),'EDT Y TAREAS'!AD11/'EDT Y TAREAS'!M11,0),IF(AND(7&gt;='EDT Y TAREAS'!AK12,7&lt;'EDT Y TAREAS'!AL12),'EDT Y TAREAS'!AD12/'EDT Y TAREAS'!M12,0),IF(AND(7&gt;='EDT Y TAREAS'!AK13,7&lt;'EDT Y TAREAS'!AL13),'EDT Y TAREAS'!AD13/'EDT Y TAREAS'!M13,0),IF(AND(7&gt;='EDT Y TAREAS'!AK14,7&lt;'EDT Y TAREAS'!AL14),'EDT Y TAREAS'!AD14/'EDT Y TAREAS'!M14,0),IF(AND(7&gt;='EDT Y TAREAS'!AK15,7&lt;'EDT Y TAREAS'!AL15),'EDT Y TAREAS'!AD15/'EDT Y TAREAS'!M15,0),IF(AND(7&gt;='EDT Y TAREAS'!AK16,7&lt;'EDT Y TAREAS'!AL16),'EDT Y TAREAS'!AD16/'EDT Y TAREAS'!M16,0),IF(AND(7&gt;='EDT Y TAREAS'!AK17,7&lt;'EDT Y TAREAS'!AL17),'EDT Y TAREAS'!AD17/'EDT Y TAREAS'!M17,0),IF(AND(7&gt;='EDT Y TAREAS'!AK18,7&lt;'EDT Y TAREAS'!AL18),'EDT Y TAREAS'!AD18/'EDT Y TAREAS'!M18,0),IF(AND(7&gt;='EDT Y TAREAS'!AK19,7&lt;'EDT Y TAREAS'!AL19),'EDT Y TAREAS'!AD19/'EDT Y TAREAS'!M19,0),IF(AND(7&gt;='EDT Y TAREAS'!AK20,7&lt;'EDT Y TAREAS'!AL20),'EDT Y TAREAS'!AD20/'EDT Y TAREAS'!M20,0),IF(AND(7&gt;='EDT Y TAREAS'!AK21,7&lt;'EDT Y TAREAS'!AL21),'EDT Y TAREAS'!AD21/'EDT Y TAREAS'!M21,0),IF(AND(7&gt;='EDT Y TAREAS'!AK22,7&lt;'EDT Y TAREAS'!AL22),'EDT Y TAREAS'!AD22/'EDT Y TAREAS'!M22,0),IF(AND(7&gt;='EDT Y TAREAS'!AK23,7&lt;'EDT Y TAREAS'!AL23),'EDT Y TAREAS'!AD23/'EDT Y TAREAS'!M23,0),IF(AND(7&gt;='EDT Y TAREAS'!AK26,7&lt;'EDT Y TAREAS'!AL26),'EDT Y TAREAS'!AD26/'EDT Y TAREAS'!M26,0),IF(AND(7&gt;='EDT Y TAREAS'!AK28,7&lt;'EDT Y TAREAS'!AL28),'EDT Y TAREAS'!AD28/'EDT Y TAREAS'!M28,0),IF(AND(7&gt;='EDT Y TAREAS'!AK30,7&lt;'EDT Y TAREAS'!AL30),'EDT Y TAREAS'!AD30/'EDT Y TAREAS'!M30,0),IF(AND(7&gt;='EDT Y TAREAS'!AK32,7&lt;'EDT Y TAREAS'!AL32),'EDT Y TAREAS'!AD32/'EDT Y TAREAS'!M32,0),IF(AND(7&gt;='EDT Y TAREAS'!AK34,7&lt;'EDT Y TAREAS'!AL34),'EDT Y TAREAS'!AD34/'EDT Y TAREAS'!M34,0),IF(AND(7&gt;='EDT Y TAREAS'!AK38,7&lt;'EDT Y TAREAS'!AL38),'EDT Y TAREAS'!AD38/'EDT Y TAREAS'!M38,0),IF(AND(7&gt;='EDT Y TAREAS'!AK39,7&lt;'EDT Y TAREAS'!AL39),'EDT Y TAREAS'!AD39/'EDT Y TAREAS'!M39,0),IF(AND(7&gt;='EDT Y TAREAS'!AK43,7&lt;'EDT Y TAREAS'!AL43),'EDT Y TAREAS'!AD43/'EDT Y TAREAS'!M43,0),IF(AND(7&gt;='EDT Y TAREAS'!AK44,7&lt;'EDT Y TAREAS'!AL44),'EDT Y TAREAS'!AD44/'EDT Y TAREAS'!M44,0),IF(AND(7&gt;='EDT Y TAREAS'!AK45,7&lt;'EDT Y TAREAS'!AL45),'EDT Y TAREAS'!AD45/'EDT Y TAREAS'!M45,0),IF(AND(7&gt;='EDT Y TAREAS'!AK46,7&lt;'EDT Y TAREAS'!AL46),'EDT Y TAREAS'!AD46/'EDT Y TAREAS'!M46,0),IF(AND(7&gt;='EDT Y TAREAS'!AK47,7&lt;'EDT Y TAREAS'!AL47),'EDT Y TAREAS'!AD47/'EDT Y TAREAS'!M47,0),IF(AND(7&gt;='EDT Y TAREAS'!AK49,7&lt;'EDT Y TAREAS'!AL49),'EDT Y TAREAS'!AD49/'EDT Y TAREAS'!M49,0),IF(AND(7&gt;='EDT Y TAREAS'!AK50,7&lt;'EDT Y TAREAS'!AL50),'EDT Y TAREAS'!AD50/'EDT Y TAREAS'!M50,0),IF(AND(7&gt;='EDT Y TAREAS'!AK51,7&lt;'EDT Y TAREAS'!AL51),'EDT Y TAREAS'!AD51/'EDT Y TAREAS'!M51,0),IF(AND(7&gt;='EDT Y TAREAS'!AK52,7&lt;'EDT Y TAREAS'!AL52),'EDT Y TAREAS'!AD52/'EDT Y TAREAS'!M52,0))</x:f>
        <x:v>6</x:v>
      </x:c>
      <x:c r="C47" s="35" t="n">
        <x:f>SUM(IF(AND(7&gt;='EDT Y TAREAS'!AK6,7&lt;'EDT Y TAREAS'!AL6),'EDT Y TAREAS'!AE6/'EDT Y TAREAS'!M6,0),IF(AND(7&gt;='EDT Y TAREAS'!AK8,7&lt;'EDT Y TAREAS'!AL8),'EDT Y TAREAS'!AE8/'EDT Y TAREAS'!M8,0),IF(AND(7&gt;='EDT Y TAREAS'!AK9,7&lt;'EDT Y TAREAS'!AL9),'EDT Y TAREAS'!AE9/'EDT Y TAREAS'!M9,0),IF(AND(7&gt;='EDT Y TAREAS'!AK10,7&lt;'EDT Y TAREAS'!AL10),'EDT Y TAREAS'!AE10/'EDT Y TAREAS'!M10,0),IF(AND(7&gt;='EDT Y TAREAS'!AK12,7&lt;'EDT Y TAREAS'!AL12),'EDT Y TAREAS'!AE12/'EDT Y TAREAS'!M12,0),IF(AND(7&gt;='EDT Y TAREAS'!AK16,7&lt;'EDT Y TAREAS'!AL16),'EDT Y TAREAS'!AE16/'EDT Y TAREAS'!M16,0),IF(AND(7&gt;='EDT Y TAREAS'!AK21,7&lt;'EDT Y TAREAS'!AL21),'EDT Y TAREAS'!AE21/'EDT Y TAREAS'!M21,0),IF(AND(7&gt;='EDT Y TAREAS'!AK23,7&lt;'EDT Y TAREAS'!AL23),'EDT Y TAREAS'!AE23/'EDT Y TAREAS'!M23,0),IF(AND(7&gt;='EDT Y TAREAS'!AK37,7&lt;'EDT Y TAREAS'!AL37),'EDT Y TAREAS'!AE37/'EDT Y TAREAS'!M37,0),IF(AND(7&gt;='EDT Y TAREAS'!AK38,7&lt;'EDT Y TAREAS'!AL38),'EDT Y TAREAS'!AE38/'EDT Y TAREAS'!M38,0),IF(AND(7&gt;='EDT Y TAREAS'!AK41,7&lt;'EDT Y TAREAS'!AL41),'EDT Y TAREAS'!AE41/'EDT Y TAREAS'!M41,0),IF(AND(7&gt;='EDT Y TAREAS'!AK43,7&lt;'EDT Y TAREAS'!AL43),'EDT Y TAREAS'!AE43/'EDT Y TAREAS'!M43,0),IF(AND(7&gt;='EDT Y TAREAS'!AK44,7&lt;'EDT Y TAREAS'!AL44),'EDT Y TAREAS'!AE44/'EDT Y TAREAS'!M44,0),IF(AND(7&gt;='EDT Y TAREAS'!AK46,7&lt;'EDT Y TAREAS'!AL46),'EDT Y TAREAS'!AE46/'EDT Y TAREAS'!M46,0),IF(AND(7&gt;='EDT Y TAREAS'!AK47,7&lt;'EDT Y TAREAS'!AL47),'EDT Y TAREAS'!AE47/'EDT Y TAREAS'!M47,0),IF(AND(7&gt;='EDT Y TAREAS'!AK51,7&lt;'EDT Y TAREAS'!AL51),'EDT Y TAREAS'!AE51/'EDT Y TAREAS'!M51,0),IF(AND(7&gt;='EDT Y TAREAS'!AK52,7&lt;'EDT Y TAREAS'!AL52),'EDT Y TAREAS'!AE52/'EDT Y TAREAS'!M52,0))</x:f>
        <x:v>1.2</x:v>
      </x:c>
      <x:c r="D47" s="35" t="n">
        <x:f>SUM(IF(AND(7&gt;='EDT Y TAREAS'!AK11,7&lt;'EDT Y TAREAS'!AL11),'EDT Y TAREAS'!AF11/'EDT Y TAREAS'!M11,0),IF(AND(7&gt;='EDT Y TAREAS'!AK24,7&lt;'EDT Y TAREAS'!AL24),'EDT Y TAREAS'!AF24/'EDT Y TAREAS'!M24,0),IF(AND(7&gt;='EDT Y TAREAS'!AK25,7&lt;'EDT Y TAREAS'!AL25),'EDT Y TAREAS'!AF25/'EDT Y TAREAS'!M25,0),IF(AND(7&gt;='EDT Y TAREAS'!AK26,7&lt;'EDT Y TAREAS'!AL26),'EDT Y TAREAS'!AF26/'EDT Y TAREAS'!M26,0),IF(AND(7&gt;='EDT Y TAREAS'!AK27,7&lt;'EDT Y TAREAS'!AL27),'EDT Y TAREAS'!AF27/'EDT Y TAREAS'!M27,0),IF(AND(7&gt;='EDT Y TAREAS'!AK28,7&lt;'EDT Y TAREAS'!AL28),'EDT Y TAREAS'!AF28/'EDT Y TAREAS'!M28,0),IF(AND(7&gt;='EDT Y TAREAS'!AK31,7&lt;'EDT Y TAREAS'!AL31),'EDT Y TAREAS'!AF31/'EDT Y TAREAS'!M31,0),IF(AND(7&gt;='EDT Y TAREAS'!AK33,7&lt;'EDT Y TAREAS'!AL33),'EDT Y TAREAS'!AF33/'EDT Y TAREAS'!M33,0),IF(AND(7&gt;='EDT Y TAREAS'!AK34,7&lt;'EDT Y TAREAS'!AL34),'EDT Y TAREAS'!AF34/'EDT Y TAREAS'!M34,0),IF(AND(7&gt;='EDT Y TAREAS'!AK35,7&lt;'EDT Y TAREAS'!AL35),'EDT Y TAREAS'!AF35/'EDT Y TAREAS'!M35,0),IF(AND(7&gt;='EDT Y TAREAS'!AK37,7&lt;'EDT Y TAREAS'!AL37),'EDT Y TAREAS'!AF37/'EDT Y TAREAS'!M37,0),IF(AND(7&gt;='EDT Y TAREAS'!AK39,7&lt;'EDT Y TAREAS'!AL39),'EDT Y TAREAS'!AF39/'EDT Y TAREAS'!M39,0),IF(AND(7&gt;='EDT Y TAREAS'!AK40,7&lt;'EDT Y TAREAS'!AL40),'EDT Y TAREAS'!AF40/'EDT Y TAREAS'!M40,0),IF(AND(7&gt;='EDT Y TAREAS'!AK42,7&lt;'EDT Y TAREAS'!AL42),'EDT Y TAREAS'!AF42/'EDT Y TAREAS'!M42,0),IF(AND(7&gt;='EDT Y TAREAS'!AK45,7&lt;'EDT Y TAREAS'!AL45),'EDT Y TAREAS'!AF45/'EDT Y TAREAS'!M45,0),IF(AND(7&gt;='EDT Y TAREAS'!AK49,7&lt;'EDT Y TAREAS'!AL49),'EDT Y TAREAS'!AF49/'EDT Y TAREAS'!M49,0),IF(AND(7&gt;='EDT Y TAREAS'!AK52,7&lt;'EDT Y TAREAS'!AL52),'EDT Y TAREAS'!AF52/'EDT Y TAREAS'!M52,0))</x:f>
        <x:v>0</x:v>
      </x:c>
      <x:c r="E47" s="35" t="n">
        <x:f>SUM(IF(AND(7&gt;='EDT Y TAREAS'!AK29,7&lt;'EDT Y TAREAS'!AL29),'EDT Y TAREAS'!AG29/'EDT Y TAREAS'!M29,0),IF(AND(7&gt;='EDT Y TAREAS'!AK30,7&lt;'EDT Y TAREAS'!AL30),'EDT Y TAREAS'!AG30/'EDT Y TAREAS'!M30,0),IF(AND(7&gt;='EDT Y TAREAS'!AK31,7&lt;'EDT Y TAREAS'!AL31),'EDT Y TAREAS'!AG31/'EDT Y TAREAS'!M31,0),IF(AND(7&gt;='EDT Y TAREAS'!AK32,7&lt;'EDT Y TAREAS'!AL32),'EDT Y TAREAS'!AG32/'EDT Y TAREAS'!M32,0),IF(AND(7&gt;='EDT Y TAREAS'!AK41,7&lt;'EDT Y TAREAS'!AL41),'EDT Y TAREAS'!AG41/'EDT Y TAREAS'!M41,0),IF(AND(7&gt;='EDT Y TAREAS'!AK45,7&lt;'EDT Y TAREAS'!AL45),'EDT Y TAREAS'!AG45/'EDT Y TAREAS'!M45,0),IF(AND(7&gt;='EDT Y TAREAS'!AK48,7&lt;'EDT Y TAREAS'!AL48),'EDT Y TAREAS'!AG48/'EDT Y TAREAS'!M48,0))</x:f>
        <x:v>0</x:v>
      </x:c>
      <x:c r="F47" s="35" t="n">
        <x:f>SUM(IF(AND(7&gt;='EDT Y TAREAS'!AK10,7&lt;'EDT Y TAREAS'!AL10),'EDT Y TAREAS'!AH10/'EDT Y TAREAS'!M10,0),IF(AND(7&gt;='EDT Y TAREAS'!AK12,7&lt;'EDT Y TAREAS'!AL12),'EDT Y TAREAS'!AH12/'EDT Y TAREAS'!M12,0),IF(AND(7&gt;='EDT Y TAREAS'!AK22,7&lt;'EDT Y TAREAS'!AL22),'EDT Y TAREAS'!AH22/'EDT Y TAREAS'!M22,0),IF(AND(7&gt;='EDT Y TAREAS'!AK23,7&lt;'EDT Y TAREAS'!AL23),'EDT Y TAREAS'!AH23/'EDT Y TAREAS'!M23,0),IF(AND(7&gt;='EDT Y TAREAS'!AK29,7&lt;'EDT Y TAREAS'!AL29),'EDT Y TAREAS'!AH29/'EDT Y TAREAS'!M29,0),IF(AND(7&gt;='EDT Y TAREAS'!AK30,7&lt;'EDT Y TAREAS'!AL30),'EDT Y TAREAS'!AH30/'EDT Y TAREAS'!M30,0),IF(AND(7&gt;='EDT Y TAREAS'!AK32,7&lt;'EDT Y TAREAS'!AL32),'EDT Y TAREAS'!AH32/'EDT Y TAREAS'!M32,0),IF(AND(7&gt;='EDT Y TAREAS'!AK41,7&lt;'EDT Y TAREAS'!AL41),'EDT Y TAREAS'!AH41/'EDT Y TAREAS'!M41,0),IF(AND(7&gt;='EDT Y TAREAS'!AK44,7&lt;'EDT Y TAREAS'!AL44),'EDT Y TAREAS'!AH44/'EDT Y TAREAS'!M44,0),IF(AND(7&gt;='EDT Y TAREAS'!AK46,7&lt;'EDT Y TAREAS'!AL46),'EDT Y TAREAS'!AH46/'EDT Y TAREAS'!M46,0),IF(AND(7&gt;='EDT Y TAREAS'!AK48,7&lt;'EDT Y TAREAS'!AL48),'EDT Y TAREAS'!AH48/'EDT Y TAREAS'!M48,0))</x:f>
        <x:v>0</x:v>
      </x:c>
      <x:c r="G47" s="35" t="n">
        <x:f>SUM(IF(AND(7&gt;='EDT Y TAREAS'!AK20,7&lt;'EDT Y TAREAS'!AL20),'EDT Y TAREAS'!AI20/'EDT Y TAREAS'!M20,0),IF(AND(7&gt;='EDT Y TAREAS'!AK25,7&lt;'EDT Y TAREAS'!AL25),'EDT Y TAREAS'!AI25/'EDT Y TAREAS'!M25,0),IF(AND(7&gt;='EDT Y TAREAS'!AK33,7&lt;'EDT Y TAREAS'!AL33),'EDT Y TAREAS'!AI33/'EDT Y TAREAS'!M33,0),IF(AND(7&gt;='EDT Y TAREAS'!AK34,7&lt;'EDT Y TAREAS'!AL34),'EDT Y TAREAS'!AI34/'EDT Y TAREAS'!M34,0),IF(AND(7&gt;='EDT Y TAREAS'!AK36,7&lt;'EDT Y TAREAS'!AL36),'EDT Y TAREAS'!AI36/'EDT Y TAREAS'!M36,0),IF(AND(7&gt;='EDT Y TAREAS'!AK39,7&lt;'EDT Y TAREAS'!AL39),'EDT Y TAREAS'!AI39/'EDT Y TAREAS'!M39,0),IF(AND(7&gt;='EDT Y TAREAS'!AK40,7&lt;'EDT Y TAREAS'!AL40),'EDT Y TAREAS'!AI40/'EDT Y TAREAS'!M40,0),IF(AND(7&gt;='EDT Y TAREAS'!AK42,7&lt;'EDT Y TAREAS'!AL42),'EDT Y TAREAS'!AI42/'EDT Y TAREAS'!M42,0),IF(AND(7&gt;='EDT Y TAREAS'!AK43,7&lt;'EDT Y TAREAS'!AL43),'EDT Y TAREAS'!AI43/'EDT Y TAREAS'!M43,0),IF(AND(7&gt;='EDT Y TAREAS'!AK44,7&lt;'EDT Y TAREAS'!AL44),'EDT Y TAREAS'!AI44/'EDT Y TAREAS'!M44,0),IF(AND(7&gt;='EDT Y TAREAS'!AK45,7&lt;'EDT Y TAREAS'!AL45),'EDT Y TAREAS'!AI45/'EDT Y TAREAS'!M45,0),IF(AND(7&gt;='EDT Y TAREAS'!AK46,7&lt;'EDT Y TAREAS'!AL46),'EDT Y TAREAS'!AI46/'EDT Y TAREAS'!M46,0),IF(AND(7&gt;='EDT Y TAREAS'!AK48,7&lt;'EDT Y TAREAS'!AL48),'EDT Y TAREAS'!AI48/'EDT Y TAREAS'!M48,0),IF(AND(7&gt;='EDT Y TAREAS'!AK50,7&lt;'EDT Y TAREAS'!AL50),'EDT Y TAREAS'!AI50/'EDT Y TAREAS'!M50,0),IF(AND(7&gt;='EDT Y TAREAS'!AK52,7&lt;'EDT Y TAREAS'!AL52),'EDT Y TAREAS'!AI52/'EDT Y TAREAS'!M52,0))</x:f>
        <x:v>0</x:v>
      </x:c>
      <x:c r="H47" s="35" t="n">
        <x:f>SUM(IF(AND(7&gt;='EDT Y TAREAS'!AK11,7&lt;'EDT Y TAREAS'!AL11),'EDT Y TAREAS'!AJ11/'EDT Y TAREAS'!M11,0),IF(AND(7&gt;='EDT Y TAREAS'!AK24,7&lt;'EDT Y TAREAS'!AL24),'EDT Y TAREAS'!AJ24/'EDT Y TAREAS'!M24,0),IF(AND(7&gt;='EDT Y TAREAS'!AK27,7&lt;'EDT Y TAREAS'!AL27),'EDT Y TAREAS'!AJ27/'EDT Y TAREAS'!M27,0),IF(AND(7&gt;='EDT Y TAREAS'!AK28,7&lt;'EDT Y TAREAS'!AL28),'EDT Y TAREAS'!AJ28/'EDT Y TAREAS'!M28,0),IF(AND(7&gt;='EDT Y TAREAS'!AK33,7&lt;'EDT Y TAREAS'!AL33),'EDT Y TAREAS'!AJ33/'EDT Y TAREAS'!M33,0),IF(AND(7&gt;='EDT Y TAREAS'!AK35,7&lt;'EDT Y TAREAS'!AL35),'EDT Y TAREAS'!AJ35/'EDT Y TAREAS'!M35,0),IF(AND(7&gt;='EDT Y TAREAS'!AK36,7&lt;'EDT Y TAREAS'!AL36),'EDT Y TAREAS'!AJ36/'EDT Y TAREAS'!M36,0),IF(AND(7&gt;='EDT Y TAREAS'!AK37,7&lt;'EDT Y TAREAS'!AL37),'EDT Y TAREAS'!AJ37/'EDT Y TAREAS'!M37,0),IF(AND(7&gt;='EDT Y TAREAS'!AK40,7&lt;'EDT Y TAREAS'!AL40),'EDT Y TAREAS'!AJ40/'EDT Y TAREAS'!M40,0),IF(AND(7&gt;='EDT Y TAREAS'!AK42,7&lt;'EDT Y TAREAS'!AL42),'EDT Y TAREAS'!AJ42/'EDT Y TAREAS'!M42,0),IF(AND(7&gt;='EDT Y TAREAS'!AK49,7&lt;'EDT Y TAREAS'!AL49),'EDT Y TAREAS'!AJ49/'EDT Y TAREAS'!M49,0),IF(AND(7&gt;='EDT Y TAREAS'!AK50,7&lt;'EDT Y TAREAS'!AL50),'EDT Y TAREAS'!AJ50/'EDT Y TAREAS'!M50,0),IF(AND(7&gt;='EDT Y TAREAS'!AK51,7&lt;'EDT Y TAREAS'!AL51),'EDT Y TAREAS'!AJ51/'EDT Y TAREAS'!M51,0),IF(AND(7&gt;='EDT Y TAREAS'!AK52,7&lt;'EDT Y TAREAS'!AL52),'EDT Y TAREAS'!AJ52/'EDT Y TAREAS'!M52,0))</x:f>
        <x:v>0</x:v>
      </x:c>
      <x:c r="I47" s="10" t="n">
        <x:f>WORKDAY('RESUMEN'!$D$3-1,A47,'RESUMEN'!$J$6:$J$25)</x:f>
        <x:v>46337</x:v>
      </x:c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  <x:c r="AO47" s="3"/>
    </x:row>
    <x:row r="48" ht="24" customHeight="1">
      <x:c r="A48" s="3" t="n">
        <x:v>9</x:v>
      </x:c>
      <x:c r="B48" s="35" t="n">
        <x:f>SUM(IF(AND(8&gt;='EDT Y TAREAS'!AK6,8&lt;'EDT Y TAREAS'!AL6),'EDT Y TAREAS'!AD6/'EDT Y TAREAS'!M6,0),IF(AND(8&gt;='EDT Y TAREAS'!AK7,8&lt;'EDT Y TAREAS'!AL7),'EDT Y TAREAS'!AD7/'EDT Y TAREAS'!M7,0),IF(AND(8&gt;='EDT Y TAREAS'!AK8,8&lt;'EDT Y TAREAS'!AL8),'EDT Y TAREAS'!AD8/'EDT Y TAREAS'!M8,0),IF(AND(8&gt;='EDT Y TAREAS'!AK9,8&lt;'EDT Y TAREAS'!AL9),'EDT Y TAREAS'!AD9/'EDT Y TAREAS'!M9,0),IF(AND(8&gt;='EDT Y TAREAS'!AK10,8&lt;'EDT Y TAREAS'!AL10),'EDT Y TAREAS'!AD10/'EDT Y TAREAS'!M10,0),IF(AND(8&gt;='EDT Y TAREAS'!AK11,8&lt;'EDT Y TAREAS'!AL11),'EDT Y TAREAS'!AD11/'EDT Y TAREAS'!M11,0),IF(AND(8&gt;='EDT Y TAREAS'!AK12,8&lt;'EDT Y TAREAS'!AL12),'EDT Y TAREAS'!AD12/'EDT Y TAREAS'!M12,0),IF(AND(8&gt;='EDT Y TAREAS'!AK13,8&lt;'EDT Y TAREAS'!AL13),'EDT Y TAREAS'!AD13/'EDT Y TAREAS'!M13,0),IF(AND(8&gt;='EDT Y TAREAS'!AK14,8&lt;'EDT Y TAREAS'!AL14),'EDT Y TAREAS'!AD14/'EDT Y TAREAS'!M14,0),IF(AND(8&gt;='EDT Y TAREAS'!AK15,8&lt;'EDT Y TAREAS'!AL15),'EDT Y TAREAS'!AD15/'EDT Y TAREAS'!M15,0),IF(AND(8&gt;='EDT Y TAREAS'!AK16,8&lt;'EDT Y TAREAS'!AL16),'EDT Y TAREAS'!AD16/'EDT Y TAREAS'!M16,0),IF(AND(8&gt;='EDT Y TAREAS'!AK17,8&lt;'EDT Y TAREAS'!AL17),'EDT Y TAREAS'!AD17/'EDT Y TAREAS'!M17,0),IF(AND(8&gt;='EDT Y TAREAS'!AK18,8&lt;'EDT Y TAREAS'!AL18),'EDT Y TAREAS'!AD18/'EDT Y TAREAS'!M18,0),IF(AND(8&gt;='EDT Y TAREAS'!AK19,8&lt;'EDT Y TAREAS'!AL19),'EDT Y TAREAS'!AD19/'EDT Y TAREAS'!M19,0),IF(AND(8&gt;='EDT Y TAREAS'!AK20,8&lt;'EDT Y TAREAS'!AL20),'EDT Y TAREAS'!AD20/'EDT Y TAREAS'!M20,0),IF(AND(8&gt;='EDT Y TAREAS'!AK21,8&lt;'EDT Y TAREAS'!AL21),'EDT Y TAREAS'!AD21/'EDT Y TAREAS'!M21,0),IF(AND(8&gt;='EDT Y TAREAS'!AK22,8&lt;'EDT Y TAREAS'!AL22),'EDT Y TAREAS'!AD22/'EDT Y TAREAS'!M22,0),IF(AND(8&gt;='EDT Y TAREAS'!AK23,8&lt;'EDT Y TAREAS'!AL23),'EDT Y TAREAS'!AD23/'EDT Y TAREAS'!M23,0),IF(AND(8&gt;='EDT Y TAREAS'!AK26,8&lt;'EDT Y TAREAS'!AL26),'EDT Y TAREAS'!AD26/'EDT Y TAREAS'!M26,0),IF(AND(8&gt;='EDT Y TAREAS'!AK28,8&lt;'EDT Y TAREAS'!AL28),'EDT Y TAREAS'!AD28/'EDT Y TAREAS'!M28,0),IF(AND(8&gt;='EDT Y TAREAS'!AK30,8&lt;'EDT Y TAREAS'!AL30),'EDT Y TAREAS'!AD30/'EDT Y TAREAS'!M30,0),IF(AND(8&gt;='EDT Y TAREAS'!AK32,8&lt;'EDT Y TAREAS'!AL32),'EDT Y TAREAS'!AD32/'EDT Y TAREAS'!M32,0),IF(AND(8&gt;='EDT Y TAREAS'!AK34,8&lt;'EDT Y TAREAS'!AL34),'EDT Y TAREAS'!AD34/'EDT Y TAREAS'!M34,0),IF(AND(8&gt;='EDT Y TAREAS'!AK38,8&lt;'EDT Y TAREAS'!AL38),'EDT Y TAREAS'!AD38/'EDT Y TAREAS'!M38,0),IF(AND(8&gt;='EDT Y TAREAS'!AK39,8&lt;'EDT Y TAREAS'!AL39),'EDT Y TAREAS'!AD39/'EDT Y TAREAS'!M39,0),IF(AND(8&gt;='EDT Y TAREAS'!AK43,8&lt;'EDT Y TAREAS'!AL43),'EDT Y TAREAS'!AD43/'EDT Y TAREAS'!M43,0),IF(AND(8&gt;='EDT Y TAREAS'!AK44,8&lt;'EDT Y TAREAS'!AL44),'EDT Y TAREAS'!AD44/'EDT Y TAREAS'!M44,0),IF(AND(8&gt;='EDT Y TAREAS'!AK45,8&lt;'EDT Y TAREAS'!AL45),'EDT Y TAREAS'!AD45/'EDT Y TAREAS'!M45,0),IF(AND(8&gt;='EDT Y TAREAS'!AK46,8&lt;'EDT Y TAREAS'!AL46),'EDT Y TAREAS'!AD46/'EDT Y TAREAS'!M46,0),IF(AND(8&gt;='EDT Y TAREAS'!AK47,8&lt;'EDT Y TAREAS'!AL47),'EDT Y TAREAS'!AD47/'EDT Y TAREAS'!M47,0),IF(AND(8&gt;='EDT Y TAREAS'!AK49,8&lt;'EDT Y TAREAS'!AL49),'EDT Y TAREAS'!AD49/'EDT Y TAREAS'!M49,0),IF(AND(8&gt;='EDT Y TAREAS'!AK50,8&lt;'EDT Y TAREAS'!AL50),'EDT Y TAREAS'!AD50/'EDT Y TAREAS'!M50,0),IF(AND(8&gt;='EDT Y TAREAS'!AK51,8&lt;'EDT Y TAREAS'!AL51),'EDT Y TAREAS'!AD51/'EDT Y TAREAS'!M51,0),IF(AND(8&gt;='EDT Y TAREAS'!AK52,8&lt;'EDT Y TAREAS'!AL52),'EDT Y TAREAS'!AD52/'EDT Y TAREAS'!M52,0))</x:f>
        <x:v>6</x:v>
      </x:c>
      <x:c r="C48" s="35" t="n">
        <x:f>SUM(IF(AND(8&gt;='EDT Y TAREAS'!AK6,8&lt;'EDT Y TAREAS'!AL6),'EDT Y TAREAS'!AE6/'EDT Y TAREAS'!M6,0),IF(AND(8&gt;='EDT Y TAREAS'!AK8,8&lt;'EDT Y TAREAS'!AL8),'EDT Y TAREAS'!AE8/'EDT Y TAREAS'!M8,0),IF(AND(8&gt;='EDT Y TAREAS'!AK9,8&lt;'EDT Y TAREAS'!AL9),'EDT Y TAREAS'!AE9/'EDT Y TAREAS'!M9,0),IF(AND(8&gt;='EDT Y TAREAS'!AK10,8&lt;'EDT Y TAREAS'!AL10),'EDT Y TAREAS'!AE10/'EDT Y TAREAS'!M10,0),IF(AND(8&gt;='EDT Y TAREAS'!AK12,8&lt;'EDT Y TAREAS'!AL12),'EDT Y TAREAS'!AE12/'EDT Y TAREAS'!M12,0),IF(AND(8&gt;='EDT Y TAREAS'!AK16,8&lt;'EDT Y TAREAS'!AL16),'EDT Y TAREAS'!AE16/'EDT Y TAREAS'!M16,0),IF(AND(8&gt;='EDT Y TAREAS'!AK21,8&lt;'EDT Y TAREAS'!AL21),'EDT Y TAREAS'!AE21/'EDT Y TAREAS'!M21,0),IF(AND(8&gt;='EDT Y TAREAS'!AK23,8&lt;'EDT Y TAREAS'!AL23),'EDT Y TAREAS'!AE23/'EDT Y TAREAS'!M23,0),IF(AND(8&gt;='EDT Y TAREAS'!AK37,8&lt;'EDT Y TAREAS'!AL37),'EDT Y TAREAS'!AE37/'EDT Y TAREAS'!M37,0),IF(AND(8&gt;='EDT Y TAREAS'!AK38,8&lt;'EDT Y TAREAS'!AL38),'EDT Y TAREAS'!AE38/'EDT Y TAREAS'!M38,0),IF(AND(8&gt;='EDT Y TAREAS'!AK41,8&lt;'EDT Y TAREAS'!AL41),'EDT Y TAREAS'!AE41/'EDT Y TAREAS'!M41,0),IF(AND(8&gt;='EDT Y TAREAS'!AK43,8&lt;'EDT Y TAREAS'!AL43),'EDT Y TAREAS'!AE43/'EDT Y TAREAS'!M43,0),IF(AND(8&gt;='EDT Y TAREAS'!AK44,8&lt;'EDT Y TAREAS'!AL44),'EDT Y TAREAS'!AE44/'EDT Y TAREAS'!M44,0),IF(AND(8&gt;='EDT Y TAREAS'!AK46,8&lt;'EDT Y TAREAS'!AL46),'EDT Y TAREAS'!AE46/'EDT Y TAREAS'!M46,0),IF(AND(8&gt;='EDT Y TAREAS'!AK47,8&lt;'EDT Y TAREAS'!AL47),'EDT Y TAREAS'!AE47/'EDT Y TAREAS'!M47,0),IF(AND(8&gt;='EDT Y TAREAS'!AK51,8&lt;'EDT Y TAREAS'!AL51),'EDT Y TAREAS'!AE51/'EDT Y TAREAS'!M51,0),IF(AND(8&gt;='EDT Y TAREAS'!AK52,8&lt;'EDT Y TAREAS'!AL52),'EDT Y TAREAS'!AE52/'EDT Y TAREAS'!M52,0))</x:f>
        <x:v>1.2</x:v>
      </x:c>
      <x:c r="D48" s="35" t="n">
        <x:f>SUM(IF(AND(8&gt;='EDT Y TAREAS'!AK11,8&lt;'EDT Y TAREAS'!AL11),'EDT Y TAREAS'!AF11/'EDT Y TAREAS'!M11,0),IF(AND(8&gt;='EDT Y TAREAS'!AK24,8&lt;'EDT Y TAREAS'!AL24),'EDT Y TAREAS'!AF24/'EDT Y TAREAS'!M24,0),IF(AND(8&gt;='EDT Y TAREAS'!AK25,8&lt;'EDT Y TAREAS'!AL25),'EDT Y TAREAS'!AF25/'EDT Y TAREAS'!M25,0),IF(AND(8&gt;='EDT Y TAREAS'!AK26,8&lt;'EDT Y TAREAS'!AL26),'EDT Y TAREAS'!AF26/'EDT Y TAREAS'!M26,0),IF(AND(8&gt;='EDT Y TAREAS'!AK27,8&lt;'EDT Y TAREAS'!AL27),'EDT Y TAREAS'!AF27/'EDT Y TAREAS'!M27,0),IF(AND(8&gt;='EDT Y TAREAS'!AK28,8&lt;'EDT Y TAREAS'!AL28),'EDT Y TAREAS'!AF28/'EDT Y TAREAS'!M28,0),IF(AND(8&gt;='EDT Y TAREAS'!AK31,8&lt;'EDT Y TAREAS'!AL31),'EDT Y TAREAS'!AF31/'EDT Y TAREAS'!M31,0),IF(AND(8&gt;='EDT Y TAREAS'!AK33,8&lt;'EDT Y TAREAS'!AL33),'EDT Y TAREAS'!AF33/'EDT Y TAREAS'!M33,0),IF(AND(8&gt;='EDT Y TAREAS'!AK34,8&lt;'EDT Y TAREAS'!AL34),'EDT Y TAREAS'!AF34/'EDT Y TAREAS'!M34,0),IF(AND(8&gt;='EDT Y TAREAS'!AK35,8&lt;'EDT Y TAREAS'!AL35),'EDT Y TAREAS'!AF35/'EDT Y TAREAS'!M35,0),IF(AND(8&gt;='EDT Y TAREAS'!AK37,8&lt;'EDT Y TAREAS'!AL37),'EDT Y TAREAS'!AF37/'EDT Y TAREAS'!M37,0),IF(AND(8&gt;='EDT Y TAREAS'!AK39,8&lt;'EDT Y TAREAS'!AL39),'EDT Y TAREAS'!AF39/'EDT Y TAREAS'!M39,0),IF(AND(8&gt;='EDT Y TAREAS'!AK40,8&lt;'EDT Y TAREAS'!AL40),'EDT Y TAREAS'!AF40/'EDT Y TAREAS'!M40,0),IF(AND(8&gt;='EDT Y TAREAS'!AK42,8&lt;'EDT Y TAREAS'!AL42),'EDT Y TAREAS'!AF42/'EDT Y TAREAS'!M42,0),IF(AND(8&gt;='EDT Y TAREAS'!AK45,8&lt;'EDT Y TAREAS'!AL45),'EDT Y TAREAS'!AF45/'EDT Y TAREAS'!M45,0),IF(AND(8&gt;='EDT Y TAREAS'!AK49,8&lt;'EDT Y TAREAS'!AL49),'EDT Y TAREAS'!AF49/'EDT Y TAREAS'!M49,0),IF(AND(8&gt;='EDT Y TAREAS'!AK52,8&lt;'EDT Y TAREAS'!AL52),'EDT Y TAREAS'!AF52/'EDT Y TAREAS'!M52,0))</x:f>
        <x:v>0</x:v>
      </x:c>
      <x:c r="E48" s="35" t="n">
        <x:f>SUM(IF(AND(8&gt;='EDT Y TAREAS'!AK29,8&lt;'EDT Y TAREAS'!AL29),'EDT Y TAREAS'!AG29/'EDT Y TAREAS'!M29,0),IF(AND(8&gt;='EDT Y TAREAS'!AK30,8&lt;'EDT Y TAREAS'!AL30),'EDT Y TAREAS'!AG30/'EDT Y TAREAS'!M30,0),IF(AND(8&gt;='EDT Y TAREAS'!AK31,8&lt;'EDT Y TAREAS'!AL31),'EDT Y TAREAS'!AG31/'EDT Y TAREAS'!M31,0),IF(AND(8&gt;='EDT Y TAREAS'!AK32,8&lt;'EDT Y TAREAS'!AL32),'EDT Y TAREAS'!AG32/'EDT Y TAREAS'!M32,0),IF(AND(8&gt;='EDT Y TAREAS'!AK41,8&lt;'EDT Y TAREAS'!AL41),'EDT Y TAREAS'!AG41/'EDT Y TAREAS'!M41,0),IF(AND(8&gt;='EDT Y TAREAS'!AK45,8&lt;'EDT Y TAREAS'!AL45),'EDT Y TAREAS'!AG45/'EDT Y TAREAS'!M45,0),IF(AND(8&gt;='EDT Y TAREAS'!AK48,8&lt;'EDT Y TAREAS'!AL48),'EDT Y TAREAS'!AG48/'EDT Y TAREAS'!M48,0))</x:f>
        <x:v>0</x:v>
      </x:c>
      <x:c r="F48" s="35" t="n">
        <x:f>SUM(IF(AND(8&gt;='EDT Y TAREAS'!AK10,8&lt;'EDT Y TAREAS'!AL10),'EDT Y TAREAS'!AH10/'EDT Y TAREAS'!M10,0),IF(AND(8&gt;='EDT Y TAREAS'!AK12,8&lt;'EDT Y TAREAS'!AL12),'EDT Y TAREAS'!AH12/'EDT Y TAREAS'!M12,0),IF(AND(8&gt;='EDT Y TAREAS'!AK22,8&lt;'EDT Y TAREAS'!AL22),'EDT Y TAREAS'!AH22/'EDT Y TAREAS'!M22,0),IF(AND(8&gt;='EDT Y TAREAS'!AK23,8&lt;'EDT Y TAREAS'!AL23),'EDT Y TAREAS'!AH23/'EDT Y TAREAS'!M23,0),IF(AND(8&gt;='EDT Y TAREAS'!AK29,8&lt;'EDT Y TAREAS'!AL29),'EDT Y TAREAS'!AH29/'EDT Y TAREAS'!M29,0),IF(AND(8&gt;='EDT Y TAREAS'!AK30,8&lt;'EDT Y TAREAS'!AL30),'EDT Y TAREAS'!AH30/'EDT Y TAREAS'!M30,0),IF(AND(8&gt;='EDT Y TAREAS'!AK32,8&lt;'EDT Y TAREAS'!AL32),'EDT Y TAREAS'!AH32/'EDT Y TAREAS'!M32,0),IF(AND(8&gt;='EDT Y TAREAS'!AK41,8&lt;'EDT Y TAREAS'!AL41),'EDT Y TAREAS'!AH41/'EDT Y TAREAS'!M41,0),IF(AND(8&gt;='EDT Y TAREAS'!AK44,8&lt;'EDT Y TAREAS'!AL44),'EDT Y TAREAS'!AH44/'EDT Y TAREAS'!M44,0),IF(AND(8&gt;='EDT Y TAREAS'!AK46,8&lt;'EDT Y TAREAS'!AL46),'EDT Y TAREAS'!AH46/'EDT Y TAREAS'!M46,0),IF(AND(8&gt;='EDT Y TAREAS'!AK48,8&lt;'EDT Y TAREAS'!AL48),'EDT Y TAREAS'!AH48/'EDT Y TAREAS'!M48,0))</x:f>
        <x:v>0</x:v>
      </x:c>
      <x:c r="G48" s="35" t="n">
        <x:f>SUM(IF(AND(8&gt;='EDT Y TAREAS'!AK20,8&lt;'EDT Y TAREAS'!AL20),'EDT Y TAREAS'!AI20/'EDT Y TAREAS'!M20,0),IF(AND(8&gt;='EDT Y TAREAS'!AK25,8&lt;'EDT Y TAREAS'!AL25),'EDT Y TAREAS'!AI25/'EDT Y TAREAS'!M25,0),IF(AND(8&gt;='EDT Y TAREAS'!AK33,8&lt;'EDT Y TAREAS'!AL33),'EDT Y TAREAS'!AI33/'EDT Y TAREAS'!M33,0),IF(AND(8&gt;='EDT Y TAREAS'!AK34,8&lt;'EDT Y TAREAS'!AL34),'EDT Y TAREAS'!AI34/'EDT Y TAREAS'!M34,0),IF(AND(8&gt;='EDT Y TAREAS'!AK36,8&lt;'EDT Y TAREAS'!AL36),'EDT Y TAREAS'!AI36/'EDT Y TAREAS'!M36,0),IF(AND(8&gt;='EDT Y TAREAS'!AK39,8&lt;'EDT Y TAREAS'!AL39),'EDT Y TAREAS'!AI39/'EDT Y TAREAS'!M39,0),IF(AND(8&gt;='EDT Y TAREAS'!AK40,8&lt;'EDT Y TAREAS'!AL40),'EDT Y TAREAS'!AI40/'EDT Y TAREAS'!M40,0),IF(AND(8&gt;='EDT Y TAREAS'!AK42,8&lt;'EDT Y TAREAS'!AL42),'EDT Y TAREAS'!AI42/'EDT Y TAREAS'!M42,0),IF(AND(8&gt;='EDT Y TAREAS'!AK43,8&lt;'EDT Y TAREAS'!AL43),'EDT Y TAREAS'!AI43/'EDT Y TAREAS'!M43,0),IF(AND(8&gt;='EDT Y TAREAS'!AK44,8&lt;'EDT Y TAREAS'!AL44),'EDT Y TAREAS'!AI44/'EDT Y TAREAS'!M44,0),IF(AND(8&gt;='EDT Y TAREAS'!AK45,8&lt;'EDT Y TAREAS'!AL45),'EDT Y TAREAS'!AI45/'EDT Y TAREAS'!M45,0),IF(AND(8&gt;='EDT Y TAREAS'!AK46,8&lt;'EDT Y TAREAS'!AL46),'EDT Y TAREAS'!AI46/'EDT Y TAREAS'!M46,0),IF(AND(8&gt;='EDT Y TAREAS'!AK48,8&lt;'EDT Y TAREAS'!AL48),'EDT Y TAREAS'!AI48/'EDT Y TAREAS'!M48,0),IF(AND(8&gt;='EDT Y TAREAS'!AK50,8&lt;'EDT Y TAREAS'!AL50),'EDT Y TAREAS'!AI50/'EDT Y TAREAS'!M50,0),IF(AND(8&gt;='EDT Y TAREAS'!AK52,8&lt;'EDT Y TAREAS'!AL52),'EDT Y TAREAS'!AI52/'EDT Y TAREAS'!M52,0))</x:f>
        <x:v>0</x:v>
      </x:c>
      <x:c r="H48" s="35" t="n">
        <x:f>SUM(IF(AND(8&gt;='EDT Y TAREAS'!AK11,8&lt;'EDT Y TAREAS'!AL11),'EDT Y TAREAS'!AJ11/'EDT Y TAREAS'!M11,0),IF(AND(8&gt;='EDT Y TAREAS'!AK24,8&lt;'EDT Y TAREAS'!AL24),'EDT Y TAREAS'!AJ24/'EDT Y TAREAS'!M24,0),IF(AND(8&gt;='EDT Y TAREAS'!AK27,8&lt;'EDT Y TAREAS'!AL27),'EDT Y TAREAS'!AJ27/'EDT Y TAREAS'!M27,0),IF(AND(8&gt;='EDT Y TAREAS'!AK28,8&lt;'EDT Y TAREAS'!AL28),'EDT Y TAREAS'!AJ28/'EDT Y TAREAS'!M28,0),IF(AND(8&gt;='EDT Y TAREAS'!AK33,8&lt;'EDT Y TAREAS'!AL33),'EDT Y TAREAS'!AJ33/'EDT Y TAREAS'!M33,0),IF(AND(8&gt;='EDT Y TAREAS'!AK35,8&lt;'EDT Y TAREAS'!AL35),'EDT Y TAREAS'!AJ35/'EDT Y TAREAS'!M35,0),IF(AND(8&gt;='EDT Y TAREAS'!AK36,8&lt;'EDT Y TAREAS'!AL36),'EDT Y TAREAS'!AJ36/'EDT Y TAREAS'!M36,0),IF(AND(8&gt;='EDT Y TAREAS'!AK37,8&lt;'EDT Y TAREAS'!AL37),'EDT Y TAREAS'!AJ37/'EDT Y TAREAS'!M37,0),IF(AND(8&gt;='EDT Y TAREAS'!AK40,8&lt;'EDT Y TAREAS'!AL40),'EDT Y TAREAS'!AJ40/'EDT Y TAREAS'!M40,0),IF(AND(8&gt;='EDT Y TAREAS'!AK42,8&lt;'EDT Y TAREAS'!AL42),'EDT Y TAREAS'!AJ42/'EDT Y TAREAS'!M42,0),IF(AND(8&gt;='EDT Y TAREAS'!AK49,8&lt;'EDT Y TAREAS'!AL49),'EDT Y TAREAS'!AJ49/'EDT Y TAREAS'!M49,0),IF(AND(8&gt;='EDT Y TAREAS'!AK50,8&lt;'EDT Y TAREAS'!AL50),'EDT Y TAREAS'!AJ50/'EDT Y TAREAS'!M50,0),IF(AND(8&gt;='EDT Y TAREAS'!AK51,8&lt;'EDT Y TAREAS'!AL51),'EDT Y TAREAS'!AJ51/'EDT Y TAREAS'!M51,0),IF(AND(8&gt;='EDT Y TAREAS'!AK52,8&lt;'EDT Y TAREAS'!AL52),'EDT Y TAREAS'!AJ52/'EDT Y TAREAS'!M52,0))</x:f>
        <x:v>0</x:v>
      </x:c>
      <x:c r="I48" s="10" t="n">
        <x:f>WORKDAY('RESUMEN'!$D$3-1,A48,'RESUMEN'!$J$6:$J$25)</x:f>
        <x:v>46338</x:v>
      </x:c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</x:row>
    <x:row r="49" ht="24" customHeight="1">
      <x:c r="A49" s="3" t="n">
        <x:v>10</x:v>
      </x:c>
      <x:c r="B49" s="35" t="n">
        <x:f>SUM(IF(AND(9&gt;='EDT Y TAREAS'!AK6,9&lt;'EDT Y TAREAS'!AL6),'EDT Y TAREAS'!AD6/'EDT Y TAREAS'!M6,0),IF(AND(9&gt;='EDT Y TAREAS'!AK7,9&lt;'EDT Y TAREAS'!AL7),'EDT Y TAREAS'!AD7/'EDT Y TAREAS'!M7,0),IF(AND(9&gt;='EDT Y TAREAS'!AK8,9&lt;'EDT Y TAREAS'!AL8),'EDT Y TAREAS'!AD8/'EDT Y TAREAS'!M8,0),IF(AND(9&gt;='EDT Y TAREAS'!AK9,9&lt;'EDT Y TAREAS'!AL9),'EDT Y TAREAS'!AD9/'EDT Y TAREAS'!M9,0),IF(AND(9&gt;='EDT Y TAREAS'!AK10,9&lt;'EDT Y TAREAS'!AL10),'EDT Y TAREAS'!AD10/'EDT Y TAREAS'!M10,0),IF(AND(9&gt;='EDT Y TAREAS'!AK11,9&lt;'EDT Y TAREAS'!AL11),'EDT Y TAREAS'!AD11/'EDT Y TAREAS'!M11,0),IF(AND(9&gt;='EDT Y TAREAS'!AK12,9&lt;'EDT Y TAREAS'!AL12),'EDT Y TAREAS'!AD12/'EDT Y TAREAS'!M12,0),IF(AND(9&gt;='EDT Y TAREAS'!AK13,9&lt;'EDT Y TAREAS'!AL13),'EDT Y TAREAS'!AD13/'EDT Y TAREAS'!M13,0),IF(AND(9&gt;='EDT Y TAREAS'!AK14,9&lt;'EDT Y TAREAS'!AL14),'EDT Y TAREAS'!AD14/'EDT Y TAREAS'!M14,0),IF(AND(9&gt;='EDT Y TAREAS'!AK15,9&lt;'EDT Y TAREAS'!AL15),'EDT Y TAREAS'!AD15/'EDT Y TAREAS'!M15,0),IF(AND(9&gt;='EDT Y TAREAS'!AK16,9&lt;'EDT Y TAREAS'!AL16),'EDT Y TAREAS'!AD16/'EDT Y TAREAS'!M16,0),IF(AND(9&gt;='EDT Y TAREAS'!AK17,9&lt;'EDT Y TAREAS'!AL17),'EDT Y TAREAS'!AD17/'EDT Y TAREAS'!M17,0),IF(AND(9&gt;='EDT Y TAREAS'!AK18,9&lt;'EDT Y TAREAS'!AL18),'EDT Y TAREAS'!AD18/'EDT Y TAREAS'!M18,0),IF(AND(9&gt;='EDT Y TAREAS'!AK19,9&lt;'EDT Y TAREAS'!AL19),'EDT Y TAREAS'!AD19/'EDT Y TAREAS'!M19,0),IF(AND(9&gt;='EDT Y TAREAS'!AK20,9&lt;'EDT Y TAREAS'!AL20),'EDT Y TAREAS'!AD20/'EDT Y TAREAS'!M20,0),IF(AND(9&gt;='EDT Y TAREAS'!AK21,9&lt;'EDT Y TAREAS'!AL21),'EDT Y TAREAS'!AD21/'EDT Y TAREAS'!M21,0),IF(AND(9&gt;='EDT Y TAREAS'!AK22,9&lt;'EDT Y TAREAS'!AL22),'EDT Y TAREAS'!AD22/'EDT Y TAREAS'!M22,0),IF(AND(9&gt;='EDT Y TAREAS'!AK23,9&lt;'EDT Y TAREAS'!AL23),'EDT Y TAREAS'!AD23/'EDT Y TAREAS'!M23,0),IF(AND(9&gt;='EDT Y TAREAS'!AK26,9&lt;'EDT Y TAREAS'!AL26),'EDT Y TAREAS'!AD26/'EDT Y TAREAS'!M26,0),IF(AND(9&gt;='EDT Y TAREAS'!AK28,9&lt;'EDT Y TAREAS'!AL28),'EDT Y TAREAS'!AD28/'EDT Y TAREAS'!M28,0),IF(AND(9&gt;='EDT Y TAREAS'!AK30,9&lt;'EDT Y TAREAS'!AL30),'EDT Y TAREAS'!AD30/'EDT Y TAREAS'!M30,0),IF(AND(9&gt;='EDT Y TAREAS'!AK32,9&lt;'EDT Y TAREAS'!AL32),'EDT Y TAREAS'!AD32/'EDT Y TAREAS'!M32,0),IF(AND(9&gt;='EDT Y TAREAS'!AK34,9&lt;'EDT Y TAREAS'!AL34),'EDT Y TAREAS'!AD34/'EDT Y TAREAS'!M34,0),IF(AND(9&gt;='EDT Y TAREAS'!AK38,9&lt;'EDT Y TAREAS'!AL38),'EDT Y TAREAS'!AD38/'EDT Y TAREAS'!M38,0),IF(AND(9&gt;='EDT Y TAREAS'!AK39,9&lt;'EDT Y TAREAS'!AL39),'EDT Y TAREAS'!AD39/'EDT Y TAREAS'!M39,0),IF(AND(9&gt;='EDT Y TAREAS'!AK43,9&lt;'EDT Y TAREAS'!AL43),'EDT Y TAREAS'!AD43/'EDT Y TAREAS'!M43,0),IF(AND(9&gt;='EDT Y TAREAS'!AK44,9&lt;'EDT Y TAREAS'!AL44),'EDT Y TAREAS'!AD44/'EDT Y TAREAS'!M44,0),IF(AND(9&gt;='EDT Y TAREAS'!AK45,9&lt;'EDT Y TAREAS'!AL45),'EDT Y TAREAS'!AD45/'EDT Y TAREAS'!M45,0),IF(AND(9&gt;='EDT Y TAREAS'!AK46,9&lt;'EDT Y TAREAS'!AL46),'EDT Y TAREAS'!AD46/'EDT Y TAREAS'!M46,0),IF(AND(9&gt;='EDT Y TAREAS'!AK47,9&lt;'EDT Y TAREAS'!AL47),'EDT Y TAREAS'!AD47/'EDT Y TAREAS'!M47,0),IF(AND(9&gt;='EDT Y TAREAS'!AK49,9&lt;'EDT Y TAREAS'!AL49),'EDT Y TAREAS'!AD49/'EDT Y TAREAS'!M49,0),IF(AND(9&gt;='EDT Y TAREAS'!AK50,9&lt;'EDT Y TAREAS'!AL50),'EDT Y TAREAS'!AD50/'EDT Y TAREAS'!M50,0),IF(AND(9&gt;='EDT Y TAREAS'!AK51,9&lt;'EDT Y TAREAS'!AL51),'EDT Y TAREAS'!AD51/'EDT Y TAREAS'!M51,0),IF(AND(9&gt;='EDT Y TAREAS'!AK52,9&lt;'EDT Y TAREAS'!AL52),'EDT Y TAREAS'!AD52/'EDT Y TAREAS'!M52,0))</x:f>
        <x:v>6</x:v>
      </x:c>
      <x:c r="C49" s="35" t="n">
        <x:f>SUM(IF(AND(9&gt;='EDT Y TAREAS'!AK6,9&lt;'EDT Y TAREAS'!AL6),'EDT Y TAREAS'!AE6/'EDT Y TAREAS'!M6,0),IF(AND(9&gt;='EDT Y TAREAS'!AK8,9&lt;'EDT Y TAREAS'!AL8),'EDT Y TAREAS'!AE8/'EDT Y TAREAS'!M8,0),IF(AND(9&gt;='EDT Y TAREAS'!AK9,9&lt;'EDT Y TAREAS'!AL9),'EDT Y TAREAS'!AE9/'EDT Y TAREAS'!M9,0),IF(AND(9&gt;='EDT Y TAREAS'!AK10,9&lt;'EDT Y TAREAS'!AL10),'EDT Y TAREAS'!AE10/'EDT Y TAREAS'!M10,0),IF(AND(9&gt;='EDT Y TAREAS'!AK12,9&lt;'EDT Y TAREAS'!AL12),'EDT Y TAREAS'!AE12/'EDT Y TAREAS'!M12,0),IF(AND(9&gt;='EDT Y TAREAS'!AK16,9&lt;'EDT Y TAREAS'!AL16),'EDT Y TAREAS'!AE16/'EDT Y TAREAS'!M16,0),IF(AND(9&gt;='EDT Y TAREAS'!AK21,9&lt;'EDT Y TAREAS'!AL21),'EDT Y TAREAS'!AE21/'EDT Y TAREAS'!M21,0),IF(AND(9&gt;='EDT Y TAREAS'!AK23,9&lt;'EDT Y TAREAS'!AL23),'EDT Y TAREAS'!AE23/'EDT Y TAREAS'!M23,0),IF(AND(9&gt;='EDT Y TAREAS'!AK37,9&lt;'EDT Y TAREAS'!AL37),'EDT Y TAREAS'!AE37/'EDT Y TAREAS'!M37,0),IF(AND(9&gt;='EDT Y TAREAS'!AK38,9&lt;'EDT Y TAREAS'!AL38),'EDT Y TAREAS'!AE38/'EDT Y TAREAS'!M38,0),IF(AND(9&gt;='EDT Y TAREAS'!AK41,9&lt;'EDT Y TAREAS'!AL41),'EDT Y TAREAS'!AE41/'EDT Y TAREAS'!M41,0),IF(AND(9&gt;='EDT Y TAREAS'!AK43,9&lt;'EDT Y TAREAS'!AL43),'EDT Y TAREAS'!AE43/'EDT Y TAREAS'!M43,0),IF(AND(9&gt;='EDT Y TAREAS'!AK44,9&lt;'EDT Y TAREAS'!AL44),'EDT Y TAREAS'!AE44/'EDT Y TAREAS'!M44,0),IF(AND(9&gt;='EDT Y TAREAS'!AK46,9&lt;'EDT Y TAREAS'!AL46),'EDT Y TAREAS'!AE46/'EDT Y TAREAS'!M46,0),IF(AND(9&gt;='EDT Y TAREAS'!AK47,9&lt;'EDT Y TAREAS'!AL47),'EDT Y TAREAS'!AE47/'EDT Y TAREAS'!M47,0),IF(AND(9&gt;='EDT Y TAREAS'!AK51,9&lt;'EDT Y TAREAS'!AL51),'EDT Y TAREAS'!AE51/'EDT Y TAREAS'!M51,0),IF(AND(9&gt;='EDT Y TAREAS'!AK52,9&lt;'EDT Y TAREAS'!AL52),'EDT Y TAREAS'!AE52/'EDT Y TAREAS'!M52,0))</x:f>
        <x:v>1.2</x:v>
      </x:c>
      <x:c r="D49" s="35" t="n">
        <x:f>SUM(IF(AND(9&gt;='EDT Y TAREAS'!AK11,9&lt;'EDT Y TAREAS'!AL11),'EDT Y TAREAS'!AF11/'EDT Y TAREAS'!M11,0),IF(AND(9&gt;='EDT Y TAREAS'!AK24,9&lt;'EDT Y TAREAS'!AL24),'EDT Y TAREAS'!AF24/'EDT Y TAREAS'!M24,0),IF(AND(9&gt;='EDT Y TAREAS'!AK25,9&lt;'EDT Y TAREAS'!AL25),'EDT Y TAREAS'!AF25/'EDT Y TAREAS'!M25,0),IF(AND(9&gt;='EDT Y TAREAS'!AK26,9&lt;'EDT Y TAREAS'!AL26),'EDT Y TAREAS'!AF26/'EDT Y TAREAS'!M26,0),IF(AND(9&gt;='EDT Y TAREAS'!AK27,9&lt;'EDT Y TAREAS'!AL27),'EDT Y TAREAS'!AF27/'EDT Y TAREAS'!M27,0),IF(AND(9&gt;='EDT Y TAREAS'!AK28,9&lt;'EDT Y TAREAS'!AL28),'EDT Y TAREAS'!AF28/'EDT Y TAREAS'!M28,0),IF(AND(9&gt;='EDT Y TAREAS'!AK31,9&lt;'EDT Y TAREAS'!AL31),'EDT Y TAREAS'!AF31/'EDT Y TAREAS'!M31,0),IF(AND(9&gt;='EDT Y TAREAS'!AK33,9&lt;'EDT Y TAREAS'!AL33),'EDT Y TAREAS'!AF33/'EDT Y TAREAS'!M33,0),IF(AND(9&gt;='EDT Y TAREAS'!AK34,9&lt;'EDT Y TAREAS'!AL34),'EDT Y TAREAS'!AF34/'EDT Y TAREAS'!M34,0),IF(AND(9&gt;='EDT Y TAREAS'!AK35,9&lt;'EDT Y TAREAS'!AL35),'EDT Y TAREAS'!AF35/'EDT Y TAREAS'!M35,0),IF(AND(9&gt;='EDT Y TAREAS'!AK37,9&lt;'EDT Y TAREAS'!AL37),'EDT Y TAREAS'!AF37/'EDT Y TAREAS'!M37,0),IF(AND(9&gt;='EDT Y TAREAS'!AK39,9&lt;'EDT Y TAREAS'!AL39),'EDT Y TAREAS'!AF39/'EDT Y TAREAS'!M39,0),IF(AND(9&gt;='EDT Y TAREAS'!AK40,9&lt;'EDT Y TAREAS'!AL40),'EDT Y TAREAS'!AF40/'EDT Y TAREAS'!M40,0),IF(AND(9&gt;='EDT Y TAREAS'!AK42,9&lt;'EDT Y TAREAS'!AL42),'EDT Y TAREAS'!AF42/'EDT Y TAREAS'!M42,0),IF(AND(9&gt;='EDT Y TAREAS'!AK45,9&lt;'EDT Y TAREAS'!AL45),'EDT Y TAREAS'!AF45/'EDT Y TAREAS'!M45,0),IF(AND(9&gt;='EDT Y TAREAS'!AK49,9&lt;'EDT Y TAREAS'!AL49),'EDT Y TAREAS'!AF49/'EDT Y TAREAS'!M49,0),IF(AND(9&gt;='EDT Y TAREAS'!AK52,9&lt;'EDT Y TAREAS'!AL52),'EDT Y TAREAS'!AF52/'EDT Y TAREAS'!M52,0))</x:f>
        <x:v>0</x:v>
      </x:c>
      <x:c r="E49" s="35" t="n">
        <x:f>SUM(IF(AND(9&gt;='EDT Y TAREAS'!AK29,9&lt;'EDT Y TAREAS'!AL29),'EDT Y TAREAS'!AG29/'EDT Y TAREAS'!M29,0),IF(AND(9&gt;='EDT Y TAREAS'!AK30,9&lt;'EDT Y TAREAS'!AL30),'EDT Y TAREAS'!AG30/'EDT Y TAREAS'!M30,0),IF(AND(9&gt;='EDT Y TAREAS'!AK31,9&lt;'EDT Y TAREAS'!AL31),'EDT Y TAREAS'!AG31/'EDT Y TAREAS'!M31,0),IF(AND(9&gt;='EDT Y TAREAS'!AK32,9&lt;'EDT Y TAREAS'!AL32),'EDT Y TAREAS'!AG32/'EDT Y TAREAS'!M32,0),IF(AND(9&gt;='EDT Y TAREAS'!AK41,9&lt;'EDT Y TAREAS'!AL41),'EDT Y TAREAS'!AG41/'EDT Y TAREAS'!M41,0),IF(AND(9&gt;='EDT Y TAREAS'!AK45,9&lt;'EDT Y TAREAS'!AL45),'EDT Y TAREAS'!AG45/'EDT Y TAREAS'!M45,0),IF(AND(9&gt;='EDT Y TAREAS'!AK48,9&lt;'EDT Y TAREAS'!AL48),'EDT Y TAREAS'!AG48/'EDT Y TAREAS'!M48,0))</x:f>
        <x:v>0</x:v>
      </x:c>
      <x:c r="F49" s="35" t="n">
        <x:f>SUM(IF(AND(9&gt;='EDT Y TAREAS'!AK10,9&lt;'EDT Y TAREAS'!AL10),'EDT Y TAREAS'!AH10/'EDT Y TAREAS'!M10,0),IF(AND(9&gt;='EDT Y TAREAS'!AK12,9&lt;'EDT Y TAREAS'!AL12),'EDT Y TAREAS'!AH12/'EDT Y TAREAS'!M12,0),IF(AND(9&gt;='EDT Y TAREAS'!AK22,9&lt;'EDT Y TAREAS'!AL22),'EDT Y TAREAS'!AH22/'EDT Y TAREAS'!M22,0),IF(AND(9&gt;='EDT Y TAREAS'!AK23,9&lt;'EDT Y TAREAS'!AL23),'EDT Y TAREAS'!AH23/'EDT Y TAREAS'!M23,0),IF(AND(9&gt;='EDT Y TAREAS'!AK29,9&lt;'EDT Y TAREAS'!AL29),'EDT Y TAREAS'!AH29/'EDT Y TAREAS'!M29,0),IF(AND(9&gt;='EDT Y TAREAS'!AK30,9&lt;'EDT Y TAREAS'!AL30),'EDT Y TAREAS'!AH30/'EDT Y TAREAS'!M30,0),IF(AND(9&gt;='EDT Y TAREAS'!AK32,9&lt;'EDT Y TAREAS'!AL32),'EDT Y TAREAS'!AH32/'EDT Y TAREAS'!M32,0),IF(AND(9&gt;='EDT Y TAREAS'!AK41,9&lt;'EDT Y TAREAS'!AL41),'EDT Y TAREAS'!AH41/'EDT Y TAREAS'!M41,0),IF(AND(9&gt;='EDT Y TAREAS'!AK44,9&lt;'EDT Y TAREAS'!AL44),'EDT Y TAREAS'!AH44/'EDT Y TAREAS'!M44,0),IF(AND(9&gt;='EDT Y TAREAS'!AK46,9&lt;'EDT Y TAREAS'!AL46),'EDT Y TAREAS'!AH46/'EDT Y TAREAS'!M46,0),IF(AND(9&gt;='EDT Y TAREAS'!AK48,9&lt;'EDT Y TAREAS'!AL48),'EDT Y TAREAS'!AH48/'EDT Y TAREAS'!M48,0))</x:f>
        <x:v>0</x:v>
      </x:c>
      <x:c r="G49" s="35" t="n">
        <x:f>SUM(IF(AND(9&gt;='EDT Y TAREAS'!AK20,9&lt;'EDT Y TAREAS'!AL20),'EDT Y TAREAS'!AI20/'EDT Y TAREAS'!M20,0),IF(AND(9&gt;='EDT Y TAREAS'!AK25,9&lt;'EDT Y TAREAS'!AL25),'EDT Y TAREAS'!AI25/'EDT Y TAREAS'!M25,0),IF(AND(9&gt;='EDT Y TAREAS'!AK33,9&lt;'EDT Y TAREAS'!AL33),'EDT Y TAREAS'!AI33/'EDT Y TAREAS'!M33,0),IF(AND(9&gt;='EDT Y TAREAS'!AK34,9&lt;'EDT Y TAREAS'!AL34),'EDT Y TAREAS'!AI34/'EDT Y TAREAS'!M34,0),IF(AND(9&gt;='EDT Y TAREAS'!AK36,9&lt;'EDT Y TAREAS'!AL36),'EDT Y TAREAS'!AI36/'EDT Y TAREAS'!M36,0),IF(AND(9&gt;='EDT Y TAREAS'!AK39,9&lt;'EDT Y TAREAS'!AL39),'EDT Y TAREAS'!AI39/'EDT Y TAREAS'!M39,0),IF(AND(9&gt;='EDT Y TAREAS'!AK40,9&lt;'EDT Y TAREAS'!AL40),'EDT Y TAREAS'!AI40/'EDT Y TAREAS'!M40,0),IF(AND(9&gt;='EDT Y TAREAS'!AK42,9&lt;'EDT Y TAREAS'!AL42),'EDT Y TAREAS'!AI42/'EDT Y TAREAS'!M42,0),IF(AND(9&gt;='EDT Y TAREAS'!AK43,9&lt;'EDT Y TAREAS'!AL43),'EDT Y TAREAS'!AI43/'EDT Y TAREAS'!M43,0),IF(AND(9&gt;='EDT Y TAREAS'!AK44,9&lt;'EDT Y TAREAS'!AL44),'EDT Y TAREAS'!AI44/'EDT Y TAREAS'!M44,0),IF(AND(9&gt;='EDT Y TAREAS'!AK45,9&lt;'EDT Y TAREAS'!AL45),'EDT Y TAREAS'!AI45/'EDT Y TAREAS'!M45,0),IF(AND(9&gt;='EDT Y TAREAS'!AK46,9&lt;'EDT Y TAREAS'!AL46),'EDT Y TAREAS'!AI46/'EDT Y TAREAS'!M46,0),IF(AND(9&gt;='EDT Y TAREAS'!AK48,9&lt;'EDT Y TAREAS'!AL48),'EDT Y TAREAS'!AI48/'EDT Y TAREAS'!M48,0),IF(AND(9&gt;='EDT Y TAREAS'!AK50,9&lt;'EDT Y TAREAS'!AL50),'EDT Y TAREAS'!AI50/'EDT Y TAREAS'!M50,0),IF(AND(9&gt;='EDT Y TAREAS'!AK52,9&lt;'EDT Y TAREAS'!AL52),'EDT Y TAREAS'!AI52/'EDT Y TAREAS'!M52,0))</x:f>
        <x:v>0</x:v>
      </x:c>
      <x:c r="H49" s="35" t="n">
        <x:f>SUM(IF(AND(9&gt;='EDT Y TAREAS'!AK11,9&lt;'EDT Y TAREAS'!AL11),'EDT Y TAREAS'!AJ11/'EDT Y TAREAS'!M11,0),IF(AND(9&gt;='EDT Y TAREAS'!AK24,9&lt;'EDT Y TAREAS'!AL24),'EDT Y TAREAS'!AJ24/'EDT Y TAREAS'!M24,0),IF(AND(9&gt;='EDT Y TAREAS'!AK27,9&lt;'EDT Y TAREAS'!AL27),'EDT Y TAREAS'!AJ27/'EDT Y TAREAS'!M27,0),IF(AND(9&gt;='EDT Y TAREAS'!AK28,9&lt;'EDT Y TAREAS'!AL28),'EDT Y TAREAS'!AJ28/'EDT Y TAREAS'!M28,0),IF(AND(9&gt;='EDT Y TAREAS'!AK33,9&lt;'EDT Y TAREAS'!AL33),'EDT Y TAREAS'!AJ33/'EDT Y TAREAS'!M33,0),IF(AND(9&gt;='EDT Y TAREAS'!AK35,9&lt;'EDT Y TAREAS'!AL35),'EDT Y TAREAS'!AJ35/'EDT Y TAREAS'!M35,0),IF(AND(9&gt;='EDT Y TAREAS'!AK36,9&lt;'EDT Y TAREAS'!AL36),'EDT Y TAREAS'!AJ36/'EDT Y TAREAS'!M36,0),IF(AND(9&gt;='EDT Y TAREAS'!AK37,9&lt;'EDT Y TAREAS'!AL37),'EDT Y TAREAS'!AJ37/'EDT Y TAREAS'!M37,0),IF(AND(9&gt;='EDT Y TAREAS'!AK40,9&lt;'EDT Y TAREAS'!AL40),'EDT Y TAREAS'!AJ40/'EDT Y TAREAS'!M40,0),IF(AND(9&gt;='EDT Y TAREAS'!AK42,9&lt;'EDT Y TAREAS'!AL42),'EDT Y TAREAS'!AJ42/'EDT Y TAREAS'!M42,0),IF(AND(9&gt;='EDT Y TAREAS'!AK49,9&lt;'EDT Y TAREAS'!AL49),'EDT Y TAREAS'!AJ49/'EDT Y TAREAS'!M49,0),IF(AND(9&gt;='EDT Y TAREAS'!AK50,9&lt;'EDT Y TAREAS'!AL50),'EDT Y TAREAS'!AJ50/'EDT Y TAREAS'!M50,0),IF(AND(9&gt;='EDT Y TAREAS'!AK51,9&lt;'EDT Y TAREAS'!AL51),'EDT Y TAREAS'!AJ51/'EDT Y TAREAS'!M51,0),IF(AND(9&gt;='EDT Y TAREAS'!AK52,9&lt;'EDT Y TAREAS'!AL52),'EDT Y TAREAS'!AJ52/'EDT Y TAREAS'!M52,0))</x:f>
        <x:v>0</x:v>
      </x:c>
      <x:c r="I49" s="10" t="n">
        <x:f>WORKDAY('RESUMEN'!$D$3-1,A49,'RESUMEN'!$J$6:$J$25)</x:f>
        <x:v>46339</x:v>
      </x:c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</x:row>
    <x:row r="50" ht="24" customHeight="1">
      <x:c r="A50" s="3" t="n">
        <x:v>11</x:v>
      </x:c>
      <x:c r="B50" s="35" t="n">
        <x:f>SUM(IF(AND(10&gt;='EDT Y TAREAS'!AK6,10&lt;'EDT Y TAREAS'!AL6),'EDT Y TAREAS'!AD6/'EDT Y TAREAS'!M6,0),IF(AND(10&gt;='EDT Y TAREAS'!AK7,10&lt;'EDT Y TAREAS'!AL7),'EDT Y TAREAS'!AD7/'EDT Y TAREAS'!M7,0),IF(AND(10&gt;='EDT Y TAREAS'!AK8,10&lt;'EDT Y TAREAS'!AL8),'EDT Y TAREAS'!AD8/'EDT Y TAREAS'!M8,0),IF(AND(10&gt;='EDT Y TAREAS'!AK9,10&lt;'EDT Y TAREAS'!AL9),'EDT Y TAREAS'!AD9/'EDT Y TAREAS'!M9,0),IF(AND(10&gt;='EDT Y TAREAS'!AK10,10&lt;'EDT Y TAREAS'!AL10),'EDT Y TAREAS'!AD10/'EDT Y TAREAS'!M10,0),IF(AND(10&gt;='EDT Y TAREAS'!AK11,10&lt;'EDT Y TAREAS'!AL11),'EDT Y TAREAS'!AD11/'EDT Y TAREAS'!M11,0),IF(AND(10&gt;='EDT Y TAREAS'!AK12,10&lt;'EDT Y TAREAS'!AL12),'EDT Y TAREAS'!AD12/'EDT Y TAREAS'!M12,0),IF(AND(10&gt;='EDT Y TAREAS'!AK13,10&lt;'EDT Y TAREAS'!AL13),'EDT Y TAREAS'!AD13/'EDT Y TAREAS'!M13,0),IF(AND(10&gt;='EDT Y TAREAS'!AK14,10&lt;'EDT Y TAREAS'!AL14),'EDT Y TAREAS'!AD14/'EDT Y TAREAS'!M14,0),IF(AND(10&gt;='EDT Y TAREAS'!AK15,10&lt;'EDT Y TAREAS'!AL15),'EDT Y TAREAS'!AD15/'EDT Y TAREAS'!M15,0),IF(AND(10&gt;='EDT Y TAREAS'!AK16,10&lt;'EDT Y TAREAS'!AL16),'EDT Y TAREAS'!AD16/'EDT Y TAREAS'!M16,0),IF(AND(10&gt;='EDT Y TAREAS'!AK17,10&lt;'EDT Y TAREAS'!AL17),'EDT Y TAREAS'!AD17/'EDT Y TAREAS'!M17,0),IF(AND(10&gt;='EDT Y TAREAS'!AK18,10&lt;'EDT Y TAREAS'!AL18),'EDT Y TAREAS'!AD18/'EDT Y TAREAS'!M18,0),IF(AND(10&gt;='EDT Y TAREAS'!AK19,10&lt;'EDT Y TAREAS'!AL19),'EDT Y TAREAS'!AD19/'EDT Y TAREAS'!M19,0),IF(AND(10&gt;='EDT Y TAREAS'!AK20,10&lt;'EDT Y TAREAS'!AL20),'EDT Y TAREAS'!AD20/'EDT Y TAREAS'!M20,0),IF(AND(10&gt;='EDT Y TAREAS'!AK21,10&lt;'EDT Y TAREAS'!AL21),'EDT Y TAREAS'!AD21/'EDT Y TAREAS'!M21,0),IF(AND(10&gt;='EDT Y TAREAS'!AK22,10&lt;'EDT Y TAREAS'!AL22),'EDT Y TAREAS'!AD22/'EDT Y TAREAS'!M22,0),IF(AND(10&gt;='EDT Y TAREAS'!AK23,10&lt;'EDT Y TAREAS'!AL23),'EDT Y TAREAS'!AD23/'EDT Y TAREAS'!M23,0),IF(AND(10&gt;='EDT Y TAREAS'!AK26,10&lt;'EDT Y TAREAS'!AL26),'EDT Y TAREAS'!AD26/'EDT Y TAREAS'!M26,0),IF(AND(10&gt;='EDT Y TAREAS'!AK28,10&lt;'EDT Y TAREAS'!AL28),'EDT Y TAREAS'!AD28/'EDT Y TAREAS'!M28,0),IF(AND(10&gt;='EDT Y TAREAS'!AK30,10&lt;'EDT Y TAREAS'!AL30),'EDT Y TAREAS'!AD30/'EDT Y TAREAS'!M30,0),IF(AND(10&gt;='EDT Y TAREAS'!AK32,10&lt;'EDT Y TAREAS'!AL32),'EDT Y TAREAS'!AD32/'EDT Y TAREAS'!M32,0),IF(AND(10&gt;='EDT Y TAREAS'!AK34,10&lt;'EDT Y TAREAS'!AL34),'EDT Y TAREAS'!AD34/'EDT Y TAREAS'!M34,0),IF(AND(10&gt;='EDT Y TAREAS'!AK38,10&lt;'EDT Y TAREAS'!AL38),'EDT Y TAREAS'!AD38/'EDT Y TAREAS'!M38,0),IF(AND(10&gt;='EDT Y TAREAS'!AK39,10&lt;'EDT Y TAREAS'!AL39),'EDT Y TAREAS'!AD39/'EDT Y TAREAS'!M39,0),IF(AND(10&gt;='EDT Y TAREAS'!AK43,10&lt;'EDT Y TAREAS'!AL43),'EDT Y TAREAS'!AD43/'EDT Y TAREAS'!M43,0),IF(AND(10&gt;='EDT Y TAREAS'!AK44,10&lt;'EDT Y TAREAS'!AL44),'EDT Y TAREAS'!AD44/'EDT Y TAREAS'!M44,0),IF(AND(10&gt;='EDT Y TAREAS'!AK45,10&lt;'EDT Y TAREAS'!AL45),'EDT Y TAREAS'!AD45/'EDT Y TAREAS'!M45,0),IF(AND(10&gt;='EDT Y TAREAS'!AK46,10&lt;'EDT Y TAREAS'!AL46),'EDT Y TAREAS'!AD46/'EDT Y TAREAS'!M46,0),IF(AND(10&gt;='EDT Y TAREAS'!AK47,10&lt;'EDT Y TAREAS'!AL47),'EDT Y TAREAS'!AD47/'EDT Y TAREAS'!M47,0),IF(AND(10&gt;='EDT Y TAREAS'!AK49,10&lt;'EDT Y TAREAS'!AL49),'EDT Y TAREAS'!AD49/'EDT Y TAREAS'!M49,0),IF(AND(10&gt;='EDT Y TAREAS'!AK50,10&lt;'EDT Y TAREAS'!AL50),'EDT Y TAREAS'!AD50/'EDT Y TAREAS'!M50,0),IF(AND(10&gt;='EDT Y TAREAS'!AK51,10&lt;'EDT Y TAREAS'!AL51),'EDT Y TAREAS'!AD51/'EDT Y TAREAS'!M51,0),IF(AND(10&gt;='EDT Y TAREAS'!AK52,10&lt;'EDT Y TAREAS'!AL52),'EDT Y TAREAS'!AD52/'EDT Y TAREAS'!M52,0))</x:f>
        <x:v>0.6666666666666666</x:v>
      </x:c>
      <x:c r="C50" s="35" t="n">
        <x:f>SUM(IF(AND(10&gt;='EDT Y TAREAS'!AK6,10&lt;'EDT Y TAREAS'!AL6),'EDT Y TAREAS'!AE6/'EDT Y TAREAS'!M6,0),IF(AND(10&gt;='EDT Y TAREAS'!AK8,10&lt;'EDT Y TAREAS'!AL8),'EDT Y TAREAS'!AE8/'EDT Y TAREAS'!M8,0),IF(AND(10&gt;='EDT Y TAREAS'!AK9,10&lt;'EDT Y TAREAS'!AL9),'EDT Y TAREAS'!AE9/'EDT Y TAREAS'!M9,0),IF(AND(10&gt;='EDT Y TAREAS'!AK10,10&lt;'EDT Y TAREAS'!AL10),'EDT Y TAREAS'!AE10/'EDT Y TAREAS'!M10,0),IF(AND(10&gt;='EDT Y TAREAS'!AK12,10&lt;'EDT Y TAREAS'!AL12),'EDT Y TAREAS'!AE12/'EDT Y TAREAS'!M12,0),IF(AND(10&gt;='EDT Y TAREAS'!AK16,10&lt;'EDT Y TAREAS'!AL16),'EDT Y TAREAS'!AE16/'EDT Y TAREAS'!M16,0),IF(AND(10&gt;='EDT Y TAREAS'!AK21,10&lt;'EDT Y TAREAS'!AL21),'EDT Y TAREAS'!AE21/'EDT Y TAREAS'!M21,0),IF(AND(10&gt;='EDT Y TAREAS'!AK23,10&lt;'EDT Y TAREAS'!AL23),'EDT Y TAREAS'!AE23/'EDT Y TAREAS'!M23,0),IF(AND(10&gt;='EDT Y TAREAS'!AK37,10&lt;'EDT Y TAREAS'!AL37),'EDT Y TAREAS'!AE37/'EDT Y TAREAS'!M37,0),IF(AND(10&gt;='EDT Y TAREAS'!AK38,10&lt;'EDT Y TAREAS'!AL38),'EDT Y TAREAS'!AE38/'EDT Y TAREAS'!M38,0),IF(AND(10&gt;='EDT Y TAREAS'!AK41,10&lt;'EDT Y TAREAS'!AL41),'EDT Y TAREAS'!AE41/'EDT Y TAREAS'!M41,0),IF(AND(10&gt;='EDT Y TAREAS'!AK43,10&lt;'EDT Y TAREAS'!AL43),'EDT Y TAREAS'!AE43/'EDT Y TAREAS'!M43,0),IF(AND(10&gt;='EDT Y TAREAS'!AK44,10&lt;'EDT Y TAREAS'!AL44),'EDT Y TAREAS'!AE44/'EDT Y TAREAS'!M44,0),IF(AND(10&gt;='EDT Y TAREAS'!AK46,10&lt;'EDT Y TAREAS'!AL46),'EDT Y TAREAS'!AE46/'EDT Y TAREAS'!M46,0),IF(AND(10&gt;='EDT Y TAREAS'!AK47,10&lt;'EDT Y TAREAS'!AL47),'EDT Y TAREAS'!AE47/'EDT Y TAREAS'!M47,0),IF(AND(10&gt;='EDT Y TAREAS'!AK51,10&lt;'EDT Y TAREAS'!AL51),'EDT Y TAREAS'!AE51/'EDT Y TAREAS'!M51,0),IF(AND(10&gt;='EDT Y TAREAS'!AK52,10&lt;'EDT Y TAREAS'!AL52),'EDT Y TAREAS'!AE52/'EDT Y TAREAS'!M52,0))</x:f>
        <x:v>1.3333333333333333</x:v>
      </x:c>
      <x:c r="D50" s="35" t="n">
        <x:f>SUM(IF(AND(10&gt;='EDT Y TAREAS'!AK11,10&lt;'EDT Y TAREAS'!AL11),'EDT Y TAREAS'!AF11/'EDT Y TAREAS'!M11,0),IF(AND(10&gt;='EDT Y TAREAS'!AK24,10&lt;'EDT Y TAREAS'!AL24),'EDT Y TAREAS'!AF24/'EDT Y TAREAS'!M24,0),IF(AND(10&gt;='EDT Y TAREAS'!AK25,10&lt;'EDT Y TAREAS'!AL25),'EDT Y TAREAS'!AF25/'EDT Y TAREAS'!M25,0),IF(AND(10&gt;='EDT Y TAREAS'!AK26,10&lt;'EDT Y TAREAS'!AL26),'EDT Y TAREAS'!AF26/'EDT Y TAREAS'!M26,0),IF(AND(10&gt;='EDT Y TAREAS'!AK27,10&lt;'EDT Y TAREAS'!AL27),'EDT Y TAREAS'!AF27/'EDT Y TAREAS'!M27,0),IF(AND(10&gt;='EDT Y TAREAS'!AK28,10&lt;'EDT Y TAREAS'!AL28),'EDT Y TAREAS'!AF28/'EDT Y TAREAS'!M28,0),IF(AND(10&gt;='EDT Y TAREAS'!AK31,10&lt;'EDT Y TAREAS'!AL31),'EDT Y TAREAS'!AF31/'EDT Y TAREAS'!M31,0),IF(AND(10&gt;='EDT Y TAREAS'!AK33,10&lt;'EDT Y TAREAS'!AL33),'EDT Y TAREAS'!AF33/'EDT Y TAREAS'!M33,0),IF(AND(10&gt;='EDT Y TAREAS'!AK34,10&lt;'EDT Y TAREAS'!AL34),'EDT Y TAREAS'!AF34/'EDT Y TAREAS'!M34,0),IF(AND(10&gt;='EDT Y TAREAS'!AK35,10&lt;'EDT Y TAREAS'!AL35),'EDT Y TAREAS'!AF35/'EDT Y TAREAS'!M35,0),IF(AND(10&gt;='EDT Y TAREAS'!AK37,10&lt;'EDT Y TAREAS'!AL37),'EDT Y TAREAS'!AF37/'EDT Y TAREAS'!M37,0),IF(AND(10&gt;='EDT Y TAREAS'!AK39,10&lt;'EDT Y TAREAS'!AL39),'EDT Y TAREAS'!AF39/'EDT Y TAREAS'!M39,0),IF(AND(10&gt;='EDT Y TAREAS'!AK40,10&lt;'EDT Y TAREAS'!AL40),'EDT Y TAREAS'!AF40/'EDT Y TAREAS'!M40,0),IF(AND(10&gt;='EDT Y TAREAS'!AK42,10&lt;'EDT Y TAREAS'!AL42),'EDT Y TAREAS'!AF42/'EDT Y TAREAS'!M42,0),IF(AND(10&gt;='EDT Y TAREAS'!AK45,10&lt;'EDT Y TAREAS'!AL45),'EDT Y TAREAS'!AF45/'EDT Y TAREAS'!M45,0),IF(AND(10&gt;='EDT Y TAREAS'!AK49,10&lt;'EDT Y TAREAS'!AL49),'EDT Y TAREAS'!AF49/'EDT Y TAREAS'!M49,0),IF(AND(10&gt;='EDT Y TAREAS'!AK52,10&lt;'EDT Y TAREAS'!AL52),'EDT Y TAREAS'!AF52/'EDT Y TAREAS'!M52,0))</x:f>
        <x:v>0</x:v>
      </x:c>
      <x:c r="E50" s="35" t="n">
        <x:f>SUM(IF(AND(10&gt;='EDT Y TAREAS'!AK29,10&lt;'EDT Y TAREAS'!AL29),'EDT Y TAREAS'!AG29/'EDT Y TAREAS'!M29,0),IF(AND(10&gt;='EDT Y TAREAS'!AK30,10&lt;'EDT Y TAREAS'!AL30),'EDT Y TAREAS'!AG30/'EDT Y TAREAS'!M30,0),IF(AND(10&gt;='EDT Y TAREAS'!AK31,10&lt;'EDT Y TAREAS'!AL31),'EDT Y TAREAS'!AG31/'EDT Y TAREAS'!M31,0),IF(AND(10&gt;='EDT Y TAREAS'!AK32,10&lt;'EDT Y TAREAS'!AL32),'EDT Y TAREAS'!AG32/'EDT Y TAREAS'!M32,0),IF(AND(10&gt;='EDT Y TAREAS'!AK41,10&lt;'EDT Y TAREAS'!AL41),'EDT Y TAREAS'!AG41/'EDT Y TAREAS'!M41,0),IF(AND(10&gt;='EDT Y TAREAS'!AK45,10&lt;'EDT Y TAREAS'!AL45),'EDT Y TAREAS'!AG45/'EDT Y TAREAS'!M45,0),IF(AND(10&gt;='EDT Y TAREAS'!AK48,10&lt;'EDT Y TAREAS'!AL48),'EDT Y TAREAS'!AG48/'EDT Y TAREAS'!M48,0))</x:f>
        <x:v>0</x:v>
      </x:c>
      <x:c r="F50" s="35" t="n">
        <x:f>SUM(IF(AND(10&gt;='EDT Y TAREAS'!AK10,10&lt;'EDT Y TAREAS'!AL10),'EDT Y TAREAS'!AH10/'EDT Y TAREAS'!M10,0),IF(AND(10&gt;='EDT Y TAREAS'!AK12,10&lt;'EDT Y TAREAS'!AL12),'EDT Y TAREAS'!AH12/'EDT Y TAREAS'!M12,0),IF(AND(10&gt;='EDT Y TAREAS'!AK22,10&lt;'EDT Y TAREAS'!AL22),'EDT Y TAREAS'!AH22/'EDT Y TAREAS'!M22,0),IF(AND(10&gt;='EDT Y TAREAS'!AK23,10&lt;'EDT Y TAREAS'!AL23),'EDT Y TAREAS'!AH23/'EDT Y TAREAS'!M23,0),IF(AND(10&gt;='EDT Y TAREAS'!AK29,10&lt;'EDT Y TAREAS'!AL29),'EDT Y TAREAS'!AH29/'EDT Y TAREAS'!M29,0),IF(AND(10&gt;='EDT Y TAREAS'!AK30,10&lt;'EDT Y TAREAS'!AL30),'EDT Y TAREAS'!AH30/'EDT Y TAREAS'!M30,0),IF(AND(10&gt;='EDT Y TAREAS'!AK32,10&lt;'EDT Y TAREAS'!AL32),'EDT Y TAREAS'!AH32/'EDT Y TAREAS'!M32,0),IF(AND(10&gt;='EDT Y TAREAS'!AK41,10&lt;'EDT Y TAREAS'!AL41),'EDT Y TAREAS'!AH41/'EDT Y TAREAS'!M41,0),IF(AND(10&gt;='EDT Y TAREAS'!AK44,10&lt;'EDT Y TAREAS'!AL44),'EDT Y TAREAS'!AH44/'EDT Y TAREAS'!M44,0),IF(AND(10&gt;='EDT Y TAREAS'!AK46,10&lt;'EDT Y TAREAS'!AL46),'EDT Y TAREAS'!AH46/'EDT Y TAREAS'!M46,0),IF(AND(10&gt;='EDT Y TAREAS'!AK48,10&lt;'EDT Y TAREAS'!AL48),'EDT Y TAREAS'!AH48/'EDT Y TAREAS'!M48,0))</x:f>
        <x:v>0</x:v>
      </x:c>
      <x:c r="G50" s="35" t="n">
        <x:f>SUM(IF(AND(10&gt;='EDT Y TAREAS'!AK20,10&lt;'EDT Y TAREAS'!AL20),'EDT Y TAREAS'!AI20/'EDT Y TAREAS'!M20,0),IF(AND(10&gt;='EDT Y TAREAS'!AK25,10&lt;'EDT Y TAREAS'!AL25),'EDT Y TAREAS'!AI25/'EDT Y TAREAS'!M25,0),IF(AND(10&gt;='EDT Y TAREAS'!AK33,10&lt;'EDT Y TAREAS'!AL33),'EDT Y TAREAS'!AI33/'EDT Y TAREAS'!M33,0),IF(AND(10&gt;='EDT Y TAREAS'!AK34,10&lt;'EDT Y TAREAS'!AL34),'EDT Y TAREAS'!AI34/'EDT Y TAREAS'!M34,0),IF(AND(10&gt;='EDT Y TAREAS'!AK36,10&lt;'EDT Y TAREAS'!AL36),'EDT Y TAREAS'!AI36/'EDT Y TAREAS'!M36,0),IF(AND(10&gt;='EDT Y TAREAS'!AK39,10&lt;'EDT Y TAREAS'!AL39),'EDT Y TAREAS'!AI39/'EDT Y TAREAS'!M39,0),IF(AND(10&gt;='EDT Y TAREAS'!AK40,10&lt;'EDT Y TAREAS'!AL40),'EDT Y TAREAS'!AI40/'EDT Y TAREAS'!M40,0),IF(AND(10&gt;='EDT Y TAREAS'!AK42,10&lt;'EDT Y TAREAS'!AL42),'EDT Y TAREAS'!AI42/'EDT Y TAREAS'!M42,0),IF(AND(10&gt;='EDT Y TAREAS'!AK43,10&lt;'EDT Y TAREAS'!AL43),'EDT Y TAREAS'!AI43/'EDT Y TAREAS'!M43,0),IF(AND(10&gt;='EDT Y TAREAS'!AK44,10&lt;'EDT Y TAREAS'!AL44),'EDT Y TAREAS'!AI44/'EDT Y TAREAS'!M44,0),IF(AND(10&gt;='EDT Y TAREAS'!AK45,10&lt;'EDT Y TAREAS'!AL45),'EDT Y TAREAS'!AI45/'EDT Y TAREAS'!M45,0),IF(AND(10&gt;='EDT Y TAREAS'!AK46,10&lt;'EDT Y TAREAS'!AL46),'EDT Y TAREAS'!AI46/'EDT Y TAREAS'!M46,0),IF(AND(10&gt;='EDT Y TAREAS'!AK48,10&lt;'EDT Y TAREAS'!AL48),'EDT Y TAREAS'!AI48/'EDT Y TAREAS'!M48,0),IF(AND(10&gt;='EDT Y TAREAS'!AK50,10&lt;'EDT Y TAREAS'!AL50),'EDT Y TAREAS'!AI50/'EDT Y TAREAS'!M50,0),IF(AND(10&gt;='EDT Y TAREAS'!AK52,10&lt;'EDT Y TAREAS'!AL52),'EDT Y TAREAS'!AI52/'EDT Y TAREAS'!M52,0))</x:f>
        <x:v>0</x:v>
      </x:c>
      <x:c r="H50" s="35" t="n">
        <x:f>SUM(IF(AND(10&gt;='EDT Y TAREAS'!AK11,10&lt;'EDT Y TAREAS'!AL11),'EDT Y TAREAS'!AJ11/'EDT Y TAREAS'!M11,0),IF(AND(10&gt;='EDT Y TAREAS'!AK24,10&lt;'EDT Y TAREAS'!AL24),'EDT Y TAREAS'!AJ24/'EDT Y TAREAS'!M24,0),IF(AND(10&gt;='EDT Y TAREAS'!AK27,10&lt;'EDT Y TAREAS'!AL27),'EDT Y TAREAS'!AJ27/'EDT Y TAREAS'!M27,0),IF(AND(10&gt;='EDT Y TAREAS'!AK28,10&lt;'EDT Y TAREAS'!AL28),'EDT Y TAREAS'!AJ28/'EDT Y TAREAS'!M28,0),IF(AND(10&gt;='EDT Y TAREAS'!AK33,10&lt;'EDT Y TAREAS'!AL33),'EDT Y TAREAS'!AJ33/'EDT Y TAREAS'!M33,0),IF(AND(10&gt;='EDT Y TAREAS'!AK35,10&lt;'EDT Y TAREAS'!AL35),'EDT Y TAREAS'!AJ35/'EDT Y TAREAS'!M35,0),IF(AND(10&gt;='EDT Y TAREAS'!AK36,10&lt;'EDT Y TAREAS'!AL36),'EDT Y TAREAS'!AJ36/'EDT Y TAREAS'!M36,0),IF(AND(10&gt;='EDT Y TAREAS'!AK37,10&lt;'EDT Y TAREAS'!AL37),'EDT Y TAREAS'!AJ37/'EDT Y TAREAS'!M37,0),IF(AND(10&gt;='EDT Y TAREAS'!AK40,10&lt;'EDT Y TAREAS'!AL40),'EDT Y TAREAS'!AJ40/'EDT Y TAREAS'!M40,0),IF(AND(10&gt;='EDT Y TAREAS'!AK42,10&lt;'EDT Y TAREAS'!AL42),'EDT Y TAREAS'!AJ42/'EDT Y TAREAS'!M42,0),IF(AND(10&gt;='EDT Y TAREAS'!AK49,10&lt;'EDT Y TAREAS'!AL49),'EDT Y TAREAS'!AJ49/'EDT Y TAREAS'!M49,0),IF(AND(10&gt;='EDT Y TAREAS'!AK50,10&lt;'EDT Y TAREAS'!AL50),'EDT Y TAREAS'!AJ50/'EDT Y TAREAS'!M50,0),IF(AND(10&gt;='EDT Y TAREAS'!AK51,10&lt;'EDT Y TAREAS'!AL51),'EDT Y TAREAS'!AJ51/'EDT Y TAREAS'!M51,0),IF(AND(10&gt;='EDT Y TAREAS'!AK52,10&lt;'EDT Y TAREAS'!AL52),'EDT Y TAREAS'!AJ52/'EDT Y TAREAS'!M52,0))</x:f>
        <x:v>0</x:v>
      </x:c>
      <x:c r="I50" s="10" t="n">
        <x:f>WORKDAY('RESUMEN'!$D$3-1,A50,'RESUMEN'!$J$6:$J$25)</x:f>
        <x:v>46342</x:v>
      </x:c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</x:row>
    <x:row r="51" ht="24" customHeight="1">
      <x:c r="A51" s="3" t="n">
        <x:v>12</x:v>
      </x:c>
      <x:c r="B51" s="35" t="n">
        <x:f>SUM(IF(AND(11&gt;='EDT Y TAREAS'!AK6,11&lt;'EDT Y TAREAS'!AL6),'EDT Y TAREAS'!AD6/'EDT Y TAREAS'!M6,0),IF(AND(11&gt;='EDT Y TAREAS'!AK7,11&lt;'EDT Y TAREAS'!AL7),'EDT Y TAREAS'!AD7/'EDT Y TAREAS'!M7,0),IF(AND(11&gt;='EDT Y TAREAS'!AK8,11&lt;'EDT Y TAREAS'!AL8),'EDT Y TAREAS'!AD8/'EDT Y TAREAS'!M8,0),IF(AND(11&gt;='EDT Y TAREAS'!AK9,11&lt;'EDT Y TAREAS'!AL9),'EDT Y TAREAS'!AD9/'EDT Y TAREAS'!M9,0),IF(AND(11&gt;='EDT Y TAREAS'!AK10,11&lt;'EDT Y TAREAS'!AL10),'EDT Y TAREAS'!AD10/'EDT Y TAREAS'!M10,0),IF(AND(11&gt;='EDT Y TAREAS'!AK11,11&lt;'EDT Y TAREAS'!AL11),'EDT Y TAREAS'!AD11/'EDT Y TAREAS'!M11,0),IF(AND(11&gt;='EDT Y TAREAS'!AK12,11&lt;'EDT Y TAREAS'!AL12),'EDT Y TAREAS'!AD12/'EDT Y TAREAS'!M12,0),IF(AND(11&gt;='EDT Y TAREAS'!AK13,11&lt;'EDT Y TAREAS'!AL13),'EDT Y TAREAS'!AD13/'EDT Y TAREAS'!M13,0),IF(AND(11&gt;='EDT Y TAREAS'!AK14,11&lt;'EDT Y TAREAS'!AL14),'EDT Y TAREAS'!AD14/'EDT Y TAREAS'!M14,0),IF(AND(11&gt;='EDT Y TAREAS'!AK15,11&lt;'EDT Y TAREAS'!AL15),'EDT Y TAREAS'!AD15/'EDT Y TAREAS'!M15,0),IF(AND(11&gt;='EDT Y TAREAS'!AK16,11&lt;'EDT Y TAREAS'!AL16),'EDT Y TAREAS'!AD16/'EDT Y TAREAS'!M16,0),IF(AND(11&gt;='EDT Y TAREAS'!AK17,11&lt;'EDT Y TAREAS'!AL17),'EDT Y TAREAS'!AD17/'EDT Y TAREAS'!M17,0),IF(AND(11&gt;='EDT Y TAREAS'!AK18,11&lt;'EDT Y TAREAS'!AL18),'EDT Y TAREAS'!AD18/'EDT Y TAREAS'!M18,0),IF(AND(11&gt;='EDT Y TAREAS'!AK19,11&lt;'EDT Y TAREAS'!AL19),'EDT Y TAREAS'!AD19/'EDT Y TAREAS'!M19,0),IF(AND(11&gt;='EDT Y TAREAS'!AK20,11&lt;'EDT Y TAREAS'!AL20),'EDT Y TAREAS'!AD20/'EDT Y TAREAS'!M20,0),IF(AND(11&gt;='EDT Y TAREAS'!AK21,11&lt;'EDT Y TAREAS'!AL21),'EDT Y TAREAS'!AD21/'EDT Y TAREAS'!M21,0),IF(AND(11&gt;='EDT Y TAREAS'!AK22,11&lt;'EDT Y TAREAS'!AL22),'EDT Y TAREAS'!AD22/'EDT Y TAREAS'!M22,0),IF(AND(11&gt;='EDT Y TAREAS'!AK23,11&lt;'EDT Y TAREAS'!AL23),'EDT Y TAREAS'!AD23/'EDT Y TAREAS'!M23,0),IF(AND(11&gt;='EDT Y TAREAS'!AK26,11&lt;'EDT Y TAREAS'!AL26),'EDT Y TAREAS'!AD26/'EDT Y TAREAS'!M26,0),IF(AND(11&gt;='EDT Y TAREAS'!AK28,11&lt;'EDT Y TAREAS'!AL28),'EDT Y TAREAS'!AD28/'EDT Y TAREAS'!M28,0),IF(AND(11&gt;='EDT Y TAREAS'!AK30,11&lt;'EDT Y TAREAS'!AL30),'EDT Y TAREAS'!AD30/'EDT Y TAREAS'!M30,0),IF(AND(11&gt;='EDT Y TAREAS'!AK32,11&lt;'EDT Y TAREAS'!AL32),'EDT Y TAREAS'!AD32/'EDT Y TAREAS'!M32,0),IF(AND(11&gt;='EDT Y TAREAS'!AK34,11&lt;'EDT Y TAREAS'!AL34),'EDT Y TAREAS'!AD34/'EDT Y TAREAS'!M34,0),IF(AND(11&gt;='EDT Y TAREAS'!AK38,11&lt;'EDT Y TAREAS'!AL38),'EDT Y TAREAS'!AD38/'EDT Y TAREAS'!M38,0),IF(AND(11&gt;='EDT Y TAREAS'!AK39,11&lt;'EDT Y TAREAS'!AL39),'EDT Y TAREAS'!AD39/'EDT Y TAREAS'!M39,0),IF(AND(11&gt;='EDT Y TAREAS'!AK43,11&lt;'EDT Y TAREAS'!AL43),'EDT Y TAREAS'!AD43/'EDT Y TAREAS'!M43,0),IF(AND(11&gt;='EDT Y TAREAS'!AK44,11&lt;'EDT Y TAREAS'!AL44),'EDT Y TAREAS'!AD44/'EDT Y TAREAS'!M44,0),IF(AND(11&gt;='EDT Y TAREAS'!AK45,11&lt;'EDT Y TAREAS'!AL45),'EDT Y TAREAS'!AD45/'EDT Y TAREAS'!M45,0),IF(AND(11&gt;='EDT Y TAREAS'!AK46,11&lt;'EDT Y TAREAS'!AL46),'EDT Y TAREAS'!AD46/'EDT Y TAREAS'!M46,0),IF(AND(11&gt;='EDT Y TAREAS'!AK47,11&lt;'EDT Y TAREAS'!AL47),'EDT Y TAREAS'!AD47/'EDT Y TAREAS'!M47,0),IF(AND(11&gt;='EDT Y TAREAS'!AK49,11&lt;'EDT Y TAREAS'!AL49),'EDT Y TAREAS'!AD49/'EDT Y TAREAS'!M49,0),IF(AND(11&gt;='EDT Y TAREAS'!AK50,11&lt;'EDT Y TAREAS'!AL50),'EDT Y TAREAS'!AD50/'EDT Y TAREAS'!M50,0),IF(AND(11&gt;='EDT Y TAREAS'!AK51,11&lt;'EDT Y TAREAS'!AL51),'EDT Y TAREAS'!AD51/'EDT Y TAREAS'!M51,0),IF(AND(11&gt;='EDT Y TAREAS'!AK52,11&lt;'EDT Y TAREAS'!AL52),'EDT Y TAREAS'!AD52/'EDT Y TAREAS'!M52,0))</x:f>
        <x:v>0.6666666666666666</x:v>
      </x:c>
      <x:c r="C51" s="35" t="n">
        <x:f>SUM(IF(AND(11&gt;='EDT Y TAREAS'!AK6,11&lt;'EDT Y TAREAS'!AL6),'EDT Y TAREAS'!AE6/'EDT Y TAREAS'!M6,0),IF(AND(11&gt;='EDT Y TAREAS'!AK8,11&lt;'EDT Y TAREAS'!AL8),'EDT Y TAREAS'!AE8/'EDT Y TAREAS'!M8,0),IF(AND(11&gt;='EDT Y TAREAS'!AK9,11&lt;'EDT Y TAREAS'!AL9),'EDT Y TAREAS'!AE9/'EDT Y TAREAS'!M9,0),IF(AND(11&gt;='EDT Y TAREAS'!AK10,11&lt;'EDT Y TAREAS'!AL10),'EDT Y TAREAS'!AE10/'EDT Y TAREAS'!M10,0),IF(AND(11&gt;='EDT Y TAREAS'!AK12,11&lt;'EDT Y TAREAS'!AL12),'EDT Y TAREAS'!AE12/'EDT Y TAREAS'!M12,0),IF(AND(11&gt;='EDT Y TAREAS'!AK16,11&lt;'EDT Y TAREAS'!AL16),'EDT Y TAREAS'!AE16/'EDT Y TAREAS'!M16,0),IF(AND(11&gt;='EDT Y TAREAS'!AK21,11&lt;'EDT Y TAREAS'!AL21),'EDT Y TAREAS'!AE21/'EDT Y TAREAS'!M21,0),IF(AND(11&gt;='EDT Y TAREAS'!AK23,11&lt;'EDT Y TAREAS'!AL23),'EDT Y TAREAS'!AE23/'EDT Y TAREAS'!M23,0),IF(AND(11&gt;='EDT Y TAREAS'!AK37,11&lt;'EDT Y TAREAS'!AL37),'EDT Y TAREAS'!AE37/'EDT Y TAREAS'!M37,0),IF(AND(11&gt;='EDT Y TAREAS'!AK38,11&lt;'EDT Y TAREAS'!AL38),'EDT Y TAREAS'!AE38/'EDT Y TAREAS'!M38,0),IF(AND(11&gt;='EDT Y TAREAS'!AK41,11&lt;'EDT Y TAREAS'!AL41),'EDT Y TAREAS'!AE41/'EDT Y TAREAS'!M41,0),IF(AND(11&gt;='EDT Y TAREAS'!AK43,11&lt;'EDT Y TAREAS'!AL43),'EDT Y TAREAS'!AE43/'EDT Y TAREAS'!M43,0),IF(AND(11&gt;='EDT Y TAREAS'!AK44,11&lt;'EDT Y TAREAS'!AL44),'EDT Y TAREAS'!AE44/'EDT Y TAREAS'!M44,0),IF(AND(11&gt;='EDT Y TAREAS'!AK46,11&lt;'EDT Y TAREAS'!AL46),'EDT Y TAREAS'!AE46/'EDT Y TAREAS'!M46,0),IF(AND(11&gt;='EDT Y TAREAS'!AK47,11&lt;'EDT Y TAREAS'!AL47),'EDT Y TAREAS'!AE47/'EDT Y TAREAS'!M47,0),IF(AND(11&gt;='EDT Y TAREAS'!AK51,11&lt;'EDT Y TAREAS'!AL51),'EDT Y TAREAS'!AE51/'EDT Y TAREAS'!M51,0),IF(AND(11&gt;='EDT Y TAREAS'!AK52,11&lt;'EDT Y TAREAS'!AL52),'EDT Y TAREAS'!AE52/'EDT Y TAREAS'!M52,0))</x:f>
        <x:v>1.3333333333333333</x:v>
      </x:c>
      <x:c r="D51" s="35" t="n">
        <x:f>SUM(IF(AND(11&gt;='EDT Y TAREAS'!AK11,11&lt;'EDT Y TAREAS'!AL11),'EDT Y TAREAS'!AF11/'EDT Y TAREAS'!M11,0),IF(AND(11&gt;='EDT Y TAREAS'!AK24,11&lt;'EDT Y TAREAS'!AL24),'EDT Y TAREAS'!AF24/'EDT Y TAREAS'!M24,0),IF(AND(11&gt;='EDT Y TAREAS'!AK25,11&lt;'EDT Y TAREAS'!AL25),'EDT Y TAREAS'!AF25/'EDT Y TAREAS'!M25,0),IF(AND(11&gt;='EDT Y TAREAS'!AK26,11&lt;'EDT Y TAREAS'!AL26),'EDT Y TAREAS'!AF26/'EDT Y TAREAS'!M26,0),IF(AND(11&gt;='EDT Y TAREAS'!AK27,11&lt;'EDT Y TAREAS'!AL27),'EDT Y TAREAS'!AF27/'EDT Y TAREAS'!M27,0),IF(AND(11&gt;='EDT Y TAREAS'!AK28,11&lt;'EDT Y TAREAS'!AL28),'EDT Y TAREAS'!AF28/'EDT Y TAREAS'!M28,0),IF(AND(11&gt;='EDT Y TAREAS'!AK31,11&lt;'EDT Y TAREAS'!AL31),'EDT Y TAREAS'!AF31/'EDT Y TAREAS'!M31,0),IF(AND(11&gt;='EDT Y TAREAS'!AK33,11&lt;'EDT Y TAREAS'!AL33),'EDT Y TAREAS'!AF33/'EDT Y TAREAS'!M33,0),IF(AND(11&gt;='EDT Y TAREAS'!AK34,11&lt;'EDT Y TAREAS'!AL34),'EDT Y TAREAS'!AF34/'EDT Y TAREAS'!M34,0),IF(AND(11&gt;='EDT Y TAREAS'!AK35,11&lt;'EDT Y TAREAS'!AL35),'EDT Y TAREAS'!AF35/'EDT Y TAREAS'!M35,0),IF(AND(11&gt;='EDT Y TAREAS'!AK37,11&lt;'EDT Y TAREAS'!AL37),'EDT Y TAREAS'!AF37/'EDT Y TAREAS'!M37,0),IF(AND(11&gt;='EDT Y TAREAS'!AK39,11&lt;'EDT Y TAREAS'!AL39),'EDT Y TAREAS'!AF39/'EDT Y TAREAS'!M39,0),IF(AND(11&gt;='EDT Y TAREAS'!AK40,11&lt;'EDT Y TAREAS'!AL40),'EDT Y TAREAS'!AF40/'EDT Y TAREAS'!M40,0),IF(AND(11&gt;='EDT Y TAREAS'!AK42,11&lt;'EDT Y TAREAS'!AL42),'EDT Y TAREAS'!AF42/'EDT Y TAREAS'!M42,0),IF(AND(11&gt;='EDT Y TAREAS'!AK45,11&lt;'EDT Y TAREAS'!AL45),'EDT Y TAREAS'!AF45/'EDT Y TAREAS'!M45,0),IF(AND(11&gt;='EDT Y TAREAS'!AK49,11&lt;'EDT Y TAREAS'!AL49),'EDT Y TAREAS'!AF49/'EDT Y TAREAS'!M49,0),IF(AND(11&gt;='EDT Y TAREAS'!AK52,11&lt;'EDT Y TAREAS'!AL52),'EDT Y TAREAS'!AF52/'EDT Y TAREAS'!M52,0))</x:f>
        <x:v>0</x:v>
      </x:c>
      <x:c r="E51" s="35" t="n">
        <x:f>SUM(IF(AND(11&gt;='EDT Y TAREAS'!AK29,11&lt;'EDT Y TAREAS'!AL29),'EDT Y TAREAS'!AG29/'EDT Y TAREAS'!M29,0),IF(AND(11&gt;='EDT Y TAREAS'!AK30,11&lt;'EDT Y TAREAS'!AL30),'EDT Y TAREAS'!AG30/'EDT Y TAREAS'!M30,0),IF(AND(11&gt;='EDT Y TAREAS'!AK31,11&lt;'EDT Y TAREAS'!AL31),'EDT Y TAREAS'!AG31/'EDT Y TAREAS'!M31,0),IF(AND(11&gt;='EDT Y TAREAS'!AK32,11&lt;'EDT Y TAREAS'!AL32),'EDT Y TAREAS'!AG32/'EDT Y TAREAS'!M32,0),IF(AND(11&gt;='EDT Y TAREAS'!AK41,11&lt;'EDT Y TAREAS'!AL41),'EDT Y TAREAS'!AG41/'EDT Y TAREAS'!M41,0),IF(AND(11&gt;='EDT Y TAREAS'!AK45,11&lt;'EDT Y TAREAS'!AL45),'EDT Y TAREAS'!AG45/'EDT Y TAREAS'!M45,0),IF(AND(11&gt;='EDT Y TAREAS'!AK48,11&lt;'EDT Y TAREAS'!AL48),'EDT Y TAREAS'!AG48/'EDT Y TAREAS'!M48,0))</x:f>
        <x:v>0</x:v>
      </x:c>
      <x:c r="F51" s="35" t="n">
        <x:f>SUM(IF(AND(11&gt;='EDT Y TAREAS'!AK10,11&lt;'EDT Y TAREAS'!AL10),'EDT Y TAREAS'!AH10/'EDT Y TAREAS'!M10,0),IF(AND(11&gt;='EDT Y TAREAS'!AK12,11&lt;'EDT Y TAREAS'!AL12),'EDT Y TAREAS'!AH12/'EDT Y TAREAS'!M12,0),IF(AND(11&gt;='EDT Y TAREAS'!AK22,11&lt;'EDT Y TAREAS'!AL22),'EDT Y TAREAS'!AH22/'EDT Y TAREAS'!M22,0),IF(AND(11&gt;='EDT Y TAREAS'!AK23,11&lt;'EDT Y TAREAS'!AL23),'EDT Y TAREAS'!AH23/'EDT Y TAREAS'!M23,0),IF(AND(11&gt;='EDT Y TAREAS'!AK29,11&lt;'EDT Y TAREAS'!AL29),'EDT Y TAREAS'!AH29/'EDT Y TAREAS'!M29,0),IF(AND(11&gt;='EDT Y TAREAS'!AK30,11&lt;'EDT Y TAREAS'!AL30),'EDT Y TAREAS'!AH30/'EDT Y TAREAS'!M30,0),IF(AND(11&gt;='EDT Y TAREAS'!AK32,11&lt;'EDT Y TAREAS'!AL32),'EDT Y TAREAS'!AH32/'EDT Y TAREAS'!M32,0),IF(AND(11&gt;='EDT Y TAREAS'!AK41,11&lt;'EDT Y TAREAS'!AL41),'EDT Y TAREAS'!AH41/'EDT Y TAREAS'!M41,0),IF(AND(11&gt;='EDT Y TAREAS'!AK44,11&lt;'EDT Y TAREAS'!AL44),'EDT Y TAREAS'!AH44/'EDT Y TAREAS'!M44,0),IF(AND(11&gt;='EDT Y TAREAS'!AK46,11&lt;'EDT Y TAREAS'!AL46),'EDT Y TAREAS'!AH46/'EDT Y TAREAS'!M46,0),IF(AND(11&gt;='EDT Y TAREAS'!AK48,11&lt;'EDT Y TAREAS'!AL48),'EDT Y TAREAS'!AH48/'EDT Y TAREAS'!M48,0))</x:f>
        <x:v>0</x:v>
      </x:c>
      <x:c r="G51" s="35" t="n">
        <x:f>SUM(IF(AND(11&gt;='EDT Y TAREAS'!AK20,11&lt;'EDT Y TAREAS'!AL20),'EDT Y TAREAS'!AI20/'EDT Y TAREAS'!M20,0),IF(AND(11&gt;='EDT Y TAREAS'!AK25,11&lt;'EDT Y TAREAS'!AL25),'EDT Y TAREAS'!AI25/'EDT Y TAREAS'!M25,0),IF(AND(11&gt;='EDT Y TAREAS'!AK33,11&lt;'EDT Y TAREAS'!AL33),'EDT Y TAREAS'!AI33/'EDT Y TAREAS'!M33,0),IF(AND(11&gt;='EDT Y TAREAS'!AK34,11&lt;'EDT Y TAREAS'!AL34),'EDT Y TAREAS'!AI34/'EDT Y TAREAS'!M34,0),IF(AND(11&gt;='EDT Y TAREAS'!AK36,11&lt;'EDT Y TAREAS'!AL36),'EDT Y TAREAS'!AI36/'EDT Y TAREAS'!M36,0),IF(AND(11&gt;='EDT Y TAREAS'!AK39,11&lt;'EDT Y TAREAS'!AL39),'EDT Y TAREAS'!AI39/'EDT Y TAREAS'!M39,0),IF(AND(11&gt;='EDT Y TAREAS'!AK40,11&lt;'EDT Y TAREAS'!AL40),'EDT Y TAREAS'!AI40/'EDT Y TAREAS'!M40,0),IF(AND(11&gt;='EDT Y TAREAS'!AK42,11&lt;'EDT Y TAREAS'!AL42),'EDT Y TAREAS'!AI42/'EDT Y TAREAS'!M42,0),IF(AND(11&gt;='EDT Y TAREAS'!AK43,11&lt;'EDT Y TAREAS'!AL43),'EDT Y TAREAS'!AI43/'EDT Y TAREAS'!M43,0),IF(AND(11&gt;='EDT Y TAREAS'!AK44,11&lt;'EDT Y TAREAS'!AL44),'EDT Y TAREAS'!AI44/'EDT Y TAREAS'!M44,0),IF(AND(11&gt;='EDT Y TAREAS'!AK45,11&lt;'EDT Y TAREAS'!AL45),'EDT Y TAREAS'!AI45/'EDT Y TAREAS'!M45,0),IF(AND(11&gt;='EDT Y TAREAS'!AK46,11&lt;'EDT Y TAREAS'!AL46),'EDT Y TAREAS'!AI46/'EDT Y TAREAS'!M46,0),IF(AND(11&gt;='EDT Y TAREAS'!AK48,11&lt;'EDT Y TAREAS'!AL48),'EDT Y TAREAS'!AI48/'EDT Y TAREAS'!M48,0),IF(AND(11&gt;='EDT Y TAREAS'!AK50,11&lt;'EDT Y TAREAS'!AL50),'EDT Y TAREAS'!AI50/'EDT Y TAREAS'!M50,0),IF(AND(11&gt;='EDT Y TAREAS'!AK52,11&lt;'EDT Y TAREAS'!AL52),'EDT Y TAREAS'!AI52/'EDT Y TAREAS'!M52,0))</x:f>
        <x:v>0</x:v>
      </x:c>
      <x:c r="H51" s="35" t="n">
        <x:f>SUM(IF(AND(11&gt;='EDT Y TAREAS'!AK11,11&lt;'EDT Y TAREAS'!AL11),'EDT Y TAREAS'!AJ11/'EDT Y TAREAS'!M11,0),IF(AND(11&gt;='EDT Y TAREAS'!AK24,11&lt;'EDT Y TAREAS'!AL24),'EDT Y TAREAS'!AJ24/'EDT Y TAREAS'!M24,0),IF(AND(11&gt;='EDT Y TAREAS'!AK27,11&lt;'EDT Y TAREAS'!AL27),'EDT Y TAREAS'!AJ27/'EDT Y TAREAS'!M27,0),IF(AND(11&gt;='EDT Y TAREAS'!AK28,11&lt;'EDT Y TAREAS'!AL28),'EDT Y TAREAS'!AJ28/'EDT Y TAREAS'!M28,0),IF(AND(11&gt;='EDT Y TAREAS'!AK33,11&lt;'EDT Y TAREAS'!AL33),'EDT Y TAREAS'!AJ33/'EDT Y TAREAS'!M33,0),IF(AND(11&gt;='EDT Y TAREAS'!AK35,11&lt;'EDT Y TAREAS'!AL35),'EDT Y TAREAS'!AJ35/'EDT Y TAREAS'!M35,0),IF(AND(11&gt;='EDT Y TAREAS'!AK36,11&lt;'EDT Y TAREAS'!AL36),'EDT Y TAREAS'!AJ36/'EDT Y TAREAS'!M36,0),IF(AND(11&gt;='EDT Y TAREAS'!AK37,11&lt;'EDT Y TAREAS'!AL37),'EDT Y TAREAS'!AJ37/'EDT Y TAREAS'!M37,0),IF(AND(11&gt;='EDT Y TAREAS'!AK40,11&lt;'EDT Y TAREAS'!AL40),'EDT Y TAREAS'!AJ40/'EDT Y TAREAS'!M40,0),IF(AND(11&gt;='EDT Y TAREAS'!AK42,11&lt;'EDT Y TAREAS'!AL42),'EDT Y TAREAS'!AJ42/'EDT Y TAREAS'!M42,0),IF(AND(11&gt;='EDT Y TAREAS'!AK49,11&lt;'EDT Y TAREAS'!AL49),'EDT Y TAREAS'!AJ49/'EDT Y TAREAS'!M49,0),IF(AND(11&gt;='EDT Y TAREAS'!AK50,11&lt;'EDT Y TAREAS'!AL50),'EDT Y TAREAS'!AJ50/'EDT Y TAREAS'!M50,0),IF(AND(11&gt;='EDT Y TAREAS'!AK51,11&lt;'EDT Y TAREAS'!AL51),'EDT Y TAREAS'!AJ51/'EDT Y TAREAS'!M51,0),IF(AND(11&gt;='EDT Y TAREAS'!AK52,11&lt;'EDT Y TAREAS'!AL52),'EDT Y TAREAS'!AJ52/'EDT Y TAREAS'!M52,0))</x:f>
        <x:v>0</x:v>
      </x:c>
      <x:c r="I51" s="10" t="n">
        <x:f>WORKDAY('RESUMEN'!$D$3-1,A51,'RESUMEN'!$J$6:$J$25)</x:f>
        <x:v>46343</x:v>
      </x:c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  <x:c r="AM51" s="3"/>
      <x:c r="AN51" s="3"/>
      <x:c r="AO51" s="3"/>
    </x:row>
    <x:row r="52" ht="24" customHeight="1">
      <x:c r="A52" s="3" t="n">
        <x:v>13</x:v>
      </x:c>
      <x:c r="B52" s="35" t="n">
        <x:f>SUM(IF(AND(12&gt;='EDT Y TAREAS'!AK6,12&lt;'EDT Y TAREAS'!AL6),'EDT Y TAREAS'!AD6/'EDT Y TAREAS'!M6,0),IF(AND(12&gt;='EDT Y TAREAS'!AK7,12&lt;'EDT Y TAREAS'!AL7),'EDT Y TAREAS'!AD7/'EDT Y TAREAS'!M7,0),IF(AND(12&gt;='EDT Y TAREAS'!AK8,12&lt;'EDT Y TAREAS'!AL8),'EDT Y TAREAS'!AD8/'EDT Y TAREAS'!M8,0),IF(AND(12&gt;='EDT Y TAREAS'!AK9,12&lt;'EDT Y TAREAS'!AL9),'EDT Y TAREAS'!AD9/'EDT Y TAREAS'!M9,0),IF(AND(12&gt;='EDT Y TAREAS'!AK10,12&lt;'EDT Y TAREAS'!AL10),'EDT Y TAREAS'!AD10/'EDT Y TAREAS'!M10,0),IF(AND(12&gt;='EDT Y TAREAS'!AK11,12&lt;'EDT Y TAREAS'!AL11),'EDT Y TAREAS'!AD11/'EDT Y TAREAS'!M11,0),IF(AND(12&gt;='EDT Y TAREAS'!AK12,12&lt;'EDT Y TAREAS'!AL12),'EDT Y TAREAS'!AD12/'EDT Y TAREAS'!M12,0),IF(AND(12&gt;='EDT Y TAREAS'!AK13,12&lt;'EDT Y TAREAS'!AL13),'EDT Y TAREAS'!AD13/'EDT Y TAREAS'!M13,0),IF(AND(12&gt;='EDT Y TAREAS'!AK14,12&lt;'EDT Y TAREAS'!AL14),'EDT Y TAREAS'!AD14/'EDT Y TAREAS'!M14,0),IF(AND(12&gt;='EDT Y TAREAS'!AK15,12&lt;'EDT Y TAREAS'!AL15),'EDT Y TAREAS'!AD15/'EDT Y TAREAS'!M15,0),IF(AND(12&gt;='EDT Y TAREAS'!AK16,12&lt;'EDT Y TAREAS'!AL16),'EDT Y TAREAS'!AD16/'EDT Y TAREAS'!M16,0),IF(AND(12&gt;='EDT Y TAREAS'!AK17,12&lt;'EDT Y TAREAS'!AL17),'EDT Y TAREAS'!AD17/'EDT Y TAREAS'!M17,0),IF(AND(12&gt;='EDT Y TAREAS'!AK18,12&lt;'EDT Y TAREAS'!AL18),'EDT Y TAREAS'!AD18/'EDT Y TAREAS'!M18,0),IF(AND(12&gt;='EDT Y TAREAS'!AK19,12&lt;'EDT Y TAREAS'!AL19),'EDT Y TAREAS'!AD19/'EDT Y TAREAS'!M19,0),IF(AND(12&gt;='EDT Y TAREAS'!AK20,12&lt;'EDT Y TAREAS'!AL20),'EDT Y TAREAS'!AD20/'EDT Y TAREAS'!M20,0),IF(AND(12&gt;='EDT Y TAREAS'!AK21,12&lt;'EDT Y TAREAS'!AL21),'EDT Y TAREAS'!AD21/'EDT Y TAREAS'!M21,0),IF(AND(12&gt;='EDT Y TAREAS'!AK22,12&lt;'EDT Y TAREAS'!AL22),'EDT Y TAREAS'!AD22/'EDT Y TAREAS'!M22,0),IF(AND(12&gt;='EDT Y TAREAS'!AK23,12&lt;'EDT Y TAREAS'!AL23),'EDT Y TAREAS'!AD23/'EDT Y TAREAS'!M23,0),IF(AND(12&gt;='EDT Y TAREAS'!AK26,12&lt;'EDT Y TAREAS'!AL26),'EDT Y TAREAS'!AD26/'EDT Y TAREAS'!M26,0),IF(AND(12&gt;='EDT Y TAREAS'!AK28,12&lt;'EDT Y TAREAS'!AL28),'EDT Y TAREAS'!AD28/'EDT Y TAREAS'!M28,0),IF(AND(12&gt;='EDT Y TAREAS'!AK30,12&lt;'EDT Y TAREAS'!AL30),'EDT Y TAREAS'!AD30/'EDT Y TAREAS'!M30,0),IF(AND(12&gt;='EDT Y TAREAS'!AK32,12&lt;'EDT Y TAREAS'!AL32),'EDT Y TAREAS'!AD32/'EDT Y TAREAS'!M32,0),IF(AND(12&gt;='EDT Y TAREAS'!AK34,12&lt;'EDT Y TAREAS'!AL34),'EDT Y TAREAS'!AD34/'EDT Y TAREAS'!M34,0),IF(AND(12&gt;='EDT Y TAREAS'!AK38,12&lt;'EDT Y TAREAS'!AL38),'EDT Y TAREAS'!AD38/'EDT Y TAREAS'!M38,0),IF(AND(12&gt;='EDT Y TAREAS'!AK39,12&lt;'EDT Y TAREAS'!AL39),'EDT Y TAREAS'!AD39/'EDT Y TAREAS'!M39,0),IF(AND(12&gt;='EDT Y TAREAS'!AK43,12&lt;'EDT Y TAREAS'!AL43),'EDT Y TAREAS'!AD43/'EDT Y TAREAS'!M43,0),IF(AND(12&gt;='EDT Y TAREAS'!AK44,12&lt;'EDT Y TAREAS'!AL44),'EDT Y TAREAS'!AD44/'EDT Y TAREAS'!M44,0),IF(AND(12&gt;='EDT Y TAREAS'!AK45,12&lt;'EDT Y TAREAS'!AL45),'EDT Y TAREAS'!AD45/'EDT Y TAREAS'!M45,0),IF(AND(12&gt;='EDT Y TAREAS'!AK46,12&lt;'EDT Y TAREAS'!AL46),'EDT Y TAREAS'!AD46/'EDT Y TAREAS'!M46,0),IF(AND(12&gt;='EDT Y TAREAS'!AK47,12&lt;'EDT Y TAREAS'!AL47),'EDT Y TAREAS'!AD47/'EDT Y TAREAS'!M47,0),IF(AND(12&gt;='EDT Y TAREAS'!AK49,12&lt;'EDT Y TAREAS'!AL49),'EDT Y TAREAS'!AD49/'EDT Y TAREAS'!M49,0),IF(AND(12&gt;='EDT Y TAREAS'!AK50,12&lt;'EDT Y TAREAS'!AL50),'EDT Y TAREAS'!AD50/'EDT Y TAREAS'!M50,0),IF(AND(12&gt;='EDT Y TAREAS'!AK51,12&lt;'EDT Y TAREAS'!AL51),'EDT Y TAREAS'!AD51/'EDT Y TAREAS'!M51,0),IF(AND(12&gt;='EDT Y TAREAS'!AK52,12&lt;'EDT Y TAREAS'!AL52),'EDT Y TAREAS'!AD52/'EDT Y TAREAS'!M52,0))</x:f>
        <x:v>0.6666666666666666</x:v>
      </x:c>
      <x:c r="C52" s="35" t="n">
        <x:f>SUM(IF(AND(12&gt;='EDT Y TAREAS'!AK6,12&lt;'EDT Y TAREAS'!AL6),'EDT Y TAREAS'!AE6/'EDT Y TAREAS'!M6,0),IF(AND(12&gt;='EDT Y TAREAS'!AK8,12&lt;'EDT Y TAREAS'!AL8),'EDT Y TAREAS'!AE8/'EDT Y TAREAS'!M8,0),IF(AND(12&gt;='EDT Y TAREAS'!AK9,12&lt;'EDT Y TAREAS'!AL9),'EDT Y TAREAS'!AE9/'EDT Y TAREAS'!M9,0),IF(AND(12&gt;='EDT Y TAREAS'!AK10,12&lt;'EDT Y TAREAS'!AL10),'EDT Y TAREAS'!AE10/'EDT Y TAREAS'!M10,0),IF(AND(12&gt;='EDT Y TAREAS'!AK12,12&lt;'EDT Y TAREAS'!AL12),'EDT Y TAREAS'!AE12/'EDT Y TAREAS'!M12,0),IF(AND(12&gt;='EDT Y TAREAS'!AK16,12&lt;'EDT Y TAREAS'!AL16),'EDT Y TAREAS'!AE16/'EDT Y TAREAS'!M16,0),IF(AND(12&gt;='EDT Y TAREAS'!AK21,12&lt;'EDT Y TAREAS'!AL21),'EDT Y TAREAS'!AE21/'EDT Y TAREAS'!M21,0),IF(AND(12&gt;='EDT Y TAREAS'!AK23,12&lt;'EDT Y TAREAS'!AL23),'EDT Y TAREAS'!AE23/'EDT Y TAREAS'!M23,0),IF(AND(12&gt;='EDT Y TAREAS'!AK37,12&lt;'EDT Y TAREAS'!AL37),'EDT Y TAREAS'!AE37/'EDT Y TAREAS'!M37,0),IF(AND(12&gt;='EDT Y TAREAS'!AK38,12&lt;'EDT Y TAREAS'!AL38),'EDT Y TAREAS'!AE38/'EDT Y TAREAS'!M38,0),IF(AND(12&gt;='EDT Y TAREAS'!AK41,12&lt;'EDT Y TAREAS'!AL41),'EDT Y TAREAS'!AE41/'EDT Y TAREAS'!M41,0),IF(AND(12&gt;='EDT Y TAREAS'!AK43,12&lt;'EDT Y TAREAS'!AL43),'EDT Y TAREAS'!AE43/'EDT Y TAREAS'!M43,0),IF(AND(12&gt;='EDT Y TAREAS'!AK44,12&lt;'EDT Y TAREAS'!AL44),'EDT Y TAREAS'!AE44/'EDT Y TAREAS'!M44,0),IF(AND(12&gt;='EDT Y TAREAS'!AK46,12&lt;'EDT Y TAREAS'!AL46),'EDT Y TAREAS'!AE46/'EDT Y TAREAS'!M46,0),IF(AND(12&gt;='EDT Y TAREAS'!AK47,12&lt;'EDT Y TAREAS'!AL47),'EDT Y TAREAS'!AE47/'EDT Y TAREAS'!M47,0),IF(AND(12&gt;='EDT Y TAREAS'!AK51,12&lt;'EDT Y TAREAS'!AL51),'EDT Y TAREAS'!AE51/'EDT Y TAREAS'!M51,0),IF(AND(12&gt;='EDT Y TAREAS'!AK52,12&lt;'EDT Y TAREAS'!AL52),'EDT Y TAREAS'!AE52/'EDT Y TAREAS'!M52,0))</x:f>
        <x:v>1.3333333333333333</x:v>
      </x:c>
      <x:c r="D52" s="35" t="n">
        <x:f>SUM(IF(AND(12&gt;='EDT Y TAREAS'!AK11,12&lt;'EDT Y TAREAS'!AL11),'EDT Y TAREAS'!AF11/'EDT Y TAREAS'!M11,0),IF(AND(12&gt;='EDT Y TAREAS'!AK24,12&lt;'EDT Y TAREAS'!AL24),'EDT Y TAREAS'!AF24/'EDT Y TAREAS'!M24,0),IF(AND(12&gt;='EDT Y TAREAS'!AK25,12&lt;'EDT Y TAREAS'!AL25),'EDT Y TAREAS'!AF25/'EDT Y TAREAS'!M25,0),IF(AND(12&gt;='EDT Y TAREAS'!AK26,12&lt;'EDT Y TAREAS'!AL26),'EDT Y TAREAS'!AF26/'EDT Y TAREAS'!M26,0),IF(AND(12&gt;='EDT Y TAREAS'!AK27,12&lt;'EDT Y TAREAS'!AL27),'EDT Y TAREAS'!AF27/'EDT Y TAREAS'!M27,0),IF(AND(12&gt;='EDT Y TAREAS'!AK28,12&lt;'EDT Y TAREAS'!AL28),'EDT Y TAREAS'!AF28/'EDT Y TAREAS'!M28,0),IF(AND(12&gt;='EDT Y TAREAS'!AK31,12&lt;'EDT Y TAREAS'!AL31),'EDT Y TAREAS'!AF31/'EDT Y TAREAS'!M31,0),IF(AND(12&gt;='EDT Y TAREAS'!AK33,12&lt;'EDT Y TAREAS'!AL33),'EDT Y TAREAS'!AF33/'EDT Y TAREAS'!M33,0),IF(AND(12&gt;='EDT Y TAREAS'!AK34,12&lt;'EDT Y TAREAS'!AL34),'EDT Y TAREAS'!AF34/'EDT Y TAREAS'!M34,0),IF(AND(12&gt;='EDT Y TAREAS'!AK35,12&lt;'EDT Y TAREAS'!AL35),'EDT Y TAREAS'!AF35/'EDT Y TAREAS'!M35,0),IF(AND(12&gt;='EDT Y TAREAS'!AK37,12&lt;'EDT Y TAREAS'!AL37),'EDT Y TAREAS'!AF37/'EDT Y TAREAS'!M37,0),IF(AND(12&gt;='EDT Y TAREAS'!AK39,12&lt;'EDT Y TAREAS'!AL39),'EDT Y TAREAS'!AF39/'EDT Y TAREAS'!M39,0),IF(AND(12&gt;='EDT Y TAREAS'!AK40,12&lt;'EDT Y TAREAS'!AL40),'EDT Y TAREAS'!AF40/'EDT Y TAREAS'!M40,0),IF(AND(12&gt;='EDT Y TAREAS'!AK42,12&lt;'EDT Y TAREAS'!AL42),'EDT Y TAREAS'!AF42/'EDT Y TAREAS'!M42,0),IF(AND(12&gt;='EDT Y TAREAS'!AK45,12&lt;'EDT Y TAREAS'!AL45),'EDT Y TAREAS'!AF45/'EDT Y TAREAS'!M45,0),IF(AND(12&gt;='EDT Y TAREAS'!AK49,12&lt;'EDT Y TAREAS'!AL49),'EDT Y TAREAS'!AF49/'EDT Y TAREAS'!M49,0),IF(AND(12&gt;='EDT Y TAREAS'!AK52,12&lt;'EDT Y TAREAS'!AL52),'EDT Y TAREAS'!AF52/'EDT Y TAREAS'!M52,0))</x:f>
        <x:v>0</x:v>
      </x:c>
      <x:c r="E52" s="35" t="n">
        <x:f>SUM(IF(AND(12&gt;='EDT Y TAREAS'!AK29,12&lt;'EDT Y TAREAS'!AL29),'EDT Y TAREAS'!AG29/'EDT Y TAREAS'!M29,0),IF(AND(12&gt;='EDT Y TAREAS'!AK30,12&lt;'EDT Y TAREAS'!AL30),'EDT Y TAREAS'!AG30/'EDT Y TAREAS'!M30,0),IF(AND(12&gt;='EDT Y TAREAS'!AK31,12&lt;'EDT Y TAREAS'!AL31),'EDT Y TAREAS'!AG31/'EDT Y TAREAS'!M31,0),IF(AND(12&gt;='EDT Y TAREAS'!AK32,12&lt;'EDT Y TAREAS'!AL32),'EDT Y TAREAS'!AG32/'EDT Y TAREAS'!M32,0),IF(AND(12&gt;='EDT Y TAREAS'!AK41,12&lt;'EDT Y TAREAS'!AL41),'EDT Y TAREAS'!AG41/'EDT Y TAREAS'!M41,0),IF(AND(12&gt;='EDT Y TAREAS'!AK45,12&lt;'EDT Y TAREAS'!AL45),'EDT Y TAREAS'!AG45/'EDT Y TAREAS'!M45,0),IF(AND(12&gt;='EDT Y TAREAS'!AK48,12&lt;'EDT Y TAREAS'!AL48),'EDT Y TAREAS'!AG48/'EDT Y TAREAS'!M48,0))</x:f>
        <x:v>0</x:v>
      </x:c>
      <x:c r="F52" s="35" t="n">
        <x:f>SUM(IF(AND(12&gt;='EDT Y TAREAS'!AK10,12&lt;'EDT Y TAREAS'!AL10),'EDT Y TAREAS'!AH10/'EDT Y TAREAS'!M10,0),IF(AND(12&gt;='EDT Y TAREAS'!AK12,12&lt;'EDT Y TAREAS'!AL12),'EDT Y TAREAS'!AH12/'EDT Y TAREAS'!M12,0),IF(AND(12&gt;='EDT Y TAREAS'!AK22,12&lt;'EDT Y TAREAS'!AL22),'EDT Y TAREAS'!AH22/'EDT Y TAREAS'!M22,0),IF(AND(12&gt;='EDT Y TAREAS'!AK23,12&lt;'EDT Y TAREAS'!AL23),'EDT Y TAREAS'!AH23/'EDT Y TAREAS'!M23,0),IF(AND(12&gt;='EDT Y TAREAS'!AK29,12&lt;'EDT Y TAREAS'!AL29),'EDT Y TAREAS'!AH29/'EDT Y TAREAS'!M29,0),IF(AND(12&gt;='EDT Y TAREAS'!AK30,12&lt;'EDT Y TAREAS'!AL30),'EDT Y TAREAS'!AH30/'EDT Y TAREAS'!M30,0),IF(AND(12&gt;='EDT Y TAREAS'!AK32,12&lt;'EDT Y TAREAS'!AL32),'EDT Y TAREAS'!AH32/'EDT Y TAREAS'!M32,0),IF(AND(12&gt;='EDT Y TAREAS'!AK41,12&lt;'EDT Y TAREAS'!AL41),'EDT Y TAREAS'!AH41/'EDT Y TAREAS'!M41,0),IF(AND(12&gt;='EDT Y TAREAS'!AK44,12&lt;'EDT Y TAREAS'!AL44),'EDT Y TAREAS'!AH44/'EDT Y TAREAS'!M44,0),IF(AND(12&gt;='EDT Y TAREAS'!AK46,12&lt;'EDT Y TAREAS'!AL46),'EDT Y TAREAS'!AH46/'EDT Y TAREAS'!M46,0),IF(AND(12&gt;='EDT Y TAREAS'!AK48,12&lt;'EDT Y TAREAS'!AL48),'EDT Y TAREAS'!AH48/'EDT Y TAREAS'!M48,0))</x:f>
        <x:v>0</x:v>
      </x:c>
      <x:c r="G52" s="35" t="n">
        <x:f>SUM(IF(AND(12&gt;='EDT Y TAREAS'!AK20,12&lt;'EDT Y TAREAS'!AL20),'EDT Y TAREAS'!AI20/'EDT Y TAREAS'!M20,0),IF(AND(12&gt;='EDT Y TAREAS'!AK25,12&lt;'EDT Y TAREAS'!AL25),'EDT Y TAREAS'!AI25/'EDT Y TAREAS'!M25,0),IF(AND(12&gt;='EDT Y TAREAS'!AK33,12&lt;'EDT Y TAREAS'!AL33),'EDT Y TAREAS'!AI33/'EDT Y TAREAS'!M33,0),IF(AND(12&gt;='EDT Y TAREAS'!AK34,12&lt;'EDT Y TAREAS'!AL34),'EDT Y TAREAS'!AI34/'EDT Y TAREAS'!M34,0),IF(AND(12&gt;='EDT Y TAREAS'!AK36,12&lt;'EDT Y TAREAS'!AL36),'EDT Y TAREAS'!AI36/'EDT Y TAREAS'!M36,0),IF(AND(12&gt;='EDT Y TAREAS'!AK39,12&lt;'EDT Y TAREAS'!AL39),'EDT Y TAREAS'!AI39/'EDT Y TAREAS'!M39,0),IF(AND(12&gt;='EDT Y TAREAS'!AK40,12&lt;'EDT Y TAREAS'!AL40),'EDT Y TAREAS'!AI40/'EDT Y TAREAS'!M40,0),IF(AND(12&gt;='EDT Y TAREAS'!AK42,12&lt;'EDT Y TAREAS'!AL42),'EDT Y TAREAS'!AI42/'EDT Y TAREAS'!M42,0),IF(AND(12&gt;='EDT Y TAREAS'!AK43,12&lt;'EDT Y TAREAS'!AL43),'EDT Y TAREAS'!AI43/'EDT Y TAREAS'!M43,0),IF(AND(12&gt;='EDT Y TAREAS'!AK44,12&lt;'EDT Y TAREAS'!AL44),'EDT Y TAREAS'!AI44/'EDT Y TAREAS'!M44,0),IF(AND(12&gt;='EDT Y TAREAS'!AK45,12&lt;'EDT Y TAREAS'!AL45),'EDT Y TAREAS'!AI45/'EDT Y TAREAS'!M45,0),IF(AND(12&gt;='EDT Y TAREAS'!AK46,12&lt;'EDT Y TAREAS'!AL46),'EDT Y TAREAS'!AI46/'EDT Y TAREAS'!M46,0),IF(AND(12&gt;='EDT Y TAREAS'!AK48,12&lt;'EDT Y TAREAS'!AL48),'EDT Y TAREAS'!AI48/'EDT Y TAREAS'!M48,0),IF(AND(12&gt;='EDT Y TAREAS'!AK50,12&lt;'EDT Y TAREAS'!AL50),'EDT Y TAREAS'!AI50/'EDT Y TAREAS'!M50,0),IF(AND(12&gt;='EDT Y TAREAS'!AK52,12&lt;'EDT Y TAREAS'!AL52),'EDT Y TAREAS'!AI52/'EDT Y TAREAS'!M52,0))</x:f>
        <x:v>0</x:v>
      </x:c>
      <x:c r="H52" s="35" t="n">
        <x:f>SUM(IF(AND(12&gt;='EDT Y TAREAS'!AK11,12&lt;'EDT Y TAREAS'!AL11),'EDT Y TAREAS'!AJ11/'EDT Y TAREAS'!M11,0),IF(AND(12&gt;='EDT Y TAREAS'!AK24,12&lt;'EDT Y TAREAS'!AL24),'EDT Y TAREAS'!AJ24/'EDT Y TAREAS'!M24,0),IF(AND(12&gt;='EDT Y TAREAS'!AK27,12&lt;'EDT Y TAREAS'!AL27),'EDT Y TAREAS'!AJ27/'EDT Y TAREAS'!M27,0),IF(AND(12&gt;='EDT Y TAREAS'!AK28,12&lt;'EDT Y TAREAS'!AL28),'EDT Y TAREAS'!AJ28/'EDT Y TAREAS'!M28,0),IF(AND(12&gt;='EDT Y TAREAS'!AK33,12&lt;'EDT Y TAREAS'!AL33),'EDT Y TAREAS'!AJ33/'EDT Y TAREAS'!M33,0),IF(AND(12&gt;='EDT Y TAREAS'!AK35,12&lt;'EDT Y TAREAS'!AL35),'EDT Y TAREAS'!AJ35/'EDT Y TAREAS'!M35,0),IF(AND(12&gt;='EDT Y TAREAS'!AK36,12&lt;'EDT Y TAREAS'!AL36),'EDT Y TAREAS'!AJ36/'EDT Y TAREAS'!M36,0),IF(AND(12&gt;='EDT Y TAREAS'!AK37,12&lt;'EDT Y TAREAS'!AL37),'EDT Y TAREAS'!AJ37/'EDT Y TAREAS'!M37,0),IF(AND(12&gt;='EDT Y TAREAS'!AK40,12&lt;'EDT Y TAREAS'!AL40),'EDT Y TAREAS'!AJ40/'EDT Y TAREAS'!M40,0),IF(AND(12&gt;='EDT Y TAREAS'!AK42,12&lt;'EDT Y TAREAS'!AL42),'EDT Y TAREAS'!AJ42/'EDT Y TAREAS'!M42,0),IF(AND(12&gt;='EDT Y TAREAS'!AK49,12&lt;'EDT Y TAREAS'!AL49),'EDT Y TAREAS'!AJ49/'EDT Y TAREAS'!M49,0),IF(AND(12&gt;='EDT Y TAREAS'!AK50,12&lt;'EDT Y TAREAS'!AL50),'EDT Y TAREAS'!AJ50/'EDT Y TAREAS'!M50,0),IF(AND(12&gt;='EDT Y TAREAS'!AK51,12&lt;'EDT Y TAREAS'!AL51),'EDT Y TAREAS'!AJ51/'EDT Y TAREAS'!M51,0),IF(AND(12&gt;='EDT Y TAREAS'!AK52,12&lt;'EDT Y TAREAS'!AL52),'EDT Y TAREAS'!AJ52/'EDT Y TAREAS'!M52,0))</x:f>
        <x:v>0</x:v>
      </x:c>
      <x:c r="I52" s="10" t="n">
        <x:f>WORKDAY('RESUMEN'!$D$3-1,A52,'RESUMEN'!$J$6:$J$25)</x:f>
        <x:v>46344</x:v>
      </x:c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</x:row>
    <x:row r="53" ht="24" customHeight="1">
      <x:c r="A53" s="3" t="n">
        <x:v>14</x:v>
      </x:c>
      <x:c r="B53" s="35" t="n">
        <x:f>SUM(IF(AND(13&gt;='EDT Y TAREAS'!AK6,13&lt;'EDT Y TAREAS'!AL6),'EDT Y TAREAS'!AD6/'EDT Y TAREAS'!M6,0),IF(AND(13&gt;='EDT Y TAREAS'!AK7,13&lt;'EDT Y TAREAS'!AL7),'EDT Y TAREAS'!AD7/'EDT Y TAREAS'!M7,0),IF(AND(13&gt;='EDT Y TAREAS'!AK8,13&lt;'EDT Y TAREAS'!AL8),'EDT Y TAREAS'!AD8/'EDT Y TAREAS'!M8,0),IF(AND(13&gt;='EDT Y TAREAS'!AK9,13&lt;'EDT Y TAREAS'!AL9),'EDT Y TAREAS'!AD9/'EDT Y TAREAS'!M9,0),IF(AND(13&gt;='EDT Y TAREAS'!AK10,13&lt;'EDT Y TAREAS'!AL10),'EDT Y TAREAS'!AD10/'EDT Y TAREAS'!M10,0),IF(AND(13&gt;='EDT Y TAREAS'!AK11,13&lt;'EDT Y TAREAS'!AL11),'EDT Y TAREAS'!AD11/'EDT Y TAREAS'!M11,0),IF(AND(13&gt;='EDT Y TAREAS'!AK12,13&lt;'EDT Y TAREAS'!AL12),'EDT Y TAREAS'!AD12/'EDT Y TAREAS'!M12,0),IF(AND(13&gt;='EDT Y TAREAS'!AK13,13&lt;'EDT Y TAREAS'!AL13),'EDT Y TAREAS'!AD13/'EDT Y TAREAS'!M13,0),IF(AND(13&gt;='EDT Y TAREAS'!AK14,13&lt;'EDT Y TAREAS'!AL14),'EDT Y TAREAS'!AD14/'EDT Y TAREAS'!M14,0),IF(AND(13&gt;='EDT Y TAREAS'!AK15,13&lt;'EDT Y TAREAS'!AL15),'EDT Y TAREAS'!AD15/'EDT Y TAREAS'!M15,0),IF(AND(13&gt;='EDT Y TAREAS'!AK16,13&lt;'EDT Y TAREAS'!AL16),'EDT Y TAREAS'!AD16/'EDT Y TAREAS'!M16,0),IF(AND(13&gt;='EDT Y TAREAS'!AK17,13&lt;'EDT Y TAREAS'!AL17),'EDT Y TAREAS'!AD17/'EDT Y TAREAS'!M17,0),IF(AND(13&gt;='EDT Y TAREAS'!AK18,13&lt;'EDT Y TAREAS'!AL18),'EDT Y TAREAS'!AD18/'EDT Y TAREAS'!M18,0),IF(AND(13&gt;='EDT Y TAREAS'!AK19,13&lt;'EDT Y TAREAS'!AL19),'EDT Y TAREAS'!AD19/'EDT Y TAREAS'!M19,0),IF(AND(13&gt;='EDT Y TAREAS'!AK20,13&lt;'EDT Y TAREAS'!AL20),'EDT Y TAREAS'!AD20/'EDT Y TAREAS'!M20,0),IF(AND(13&gt;='EDT Y TAREAS'!AK21,13&lt;'EDT Y TAREAS'!AL21),'EDT Y TAREAS'!AD21/'EDT Y TAREAS'!M21,0),IF(AND(13&gt;='EDT Y TAREAS'!AK22,13&lt;'EDT Y TAREAS'!AL22),'EDT Y TAREAS'!AD22/'EDT Y TAREAS'!M22,0),IF(AND(13&gt;='EDT Y TAREAS'!AK23,13&lt;'EDT Y TAREAS'!AL23),'EDT Y TAREAS'!AD23/'EDT Y TAREAS'!M23,0),IF(AND(13&gt;='EDT Y TAREAS'!AK26,13&lt;'EDT Y TAREAS'!AL26),'EDT Y TAREAS'!AD26/'EDT Y TAREAS'!M26,0),IF(AND(13&gt;='EDT Y TAREAS'!AK28,13&lt;'EDT Y TAREAS'!AL28),'EDT Y TAREAS'!AD28/'EDT Y TAREAS'!M28,0),IF(AND(13&gt;='EDT Y TAREAS'!AK30,13&lt;'EDT Y TAREAS'!AL30),'EDT Y TAREAS'!AD30/'EDT Y TAREAS'!M30,0),IF(AND(13&gt;='EDT Y TAREAS'!AK32,13&lt;'EDT Y TAREAS'!AL32),'EDT Y TAREAS'!AD32/'EDT Y TAREAS'!M32,0),IF(AND(13&gt;='EDT Y TAREAS'!AK34,13&lt;'EDT Y TAREAS'!AL34),'EDT Y TAREAS'!AD34/'EDT Y TAREAS'!M34,0),IF(AND(13&gt;='EDT Y TAREAS'!AK38,13&lt;'EDT Y TAREAS'!AL38),'EDT Y TAREAS'!AD38/'EDT Y TAREAS'!M38,0),IF(AND(13&gt;='EDT Y TAREAS'!AK39,13&lt;'EDT Y TAREAS'!AL39),'EDT Y TAREAS'!AD39/'EDT Y TAREAS'!M39,0),IF(AND(13&gt;='EDT Y TAREAS'!AK43,13&lt;'EDT Y TAREAS'!AL43),'EDT Y TAREAS'!AD43/'EDT Y TAREAS'!M43,0),IF(AND(13&gt;='EDT Y TAREAS'!AK44,13&lt;'EDT Y TAREAS'!AL44),'EDT Y TAREAS'!AD44/'EDT Y TAREAS'!M44,0),IF(AND(13&gt;='EDT Y TAREAS'!AK45,13&lt;'EDT Y TAREAS'!AL45),'EDT Y TAREAS'!AD45/'EDT Y TAREAS'!M45,0),IF(AND(13&gt;='EDT Y TAREAS'!AK46,13&lt;'EDT Y TAREAS'!AL46),'EDT Y TAREAS'!AD46/'EDT Y TAREAS'!M46,0),IF(AND(13&gt;='EDT Y TAREAS'!AK47,13&lt;'EDT Y TAREAS'!AL47),'EDT Y TAREAS'!AD47/'EDT Y TAREAS'!M47,0),IF(AND(13&gt;='EDT Y TAREAS'!AK49,13&lt;'EDT Y TAREAS'!AL49),'EDT Y TAREAS'!AD49/'EDT Y TAREAS'!M49,0),IF(AND(13&gt;='EDT Y TAREAS'!AK50,13&lt;'EDT Y TAREAS'!AL50),'EDT Y TAREAS'!AD50/'EDT Y TAREAS'!M50,0),IF(AND(13&gt;='EDT Y TAREAS'!AK51,13&lt;'EDT Y TAREAS'!AL51),'EDT Y TAREAS'!AD51/'EDT Y TAREAS'!M51,0),IF(AND(13&gt;='EDT Y TAREAS'!AK52,13&lt;'EDT Y TAREAS'!AL52),'EDT Y TAREAS'!AD52/'EDT Y TAREAS'!M52,0))</x:f>
        <x:v>7.2</x:v>
      </x:c>
      <x:c r="C53" s="35" t="n">
        <x:f>SUM(IF(AND(13&gt;='EDT Y TAREAS'!AK6,13&lt;'EDT Y TAREAS'!AL6),'EDT Y TAREAS'!AE6/'EDT Y TAREAS'!M6,0),IF(AND(13&gt;='EDT Y TAREAS'!AK8,13&lt;'EDT Y TAREAS'!AL8),'EDT Y TAREAS'!AE8/'EDT Y TAREAS'!M8,0),IF(AND(13&gt;='EDT Y TAREAS'!AK9,13&lt;'EDT Y TAREAS'!AL9),'EDT Y TAREAS'!AE9/'EDT Y TAREAS'!M9,0),IF(AND(13&gt;='EDT Y TAREAS'!AK10,13&lt;'EDT Y TAREAS'!AL10),'EDT Y TAREAS'!AE10/'EDT Y TAREAS'!M10,0),IF(AND(13&gt;='EDT Y TAREAS'!AK12,13&lt;'EDT Y TAREAS'!AL12),'EDT Y TAREAS'!AE12/'EDT Y TAREAS'!M12,0),IF(AND(13&gt;='EDT Y TAREAS'!AK16,13&lt;'EDT Y TAREAS'!AL16),'EDT Y TAREAS'!AE16/'EDT Y TAREAS'!M16,0),IF(AND(13&gt;='EDT Y TAREAS'!AK21,13&lt;'EDT Y TAREAS'!AL21),'EDT Y TAREAS'!AE21/'EDT Y TAREAS'!M21,0),IF(AND(13&gt;='EDT Y TAREAS'!AK23,13&lt;'EDT Y TAREAS'!AL23),'EDT Y TAREAS'!AE23/'EDT Y TAREAS'!M23,0),IF(AND(13&gt;='EDT Y TAREAS'!AK37,13&lt;'EDT Y TAREAS'!AL37),'EDT Y TAREAS'!AE37/'EDT Y TAREAS'!M37,0),IF(AND(13&gt;='EDT Y TAREAS'!AK38,13&lt;'EDT Y TAREAS'!AL38),'EDT Y TAREAS'!AE38/'EDT Y TAREAS'!M38,0),IF(AND(13&gt;='EDT Y TAREAS'!AK41,13&lt;'EDT Y TAREAS'!AL41),'EDT Y TAREAS'!AE41/'EDT Y TAREAS'!M41,0),IF(AND(13&gt;='EDT Y TAREAS'!AK43,13&lt;'EDT Y TAREAS'!AL43),'EDT Y TAREAS'!AE43/'EDT Y TAREAS'!M43,0),IF(AND(13&gt;='EDT Y TAREAS'!AK44,13&lt;'EDT Y TAREAS'!AL44),'EDT Y TAREAS'!AE44/'EDT Y TAREAS'!M44,0),IF(AND(13&gt;='EDT Y TAREAS'!AK46,13&lt;'EDT Y TAREAS'!AL46),'EDT Y TAREAS'!AE46/'EDT Y TAREAS'!M46,0),IF(AND(13&gt;='EDT Y TAREAS'!AK47,13&lt;'EDT Y TAREAS'!AL47),'EDT Y TAREAS'!AE47/'EDT Y TAREAS'!M47,0),IF(AND(13&gt;='EDT Y TAREAS'!AK51,13&lt;'EDT Y TAREAS'!AL51),'EDT Y TAREAS'!AE51/'EDT Y TAREAS'!M51,0),IF(AND(13&gt;='EDT Y TAREAS'!AK52,13&lt;'EDT Y TAREAS'!AL52),'EDT Y TAREAS'!AE52/'EDT Y TAREAS'!M52,0))</x:f>
        <x:v>1.6</x:v>
      </x:c>
      <x:c r="D53" s="35" t="n">
        <x:f>SUM(IF(AND(13&gt;='EDT Y TAREAS'!AK11,13&lt;'EDT Y TAREAS'!AL11),'EDT Y TAREAS'!AF11/'EDT Y TAREAS'!M11,0),IF(AND(13&gt;='EDT Y TAREAS'!AK24,13&lt;'EDT Y TAREAS'!AL24),'EDT Y TAREAS'!AF24/'EDT Y TAREAS'!M24,0),IF(AND(13&gt;='EDT Y TAREAS'!AK25,13&lt;'EDT Y TAREAS'!AL25),'EDT Y TAREAS'!AF25/'EDT Y TAREAS'!M25,0),IF(AND(13&gt;='EDT Y TAREAS'!AK26,13&lt;'EDT Y TAREAS'!AL26),'EDT Y TAREAS'!AF26/'EDT Y TAREAS'!M26,0),IF(AND(13&gt;='EDT Y TAREAS'!AK27,13&lt;'EDT Y TAREAS'!AL27),'EDT Y TAREAS'!AF27/'EDT Y TAREAS'!M27,0),IF(AND(13&gt;='EDT Y TAREAS'!AK28,13&lt;'EDT Y TAREAS'!AL28),'EDT Y TAREAS'!AF28/'EDT Y TAREAS'!M28,0),IF(AND(13&gt;='EDT Y TAREAS'!AK31,13&lt;'EDT Y TAREAS'!AL31),'EDT Y TAREAS'!AF31/'EDT Y TAREAS'!M31,0),IF(AND(13&gt;='EDT Y TAREAS'!AK33,13&lt;'EDT Y TAREAS'!AL33),'EDT Y TAREAS'!AF33/'EDT Y TAREAS'!M33,0),IF(AND(13&gt;='EDT Y TAREAS'!AK34,13&lt;'EDT Y TAREAS'!AL34),'EDT Y TAREAS'!AF34/'EDT Y TAREAS'!M34,0),IF(AND(13&gt;='EDT Y TAREAS'!AK35,13&lt;'EDT Y TAREAS'!AL35),'EDT Y TAREAS'!AF35/'EDT Y TAREAS'!M35,0),IF(AND(13&gt;='EDT Y TAREAS'!AK37,13&lt;'EDT Y TAREAS'!AL37),'EDT Y TAREAS'!AF37/'EDT Y TAREAS'!M37,0),IF(AND(13&gt;='EDT Y TAREAS'!AK39,13&lt;'EDT Y TAREAS'!AL39),'EDT Y TAREAS'!AF39/'EDT Y TAREAS'!M39,0),IF(AND(13&gt;='EDT Y TAREAS'!AK40,13&lt;'EDT Y TAREAS'!AL40),'EDT Y TAREAS'!AF40/'EDT Y TAREAS'!M40,0),IF(AND(13&gt;='EDT Y TAREAS'!AK42,13&lt;'EDT Y TAREAS'!AL42),'EDT Y TAREAS'!AF42/'EDT Y TAREAS'!M42,0),IF(AND(13&gt;='EDT Y TAREAS'!AK45,13&lt;'EDT Y TAREAS'!AL45),'EDT Y TAREAS'!AF45/'EDT Y TAREAS'!M45,0),IF(AND(13&gt;='EDT Y TAREAS'!AK49,13&lt;'EDT Y TAREAS'!AL49),'EDT Y TAREAS'!AF49/'EDT Y TAREAS'!M49,0),IF(AND(13&gt;='EDT Y TAREAS'!AK52,13&lt;'EDT Y TAREAS'!AL52),'EDT Y TAREAS'!AF52/'EDT Y TAREAS'!M52,0))</x:f>
        <x:v>4</x:v>
      </x:c>
      <x:c r="E53" s="35" t="n">
        <x:f>SUM(IF(AND(13&gt;='EDT Y TAREAS'!AK29,13&lt;'EDT Y TAREAS'!AL29),'EDT Y TAREAS'!AG29/'EDT Y TAREAS'!M29,0),IF(AND(13&gt;='EDT Y TAREAS'!AK30,13&lt;'EDT Y TAREAS'!AL30),'EDT Y TAREAS'!AG30/'EDT Y TAREAS'!M30,0),IF(AND(13&gt;='EDT Y TAREAS'!AK31,13&lt;'EDT Y TAREAS'!AL31),'EDT Y TAREAS'!AG31/'EDT Y TAREAS'!M31,0),IF(AND(13&gt;='EDT Y TAREAS'!AK32,13&lt;'EDT Y TAREAS'!AL32),'EDT Y TAREAS'!AG32/'EDT Y TAREAS'!M32,0),IF(AND(13&gt;='EDT Y TAREAS'!AK41,13&lt;'EDT Y TAREAS'!AL41),'EDT Y TAREAS'!AG41/'EDT Y TAREAS'!M41,0),IF(AND(13&gt;='EDT Y TAREAS'!AK45,13&lt;'EDT Y TAREAS'!AL45),'EDT Y TAREAS'!AG45/'EDT Y TAREAS'!M45,0),IF(AND(13&gt;='EDT Y TAREAS'!AK48,13&lt;'EDT Y TAREAS'!AL48),'EDT Y TAREAS'!AG48/'EDT Y TAREAS'!M48,0))</x:f>
        <x:v>0</x:v>
      </x:c>
      <x:c r="F53" s="35" t="n">
        <x:f>SUM(IF(AND(13&gt;='EDT Y TAREAS'!AK10,13&lt;'EDT Y TAREAS'!AL10),'EDT Y TAREAS'!AH10/'EDT Y TAREAS'!M10,0),IF(AND(13&gt;='EDT Y TAREAS'!AK12,13&lt;'EDT Y TAREAS'!AL12),'EDT Y TAREAS'!AH12/'EDT Y TAREAS'!M12,0),IF(AND(13&gt;='EDT Y TAREAS'!AK22,13&lt;'EDT Y TAREAS'!AL22),'EDT Y TAREAS'!AH22/'EDT Y TAREAS'!M22,0),IF(AND(13&gt;='EDT Y TAREAS'!AK23,13&lt;'EDT Y TAREAS'!AL23),'EDT Y TAREAS'!AH23/'EDT Y TAREAS'!M23,0),IF(AND(13&gt;='EDT Y TAREAS'!AK29,13&lt;'EDT Y TAREAS'!AL29),'EDT Y TAREAS'!AH29/'EDT Y TAREAS'!M29,0),IF(AND(13&gt;='EDT Y TAREAS'!AK30,13&lt;'EDT Y TAREAS'!AL30),'EDT Y TAREAS'!AH30/'EDT Y TAREAS'!M30,0),IF(AND(13&gt;='EDT Y TAREAS'!AK32,13&lt;'EDT Y TAREAS'!AL32),'EDT Y TAREAS'!AH32/'EDT Y TAREAS'!M32,0),IF(AND(13&gt;='EDT Y TAREAS'!AK41,13&lt;'EDT Y TAREAS'!AL41),'EDT Y TAREAS'!AH41/'EDT Y TAREAS'!M41,0),IF(AND(13&gt;='EDT Y TAREAS'!AK44,13&lt;'EDT Y TAREAS'!AL44),'EDT Y TAREAS'!AH44/'EDT Y TAREAS'!M44,0),IF(AND(13&gt;='EDT Y TAREAS'!AK46,13&lt;'EDT Y TAREAS'!AL46),'EDT Y TAREAS'!AH46/'EDT Y TAREAS'!M46,0),IF(AND(13&gt;='EDT Y TAREAS'!AK48,13&lt;'EDT Y TAREAS'!AL48),'EDT Y TAREAS'!AH48/'EDT Y TAREAS'!M48,0))</x:f>
        <x:v>2.4</x:v>
      </x:c>
      <x:c r="G53" s="35" t="n">
        <x:f>SUM(IF(AND(13&gt;='EDT Y TAREAS'!AK20,13&lt;'EDT Y TAREAS'!AL20),'EDT Y TAREAS'!AI20/'EDT Y TAREAS'!M20,0),IF(AND(13&gt;='EDT Y TAREAS'!AK25,13&lt;'EDT Y TAREAS'!AL25),'EDT Y TAREAS'!AI25/'EDT Y TAREAS'!M25,0),IF(AND(13&gt;='EDT Y TAREAS'!AK33,13&lt;'EDT Y TAREAS'!AL33),'EDT Y TAREAS'!AI33/'EDT Y TAREAS'!M33,0),IF(AND(13&gt;='EDT Y TAREAS'!AK34,13&lt;'EDT Y TAREAS'!AL34),'EDT Y TAREAS'!AI34/'EDT Y TAREAS'!M34,0),IF(AND(13&gt;='EDT Y TAREAS'!AK36,13&lt;'EDT Y TAREAS'!AL36),'EDT Y TAREAS'!AI36/'EDT Y TAREAS'!M36,0),IF(AND(13&gt;='EDT Y TAREAS'!AK39,13&lt;'EDT Y TAREAS'!AL39),'EDT Y TAREAS'!AI39/'EDT Y TAREAS'!M39,0),IF(AND(13&gt;='EDT Y TAREAS'!AK40,13&lt;'EDT Y TAREAS'!AL40),'EDT Y TAREAS'!AI40/'EDT Y TAREAS'!M40,0),IF(AND(13&gt;='EDT Y TAREAS'!AK42,13&lt;'EDT Y TAREAS'!AL42),'EDT Y TAREAS'!AI42/'EDT Y TAREAS'!M42,0),IF(AND(13&gt;='EDT Y TAREAS'!AK43,13&lt;'EDT Y TAREAS'!AL43),'EDT Y TAREAS'!AI43/'EDT Y TAREAS'!M43,0),IF(AND(13&gt;='EDT Y TAREAS'!AK44,13&lt;'EDT Y TAREAS'!AL44),'EDT Y TAREAS'!AI44/'EDT Y TAREAS'!M44,0),IF(AND(13&gt;='EDT Y TAREAS'!AK45,13&lt;'EDT Y TAREAS'!AL45),'EDT Y TAREAS'!AI45/'EDT Y TAREAS'!M45,0),IF(AND(13&gt;='EDT Y TAREAS'!AK46,13&lt;'EDT Y TAREAS'!AL46),'EDT Y TAREAS'!AI46/'EDT Y TAREAS'!M46,0),IF(AND(13&gt;='EDT Y TAREAS'!AK48,13&lt;'EDT Y TAREAS'!AL48),'EDT Y TAREAS'!AI48/'EDT Y TAREAS'!M48,0),IF(AND(13&gt;='EDT Y TAREAS'!AK50,13&lt;'EDT Y TAREAS'!AL50),'EDT Y TAREAS'!AI50/'EDT Y TAREAS'!M50,0),IF(AND(13&gt;='EDT Y TAREAS'!AK52,13&lt;'EDT Y TAREAS'!AL52),'EDT Y TAREAS'!AI52/'EDT Y TAREAS'!M52,0))</x:f>
        <x:v>0</x:v>
      </x:c>
      <x:c r="H53" s="35" t="n">
        <x:f>SUM(IF(AND(13&gt;='EDT Y TAREAS'!AK11,13&lt;'EDT Y TAREAS'!AL11),'EDT Y TAREAS'!AJ11/'EDT Y TAREAS'!M11,0),IF(AND(13&gt;='EDT Y TAREAS'!AK24,13&lt;'EDT Y TAREAS'!AL24),'EDT Y TAREAS'!AJ24/'EDT Y TAREAS'!M24,0),IF(AND(13&gt;='EDT Y TAREAS'!AK27,13&lt;'EDT Y TAREAS'!AL27),'EDT Y TAREAS'!AJ27/'EDT Y TAREAS'!M27,0),IF(AND(13&gt;='EDT Y TAREAS'!AK28,13&lt;'EDT Y TAREAS'!AL28),'EDT Y TAREAS'!AJ28/'EDT Y TAREAS'!M28,0),IF(AND(13&gt;='EDT Y TAREAS'!AK33,13&lt;'EDT Y TAREAS'!AL33),'EDT Y TAREAS'!AJ33/'EDT Y TAREAS'!M33,0),IF(AND(13&gt;='EDT Y TAREAS'!AK35,13&lt;'EDT Y TAREAS'!AL35),'EDT Y TAREAS'!AJ35/'EDT Y TAREAS'!M35,0),IF(AND(13&gt;='EDT Y TAREAS'!AK36,13&lt;'EDT Y TAREAS'!AL36),'EDT Y TAREAS'!AJ36/'EDT Y TAREAS'!M36,0),IF(AND(13&gt;='EDT Y TAREAS'!AK37,13&lt;'EDT Y TAREAS'!AL37),'EDT Y TAREAS'!AJ37/'EDT Y TAREAS'!M37,0),IF(AND(13&gt;='EDT Y TAREAS'!AK40,13&lt;'EDT Y TAREAS'!AL40),'EDT Y TAREAS'!AJ40/'EDT Y TAREAS'!M40,0),IF(AND(13&gt;='EDT Y TAREAS'!AK42,13&lt;'EDT Y TAREAS'!AL42),'EDT Y TAREAS'!AJ42/'EDT Y TAREAS'!M42,0),IF(AND(13&gt;='EDT Y TAREAS'!AK49,13&lt;'EDT Y TAREAS'!AL49),'EDT Y TAREAS'!AJ49/'EDT Y TAREAS'!M49,0),IF(AND(13&gt;='EDT Y TAREAS'!AK50,13&lt;'EDT Y TAREAS'!AL50),'EDT Y TAREAS'!AJ50/'EDT Y TAREAS'!M50,0),IF(AND(13&gt;='EDT Y TAREAS'!AK51,13&lt;'EDT Y TAREAS'!AL51),'EDT Y TAREAS'!AJ51/'EDT Y TAREAS'!M51,0),IF(AND(13&gt;='EDT Y TAREAS'!AK52,13&lt;'EDT Y TAREAS'!AL52),'EDT Y TAREAS'!AJ52/'EDT Y TAREAS'!M52,0))</x:f>
        <x:v>0.8</x:v>
      </x:c>
      <x:c r="I53" s="10" t="n">
        <x:f>WORKDAY('RESUMEN'!$D$3-1,A53,'RESUMEN'!$J$6:$J$25)</x:f>
        <x:v>46345</x:v>
      </x:c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</x:row>
    <x:row r="54" ht="24" customHeight="1">
      <x:c r="A54" s="3" t="n">
        <x:v>15</x:v>
      </x:c>
      <x:c r="B54" s="35" t="n">
        <x:f>SUM(IF(AND(14&gt;='EDT Y TAREAS'!AK6,14&lt;'EDT Y TAREAS'!AL6),'EDT Y TAREAS'!AD6/'EDT Y TAREAS'!M6,0),IF(AND(14&gt;='EDT Y TAREAS'!AK7,14&lt;'EDT Y TAREAS'!AL7),'EDT Y TAREAS'!AD7/'EDT Y TAREAS'!M7,0),IF(AND(14&gt;='EDT Y TAREAS'!AK8,14&lt;'EDT Y TAREAS'!AL8),'EDT Y TAREAS'!AD8/'EDT Y TAREAS'!M8,0),IF(AND(14&gt;='EDT Y TAREAS'!AK9,14&lt;'EDT Y TAREAS'!AL9),'EDT Y TAREAS'!AD9/'EDT Y TAREAS'!M9,0),IF(AND(14&gt;='EDT Y TAREAS'!AK10,14&lt;'EDT Y TAREAS'!AL10),'EDT Y TAREAS'!AD10/'EDT Y TAREAS'!M10,0),IF(AND(14&gt;='EDT Y TAREAS'!AK11,14&lt;'EDT Y TAREAS'!AL11),'EDT Y TAREAS'!AD11/'EDT Y TAREAS'!M11,0),IF(AND(14&gt;='EDT Y TAREAS'!AK12,14&lt;'EDT Y TAREAS'!AL12),'EDT Y TAREAS'!AD12/'EDT Y TAREAS'!M12,0),IF(AND(14&gt;='EDT Y TAREAS'!AK13,14&lt;'EDT Y TAREAS'!AL13),'EDT Y TAREAS'!AD13/'EDT Y TAREAS'!M13,0),IF(AND(14&gt;='EDT Y TAREAS'!AK14,14&lt;'EDT Y TAREAS'!AL14),'EDT Y TAREAS'!AD14/'EDT Y TAREAS'!M14,0),IF(AND(14&gt;='EDT Y TAREAS'!AK15,14&lt;'EDT Y TAREAS'!AL15),'EDT Y TAREAS'!AD15/'EDT Y TAREAS'!M15,0),IF(AND(14&gt;='EDT Y TAREAS'!AK16,14&lt;'EDT Y TAREAS'!AL16),'EDT Y TAREAS'!AD16/'EDT Y TAREAS'!M16,0),IF(AND(14&gt;='EDT Y TAREAS'!AK17,14&lt;'EDT Y TAREAS'!AL17),'EDT Y TAREAS'!AD17/'EDT Y TAREAS'!M17,0),IF(AND(14&gt;='EDT Y TAREAS'!AK18,14&lt;'EDT Y TAREAS'!AL18),'EDT Y TAREAS'!AD18/'EDT Y TAREAS'!M18,0),IF(AND(14&gt;='EDT Y TAREAS'!AK19,14&lt;'EDT Y TAREAS'!AL19),'EDT Y TAREAS'!AD19/'EDT Y TAREAS'!M19,0),IF(AND(14&gt;='EDT Y TAREAS'!AK20,14&lt;'EDT Y TAREAS'!AL20),'EDT Y TAREAS'!AD20/'EDT Y TAREAS'!M20,0),IF(AND(14&gt;='EDT Y TAREAS'!AK21,14&lt;'EDT Y TAREAS'!AL21),'EDT Y TAREAS'!AD21/'EDT Y TAREAS'!M21,0),IF(AND(14&gt;='EDT Y TAREAS'!AK22,14&lt;'EDT Y TAREAS'!AL22),'EDT Y TAREAS'!AD22/'EDT Y TAREAS'!M22,0),IF(AND(14&gt;='EDT Y TAREAS'!AK23,14&lt;'EDT Y TAREAS'!AL23),'EDT Y TAREAS'!AD23/'EDT Y TAREAS'!M23,0),IF(AND(14&gt;='EDT Y TAREAS'!AK26,14&lt;'EDT Y TAREAS'!AL26),'EDT Y TAREAS'!AD26/'EDT Y TAREAS'!M26,0),IF(AND(14&gt;='EDT Y TAREAS'!AK28,14&lt;'EDT Y TAREAS'!AL28),'EDT Y TAREAS'!AD28/'EDT Y TAREAS'!M28,0),IF(AND(14&gt;='EDT Y TAREAS'!AK30,14&lt;'EDT Y TAREAS'!AL30),'EDT Y TAREAS'!AD30/'EDT Y TAREAS'!M30,0),IF(AND(14&gt;='EDT Y TAREAS'!AK32,14&lt;'EDT Y TAREAS'!AL32),'EDT Y TAREAS'!AD32/'EDT Y TAREAS'!M32,0),IF(AND(14&gt;='EDT Y TAREAS'!AK34,14&lt;'EDT Y TAREAS'!AL34),'EDT Y TAREAS'!AD34/'EDT Y TAREAS'!M34,0),IF(AND(14&gt;='EDT Y TAREAS'!AK38,14&lt;'EDT Y TAREAS'!AL38),'EDT Y TAREAS'!AD38/'EDT Y TAREAS'!M38,0),IF(AND(14&gt;='EDT Y TAREAS'!AK39,14&lt;'EDT Y TAREAS'!AL39),'EDT Y TAREAS'!AD39/'EDT Y TAREAS'!M39,0),IF(AND(14&gt;='EDT Y TAREAS'!AK43,14&lt;'EDT Y TAREAS'!AL43),'EDT Y TAREAS'!AD43/'EDT Y TAREAS'!M43,0),IF(AND(14&gt;='EDT Y TAREAS'!AK44,14&lt;'EDT Y TAREAS'!AL44),'EDT Y TAREAS'!AD44/'EDT Y TAREAS'!M44,0),IF(AND(14&gt;='EDT Y TAREAS'!AK45,14&lt;'EDT Y TAREAS'!AL45),'EDT Y TAREAS'!AD45/'EDT Y TAREAS'!M45,0),IF(AND(14&gt;='EDT Y TAREAS'!AK46,14&lt;'EDT Y TAREAS'!AL46),'EDT Y TAREAS'!AD46/'EDT Y TAREAS'!M46,0),IF(AND(14&gt;='EDT Y TAREAS'!AK47,14&lt;'EDT Y TAREAS'!AL47),'EDT Y TAREAS'!AD47/'EDT Y TAREAS'!M47,0),IF(AND(14&gt;='EDT Y TAREAS'!AK49,14&lt;'EDT Y TAREAS'!AL49),'EDT Y TAREAS'!AD49/'EDT Y TAREAS'!M49,0),IF(AND(14&gt;='EDT Y TAREAS'!AK50,14&lt;'EDT Y TAREAS'!AL50),'EDT Y TAREAS'!AD50/'EDT Y TAREAS'!M50,0),IF(AND(14&gt;='EDT Y TAREAS'!AK51,14&lt;'EDT Y TAREAS'!AL51),'EDT Y TAREAS'!AD51/'EDT Y TAREAS'!M51,0),IF(AND(14&gt;='EDT Y TAREAS'!AK52,14&lt;'EDT Y TAREAS'!AL52),'EDT Y TAREAS'!AD52/'EDT Y TAREAS'!M52,0))</x:f>
        <x:v>7.2</x:v>
      </x:c>
      <x:c r="C54" s="35" t="n">
        <x:f>SUM(IF(AND(14&gt;='EDT Y TAREAS'!AK6,14&lt;'EDT Y TAREAS'!AL6),'EDT Y TAREAS'!AE6/'EDT Y TAREAS'!M6,0),IF(AND(14&gt;='EDT Y TAREAS'!AK8,14&lt;'EDT Y TAREAS'!AL8),'EDT Y TAREAS'!AE8/'EDT Y TAREAS'!M8,0),IF(AND(14&gt;='EDT Y TAREAS'!AK9,14&lt;'EDT Y TAREAS'!AL9),'EDT Y TAREAS'!AE9/'EDT Y TAREAS'!M9,0),IF(AND(14&gt;='EDT Y TAREAS'!AK10,14&lt;'EDT Y TAREAS'!AL10),'EDT Y TAREAS'!AE10/'EDT Y TAREAS'!M10,0),IF(AND(14&gt;='EDT Y TAREAS'!AK12,14&lt;'EDT Y TAREAS'!AL12),'EDT Y TAREAS'!AE12/'EDT Y TAREAS'!M12,0),IF(AND(14&gt;='EDT Y TAREAS'!AK16,14&lt;'EDT Y TAREAS'!AL16),'EDT Y TAREAS'!AE16/'EDT Y TAREAS'!M16,0),IF(AND(14&gt;='EDT Y TAREAS'!AK21,14&lt;'EDT Y TAREAS'!AL21),'EDT Y TAREAS'!AE21/'EDT Y TAREAS'!M21,0),IF(AND(14&gt;='EDT Y TAREAS'!AK23,14&lt;'EDT Y TAREAS'!AL23),'EDT Y TAREAS'!AE23/'EDT Y TAREAS'!M23,0),IF(AND(14&gt;='EDT Y TAREAS'!AK37,14&lt;'EDT Y TAREAS'!AL37),'EDT Y TAREAS'!AE37/'EDT Y TAREAS'!M37,0),IF(AND(14&gt;='EDT Y TAREAS'!AK38,14&lt;'EDT Y TAREAS'!AL38),'EDT Y TAREAS'!AE38/'EDT Y TAREAS'!M38,0),IF(AND(14&gt;='EDT Y TAREAS'!AK41,14&lt;'EDT Y TAREAS'!AL41),'EDT Y TAREAS'!AE41/'EDT Y TAREAS'!M41,0),IF(AND(14&gt;='EDT Y TAREAS'!AK43,14&lt;'EDT Y TAREAS'!AL43),'EDT Y TAREAS'!AE43/'EDT Y TAREAS'!M43,0),IF(AND(14&gt;='EDT Y TAREAS'!AK44,14&lt;'EDT Y TAREAS'!AL44),'EDT Y TAREAS'!AE44/'EDT Y TAREAS'!M44,0),IF(AND(14&gt;='EDT Y TAREAS'!AK46,14&lt;'EDT Y TAREAS'!AL46),'EDT Y TAREAS'!AE46/'EDT Y TAREAS'!M46,0),IF(AND(14&gt;='EDT Y TAREAS'!AK47,14&lt;'EDT Y TAREAS'!AL47),'EDT Y TAREAS'!AE47/'EDT Y TAREAS'!M47,0),IF(AND(14&gt;='EDT Y TAREAS'!AK51,14&lt;'EDT Y TAREAS'!AL51),'EDT Y TAREAS'!AE51/'EDT Y TAREAS'!M51,0),IF(AND(14&gt;='EDT Y TAREAS'!AK52,14&lt;'EDT Y TAREAS'!AL52),'EDT Y TAREAS'!AE52/'EDT Y TAREAS'!M52,0))</x:f>
        <x:v>1.6</x:v>
      </x:c>
      <x:c r="D54" s="35" t="n">
        <x:f>SUM(IF(AND(14&gt;='EDT Y TAREAS'!AK11,14&lt;'EDT Y TAREAS'!AL11),'EDT Y TAREAS'!AF11/'EDT Y TAREAS'!M11,0),IF(AND(14&gt;='EDT Y TAREAS'!AK24,14&lt;'EDT Y TAREAS'!AL24),'EDT Y TAREAS'!AF24/'EDT Y TAREAS'!M24,0),IF(AND(14&gt;='EDT Y TAREAS'!AK25,14&lt;'EDT Y TAREAS'!AL25),'EDT Y TAREAS'!AF25/'EDT Y TAREAS'!M25,0),IF(AND(14&gt;='EDT Y TAREAS'!AK26,14&lt;'EDT Y TAREAS'!AL26),'EDT Y TAREAS'!AF26/'EDT Y TAREAS'!M26,0),IF(AND(14&gt;='EDT Y TAREAS'!AK27,14&lt;'EDT Y TAREAS'!AL27),'EDT Y TAREAS'!AF27/'EDT Y TAREAS'!M27,0),IF(AND(14&gt;='EDT Y TAREAS'!AK28,14&lt;'EDT Y TAREAS'!AL28),'EDT Y TAREAS'!AF28/'EDT Y TAREAS'!M28,0),IF(AND(14&gt;='EDT Y TAREAS'!AK31,14&lt;'EDT Y TAREAS'!AL31),'EDT Y TAREAS'!AF31/'EDT Y TAREAS'!M31,0),IF(AND(14&gt;='EDT Y TAREAS'!AK33,14&lt;'EDT Y TAREAS'!AL33),'EDT Y TAREAS'!AF33/'EDT Y TAREAS'!M33,0),IF(AND(14&gt;='EDT Y TAREAS'!AK34,14&lt;'EDT Y TAREAS'!AL34),'EDT Y TAREAS'!AF34/'EDT Y TAREAS'!M34,0),IF(AND(14&gt;='EDT Y TAREAS'!AK35,14&lt;'EDT Y TAREAS'!AL35),'EDT Y TAREAS'!AF35/'EDT Y TAREAS'!M35,0),IF(AND(14&gt;='EDT Y TAREAS'!AK37,14&lt;'EDT Y TAREAS'!AL37),'EDT Y TAREAS'!AF37/'EDT Y TAREAS'!M37,0),IF(AND(14&gt;='EDT Y TAREAS'!AK39,14&lt;'EDT Y TAREAS'!AL39),'EDT Y TAREAS'!AF39/'EDT Y TAREAS'!M39,0),IF(AND(14&gt;='EDT Y TAREAS'!AK40,14&lt;'EDT Y TAREAS'!AL40),'EDT Y TAREAS'!AF40/'EDT Y TAREAS'!M40,0),IF(AND(14&gt;='EDT Y TAREAS'!AK42,14&lt;'EDT Y TAREAS'!AL42),'EDT Y TAREAS'!AF42/'EDT Y TAREAS'!M42,0),IF(AND(14&gt;='EDT Y TAREAS'!AK45,14&lt;'EDT Y TAREAS'!AL45),'EDT Y TAREAS'!AF45/'EDT Y TAREAS'!M45,0),IF(AND(14&gt;='EDT Y TAREAS'!AK49,14&lt;'EDT Y TAREAS'!AL49),'EDT Y TAREAS'!AF49/'EDT Y TAREAS'!M49,0),IF(AND(14&gt;='EDT Y TAREAS'!AK52,14&lt;'EDT Y TAREAS'!AL52),'EDT Y TAREAS'!AF52/'EDT Y TAREAS'!M52,0))</x:f>
        <x:v>4</x:v>
      </x:c>
      <x:c r="E54" s="35" t="n">
        <x:f>SUM(IF(AND(14&gt;='EDT Y TAREAS'!AK29,14&lt;'EDT Y TAREAS'!AL29),'EDT Y TAREAS'!AG29/'EDT Y TAREAS'!M29,0),IF(AND(14&gt;='EDT Y TAREAS'!AK30,14&lt;'EDT Y TAREAS'!AL30),'EDT Y TAREAS'!AG30/'EDT Y TAREAS'!M30,0),IF(AND(14&gt;='EDT Y TAREAS'!AK31,14&lt;'EDT Y TAREAS'!AL31),'EDT Y TAREAS'!AG31/'EDT Y TAREAS'!M31,0),IF(AND(14&gt;='EDT Y TAREAS'!AK32,14&lt;'EDT Y TAREAS'!AL32),'EDT Y TAREAS'!AG32/'EDT Y TAREAS'!M32,0),IF(AND(14&gt;='EDT Y TAREAS'!AK41,14&lt;'EDT Y TAREAS'!AL41),'EDT Y TAREAS'!AG41/'EDT Y TAREAS'!M41,0),IF(AND(14&gt;='EDT Y TAREAS'!AK45,14&lt;'EDT Y TAREAS'!AL45),'EDT Y TAREAS'!AG45/'EDT Y TAREAS'!M45,0),IF(AND(14&gt;='EDT Y TAREAS'!AK48,14&lt;'EDT Y TAREAS'!AL48),'EDT Y TAREAS'!AG48/'EDT Y TAREAS'!M48,0))</x:f>
        <x:v>0</x:v>
      </x:c>
      <x:c r="F54" s="35" t="n">
        <x:f>SUM(IF(AND(14&gt;='EDT Y TAREAS'!AK10,14&lt;'EDT Y TAREAS'!AL10),'EDT Y TAREAS'!AH10/'EDT Y TAREAS'!M10,0),IF(AND(14&gt;='EDT Y TAREAS'!AK12,14&lt;'EDT Y TAREAS'!AL12),'EDT Y TAREAS'!AH12/'EDT Y TAREAS'!M12,0),IF(AND(14&gt;='EDT Y TAREAS'!AK22,14&lt;'EDT Y TAREAS'!AL22),'EDT Y TAREAS'!AH22/'EDT Y TAREAS'!M22,0),IF(AND(14&gt;='EDT Y TAREAS'!AK23,14&lt;'EDT Y TAREAS'!AL23),'EDT Y TAREAS'!AH23/'EDT Y TAREAS'!M23,0),IF(AND(14&gt;='EDT Y TAREAS'!AK29,14&lt;'EDT Y TAREAS'!AL29),'EDT Y TAREAS'!AH29/'EDT Y TAREAS'!M29,0),IF(AND(14&gt;='EDT Y TAREAS'!AK30,14&lt;'EDT Y TAREAS'!AL30),'EDT Y TAREAS'!AH30/'EDT Y TAREAS'!M30,0),IF(AND(14&gt;='EDT Y TAREAS'!AK32,14&lt;'EDT Y TAREAS'!AL32),'EDT Y TAREAS'!AH32/'EDT Y TAREAS'!M32,0),IF(AND(14&gt;='EDT Y TAREAS'!AK41,14&lt;'EDT Y TAREAS'!AL41),'EDT Y TAREAS'!AH41/'EDT Y TAREAS'!M41,0),IF(AND(14&gt;='EDT Y TAREAS'!AK44,14&lt;'EDT Y TAREAS'!AL44),'EDT Y TAREAS'!AH44/'EDT Y TAREAS'!M44,0),IF(AND(14&gt;='EDT Y TAREAS'!AK46,14&lt;'EDT Y TAREAS'!AL46),'EDT Y TAREAS'!AH46/'EDT Y TAREAS'!M46,0),IF(AND(14&gt;='EDT Y TAREAS'!AK48,14&lt;'EDT Y TAREAS'!AL48),'EDT Y TAREAS'!AH48/'EDT Y TAREAS'!M48,0))</x:f>
        <x:v>2.4</x:v>
      </x:c>
      <x:c r="G54" s="35" t="n">
        <x:f>SUM(IF(AND(14&gt;='EDT Y TAREAS'!AK20,14&lt;'EDT Y TAREAS'!AL20),'EDT Y TAREAS'!AI20/'EDT Y TAREAS'!M20,0),IF(AND(14&gt;='EDT Y TAREAS'!AK25,14&lt;'EDT Y TAREAS'!AL25),'EDT Y TAREAS'!AI25/'EDT Y TAREAS'!M25,0),IF(AND(14&gt;='EDT Y TAREAS'!AK33,14&lt;'EDT Y TAREAS'!AL33),'EDT Y TAREAS'!AI33/'EDT Y TAREAS'!M33,0),IF(AND(14&gt;='EDT Y TAREAS'!AK34,14&lt;'EDT Y TAREAS'!AL34),'EDT Y TAREAS'!AI34/'EDT Y TAREAS'!M34,0),IF(AND(14&gt;='EDT Y TAREAS'!AK36,14&lt;'EDT Y TAREAS'!AL36),'EDT Y TAREAS'!AI36/'EDT Y TAREAS'!M36,0),IF(AND(14&gt;='EDT Y TAREAS'!AK39,14&lt;'EDT Y TAREAS'!AL39),'EDT Y TAREAS'!AI39/'EDT Y TAREAS'!M39,0),IF(AND(14&gt;='EDT Y TAREAS'!AK40,14&lt;'EDT Y TAREAS'!AL40),'EDT Y TAREAS'!AI40/'EDT Y TAREAS'!M40,0),IF(AND(14&gt;='EDT Y TAREAS'!AK42,14&lt;'EDT Y TAREAS'!AL42),'EDT Y TAREAS'!AI42/'EDT Y TAREAS'!M42,0),IF(AND(14&gt;='EDT Y TAREAS'!AK43,14&lt;'EDT Y TAREAS'!AL43),'EDT Y TAREAS'!AI43/'EDT Y TAREAS'!M43,0),IF(AND(14&gt;='EDT Y TAREAS'!AK44,14&lt;'EDT Y TAREAS'!AL44),'EDT Y TAREAS'!AI44/'EDT Y TAREAS'!M44,0),IF(AND(14&gt;='EDT Y TAREAS'!AK45,14&lt;'EDT Y TAREAS'!AL45),'EDT Y TAREAS'!AI45/'EDT Y TAREAS'!M45,0),IF(AND(14&gt;='EDT Y TAREAS'!AK46,14&lt;'EDT Y TAREAS'!AL46),'EDT Y TAREAS'!AI46/'EDT Y TAREAS'!M46,0),IF(AND(14&gt;='EDT Y TAREAS'!AK48,14&lt;'EDT Y TAREAS'!AL48),'EDT Y TAREAS'!AI48/'EDT Y TAREAS'!M48,0),IF(AND(14&gt;='EDT Y TAREAS'!AK50,14&lt;'EDT Y TAREAS'!AL50),'EDT Y TAREAS'!AI50/'EDT Y TAREAS'!M50,0),IF(AND(14&gt;='EDT Y TAREAS'!AK52,14&lt;'EDT Y TAREAS'!AL52),'EDT Y TAREAS'!AI52/'EDT Y TAREAS'!M52,0))</x:f>
        <x:v>0</x:v>
      </x:c>
      <x:c r="H54" s="35" t="n">
        <x:f>SUM(IF(AND(14&gt;='EDT Y TAREAS'!AK11,14&lt;'EDT Y TAREAS'!AL11),'EDT Y TAREAS'!AJ11/'EDT Y TAREAS'!M11,0),IF(AND(14&gt;='EDT Y TAREAS'!AK24,14&lt;'EDT Y TAREAS'!AL24),'EDT Y TAREAS'!AJ24/'EDT Y TAREAS'!M24,0),IF(AND(14&gt;='EDT Y TAREAS'!AK27,14&lt;'EDT Y TAREAS'!AL27),'EDT Y TAREAS'!AJ27/'EDT Y TAREAS'!M27,0),IF(AND(14&gt;='EDT Y TAREAS'!AK28,14&lt;'EDT Y TAREAS'!AL28),'EDT Y TAREAS'!AJ28/'EDT Y TAREAS'!M28,0),IF(AND(14&gt;='EDT Y TAREAS'!AK33,14&lt;'EDT Y TAREAS'!AL33),'EDT Y TAREAS'!AJ33/'EDT Y TAREAS'!M33,0),IF(AND(14&gt;='EDT Y TAREAS'!AK35,14&lt;'EDT Y TAREAS'!AL35),'EDT Y TAREAS'!AJ35/'EDT Y TAREAS'!M35,0),IF(AND(14&gt;='EDT Y TAREAS'!AK36,14&lt;'EDT Y TAREAS'!AL36),'EDT Y TAREAS'!AJ36/'EDT Y TAREAS'!M36,0),IF(AND(14&gt;='EDT Y TAREAS'!AK37,14&lt;'EDT Y TAREAS'!AL37),'EDT Y TAREAS'!AJ37/'EDT Y TAREAS'!M37,0),IF(AND(14&gt;='EDT Y TAREAS'!AK40,14&lt;'EDT Y TAREAS'!AL40),'EDT Y TAREAS'!AJ40/'EDT Y TAREAS'!M40,0),IF(AND(14&gt;='EDT Y TAREAS'!AK42,14&lt;'EDT Y TAREAS'!AL42),'EDT Y TAREAS'!AJ42/'EDT Y TAREAS'!M42,0),IF(AND(14&gt;='EDT Y TAREAS'!AK49,14&lt;'EDT Y TAREAS'!AL49),'EDT Y TAREAS'!AJ49/'EDT Y TAREAS'!M49,0),IF(AND(14&gt;='EDT Y TAREAS'!AK50,14&lt;'EDT Y TAREAS'!AL50),'EDT Y TAREAS'!AJ50/'EDT Y TAREAS'!M50,0),IF(AND(14&gt;='EDT Y TAREAS'!AK51,14&lt;'EDT Y TAREAS'!AL51),'EDT Y TAREAS'!AJ51/'EDT Y TAREAS'!M51,0),IF(AND(14&gt;='EDT Y TAREAS'!AK52,14&lt;'EDT Y TAREAS'!AL52),'EDT Y TAREAS'!AJ52/'EDT Y TAREAS'!M52,0))</x:f>
        <x:v>0.8</x:v>
      </x:c>
      <x:c r="I54" s="10" t="n">
        <x:f>WORKDAY('RESUMEN'!$D$3-1,A54,'RESUMEN'!$J$6:$J$25)</x:f>
        <x:v>46346</x:v>
      </x:c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</x:row>
    <x:row r="55" ht="24" customHeight="1">
      <x:c r="A55" s="3" t="n">
        <x:v>16</x:v>
      </x:c>
      <x:c r="B55" s="35" t="n">
        <x:f>SUM(IF(AND(15&gt;='EDT Y TAREAS'!AK6,15&lt;'EDT Y TAREAS'!AL6),'EDT Y TAREAS'!AD6/'EDT Y TAREAS'!M6,0),IF(AND(15&gt;='EDT Y TAREAS'!AK7,15&lt;'EDT Y TAREAS'!AL7),'EDT Y TAREAS'!AD7/'EDT Y TAREAS'!M7,0),IF(AND(15&gt;='EDT Y TAREAS'!AK8,15&lt;'EDT Y TAREAS'!AL8),'EDT Y TAREAS'!AD8/'EDT Y TAREAS'!M8,0),IF(AND(15&gt;='EDT Y TAREAS'!AK9,15&lt;'EDT Y TAREAS'!AL9),'EDT Y TAREAS'!AD9/'EDT Y TAREAS'!M9,0),IF(AND(15&gt;='EDT Y TAREAS'!AK10,15&lt;'EDT Y TAREAS'!AL10),'EDT Y TAREAS'!AD10/'EDT Y TAREAS'!M10,0),IF(AND(15&gt;='EDT Y TAREAS'!AK11,15&lt;'EDT Y TAREAS'!AL11),'EDT Y TAREAS'!AD11/'EDT Y TAREAS'!M11,0),IF(AND(15&gt;='EDT Y TAREAS'!AK12,15&lt;'EDT Y TAREAS'!AL12),'EDT Y TAREAS'!AD12/'EDT Y TAREAS'!M12,0),IF(AND(15&gt;='EDT Y TAREAS'!AK13,15&lt;'EDT Y TAREAS'!AL13),'EDT Y TAREAS'!AD13/'EDT Y TAREAS'!M13,0),IF(AND(15&gt;='EDT Y TAREAS'!AK14,15&lt;'EDT Y TAREAS'!AL14),'EDT Y TAREAS'!AD14/'EDT Y TAREAS'!M14,0),IF(AND(15&gt;='EDT Y TAREAS'!AK15,15&lt;'EDT Y TAREAS'!AL15),'EDT Y TAREAS'!AD15/'EDT Y TAREAS'!M15,0),IF(AND(15&gt;='EDT Y TAREAS'!AK16,15&lt;'EDT Y TAREAS'!AL16),'EDT Y TAREAS'!AD16/'EDT Y TAREAS'!M16,0),IF(AND(15&gt;='EDT Y TAREAS'!AK17,15&lt;'EDT Y TAREAS'!AL17),'EDT Y TAREAS'!AD17/'EDT Y TAREAS'!M17,0),IF(AND(15&gt;='EDT Y TAREAS'!AK18,15&lt;'EDT Y TAREAS'!AL18),'EDT Y TAREAS'!AD18/'EDT Y TAREAS'!M18,0),IF(AND(15&gt;='EDT Y TAREAS'!AK19,15&lt;'EDT Y TAREAS'!AL19),'EDT Y TAREAS'!AD19/'EDT Y TAREAS'!M19,0),IF(AND(15&gt;='EDT Y TAREAS'!AK20,15&lt;'EDT Y TAREAS'!AL20),'EDT Y TAREAS'!AD20/'EDT Y TAREAS'!M20,0),IF(AND(15&gt;='EDT Y TAREAS'!AK21,15&lt;'EDT Y TAREAS'!AL21),'EDT Y TAREAS'!AD21/'EDT Y TAREAS'!M21,0),IF(AND(15&gt;='EDT Y TAREAS'!AK22,15&lt;'EDT Y TAREAS'!AL22),'EDT Y TAREAS'!AD22/'EDT Y TAREAS'!M22,0),IF(AND(15&gt;='EDT Y TAREAS'!AK23,15&lt;'EDT Y TAREAS'!AL23),'EDT Y TAREAS'!AD23/'EDT Y TAREAS'!M23,0),IF(AND(15&gt;='EDT Y TAREAS'!AK26,15&lt;'EDT Y TAREAS'!AL26),'EDT Y TAREAS'!AD26/'EDT Y TAREAS'!M26,0),IF(AND(15&gt;='EDT Y TAREAS'!AK28,15&lt;'EDT Y TAREAS'!AL28),'EDT Y TAREAS'!AD28/'EDT Y TAREAS'!M28,0),IF(AND(15&gt;='EDT Y TAREAS'!AK30,15&lt;'EDT Y TAREAS'!AL30),'EDT Y TAREAS'!AD30/'EDT Y TAREAS'!M30,0),IF(AND(15&gt;='EDT Y TAREAS'!AK32,15&lt;'EDT Y TAREAS'!AL32),'EDT Y TAREAS'!AD32/'EDT Y TAREAS'!M32,0),IF(AND(15&gt;='EDT Y TAREAS'!AK34,15&lt;'EDT Y TAREAS'!AL34),'EDT Y TAREAS'!AD34/'EDT Y TAREAS'!M34,0),IF(AND(15&gt;='EDT Y TAREAS'!AK38,15&lt;'EDT Y TAREAS'!AL38),'EDT Y TAREAS'!AD38/'EDT Y TAREAS'!M38,0),IF(AND(15&gt;='EDT Y TAREAS'!AK39,15&lt;'EDT Y TAREAS'!AL39),'EDT Y TAREAS'!AD39/'EDT Y TAREAS'!M39,0),IF(AND(15&gt;='EDT Y TAREAS'!AK43,15&lt;'EDT Y TAREAS'!AL43),'EDT Y TAREAS'!AD43/'EDT Y TAREAS'!M43,0),IF(AND(15&gt;='EDT Y TAREAS'!AK44,15&lt;'EDT Y TAREAS'!AL44),'EDT Y TAREAS'!AD44/'EDT Y TAREAS'!M44,0),IF(AND(15&gt;='EDT Y TAREAS'!AK45,15&lt;'EDT Y TAREAS'!AL45),'EDT Y TAREAS'!AD45/'EDT Y TAREAS'!M45,0),IF(AND(15&gt;='EDT Y TAREAS'!AK46,15&lt;'EDT Y TAREAS'!AL46),'EDT Y TAREAS'!AD46/'EDT Y TAREAS'!M46,0),IF(AND(15&gt;='EDT Y TAREAS'!AK47,15&lt;'EDT Y TAREAS'!AL47),'EDT Y TAREAS'!AD47/'EDT Y TAREAS'!M47,0),IF(AND(15&gt;='EDT Y TAREAS'!AK49,15&lt;'EDT Y TAREAS'!AL49),'EDT Y TAREAS'!AD49/'EDT Y TAREAS'!M49,0),IF(AND(15&gt;='EDT Y TAREAS'!AK50,15&lt;'EDT Y TAREAS'!AL50),'EDT Y TAREAS'!AD50/'EDT Y TAREAS'!M50,0),IF(AND(15&gt;='EDT Y TAREAS'!AK51,15&lt;'EDT Y TAREAS'!AL51),'EDT Y TAREAS'!AD51/'EDT Y TAREAS'!M51,0),IF(AND(15&gt;='EDT Y TAREAS'!AK52,15&lt;'EDT Y TAREAS'!AL52),'EDT Y TAREAS'!AD52/'EDT Y TAREAS'!M52,0))</x:f>
        <x:v>7.2</x:v>
      </x:c>
      <x:c r="C55" s="35" t="n">
        <x:f>SUM(IF(AND(15&gt;='EDT Y TAREAS'!AK6,15&lt;'EDT Y TAREAS'!AL6),'EDT Y TAREAS'!AE6/'EDT Y TAREAS'!M6,0),IF(AND(15&gt;='EDT Y TAREAS'!AK8,15&lt;'EDT Y TAREAS'!AL8),'EDT Y TAREAS'!AE8/'EDT Y TAREAS'!M8,0),IF(AND(15&gt;='EDT Y TAREAS'!AK9,15&lt;'EDT Y TAREAS'!AL9),'EDT Y TAREAS'!AE9/'EDT Y TAREAS'!M9,0),IF(AND(15&gt;='EDT Y TAREAS'!AK10,15&lt;'EDT Y TAREAS'!AL10),'EDT Y TAREAS'!AE10/'EDT Y TAREAS'!M10,0),IF(AND(15&gt;='EDT Y TAREAS'!AK12,15&lt;'EDT Y TAREAS'!AL12),'EDT Y TAREAS'!AE12/'EDT Y TAREAS'!M12,0),IF(AND(15&gt;='EDT Y TAREAS'!AK16,15&lt;'EDT Y TAREAS'!AL16),'EDT Y TAREAS'!AE16/'EDT Y TAREAS'!M16,0),IF(AND(15&gt;='EDT Y TAREAS'!AK21,15&lt;'EDT Y TAREAS'!AL21),'EDT Y TAREAS'!AE21/'EDT Y TAREAS'!M21,0),IF(AND(15&gt;='EDT Y TAREAS'!AK23,15&lt;'EDT Y TAREAS'!AL23),'EDT Y TAREAS'!AE23/'EDT Y TAREAS'!M23,0),IF(AND(15&gt;='EDT Y TAREAS'!AK37,15&lt;'EDT Y TAREAS'!AL37),'EDT Y TAREAS'!AE37/'EDT Y TAREAS'!M37,0),IF(AND(15&gt;='EDT Y TAREAS'!AK38,15&lt;'EDT Y TAREAS'!AL38),'EDT Y TAREAS'!AE38/'EDT Y TAREAS'!M38,0),IF(AND(15&gt;='EDT Y TAREAS'!AK41,15&lt;'EDT Y TAREAS'!AL41),'EDT Y TAREAS'!AE41/'EDT Y TAREAS'!M41,0),IF(AND(15&gt;='EDT Y TAREAS'!AK43,15&lt;'EDT Y TAREAS'!AL43),'EDT Y TAREAS'!AE43/'EDT Y TAREAS'!M43,0),IF(AND(15&gt;='EDT Y TAREAS'!AK44,15&lt;'EDT Y TAREAS'!AL44),'EDT Y TAREAS'!AE44/'EDT Y TAREAS'!M44,0),IF(AND(15&gt;='EDT Y TAREAS'!AK46,15&lt;'EDT Y TAREAS'!AL46),'EDT Y TAREAS'!AE46/'EDT Y TAREAS'!M46,0),IF(AND(15&gt;='EDT Y TAREAS'!AK47,15&lt;'EDT Y TAREAS'!AL47),'EDT Y TAREAS'!AE47/'EDT Y TAREAS'!M47,0),IF(AND(15&gt;='EDT Y TAREAS'!AK51,15&lt;'EDT Y TAREAS'!AL51),'EDT Y TAREAS'!AE51/'EDT Y TAREAS'!M51,0),IF(AND(15&gt;='EDT Y TAREAS'!AK52,15&lt;'EDT Y TAREAS'!AL52),'EDT Y TAREAS'!AE52/'EDT Y TAREAS'!M52,0))</x:f>
        <x:v>1.6</x:v>
      </x:c>
      <x:c r="D55" s="35" t="n">
        <x:f>SUM(IF(AND(15&gt;='EDT Y TAREAS'!AK11,15&lt;'EDT Y TAREAS'!AL11),'EDT Y TAREAS'!AF11/'EDT Y TAREAS'!M11,0),IF(AND(15&gt;='EDT Y TAREAS'!AK24,15&lt;'EDT Y TAREAS'!AL24),'EDT Y TAREAS'!AF24/'EDT Y TAREAS'!M24,0),IF(AND(15&gt;='EDT Y TAREAS'!AK25,15&lt;'EDT Y TAREAS'!AL25),'EDT Y TAREAS'!AF25/'EDT Y TAREAS'!M25,0),IF(AND(15&gt;='EDT Y TAREAS'!AK26,15&lt;'EDT Y TAREAS'!AL26),'EDT Y TAREAS'!AF26/'EDT Y TAREAS'!M26,0),IF(AND(15&gt;='EDT Y TAREAS'!AK27,15&lt;'EDT Y TAREAS'!AL27),'EDT Y TAREAS'!AF27/'EDT Y TAREAS'!M27,0),IF(AND(15&gt;='EDT Y TAREAS'!AK28,15&lt;'EDT Y TAREAS'!AL28),'EDT Y TAREAS'!AF28/'EDT Y TAREAS'!M28,0),IF(AND(15&gt;='EDT Y TAREAS'!AK31,15&lt;'EDT Y TAREAS'!AL31),'EDT Y TAREAS'!AF31/'EDT Y TAREAS'!M31,0),IF(AND(15&gt;='EDT Y TAREAS'!AK33,15&lt;'EDT Y TAREAS'!AL33),'EDT Y TAREAS'!AF33/'EDT Y TAREAS'!M33,0),IF(AND(15&gt;='EDT Y TAREAS'!AK34,15&lt;'EDT Y TAREAS'!AL34),'EDT Y TAREAS'!AF34/'EDT Y TAREAS'!M34,0),IF(AND(15&gt;='EDT Y TAREAS'!AK35,15&lt;'EDT Y TAREAS'!AL35),'EDT Y TAREAS'!AF35/'EDT Y TAREAS'!M35,0),IF(AND(15&gt;='EDT Y TAREAS'!AK37,15&lt;'EDT Y TAREAS'!AL37),'EDT Y TAREAS'!AF37/'EDT Y TAREAS'!M37,0),IF(AND(15&gt;='EDT Y TAREAS'!AK39,15&lt;'EDT Y TAREAS'!AL39),'EDT Y TAREAS'!AF39/'EDT Y TAREAS'!M39,0),IF(AND(15&gt;='EDT Y TAREAS'!AK40,15&lt;'EDT Y TAREAS'!AL40),'EDT Y TAREAS'!AF40/'EDT Y TAREAS'!M40,0),IF(AND(15&gt;='EDT Y TAREAS'!AK42,15&lt;'EDT Y TAREAS'!AL42),'EDT Y TAREAS'!AF42/'EDT Y TAREAS'!M42,0),IF(AND(15&gt;='EDT Y TAREAS'!AK45,15&lt;'EDT Y TAREAS'!AL45),'EDT Y TAREAS'!AF45/'EDT Y TAREAS'!M45,0),IF(AND(15&gt;='EDT Y TAREAS'!AK49,15&lt;'EDT Y TAREAS'!AL49),'EDT Y TAREAS'!AF49/'EDT Y TAREAS'!M49,0),IF(AND(15&gt;='EDT Y TAREAS'!AK52,15&lt;'EDT Y TAREAS'!AL52),'EDT Y TAREAS'!AF52/'EDT Y TAREAS'!M52,0))</x:f>
        <x:v>4</x:v>
      </x:c>
      <x:c r="E55" s="35" t="n">
        <x:f>SUM(IF(AND(15&gt;='EDT Y TAREAS'!AK29,15&lt;'EDT Y TAREAS'!AL29),'EDT Y TAREAS'!AG29/'EDT Y TAREAS'!M29,0),IF(AND(15&gt;='EDT Y TAREAS'!AK30,15&lt;'EDT Y TAREAS'!AL30),'EDT Y TAREAS'!AG30/'EDT Y TAREAS'!M30,0),IF(AND(15&gt;='EDT Y TAREAS'!AK31,15&lt;'EDT Y TAREAS'!AL31),'EDT Y TAREAS'!AG31/'EDT Y TAREAS'!M31,0),IF(AND(15&gt;='EDT Y TAREAS'!AK32,15&lt;'EDT Y TAREAS'!AL32),'EDT Y TAREAS'!AG32/'EDT Y TAREAS'!M32,0),IF(AND(15&gt;='EDT Y TAREAS'!AK41,15&lt;'EDT Y TAREAS'!AL41),'EDT Y TAREAS'!AG41/'EDT Y TAREAS'!M41,0),IF(AND(15&gt;='EDT Y TAREAS'!AK45,15&lt;'EDT Y TAREAS'!AL45),'EDT Y TAREAS'!AG45/'EDT Y TAREAS'!M45,0),IF(AND(15&gt;='EDT Y TAREAS'!AK48,15&lt;'EDT Y TAREAS'!AL48),'EDT Y TAREAS'!AG48/'EDT Y TAREAS'!M48,0))</x:f>
        <x:v>0</x:v>
      </x:c>
      <x:c r="F55" s="35" t="n">
        <x:f>SUM(IF(AND(15&gt;='EDT Y TAREAS'!AK10,15&lt;'EDT Y TAREAS'!AL10),'EDT Y TAREAS'!AH10/'EDT Y TAREAS'!M10,0),IF(AND(15&gt;='EDT Y TAREAS'!AK12,15&lt;'EDT Y TAREAS'!AL12),'EDT Y TAREAS'!AH12/'EDT Y TAREAS'!M12,0),IF(AND(15&gt;='EDT Y TAREAS'!AK22,15&lt;'EDT Y TAREAS'!AL22),'EDT Y TAREAS'!AH22/'EDT Y TAREAS'!M22,0),IF(AND(15&gt;='EDT Y TAREAS'!AK23,15&lt;'EDT Y TAREAS'!AL23),'EDT Y TAREAS'!AH23/'EDT Y TAREAS'!M23,0),IF(AND(15&gt;='EDT Y TAREAS'!AK29,15&lt;'EDT Y TAREAS'!AL29),'EDT Y TAREAS'!AH29/'EDT Y TAREAS'!M29,0),IF(AND(15&gt;='EDT Y TAREAS'!AK30,15&lt;'EDT Y TAREAS'!AL30),'EDT Y TAREAS'!AH30/'EDT Y TAREAS'!M30,0),IF(AND(15&gt;='EDT Y TAREAS'!AK32,15&lt;'EDT Y TAREAS'!AL32),'EDT Y TAREAS'!AH32/'EDT Y TAREAS'!M32,0),IF(AND(15&gt;='EDT Y TAREAS'!AK41,15&lt;'EDT Y TAREAS'!AL41),'EDT Y TAREAS'!AH41/'EDT Y TAREAS'!M41,0),IF(AND(15&gt;='EDT Y TAREAS'!AK44,15&lt;'EDT Y TAREAS'!AL44),'EDT Y TAREAS'!AH44/'EDT Y TAREAS'!M44,0),IF(AND(15&gt;='EDT Y TAREAS'!AK46,15&lt;'EDT Y TAREAS'!AL46),'EDT Y TAREAS'!AH46/'EDT Y TAREAS'!M46,0),IF(AND(15&gt;='EDT Y TAREAS'!AK48,15&lt;'EDT Y TAREAS'!AL48),'EDT Y TAREAS'!AH48/'EDT Y TAREAS'!M48,0))</x:f>
        <x:v>2.4</x:v>
      </x:c>
      <x:c r="G55" s="35" t="n">
        <x:f>SUM(IF(AND(15&gt;='EDT Y TAREAS'!AK20,15&lt;'EDT Y TAREAS'!AL20),'EDT Y TAREAS'!AI20/'EDT Y TAREAS'!M20,0),IF(AND(15&gt;='EDT Y TAREAS'!AK25,15&lt;'EDT Y TAREAS'!AL25),'EDT Y TAREAS'!AI25/'EDT Y TAREAS'!M25,0),IF(AND(15&gt;='EDT Y TAREAS'!AK33,15&lt;'EDT Y TAREAS'!AL33),'EDT Y TAREAS'!AI33/'EDT Y TAREAS'!M33,0),IF(AND(15&gt;='EDT Y TAREAS'!AK34,15&lt;'EDT Y TAREAS'!AL34),'EDT Y TAREAS'!AI34/'EDT Y TAREAS'!M34,0),IF(AND(15&gt;='EDT Y TAREAS'!AK36,15&lt;'EDT Y TAREAS'!AL36),'EDT Y TAREAS'!AI36/'EDT Y TAREAS'!M36,0),IF(AND(15&gt;='EDT Y TAREAS'!AK39,15&lt;'EDT Y TAREAS'!AL39),'EDT Y TAREAS'!AI39/'EDT Y TAREAS'!M39,0),IF(AND(15&gt;='EDT Y TAREAS'!AK40,15&lt;'EDT Y TAREAS'!AL40),'EDT Y TAREAS'!AI40/'EDT Y TAREAS'!M40,0),IF(AND(15&gt;='EDT Y TAREAS'!AK42,15&lt;'EDT Y TAREAS'!AL42),'EDT Y TAREAS'!AI42/'EDT Y TAREAS'!M42,0),IF(AND(15&gt;='EDT Y TAREAS'!AK43,15&lt;'EDT Y TAREAS'!AL43),'EDT Y TAREAS'!AI43/'EDT Y TAREAS'!M43,0),IF(AND(15&gt;='EDT Y TAREAS'!AK44,15&lt;'EDT Y TAREAS'!AL44),'EDT Y TAREAS'!AI44/'EDT Y TAREAS'!M44,0),IF(AND(15&gt;='EDT Y TAREAS'!AK45,15&lt;'EDT Y TAREAS'!AL45),'EDT Y TAREAS'!AI45/'EDT Y TAREAS'!M45,0),IF(AND(15&gt;='EDT Y TAREAS'!AK46,15&lt;'EDT Y TAREAS'!AL46),'EDT Y TAREAS'!AI46/'EDT Y TAREAS'!M46,0),IF(AND(15&gt;='EDT Y TAREAS'!AK48,15&lt;'EDT Y TAREAS'!AL48),'EDT Y TAREAS'!AI48/'EDT Y TAREAS'!M48,0),IF(AND(15&gt;='EDT Y TAREAS'!AK50,15&lt;'EDT Y TAREAS'!AL50),'EDT Y TAREAS'!AI50/'EDT Y TAREAS'!M50,0),IF(AND(15&gt;='EDT Y TAREAS'!AK52,15&lt;'EDT Y TAREAS'!AL52),'EDT Y TAREAS'!AI52/'EDT Y TAREAS'!M52,0))</x:f>
        <x:v>0</x:v>
      </x:c>
      <x:c r="H55" s="35" t="n">
        <x:f>SUM(IF(AND(15&gt;='EDT Y TAREAS'!AK11,15&lt;'EDT Y TAREAS'!AL11),'EDT Y TAREAS'!AJ11/'EDT Y TAREAS'!M11,0),IF(AND(15&gt;='EDT Y TAREAS'!AK24,15&lt;'EDT Y TAREAS'!AL24),'EDT Y TAREAS'!AJ24/'EDT Y TAREAS'!M24,0),IF(AND(15&gt;='EDT Y TAREAS'!AK27,15&lt;'EDT Y TAREAS'!AL27),'EDT Y TAREAS'!AJ27/'EDT Y TAREAS'!M27,0),IF(AND(15&gt;='EDT Y TAREAS'!AK28,15&lt;'EDT Y TAREAS'!AL28),'EDT Y TAREAS'!AJ28/'EDT Y TAREAS'!M28,0),IF(AND(15&gt;='EDT Y TAREAS'!AK33,15&lt;'EDT Y TAREAS'!AL33),'EDT Y TAREAS'!AJ33/'EDT Y TAREAS'!M33,0),IF(AND(15&gt;='EDT Y TAREAS'!AK35,15&lt;'EDT Y TAREAS'!AL35),'EDT Y TAREAS'!AJ35/'EDT Y TAREAS'!M35,0),IF(AND(15&gt;='EDT Y TAREAS'!AK36,15&lt;'EDT Y TAREAS'!AL36),'EDT Y TAREAS'!AJ36/'EDT Y TAREAS'!M36,0),IF(AND(15&gt;='EDT Y TAREAS'!AK37,15&lt;'EDT Y TAREAS'!AL37),'EDT Y TAREAS'!AJ37/'EDT Y TAREAS'!M37,0),IF(AND(15&gt;='EDT Y TAREAS'!AK40,15&lt;'EDT Y TAREAS'!AL40),'EDT Y TAREAS'!AJ40/'EDT Y TAREAS'!M40,0),IF(AND(15&gt;='EDT Y TAREAS'!AK42,15&lt;'EDT Y TAREAS'!AL42),'EDT Y TAREAS'!AJ42/'EDT Y TAREAS'!M42,0),IF(AND(15&gt;='EDT Y TAREAS'!AK49,15&lt;'EDT Y TAREAS'!AL49),'EDT Y TAREAS'!AJ49/'EDT Y TAREAS'!M49,0),IF(AND(15&gt;='EDT Y TAREAS'!AK50,15&lt;'EDT Y TAREAS'!AL50),'EDT Y TAREAS'!AJ50/'EDT Y TAREAS'!M50,0),IF(AND(15&gt;='EDT Y TAREAS'!AK51,15&lt;'EDT Y TAREAS'!AL51),'EDT Y TAREAS'!AJ51/'EDT Y TAREAS'!M51,0),IF(AND(15&gt;='EDT Y TAREAS'!AK52,15&lt;'EDT Y TAREAS'!AL52),'EDT Y TAREAS'!AJ52/'EDT Y TAREAS'!M52,0))</x:f>
        <x:v>0.8</x:v>
      </x:c>
      <x:c r="I55" s="10" t="n">
        <x:f>WORKDAY('RESUMEN'!$D$3-1,A55,'RESUMEN'!$J$6:$J$25)</x:f>
        <x:v>46349</x:v>
      </x:c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</x:row>
    <x:row r="56" ht="24" customHeight="1">
      <x:c r="A56" s="3" t="n">
        <x:v>17</x:v>
      </x:c>
      <x:c r="B56" s="35" t="n">
        <x:f>SUM(IF(AND(16&gt;='EDT Y TAREAS'!AK6,16&lt;'EDT Y TAREAS'!AL6),'EDT Y TAREAS'!AD6/'EDT Y TAREAS'!M6,0),IF(AND(16&gt;='EDT Y TAREAS'!AK7,16&lt;'EDT Y TAREAS'!AL7),'EDT Y TAREAS'!AD7/'EDT Y TAREAS'!M7,0),IF(AND(16&gt;='EDT Y TAREAS'!AK8,16&lt;'EDT Y TAREAS'!AL8),'EDT Y TAREAS'!AD8/'EDT Y TAREAS'!M8,0),IF(AND(16&gt;='EDT Y TAREAS'!AK9,16&lt;'EDT Y TAREAS'!AL9),'EDT Y TAREAS'!AD9/'EDT Y TAREAS'!M9,0),IF(AND(16&gt;='EDT Y TAREAS'!AK10,16&lt;'EDT Y TAREAS'!AL10),'EDT Y TAREAS'!AD10/'EDT Y TAREAS'!M10,0),IF(AND(16&gt;='EDT Y TAREAS'!AK11,16&lt;'EDT Y TAREAS'!AL11),'EDT Y TAREAS'!AD11/'EDT Y TAREAS'!M11,0),IF(AND(16&gt;='EDT Y TAREAS'!AK12,16&lt;'EDT Y TAREAS'!AL12),'EDT Y TAREAS'!AD12/'EDT Y TAREAS'!M12,0),IF(AND(16&gt;='EDT Y TAREAS'!AK13,16&lt;'EDT Y TAREAS'!AL13),'EDT Y TAREAS'!AD13/'EDT Y TAREAS'!M13,0),IF(AND(16&gt;='EDT Y TAREAS'!AK14,16&lt;'EDT Y TAREAS'!AL14),'EDT Y TAREAS'!AD14/'EDT Y TAREAS'!M14,0),IF(AND(16&gt;='EDT Y TAREAS'!AK15,16&lt;'EDT Y TAREAS'!AL15),'EDT Y TAREAS'!AD15/'EDT Y TAREAS'!M15,0),IF(AND(16&gt;='EDT Y TAREAS'!AK16,16&lt;'EDT Y TAREAS'!AL16),'EDT Y TAREAS'!AD16/'EDT Y TAREAS'!M16,0),IF(AND(16&gt;='EDT Y TAREAS'!AK17,16&lt;'EDT Y TAREAS'!AL17),'EDT Y TAREAS'!AD17/'EDT Y TAREAS'!M17,0),IF(AND(16&gt;='EDT Y TAREAS'!AK18,16&lt;'EDT Y TAREAS'!AL18),'EDT Y TAREAS'!AD18/'EDT Y TAREAS'!M18,0),IF(AND(16&gt;='EDT Y TAREAS'!AK19,16&lt;'EDT Y TAREAS'!AL19),'EDT Y TAREAS'!AD19/'EDT Y TAREAS'!M19,0),IF(AND(16&gt;='EDT Y TAREAS'!AK20,16&lt;'EDT Y TAREAS'!AL20),'EDT Y TAREAS'!AD20/'EDT Y TAREAS'!M20,0),IF(AND(16&gt;='EDT Y TAREAS'!AK21,16&lt;'EDT Y TAREAS'!AL21),'EDT Y TAREAS'!AD21/'EDT Y TAREAS'!M21,0),IF(AND(16&gt;='EDT Y TAREAS'!AK22,16&lt;'EDT Y TAREAS'!AL22),'EDT Y TAREAS'!AD22/'EDT Y TAREAS'!M22,0),IF(AND(16&gt;='EDT Y TAREAS'!AK23,16&lt;'EDT Y TAREAS'!AL23),'EDT Y TAREAS'!AD23/'EDT Y TAREAS'!M23,0),IF(AND(16&gt;='EDT Y TAREAS'!AK26,16&lt;'EDT Y TAREAS'!AL26),'EDT Y TAREAS'!AD26/'EDT Y TAREAS'!M26,0),IF(AND(16&gt;='EDT Y TAREAS'!AK28,16&lt;'EDT Y TAREAS'!AL28),'EDT Y TAREAS'!AD28/'EDT Y TAREAS'!M28,0),IF(AND(16&gt;='EDT Y TAREAS'!AK30,16&lt;'EDT Y TAREAS'!AL30),'EDT Y TAREAS'!AD30/'EDT Y TAREAS'!M30,0),IF(AND(16&gt;='EDT Y TAREAS'!AK32,16&lt;'EDT Y TAREAS'!AL32),'EDT Y TAREAS'!AD32/'EDT Y TAREAS'!M32,0),IF(AND(16&gt;='EDT Y TAREAS'!AK34,16&lt;'EDT Y TAREAS'!AL34),'EDT Y TAREAS'!AD34/'EDT Y TAREAS'!M34,0),IF(AND(16&gt;='EDT Y TAREAS'!AK38,16&lt;'EDT Y TAREAS'!AL38),'EDT Y TAREAS'!AD38/'EDT Y TAREAS'!M38,0),IF(AND(16&gt;='EDT Y TAREAS'!AK39,16&lt;'EDT Y TAREAS'!AL39),'EDT Y TAREAS'!AD39/'EDT Y TAREAS'!M39,0),IF(AND(16&gt;='EDT Y TAREAS'!AK43,16&lt;'EDT Y TAREAS'!AL43),'EDT Y TAREAS'!AD43/'EDT Y TAREAS'!M43,0),IF(AND(16&gt;='EDT Y TAREAS'!AK44,16&lt;'EDT Y TAREAS'!AL44),'EDT Y TAREAS'!AD44/'EDT Y TAREAS'!M44,0),IF(AND(16&gt;='EDT Y TAREAS'!AK45,16&lt;'EDT Y TAREAS'!AL45),'EDT Y TAREAS'!AD45/'EDT Y TAREAS'!M45,0),IF(AND(16&gt;='EDT Y TAREAS'!AK46,16&lt;'EDT Y TAREAS'!AL46),'EDT Y TAREAS'!AD46/'EDT Y TAREAS'!M46,0),IF(AND(16&gt;='EDT Y TAREAS'!AK47,16&lt;'EDT Y TAREAS'!AL47),'EDT Y TAREAS'!AD47/'EDT Y TAREAS'!M47,0),IF(AND(16&gt;='EDT Y TAREAS'!AK49,16&lt;'EDT Y TAREAS'!AL49),'EDT Y TAREAS'!AD49/'EDT Y TAREAS'!M49,0),IF(AND(16&gt;='EDT Y TAREAS'!AK50,16&lt;'EDT Y TAREAS'!AL50),'EDT Y TAREAS'!AD50/'EDT Y TAREAS'!M50,0),IF(AND(16&gt;='EDT Y TAREAS'!AK51,16&lt;'EDT Y TAREAS'!AL51),'EDT Y TAREAS'!AD51/'EDT Y TAREAS'!M51,0),IF(AND(16&gt;='EDT Y TAREAS'!AK52,16&lt;'EDT Y TAREAS'!AL52),'EDT Y TAREAS'!AD52/'EDT Y TAREAS'!M52,0))</x:f>
        <x:v>7.2</x:v>
      </x:c>
      <x:c r="C56" s="35" t="n">
        <x:f>SUM(IF(AND(16&gt;='EDT Y TAREAS'!AK6,16&lt;'EDT Y TAREAS'!AL6),'EDT Y TAREAS'!AE6/'EDT Y TAREAS'!M6,0),IF(AND(16&gt;='EDT Y TAREAS'!AK8,16&lt;'EDT Y TAREAS'!AL8),'EDT Y TAREAS'!AE8/'EDT Y TAREAS'!M8,0),IF(AND(16&gt;='EDT Y TAREAS'!AK9,16&lt;'EDT Y TAREAS'!AL9),'EDT Y TAREAS'!AE9/'EDT Y TAREAS'!M9,0),IF(AND(16&gt;='EDT Y TAREAS'!AK10,16&lt;'EDT Y TAREAS'!AL10),'EDT Y TAREAS'!AE10/'EDT Y TAREAS'!M10,0),IF(AND(16&gt;='EDT Y TAREAS'!AK12,16&lt;'EDT Y TAREAS'!AL12),'EDT Y TAREAS'!AE12/'EDT Y TAREAS'!M12,0),IF(AND(16&gt;='EDT Y TAREAS'!AK16,16&lt;'EDT Y TAREAS'!AL16),'EDT Y TAREAS'!AE16/'EDT Y TAREAS'!M16,0),IF(AND(16&gt;='EDT Y TAREAS'!AK21,16&lt;'EDT Y TAREAS'!AL21),'EDT Y TAREAS'!AE21/'EDT Y TAREAS'!M21,0),IF(AND(16&gt;='EDT Y TAREAS'!AK23,16&lt;'EDT Y TAREAS'!AL23),'EDT Y TAREAS'!AE23/'EDT Y TAREAS'!M23,0),IF(AND(16&gt;='EDT Y TAREAS'!AK37,16&lt;'EDT Y TAREAS'!AL37),'EDT Y TAREAS'!AE37/'EDT Y TAREAS'!M37,0),IF(AND(16&gt;='EDT Y TAREAS'!AK38,16&lt;'EDT Y TAREAS'!AL38),'EDT Y TAREAS'!AE38/'EDT Y TAREAS'!M38,0),IF(AND(16&gt;='EDT Y TAREAS'!AK41,16&lt;'EDT Y TAREAS'!AL41),'EDT Y TAREAS'!AE41/'EDT Y TAREAS'!M41,0),IF(AND(16&gt;='EDT Y TAREAS'!AK43,16&lt;'EDT Y TAREAS'!AL43),'EDT Y TAREAS'!AE43/'EDT Y TAREAS'!M43,0),IF(AND(16&gt;='EDT Y TAREAS'!AK44,16&lt;'EDT Y TAREAS'!AL44),'EDT Y TAREAS'!AE44/'EDT Y TAREAS'!M44,0),IF(AND(16&gt;='EDT Y TAREAS'!AK46,16&lt;'EDT Y TAREAS'!AL46),'EDT Y TAREAS'!AE46/'EDT Y TAREAS'!M46,0),IF(AND(16&gt;='EDT Y TAREAS'!AK47,16&lt;'EDT Y TAREAS'!AL47),'EDT Y TAREAS'!AE47/'EDT Y TAREAS'!M47,0),IF(AND(16&gt;='EDT Y TAREAS'!AK51,16&lt;'EDT Y TAREAS'!AL51),'EDT Y TAREAS'!AE51/'EDT Y TAREAS'!M51,0),IF(AND(16&gt;='EDT Y TAREAS'!AK52,16&lt;'EDT Y TAREAS'!AL52),'EDT Y TAREAS'!AE52/'EDT Y TAREAS'!M52,0))</x:f>
        <x:v>1.6</x:v>
      </x:c>
      <x:c r="D56" s="35" t="n">
        <x:f>SUM(IF(AND(16&gt;='EDT Y TAREAS'!AK11,16&lt;'EDT Y TAREAS'!AL11),'EDT Y TAREAS'!AF11/'EDT Y TAREAS'!M11,0),IF(AND(16&gt;='EDT Y TAREAS'!AK24,16&lt;'EDT Y TAREAS'!AL24),'EDT Y TAREAS'!AF24/'EDT Y TAREAS'!M24,0),IF(AND(16&gt;='EDT Y TAREAS'!AK25,16&lt;'EDT Y TAREAS'!AL25),'EDT Y TAREAS'!AF25/'EDT Y TAREAS'!M25,0),IF(AND(16&gt;='EDT Y TAREAS'!AK26,16&lt;'EDT Y TAREAS'!AL26),'EDT Y TAREAS'!AF26/'EDT Y TAREAS'!M26,0),IF(AND(16&gt;='EDT Y TAREAS'!AK27,16&lt;'EDT Y TAREAS'!AL27),'EDT Y TAREAS'!AF27/'EDT Y TAREAS'!M27,0),IF(AND(16&gt;='EDT Y TAREAS'!AK28,16&lt;'EDT Y TAREAS'!AL28),'EDT Y TAREAS'!AF28/'EDT Y TAREAS'!M28,0),IF(AND(16&gt;='EDT Y TAREAS'!AK31,16&lt;'EDT Y TAREAS'!AL31),'EDT Y TAREAS'!AF31/'EDT Y TAREAS'!M31,0),IF(AND(16&gt;='EDT Y TAREAS'!AK33,16&lt;'EDT Y TAREAS'!AL33),'EDT Y TAREAS'!AF33/'EDT Y TAREAS'!M33,0),IF(AND(16&gt;='EDT Y TAREAS'!AK34,16&lt;'EDT Y TAREAS'!AL34),'EDT Y TAREAS'!AF34/'EDT Y TAREAS'!M34,0),IF(AND(16&gt;='EDT Y TAREAS'!AK35,16&lt;'EDT Y TAREAS'!AL35),'EDT Y TAREAS'!AF35/'EDT Y TAREAS'!M35,0),IF(AND(16&gt;='EDT Y TAREAS'!AK37,16&lt;'EDT Y TAREAS'!AL37),'EDT Y TAREAS'!AF37/'EDT Y TAREAS'!M37,0),IF(AND(16&gt;='EDT Y TAREAS'!AK39,16&lt;'EDT Y TAREAS'!AL39),'EDT Y TAREAS'!AF39/'EDT Y TAREAS'!M39,0),IF(AND(16&gt;='EDT Y TAREAS'!AK40,16&lt;'EDT Y TAREAS'!AL40),'EDT Y TAREAS'!AF40/'EDT Y TAREAS'!M40,0),IF(AND(16&gt;='EDT Y TAREAS'!AK42,16&lt;'EDT Y TAREAS'!AL42),'EDT Y TAREAS'!AF42/'EDT Y TAREAS'!M42,0),IF(AND(16&gt;='EDT Y TAREAS'!AK45,16&lt;'EDT Y TAREAS'!AL45),'EDT Y TAREAS'!AF45/'EDT Y TAREAS'!M45,0),IF(AND(16&gt;='EDT Y TAREAS'!AK49,16&lt;'EDT Y TAREAS'!AL49),'EDT Y TAREAS'!AF49/'EDT Y TAREAS'!M49,0),IF(AND(16&gt;='EDT Y TAREAS'!AK52,16&lt;'EDT Y TAREAS'!AL52),'EDT Y TAREAS'!AF52/'EDT Y TAREAS'!M52,0))</x:f>
        <x:v>4</x:v>
      </x:c>
      <x:c r="E56" s="35" t="n">
        <x:f>SUM(IF(AND(16&gt;='EDT Y TAREAS'!AK29,16&lt;'EDT Y TAREAS'!AL29),'EDT Y TAREAS'!AG29/'EDT Y TAREAS'!M29,0),IF(AND(16&gt;='EDT Y TAREAS'!AK30,16&lt;'EDT Y TAREAS'!AL30),'EDT Y TAREAS'!AG30/'EDT Y TAREAS'!M30,0),IF(AND(16&gt;='EDT Y TAREAS'!AK31,16&lt;'EDT Y TAREAS'!AL31),'EDT Y TAREAS'!AG31/'EDT Y TAREAS'!M31,0),IF(AND(16&gt;='EDT Y TAREAS'!AK32,16&lt;'EDT Y TAREAS'!AL32),'EDT Y TAREAS'!AG32/'EDT Y TAREAS'!M32,0),IF(AND(16&gt;='EDT Y TAREAS'!AK41,16&lt;'EDT Y TAREAS'!AL41),'EDT Y TAREAS'!AG41/'EDT Y TAREAS'!M41,0),IF(AND(16&gt;='EDT Y TAREAS'!AK45,16&lt;'EDT Y TAREAS'!AL45),'EDT Y TAREAS'!AG45/'EDT Y TAREAS'!M45,0),IF(AND(16&gt;='EDT Y TAREAS'!AK48,16&lt;'EDT Y TAREAS'!AL48),'EDT Y TAREAS'!AG48/'EDT Y TAREAS'!M48,0))</x:f>
        <x:v>0</x:v>
      </x:c>
      <x:c r="F56" s="35" t="n">
        <x:f>SUM(IF(AND(16&gt;='EDT Y TAREAS'!AK10,16&lt;'EDT Y TAREAS'!AL10),'EDT Y TAREAS'!AH10/'EDT Y TAREAS'!M10,0),IF(AND(16&gt;='EDT Y TAREAS'!AK12,16&lt;'EDT Y TAREAS'!AL12),'EDT Y TAREAS'!AH12/'EDT Y TAREAS'!M12,0),IF(AND(16&gt;='EDT Y TAREAS'!AK22,16&lt;'EDT Y TAREAS'!AL22),'EDT Y TAREAS'!AH22/'EDT Y TAREAS'!M22,0),IF(AND(16&gt;='EDT Y TAREAS'!AK23,16&lt;'EDT Y TAREAS'!AL23),'EDT Y TAREAS'!AH23/'EDT Y TAREAS'!M23,0),IF(AND(16&gt;='EDT Y TAREAS'!AK29,16&lt;'EDT Y TAREAS'!AL29),'EDT Y TAREAS'!AH29/'EDT Y TAREAS'!M29,0),IF(AND(16&gt;='EDT Y TAREAS'!AK30,16&lt;'EDT Y TAREAS'!AL30),'EDT Y TAREAS'!AH30/'EDT Y TAREAS'!M30,0),IF(AND(16&gt;='EDT Y TAREAS'!AK32,16&lt;'EDT Y TAREAS'!AL32),'EDT Y TAREAS'!AH32/'EDT Y TAREAS'!M32,0),IF(AND(16&gt;='EDT Y TAREAS'!AK41,16&lt;'EDT Y TAREAS'!AL41),'EDT Y TAREAS'!AH41/'EDT Y TAREAS'!M41,0),IF(AND(16&gt;='EDT Y TAREAS'!AK44,16&lt;'EDT Y TAREAS'!AL44),'EDT Y TAREAS'!AH44/'EDT Y TAREAS'!M44,0),IF(AND(16&gt;='EDT Y TAREAS'!AK46,16&lt;'EDT Y TAREAS'!AL46),'EDT Y TAREAS'!AH46/'EDT Y TAREAS'!M46,0),IF(AND(16&gt;='EDT Y TAREAS'!AK48,16&lt;'EDT Y TAREAS'!AL48),'EDT Y TAREAS'!AH48/'EDT Y TAREAS'!M48,0))</x:f>
        <x:v>2.4</x:v>
      </x:c>
      <x:c r="G56" s="35" t="n">
        <x:f>SUM(IF(AND(16&gt;='EDT Y TAREAS'!AK20,16&lt;'EDT Y TAREAS'!AL20),'EDT Y TAREAS'!AI20/'EDT Y TAREAS'!M20,0),IF(AND(16&gt;='EDT Y TAREAS'!AK25,16&lt;'EDT Y TAREAS'!AL25),'EDT Y TAREAS'!AI25/'EDT Y TAREAS'!M25,0),IF(AND(16&gt;='EDT Y TAREAS'!AK33,16&lt;'EDT Y TAREAS'!AL33),'EDT Y TAREAS'!AI33/'EDT Y TAREAS'!M33,0),IF(AND(16&gt;='EDT Y TAREAS'!AK34,16&lt;'EDT Y TAREAS'!AL34),'EDT Y TAREAS'!AI34/'EDT Y TAREAS'!M34,0),IF(AND(16&gt;='EDT Y TAREAS'!AK36,16&lt;'EDT Y TAREAS'!AL36),'EDT Y TAREAS'!AI36/'EDT Y TAREAS'!M36,0),IF(AND(16&gt;='EDT Y TAREAS'!AK39,16&lt;'EDT Y TAREAS'!AL39),'EDT Y TAREAS'!AI39/'EDT Y TAREAS'!M39,0),IF(AND(16&gt;='EDT Y TAREAS'!AK40,16&lt;'EDT Y TAREAS'!AL40),'EDT Y TAREAS'!AI40/'EDT Y TAREAS'!M40,0),IF(AND(16&gt;='EDT Y TAREAS'!AK42,16&lt;'EDT Y TAREAS'!AL42),'EDT Y TAREAS'!AI42/'EDT Y TAREAS'!M42,0),IF(AND(16&gt;='EDT Y TAREAS'!AK43,16&lt;'EDT Y TAREAS'!AL43),'EDT Y TAREAS'!AI43/'EDT Y TAREAS'!M43,0),IF(AND(16&gt;='EDT Y TAREAS'!AK44,16&lt;'EDT Y TAREAS'!AL44),'EDT Y TAREAS'!AI44/'EDT Y TAREAS'!M44,0),IF(AND(16&gt;='EDT Y TAREAS'!AK45,16&lt;'EDT Y TAREAS'!AL45),'EDT Y TAREAS'!AI45/'EDT Y TAREAS'!M45,0),IF(AND(16&gt;='EDT Y TAREAS'!AK46,16&lt;'EDT Y TAREAS'!AL46),'EDT Y TAREAS'!AI46/'EDT Y TAREAS'!M46,0),IF(AND(16&gt;='EDT Y TAREAS'!AK48,16&lt;'EDT Y TAREAS'!AL48),'EDT Y TAREAS'!AI48/'EDT Y TAREAS'!M48,0),IF(AND(16&gt;='EDT Y TAREAS'!AK50,16&lt;'EDT Y TAREAS'!AL50),'EDT Y TAREAS'!AI50/'EDT Y TAREAS'!M50,0),IF(AND(16&gt;='EDT Y TAREAS'!AK52,16&lt;'EDT Y TAREAS'!AL52),'EDT Y TAREAS'!AI52/'EDT Y TAREAS'!M52,0))</x:f>
        <x:v>0</x:v>
      </x:c>
      <x:c r="H56" s="35" t="n">
        <x:f>SUM(IF(AND(16&gt;='EDT Y TAREAS'!AK11,16&lt;'EDT Y TAREAS'!AL11),'EDT Y TAREAS'!AJ11/'EDT Y TAREAS'!M11,0),IF(AND(16&gt;='EDT Y TAREAS'!AK24,16&lt;'EDT Y TAREAS'!AL24),'EDT Y TAREAS'!AJ24/'EDT Y TAREAS'!M24,0),IF(AND(16&gt;='EDT Y TAREAS'!AK27,16&lt;'EDT Y TAREAS'!AL27),'EDT Y TAREAS'!AJ27/'EDT Y TAREAS'!M27,0),IF(AND(16&gt;='EDT Y TAREAS'!AK28,16&lt;'EDT Y TAREAS'!AL28),'EDT Y TAREAS'!AJ28/'EDT Y TAREAS'!M28,0),IF(AND(16&gt;='EDT Y TAREAS'!AK33,16&lt;'EDT Y TAREAS'!AL33),'EDT Y TAREAS'!AJ33/'EDT Y TAREAS'!M33,0),IF(AND(16&gt;='EDT Y TAREAS'!AK35,16&lt;'EDT Y TAREAS'!AL35),'EDT Y TAREAS'!AJ35/'EDT Y TAREAS'!M35,0),IF(AND(16&gt;='EDT Y TAREAS'!AK36,16&lt;'EDT Y TAREAS'!AL36),'EDT Y TAREAS'!AJ36/'EDT Y TAREAS'!M36,0),IF(AND(16&gt;='EDT Y TAREAS'!AK37,16&lt;'EDT Y TAREAS'!AL37),'EDT Y TAREAS'!AJ37/'EDT Y TAREAS'!M37,0),IF(AND(16&gt;='EDT Y TAREAS'!AK40,16&lt;'EDT Y TAREAS'!AL40),'EDT Y TAREAS'!AJ40/'EDT Y TAREAS'!M40,0),IF(AND(16&gt;='EDT Y TAREAS'!AK42,16&lt;'EDT Y TAREAS'!AL42),'EDT Y TAREAS'!AJ42/'EDT Y TAREAS'!M42,0),IF(AND(16&gt;='EDT Y TAREAS'!AK49,16&lt;'EDT Y TAREAS'!AL49),'EDT Y TAREAS'!AJ49/'EDT Y TAREAS'!M49,0),IF(AND(16&gt;='EDT Y TAREAS'!AK50,16&lt;'EDT Y TAREAS'!AL50),'EDT Y TAREAS'!AJ50/'EDT Y TAREAS'!M50,0),IF(AND(16&gt;='EDT Y TAREAS'!AK51,16&lt;'EDT Y TAREAS'!AL51),'EDT Y TAREAS'!AJ51/'EDT Y TAREAS'!M51,0),IF(AND(16&gt;='EDT Y TAREAS'!AK52,16&lt;'EDT Y TAREAS'!AL52),'EDT Y TAREAS'!AJ52/'EDT Y TAREAS'!M52,0))</x:f>
        <x:v>0.8</x:v>
      </x:c>
      <x:c r="I56" s="10" t="n">
        <x:f>WORKDAY('RESUMEN'!$D$3-1,A56,'RESUMEN'!$J$6:$J$25)</x:f>
        <x:v>46350</x:v>
      </x:c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</x:row>
    <x:row r="57" ht="24" customHeight="1">
      <x:c r="A57" s="3" t="n">
        <x:v>18</x:v>
      </x:c>
      <x:c r="B57" s="35" t="n">
        <x:f>SUM(IF(AND(17&gt;='EDT Y TAREAS'!AK6,17&lt;'EDT Y TAREAS'!AL6),'EDT Y TAREAS'!AD6/'EDT Y TAREAS'!M6,0),IF(AND(17&gt;='EDT Y TAREAS'!AK7,17&lt;'EDT Y TAREAS'!AL7),'EDT Y TAREAS'!AD7/'EDT Y TAREAS'!M7,0),IF(AND(17&gt;='EDT Y TAREAS'!AK8,17&lt;'EDT Y TAREAS'!AL8),'EDT Y TAREAS'!AD8/'EDT Y TAREAS'!M8,0),IF(AND(17&gt;='EDT Y TAREAS'!AK9,17&lt;'EDT Y TAREAS'!AL9),'EDT Y TAREAS'!AD9/'EDT Y TAREAS'!M9,0),IF(AND(17&gt;='EDT Y TAREAS'!AK10,17&lt;'EDT Y TAREAS'!AL10),'EDT Y TAREAS'!AD10/'EDT Y TAREAS'!M10,0),IF(AND(17&gt;='EDT Y TAREAS'!AK11,17&lt;'EDT Y TAREAS'!AL11),'EDT Y TAREAS'!AD11/'EDT Y TAREAS'!M11,0),IF(AND(17&gt;='EDT Y TAREAS'!AK12,17&lt;'EDT Y TAREAS'!AL12),'EDT Y TAREAS'!AD12/'EDT Y TAREAS'!M12,0),IF(AND(17&gt;='EDT Y TAREAS'!AK13,17&lt;'EDT Y TAREAS'!AL13),'EDT Y TAREAS'!AD13/'EDT Y TAREAS'!M13,0),IF(AND(17&gt;='EDT Y TAREAS'!AK14,17&lt;'EDT Y TAREAS'!AL14),'EDT Y TAREAS'!AD14/'EDT Y TAREAS'!M14,0),IF(AND(17&gt;='EDT Y TAREAS'!AK15,17&lt;'EDT Y TAREAS'!AL15),'EDT Y TAREAS'!AD15/'EDT Y TAREAS'!M15,0),IF(AND(17&gt;='EDT Y TAREAS'!AK16,17&lt;'EDT Y TAREAS'!AL16),'EDT Y TAREAS'!AD16/'EDT Y TAREAS'!M16,0),IF(AND(17&gt;='EDT Y TAREAS'!AK17,17&lt;'EDT Y TAREAS'!AL17),'EDT Y TAREAS'!AD17/'EDT Y TAREAS'!M17,0),IF(AND(17&gt;='EDT Y TAREAS'!AK18,17&lt;'EDT Y TAREAS'!AL18),'EDT Y TAREAS'!AD18/'EDT Y TAREAS'!M18,0),IF(AND(17&gt;='EDT Y TAREAS'!AK19,17&lt;'EDT Y TAREAS'!AL19),'EDT Y TAREAS'!AD19/'EDT Y TAREAS'!M19,0),IF(AND(17&gt;='EDT Y TAREAS'!AK20,17&lt;'EDT Y TAREAS'!AL20),'EDT Y TAREAS'!AD20/'EDT Y TAREAS'!M20,0),IF(AND(17&gt;='EDT Y TAREAS'!AK21,17&lt;'EDT Y TAREAS'!AL21),'EDT Y TAREAS'!AD21/'EDT Y TAREAS'!M21,0),IF(AND(17&gt;='EDT Y TAREAS'!AK22,17&lt;'EDT Y TAREAS'!AL22),'EDT Y TAREAS'!AD22/'EDT Y TAREAS'!M22,0),IF(AND(17&gt;='EDT Y TAREAS'!AK23,17&lt;'EDT Y TAREAS'!AL23),'EDT Y TAREAS'!AD23/'EDT Y TAREAS'!M23,0),IF(AND(17&gt;='EDT Y TAREAS'!AK26,17&lt;'EDT Y TAREAS'!AL26),'EDT Y TAREAS'!AD26/'EDT Y TAREAS'!M26,0),IF(AND(17&gt;='EDT Y TAREAS'!AK28,17&lt;'EDT Y TAREAS'!AL28),'EDT Y TAREAS'!AD28/'EDT Y TAREAS'!M28,0),IF(AND(17&gt;='EDT Y TAREAS'!AK30,17&lt;'EDT Y TAREAS'!AL30),'EDT Y TAREAS'!AD30/'EDT Y TAREAS'!M30,0),IF(AND(17&gt;='EDT Y TAREAS'!AK32,17&lt;'EDT Y TAREAS'!AL32),'EDT Y TAREAS'!AD32/'EDT Y TAREAS'!M32,0),IF(AND(17&gt;='EDT Y TAREAS'!AK34,17&lt;'EDT Y TAREAS'!AL34),'EDT Y TAREAS'!AD34/'EDT Y TAREAS'!M34,0),IF(AND(17&gt;='EDT Y TAREAS'!AK38,17&lt;'EDT Y TAREAS'!AL38),'EDT Y TAREAS'!AD38/'EDT Y TAREAS'!M38,0),IF(AND(17&gt;='EDT Y TAREAS'!AK39,17&lt;'EDT Y TAREAS'!AL39),'EDT Y TAREAS'!AD39/'EDT Y TAREAS'!M39,0),IF(AND(17&gt;='EDT Y TAREAS'!AK43,17&lt;'EDT Y TAREAS'!AL43),'EDT Y TAREAS'!AD43/'EDT Y TAREAS'!M43,0),IF(AND(17&gt;='EDT Y TAREAS'!AK44,17&lt;'EDT Y TAREAS'!AL44),'EDT Y TAREAS'!AD44/'EDT Y TAREAS'!M44,0),IF(AND(17&gt;='EDT Y TAREAS'!AK45,17&lt;'EDT Y TAREAS'!AL45),'EDT Y TAREAS'!AD45/'EDT Y TAREAS'!M45,0),IF(AND(17&gt;='EDT Y TAREAS'!AK46,17&lt;'EDT Y TAREAS'!AL46),'EDT Y TAREAS'!AD46/'EDT Y TAREAS'!M46,0),IF(AND(17&gt;='EDT Y TAREAS'!AK47,17&lt;'EDT Y TAREAS'!AL47),'EDT Y TAREAS'!AD47/'EDT Y TAREAS'!M47,0),IF(AND(17&gt;='EDT Y TAREAS'!AK49,17&lt;'EDT Y TAREAS'!AL49),'EDT Y TAREAS'!AD49/'EDT Y TAREAS'!M49,0),IF(AND(17&gt;='EDT Y TAREAS'!AK50,17&lt;'EDT Y TAREAS'!AL50),'EDT Y TAREAS'!AD50/'EDT Y TAREAS'!M50,0),IF(AND(17&gt;='EDT Y TAREAS'!AK51,17&lt;'EDT Y TAREAS'!AL51),'EDT Y TAREAS'!AD51/'EDT Y TAREAS'!M51,0),IF(AND(17&gt;='EDT Y TAREAS'!AK52,17&lt;'EDT Y TAREAS'!AL52),'EDT Y TAREAS'!AD52/'EDT Y TAREAS'!M52,0))</x:f>
        <x:v>7.2</x:v>
      </x:c>
      <x:c r="C57" s="35" t="n">
        <x:f>SUM(IF(AND(17&gt;='EDT Y TAREAS'!AK6,17&lt;'EDT Y TAREAS'!AL6),'EDT Y TAREAS'!AE6/'EDT Y TAREAS'!M6,0),IF(AND(17&gt;='EDT Y TAREAS'!AK8,17&lt;'EDT Y TAREAS'!AL8),'EDT Y TAREAS'!AE8/'EDT Y TAREAS'!M8,0),IF(AND(17&gt;='EDT Y TAREAS'!AK9,17&lt;'EDT Y TAREAS'!AL9),'EDT Y TAREAS'!AE9/'EDT Y TAREAS'!M9,0),IF(AND(17&gt;='EDT Y TAREAS'!AK10,17&lt;'EDT Y TAREAS'!AL10),'EDT Y TAREAS'!AE10/'EDT Y TAREAS'!M10,0),IF(AND(17&gt;='EDT Y TAREAS'!AK12,17&lt;'EDT Y TAREAS'!AL12),'EDT Y TAREAS'!AE12/'EDT Y TAREAS'!M12,0),IF(AND(17&gt;='EDT Y TAREAS'!AK16,17&lt;'EDT Y TAREAS'!AL16),'EDT Y TAREAS'!AE16/'EDT Y TAREAS'!M16,0),IF(AND(17&gt;='EDT Y TAREAS'!AK21,17&lt;'EDT Y TAREAS'!AL21),'EDT Y TAREAS'!AE21/'EDT Y TAREAS'!M21,0),IF(AND(17&gt;='EDT Y TAREAS'!AK23,17&lt;'EDT Y TAREAS'!AL23),'EDT Y TAREAS'!AE23/'EDT Y TAREAS'!M23,0),IF(AND(17&gt;='EDT Y TAREAS'!AK37,17&lt;'EDT Y TAREAS'!AL37),'EDT Y TAREAS'!AE37/'EDT Y TAREAS'!M37,0),IF(AND(17&gt;='EDT Y TAREAS'!AK38,17&lt;'EDT Y TAREAS'!AL38),'EDT Y TAREAS'!AE38/'EDT Y TAREAS'!M38,0),IF(AND(17&gt;='EDT Y TAREAS'!AK41,17&lt;'EDT Y TAREAS'!AL41),'EDT Y TAREAS'!AE41/'EDT Y TAREAS'!M41,0),IF(AND(17&gt;='EDT Y TAREAS'!AK43,17&lt;'EDT Y TAREAS'!AL43),'EDT Y TAREAS'!AE43/'EDT Y TAREAS'!M43,0),IF(AND(17&gt;='EDT Y TAREAS'!AK44,17&lt;'EDT Y TAREAS'!AL44),'EDT Y TAREAS'!AE44/'EDT Y TAREAS'!M44,0),IF(AND(17&gt;='EDT Y TAREAS'!AK46,17&lt;'EDT Y TAREAS'!AL46),'EDT Y TAREAS'!AE46/'EDT Y TAREAS'!M46,0),IF(AND(17&gt;='EDT Y TAREAS'!AK47,17&lt;'EDT Y TAREAS'!AL47),'EDT Y TAREAS'!AE47/'EDT Y TAREAS'!M47,0),IF(AND(17&gt;='EDT Y TAREAS'!AK51,17&lt;'EDT Y TAREAS'!AL51),'EDT Y TAREAS'!AE51/'EDT Y TAREAS'!M51,0),IF(AND(17&gt;='EDT Y TAREAS'!AK52,17&lt;'EDT Y TAREAS'!AL52),'EDT Y TAREAS'!AE52/'EDT Y TAREAS'!M52,0))</x:f>
        <x:v>1.6</x:v>
      </x:c>
      <x:c r="D57" s="35" t="n">
        <x:f>SUM(IF(AND(17&gt;='EDT Y TAREAS'!AK11,17&lt;'EDT Y TAREAS'!AL11),'EDT Y TAREAS'!AF11/'EDT Y TAREAS'!M11,0),IF(AND(17&gt;='EDT Y TAREAS'!AK24,17&lt;'EDT Y TAREAS'!AL24),'EDT Y TAREAS'!AF24/'EDT Y TAREAS'!M24,0),IF(AND(17&gt;='EDT Y TAREAS'!AK25,17&lt;'EDT Y TAREAS'!AL25),'EDT Y TAREAS'!AF25/'EDT Y TAREAS'!M25,0),IF(AND(17&gt;='EDT Y TAREAS'!AK26,17&lt;'EDT Y TAREAS'!AL26),'EDT Y TAREAS'!AF26/'EDT Y TAREAS'!M26,0),IF(AND(17&gt;='EDT Y TAREAS'!AK27,17&lt;'EDT Y TAREAS'!AL27),'EDT Y TAREAS'!AF27/'EDT Y TAREAS'!M27,0),IF(AND(17&gt;='EDT Y TAREAS'!AK28,17&lt;'EDT Y TAREAS'!AL28),'EDT Y TAREAS'!AF28/'EDT Y TAREAS'!M28,0),IF(AND(17&gt;='EDT Y TAREAS'!AK31,17&lt;'EDT Y TAREAS'!AL31),'EDT Y TAREAS'!AF31/'EDT Y TAREAS'!M31,0),IF(AND(17&gt;='EDT Y TAREAS'!AK33,17&lt;'EDT Y TAREAS'!AL33),'EDT Y TAREAS'!AF33/'EDT Y TAREAS'!M33,0),IF(AND(17&gt;='EDT Y TAREAS'!AK34,17&lt;'EDT Y TAREAS'!AL34),'EDT Y TAREAS'!AF34/'EDT Y TAREAS'!M34,0),IF(AND(17&gt;='EDT Y TAREAS'!AK35,17&lt;'EDT Y TAREAS'!AL35),'EDT Y TAREAS'!AF35/'EDT Y TAREAS'!M35,0),IF(AND(17&gt;='EDT Y TAREAS'!AK37,17&lt;'EDT Y TAREAS'!AL37),'EDT Y TAREAS'!AF37/'EDT Y TAREAS'!M37,0),IF(AND(17&gt;='EDT Y TAREAS'!AK39,17&lt;'EDT Y TAREAS'!AL39),'EDT Y TAREAS'!AF39/'EDT Y TAREAS'!M39,0),IF(AND(17&gt;='EDT Y TAREAS'!AK40,17&lt;'EDT Y TAREAS'!AL40),'EDT Y TAREAS'!AF40/'EDT Y TAREAS'!M40,0),IF(AND(17&gt;='EDT Y TAREAS'!AK42,17&lt;'EDT Y TAREAS'!AL42),'EDT Y TAREAS'!AF42/'EDT Y TAREAS'!M42,0),IF(AND(17&gt;='EDT Y TAREAS'!AK45,17&lt;'EDT Y TAREAS'!AL45),'EDT Y TAREAS'!AF45/'EDT Y TAREAS'!M45,0),IF(AND(17&gt;='EDT Y TAREAS'!AK49,17&lt;'EDT Y TAREAS'!AL49),'EDT Y TAREAS'!AF49/'EDT Y TAREAS'!M49,0),IF(AND(17&gt;='EDT Y TAREAS'!AK52,17&lt;'EDT Y TAREAS'!AL52),'EDT Y TAREAS'!AF52/'EDT Y TAREAS'!M52,0))</x:f>
        <x:v>4</x:v>
      </x:c>
      <x:c r="E57" s="35" t="n">
        <x:f>SUM(IF(AND(17&gt;='EDT Y TAREAS'!AK29,17&lt;'EDT Y TAREAS'!AL29),'EDT Y TAREAS'!AG29/'EDT Y TAREAS'!M29,0),IF(AND(17&gt;='EDT Y TAREAS'!AK30,17&lt;'EDT Y TAREAS'!AL30),'EDT Y TAREAS'!AG30/'EDT Y TAREAS'!M30,0),IF(AND(17&gt;='EDT Y TAREAS'!AK31,17&lt;'EDT Y TAREAS'!AL31),'EDT Y TAREAS'!AG31/'EDT Y TAREAS'!M31,0),IF(AND(17&gt;='EDT Y TAREAS'!AK32,17&lt;'EDT Y TAREAS'!AL32),'EDT Y TAREAS'!AG32/'EDT Y TAREAS'!M32,0),IF(AND(17&gt;='EDT Y TAREAS'!AK41,17&lt;'EDT Y TAREAS'!AL41),'EDT Y TAREAS'!AG41/'EDT Y TAREAS'!M41,0),IF(AND(17&gt;='EDT Y TAREAS'!AK45,17&lt;'EDT Y TAREAS'!AL45),'EDT Y TAREAS'!AG45/'EDT Y TAREAS'!M45,0),IF(AND(17&gt;='EDT Y TAREAS'!AK48,17&lt;'EDT Y TAREAS'!AL48),'EDT Y TAREAS'!AG48/'EDT Y TAREAS'!M48,0))</x:f>
        <x:v>0</x:v>
      </x:c>
      <x:c r="F57" s="35" t="n">
        <x:f>SUM(IF(AND(17&gt;='EDT Y TAREAS'!AK10,17&lt;'EDT Y TAREAS'!AL10),'EDT Y TAREAS'!AH10/'EDT Y TAREAS'!M10,0),IF(AND(17&gt;='EDT Y TAREAS'!AK12,17&lt;'EDT Y TAREAS'!AL12),'EDT Y TAREAS'!AH12/'EDT Y TAREAS'!M12,0),IF(AND(17&gt;='EDT Y TAREAS'!AK22,17&lt;'EDT Y TAREAS'!AL22),'EDT Y TAREAS'!AH22/'EDT Y TAREAS'!M22,0),IF(AND(17&gt;='EDT Y TAREAS'!AK23,17&lt;'EDT Y TAREAS'!AL23),'EDT Y TAREAS'!AH23/'EDT Y TAREAS'!M23,0),IF(AND(17&gt;='EDT Y TAREAS'!AK29,17&lt;'EDT Y TAREAS'!AL29),'EDT Y TAREAS'!AH29/'EDT Y TAREAS'!M29,0),IF(AND(17&gt;='EDT Y TAREAS'!AK30,17&lt;'EDT Y TAREAS'!AL30),'EDT Y TAREAS'!AH30/'EDT Y TAREAS'!M30,0),IF(AND(17&gt;='EDT Y TAREAS'!AK32,17&lt;'EDT Y TAREAS'!AL32),'EDT Y TAREAS'!AH32/'EDT Y TAREAS'!M32,0),IF(AND(17&gt;='EDT Y TAREAS'!AK41,17&lt;'EDT Y TAREAS'!AL41),'EDT Y TAREAS'!AH41/'EDT Y TAREAS'!M41,0),IF(AND(17&gt;='EDT Y TAREAS'!AK44,17&lt;'EDT Y TAREAS'!AL44),'EDT Y TAREAS'!AH44/'EDT Y TAREAS'!M44,0),IF(AND(17&gt;='EDT Y TAREAS'!AK46,17&lt;'EDT Y TAREAS'!AL46),'EDT Y TAREAS'!AH46/'EDT Y TAREAS'!M46,0),IF(AND(17&gt;='EDT Y TAREAS'!AK48,17&lt;'EDT Y TAREAS'!AL48),'EDT Y TAREAS'!AH48/'EDT Y TAREAS'!M48,0))</x:f>
        <x:v>2.4</x:v>
      </x:c>
      <x:c r="G57" s="35" t="n">
        <x:f>SUM(IF(AND(17&gt;='EDT Y TAREAS'!AK20,17&lt;'EDT Y TAREAS'!AL20),'EDT Y TAREAS'!AI20/'EDT Y TAREAS'!M20,0),IF(AND(17&gt;='EDT Y TAREAS'!AK25,17&lt;'EDT Y TAREAS'!AL25),'EDT Y TAREAS'!AI25/'EDT Y TAREAS'!M25,0),IF(AND(17&gt;='EDT Y TAREAS'!AK33,17&lt;'EDT Y TAREAS'!AL33),'EDT Y TAREAS'!AI33/'EDT Y TAREAS'!M33,0),IF(AND(17&gt;='EDT Y TAREAS'!AK34,17&lt;'EDT Y TAREAS'!AL34),'EDT Y TAREAS'!AI34/'EDT Y TAREAS'!M34,0),IF(AND(17&gt;='EDT Y TAREAS'!AK36,17&lt;'EDT Y TAREAS'!AL36),'EDT Y TAREAS'!AI36/'EDT Y TAREAS'!M36,0),IF(AND(17&gt;='EDT Y TAREAS'!AK39,17&lt;'EDT Y TAREAS'!AL39),'EDT Y TAREAS'!AI39/'EDT Y TAREAS'!M39,0),IF(AND(17&gt;='EDT Y TAREAS'!AK40,17&lt;'EDT Y TAREAS'!AL40),'EDT Y TAREAS'!AI40/'EDT Y TAREAS'!M40,0),IF(AND(17&gt;='EDT Y TAREAS'!AK42,17&lt;'EDT Y TAREAS'!AL42),'EDT Y TAREAS'!AI42/'EDT Y TAREAS'!M42,0),IF(AND(17&gt;='EDT Y TAREAS'!AK43,17&lt;'EDT Y TAREAS'!AL43),'EDT Y TAREAS'!AI43/'EDT Y TAREAS'!M43,0),IF(AND(17&gt;='EDT Y TAREAS'!AK44,17&lt;'EDT Y TAREAS'!AL44),'EDT Y TAREAS'!AI44/'EDT Y TAREAS'!M44,0),IF(AND(17&gt;='EDT Y TAREAS'!AK45,17&lt;'EDT Y TAREAS'!AL45),'EDT Y TAREAS'!AI45/'EDT Y TAREAS'!M45,0),IF(AND(17&gt;='EDT Y TAREAS'!AK46,17&lt;'EDT Y TAREAS'!AL46),'EDT Y TAREAS'!AI46/'EDT Y TAREAS'!M46,0),IF(AND(17&gt;='EDT Y TAREAS'!AK48,17&lt;'EDT Y TAREAS'!AL48),'EDT Y TAREAS'!AI48/'EDT Y TAREAS'!M48,0),IF(AND(17&gt;='EDT Y TAREAS'!AK50,17&lt;'EDT Y TAREAS'!AL50),'EDT Y TAREAS'!AI50/'EDT Y TAREAS'!M50,0),IF(AND(17&gt;='EDT Y TAREAS'!AK52,17&lt;'EDT Y TAREAS'!AL52),'EDT Y TAREAS'!AI52/'EDT Y TAREAS'!M52,0))</x:f>
        <x:v>0</x:v>
      </x:c>
      <x:c r="H57" s="35" t="n">
        <x:f>SUM(IF(AND(17&gt;='EDT Y TAREAS'!AK11,17&lt;'EDT Y TAREAS'!AL11),'EDT Y TAREAS'!AJ11/'EDT Y TAREAS'!M11,0),IF(AND(17&gt;='EDT Y TAREAS'!AK24,17&lt;'EDT Y TAREAS'!AL24),'EDT Y TAREAS'!AJ24/'EDT Y TAREAS'!M24,0),IF(AND(17&gt;='EDT Y TAREAS'!AK27,17&lt;'EDT Y TAREAS'!AL27),'EDT Y TAREAS'!AJ27/'EDT Y TAREAS'!M27,0),IF(AND(17&gt;='EDT Y TAREAS'!AK28,17&lt;'EDT Y TAREAS'!AL28),'EDT Y TAREAS'!AJ28/'EDT Y TAREAS'!M28,0),IF(AND(17&gt;='EDT Y TAREAS'!AK33,17&lt;'EDT Y TAREAS'!AL33),'EDT Y TAREAS'!AJ33/'EDT Y TAREAS'!M33,0),IF(AND(17&gt;='EDT Y TAREAS'!AK35,17&lt;'EDT Y TAREAS'!AL35),'EDT Y TAREAS'!AJ35/'EDT Y TAREAS'!M35,0),IF(AND(17&gt;='EDT Y TAREAS'!AK36,17&lt;'EDT Y TAREAS'!AL36),'EDT Y TAREAS'!AJ36/'EDT Y TAREAS'!M36,0),IF(AND(17&gt;='EDT Y TAREAS'!AK37,17&lt;'EDT Y TAREAS'!AL37),'EDT Y TAREAS'!AJ37/'EDT Y TAREAS'!M37,0),IF(AND(17&gt;='EDT Y TAREAS'!AK40,17&lt;'EDT Y TAREAS'!AL40),'EDT Y TAREAS'!AJ40/'EDT Y TAREAS'!M40,0),IF(AND(17&gt;='EDT Y TAREAS'!AK42,17&lt;'EDT Y TAREAS'!AL42),'EDT Y TAREAS'!AJ42/'EDT Y TAREAS'!M42,0),IF(AND(17&gt;='EDT Y TAREAS'!AK49,17&lt;'EDT Y TAREAS'!AL49),'EDT Y TAREAS'!AJ49/'EDT Y TAREAS'!M49,0),IF(AND(17&gt;='EDT Y TAREAS'!AK50,17&lt;'EDT Y TAREAS'!AL50),'EDT Y TAREAS'!AJ50/'EDT Y TAREAS'!M50,0),IF(AND(17&gt;='EDT Y TAREAS'!AK51,17&lt;'EDT Y TAREAS'!AL51),'EDT Y TAREAS'!AJ51/'EDT Y TAREAS'!M51,0),IF(AND(17&gt;='EDT Y TAREAS'!AK52,17&lt;'EDT Y TAREAS'!AL52),'EDT Y TAREAS'!AJ52/'EDT Y TAREAS'!M52,0))</x:f>
        <x:v>0.8</x:v>
      </x:c>
      <x:c r="I57" s="10" t="n">
        <x:f>WORKDAY('RESUMEN'!$D$3-1,A57,'RESUMEN'!$J$6:$J$25)</x:f>
        <x:v>46351</x:v>
      </x:c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</x:row>
    <x:row r="58" ht="24" customHeight="1">
      <x:c r="A58" s="3" t="n">
        <x:v>19</x:v>
      </x:c>
      <x:c r="B58" s="35" t="n">
        <x:f>SUM(IF(AND(18&gt;='EDT Y TAREAS'!AK6,18&lt;'EDT Y TAREAS'!AL6),'EDT Y TAREAS'!AD6/'EDT Y TAREAS'!M6,0),IF(AND(18&gt;='EDT Y TAREAS'!AK7,18&lt;'EDT Y TAREAS'!AL7),'EDT Y TAREAS'!AD7/'EDT Y TAREAS'!M7,0),IF(AND(18&gt;='EDT Y TAREAS'!AK8,18&lt;'EDT Y TAREAS'!AL8),'EDT Y TAREAS'!AD8/'EDT Y TAREAS'!M8,0),IF(AND(18&gt;='EDT Y TAREAS'!AK9,18&lt;'EDT Y TAREAS'!AL9),'EDT Y TAREAS'!AD9/'EDT Y TAREAS'!M9,0),IF(AND(18&gt;='EDT Y TAREAS'!AK10,18&lt;'EDT Y TAREAS'!AL10),'EDT Y TAREAS'!AD10/'EDT Y TAREAS'!M10,0),IF(AND(18&gt;='EDT Y TAREAS'!AK11,18&lt;'EDT Y TAREAS'!AL11),'EDT Y TAREAS'!AD11/'EDT Y TAREAS'!M11,0),IF(AND(18&gt;='EDT Y TAREAS'!AK12,18&lt;'EDT Y TAREAS'!AL12),'EDT Y TAREAS'!AD12/'EDT Y TAREAS'!M12,0),IF(AND(18&gt;='EDT Y TAREAS'!AK13,18&lt;'EDT Y TAREAS'!AL13),'EDT Y TAREAS'!AD13/'EDT Y TAREAS'!M13,0),IF(AND(18&gt;='EDT Y TAREAS'!AK14,18&lt;'EDT Y TAREAS'!AL14),'EDT Y TAREAS'!AD14/'EDT Y TAREAS'!M14,0),IF(AND(18&gt;='EDT Y TAREAS'!AK15,18&lt;'EDT Y TAREAS'!AL15),'EDT Y TAREAS'!AD15/'EDT Y TAREAS'!M15,0),IF(AND(18&gt;='EDT Y TAREAS'!AK16,18&lt;'EDT Y TAREAS'!AL16),'EDT Y TAREAS'!AD16/'EDT Y TAREAS'!M16,0),IF(AND(18&gt;='EDT Y TAREAS'!AK17,18&lt;'EDT Y TAREAS'!AL17),'EDT Y TAREAS'!AD17/'EDT Y TAREAS'!M17,0),IF(AND(18&gt;='EDT Y TAREAS'!AK18,18&lt;'EDT Y TAREAS'!AL18),'EDT Y TAREAS'!AD18/'EDT Y TAREAS'!M18,0),IF(AND(18&gt;='EDT Y TAREAS'!AK19,18&lt;'EDT Y TAREAS'!AL19),'EDT Y TAREAS'!AD19/'EDT Y TAREAS'!M19,0),IF(AND(18&gt;='EDT Y TAREAS'!AK20,18&lt;'EDT Y TAREAS'!AL20),'EDT Y TAREAS'!AD20/'EDT Y TAREAS'!M20,0),IF(AND(18&gt;='EDT Y TAREAS'!AK21,18&lt;'EDT Y TAREAS'!AL21),'EDT Y TAREAS'!AD21/'EDT Y TAREAS'!M21,0),IF(AND(18&gt;='EDT Y TAREAS'!AK22,18&lt;'EDT Y TAREAS'!AL22),'EDT Y TAREAS'!AD22/'EDT Y TAREAS'!M22,0),IF(AND(18&gt;='EDT Y TAREAS'!AK23,18&lt;'EDT Y TAREAS'!AL23),'EDT Y TAREAS'!AD23/'EDT Y TAREAS'!M23,0),IF(AND(18&gt;='EDT Y TAREAS'!AK26,18&lt;'EDT Y TAREAS'!AL26),'EDT Y TAREAS'!AD26/'EDT Y TAREAS'!M26,0),IF(AND(18&gt;='EDT Y TAREAS'!AK28,18&lt;'EDT Y TAREAS'!AL28),'EDT Y TAREAS'!AD28/'EDT Y TAREAS'!M28,0),IF(AND(18&gt;='EDT Y TAREAS'!AK30,18&lt;'EDT Y TAREAS'!AL30),'EDT Y TAREAS'!AD30/'EDT Y TAREAS'!M30,0),IF(AND(18&gt;='EDT Y TAREAS'!AK32,18&lt;'EDT Y TAREAS'!AL32),'EDT Y TAREAS'!AD32/'EDT Y TAREAS'!M32,0),IF(AND(18&gt;='EDT Y TAREAS'!AK34,18&lt;'EDT Y TAREAS'!AL34),'EDT Y TAREAS'!AD34/'EDT Y TAREAS'!M34,0),IF(AND(18&gt;='EDT Y TAREAS'!AK38,18&lt;'EDT Y TAREAS'!AL38),'EDT Y TAREAS'!AD38/'EDT Y TAREAS'!M38,0),IF(AND(18&gt;='EDT Y TAREAS'!AK39,18&lt;'EDT Y TAREAS'!AL39),'EDT Y TAREAS'!AD39/'EDT Y TAREAS'!M39,0),IF(AND(18&gt;='EDT Y TAREAS'!AK43,18&lt;'EDT Y TAREAS'!AL43),'EDT Y TAREAS'!AD43/'EDT Y TAREAS'!M43,0),IF(AND(18&gt;='EDT Y TAREAS'!AK44,18&lt;'EDT Y TAREAS'!AL44),'EDT Y TAREAS'!AD44/'EDT Y TAREAS'!M44,0),IF(AND(18&gt;='EDT Y TAREAS'!AK45,18&lt;'EDT Y TAREAS'!AL45),'EDT Y TAREAS'!AD45/'EDT Y TAREAS'!M45,0),IF(AND(18&gt;='EDT Y TAREAS'!AK46,18&lt;'EDT Y TAREAS'!AL46),'EDT Y TAREAS'!AD46/'EDT Y TAREAS'!M46,0),IF(AND(18&gt;='EDT Y TAREAS'!AK47,18&lt;'EDT Y TAREAS'!AL47),'EDT Y TAREAS'!AD47/'EDT Y TAREAS'!M47,0),IF(AND(18&gt;='EDT Y TAREAS'!AK49,18&lt;'EDT Y TAREAS'!AL49),'EDT Y TAREAS'!AD49/'EDT Y TAREAS'!M49,0),IF(AND(18&gt;='EDT Y TAREAS'!AK50,18&lt;'EDT Y TAREAS'!AL50),'EDT Y TAREAS'!AD50/'EDT Y TAREAS'!M50,0),IF(AND(18&gt;='EDT Y TAREAS'!AK51,18&lt;'EDT Y TAREAS'!AL51),'EDT Y TAREAS'!AD51/'EDT Y TAREAS'!M51,0),IF(AND(18&gt;='EDT Y TAREAS'!AK52,18&lt;'EDT Y TAREAS'!AL52),'EDT Y TAREAS'!AD52/'EDT Y TAREAS'!M52,0))</x:f>
        <x:v>3.2</x:v>
      </x:c>
      <x:c r="C58" s="35" t="n">
        <x:f>SUM(IF(AND(18&gt;='EDT Y TAREAS'!AK6,18&lt;'EDT Y TAREAS'!AL6),'EDT Y TAREAS'!AE6/'EDT Y TAREAS'!M6,0),IF(AND(18&gt;='EDT Y TAREAS'!AK8,18&lt;'EDT Y TAREAS'!AL8),'EDT Y TAREAS'!AE8/'EDT Y TAREAS'!M8,0),IF(AND(18&gt;='EDT Y TAREAS'!AK9,18&lt;'EDT Y TAREAS'!AL9),'EDT Y TAREAS'!AE9/'EDT Y TAREAS'!M9,0),IF(AND(18&gt;='EDT Y TAREAS'!AK10,18&lt;'EDT Y TAREAS'!AL10),'EDT Y TAREAS'!AE10/'EDT Y TAREAS'!M10,0),IF(AND(18&gt;='EDT Y TAREAS'!AK12,18&lt;'EDT Y TAREAS'!AL12),'EDT Y TAREAS'!AE12/'EDT Y TAREAS'!M12,0),IF(AND(18&gt;='EDT Y TAREAS'!AK16,18&lt;'EDT Y TAREAS'!AL16),'EDT Y TAREAS'!AE16/'EDT Y TAREAS'!M16,0),IF(AND(18&gt;='EDT Y TAREAS'!AK21,18&lt;'EDT Y TAREAS'!AL21),'EDT Y TAREAS'!AE21/'EDT Y TAREAS'!M21,0),IF(AND(18&gt;='EDT Y TAREAS'!AK23,18&lt;'EDT Y TAREAS'!AL23),'EDT Y TAREAS'!AE23/'EDT Y TAREAS'!M23,0),IF(AND(18&gt;='EDT Y TAREAS'!AK37,18&lt;'EDT Y TAREAS'!AL37),'EDT Y TAREAS'!AE37/'EDT Y TAREAS'!M37,0),IF(AND(18&gt;='EDT Y TAREAS'!AK38,18&lt;'EDT Y TAREAS'!AL38),'EDT Y TAREAS'!AE38/'EDT Y TAREAS'!M38,0),IF(AND(18&gt;='EDT Y TAREAS'!AK41,18&lt;'EDT Y TAREAS'!AL41),'EDT Y TAREAS'!AE41/'EDT Y TAREAS'!M41,0),IF(AND(18&gt;='EDT Y TAREAS'!AK43,18&lt;'EDT Y TAREAS'!AL43),'EDT Y TAREAS'!AE43/'EDT Y TAREAS'!M43,0),IF(AND(18&gt;='EDT Y TAREAS'!AK44,18&lt;'EDT Y TAREAS'!AL44),'EDT Y TAREAS'!AE44/'EDT Y TAREAS'!M44,0),IF(AND(18&gt;='EDT Y TAREAS'!AK46,18&lt;'EDT Y TAREAS'!AL46),'EDT Y TAREAS'!AE46/'EDT Y TAREAS'!M46,0),IF(AND(18&gt;='EDT Y TAREAS'!AK47,18&lt;'EDT Y TAREAS'!AL47),'EDT Y TAREAS'!AE47/'EDT Y TAREAS'!M47,0),IF(AND(18&gt;='EDT Y TAREAS'!AK51,18&lt;'EDT Y TAREAS'!AL51),'EDT Y TAREAS'!AE51/'EDT Y TAREAS'!M51,0),IF(AND(18&gt;='EDT Y TAREAS'!AK52,18&lt;'EDT Y TAREAS'!AL52),'EDT Y TAREAS'!AE52/'EDT Y TAREAS'!M52,0))</x:f>
        <x:v>0.8</x:v>
      </x:c>
      <x:c r="D58" s="35" t="n">
        <x:f>SUM(IF(AND(18&gt;='EDT Y TAREAS'!AK11,18&lt;'EDT Y TAREAS'!AL11),'EDT Y TAREAS'!AF11/'EDT Y TAREAS'!M11,0),IF(AND(18&gt;='EDT Y TAREAS'!AK24,18&lt;'EDT Y TAREAS'!AL24),'EDT Y TAREAS'!AF24/'EDT Y TAREAS'!M24,0),IF(AND(18&gt;='EDT Y TAREAS'!AK25,18&lt;'EDT Y TAREAS'!AL25),'EDT Y TAREAS'!AF25/'EDT Y TAREAS'!M25,0),IF(AND(18&gt;='EDT Y TAREAS'!AK26,18&lt;'EDT Y TAREAS'!AL26),'EDT Y TAREAS'!AF26/'EDT Y TAREAS'!M26,0),IF(AND(18&gt;='EDT Y TAREAS'!AK27,18&lt;'EDT Y TAREAS'!AL27),'EDT Y TAREAS'!AF27/'EDT Y TAREAS'!M27,0),IF(AND(18&gt;='EDT Y TAREAS'!AK28,18&lt;'EDT Y TAREAS'!AL28),'EDT Y TAREAS'!AF28/'EDT Y TAREAS'!M28,0),IF(AND(18&gt;='EDT Y TAREAS'!AK31,18&lt;'EDT Y TAREAS'!AL31),'EDT Y TAREAS'!AF31/'EDT Y TAREAS'!M31,0),IF(AND(18&gt;='EDT Y TAREAS'!AK33,18&lt;'EDT Y TAREAS'!AL33),'EDT Y TAREAS'!AF33/'EDT Y TAREAS'!M33,0),IF(AND(18&gt;='EDT Y TAREAS'!AK34,18&lt;'EDT Y TAREAS'!AL34),'EDT Y TAREAS'!AF34/'EDT Y TAREAS'!M34,0),IF(AND(18&gt;='EDT Y TAREAS'!AK35,18&lt;'EDT Y TAREAS'!AL35),'EDT Y TAREAS'!AF35/'EDT Y TAREAS'!M35,0),IF(AND(18&gt;='EDT Y TAREAS'!AK37,18&lt;'EDT Y TAREAS'!AL37),'EDT Y TAREAS'!AF37/'EDT Y TAREAS'!M37,0),IF(AND(18&gt;='EDT Y TAREAS'!AK39,18&lt;'EDT Y TAREAS'!AL39),'EDT Y TAREAS'!AF39/'EDT Y TAREAS'!M39,0),IF(AND(18&gt;='EDT Y TAREAS'!AK40,18&lt;'EDT Y TAREAS'!AL40),'EDT Y TAREAS'!AF40/'EDT Y TAREAS'!M40,0),IF(AND(18&gt;='EDT Y TAREAS'!AK42,18&lt;'EDT Y TAREAS'!AL42),'EDT Y TAREAS'!AF42/'EDT Y TAREAS'!M42,0),IF(AND(18&gt;='EDT Y TAREAS'!AK45,18&lt;'EDT Y TAREAS'!AL45),'EDT Y TAREAS'!AF45/'EDT Y TAREAS'!M45,0),IF(AND(18&gt;='EDT Y TAREAS'!AK49,18&lt;'EDT Y TAREAS'!AL49),'EDT Y TAREAS'!AF49/'EDT Y TAREAS'!M49,0),IF(AND(18&gt;='EDT Y TAREAS'!AK52,18&lt;'EDT Y TAREAS'!AL52),'EDT Y TAREAS'!AF52/'EDT Y TAREAS'!M52,0))</x:f>
        <x:v>4</x:v>
      </x:c>
      <x:c r="E58" s="35" t="n">
        <x:f>SUM(IF(AND(18&gt;='EDT Y TAREAS'!AK29,18&lt;'EDT Y TAREAS'!AL29),'EDT Y TAREAS'!AG29/'EDT Y TAREAS'!M29,0),IF(AND(18&gt;='EDT Y TAREAS'!AK30,18&lt;'EDT Y TAREAS'!AL30),'EDT Y TAREAS'!AG30/'EDT Y TAREAS'!M30,0),IF(AND(18&gt;='EDT Y TAREAS'!AK31,18&lt;'EDT Y TAREAS'!AL31),'EDT Y TAREAS'!AG31/'EDT Y TAREAS'!M31,0),IF(AND(18&gt;='EDT Y TAREAS'!AK32,18&lt;'EDT Y TAREAS'!AL32),'EDT Y TAREAS'!AG32/'EDT Y TAREAS'!M32,0),IF(AND(18&gt;='EDT Y TAREAS'!AK41,18&lt;'EDT Y TAREAS'!AL41),'EDT Y TAREAS'!AG41/'EDT Y TAREAS'!M41,0),IF(AND(18&gt;='EDT Y TAREAS'!AK45,18&lt;'EDT Y TAREAS'!AL45),'EDT Y TAREAS'!AG45/'EDT Y TAREAS'!M45,0),IF(AND(18&gt;='EDT Y TAREAS'!AK48,18&lt;'EDT Y TAREAS'!AL48),'EDT Y TAREAS'!AG48/'EDT Y TAREAS'!M48,0))</x:f>
        <x:v>0</x:v>
      </x:c>
      <x:c r="F58" s="35" t="n">
        <x:f>SUM(IF(AND(18&gt;='EDT Y TAREAS'!AK10,18&lt;'EDT Y TAREAS'!AL10),'EDT Y TAREAS'!AH10/'EDT Y TAREAS'!M10,0),IF(AND(18&gt;='EDT Y TAREAS'!AK12,18&lt;'EDT Y TAREAS'!AL12),'EDT Y TAREAS'!AH12/'EDT Y TAREAS'!M12,0),IF(AND(18&gt;='EDT Y TAREAS'!AK22,18&lt;'EDT Y TAREAS'!AL22),'EDT Y TAREAS'!AH22/'EDT Y TAREAS'!M22,0),IF(AND(18&gt;='EDT Y TAREAS'!AK23,18&lt;'EDT Y TAREAS'!AL23),'EDT Y TAREAS'!AH23/'EDT Y TAREAS'!M23,0),IF(AND(18&gt;='EDT Y TAREAS'!AK29,18&lt;'EDT Y TAREAS'!AL29),'EDT Y TAREAS'!AH29/'EDT Y TAREAS'!M29,0),IF(AND(18&gt;='EDT Y TAREAS'!AK30,18&lt;'EDT Y TAREAS'!AL30),'EDT Y TAREAS'!AH30/'EDT Y TAREAS'!M30,0),IF(AND(18&gt;='EDT Y TAREAS'!AK32,18&lt;'EDT Y TAREAS'!AL32),'EDT Y TAREAS'!AH32/'EDT Y TAREAS'!M32,0),IF(AND(18&gt;='EDT Y TAREAS'!AK41,18&lt;'EDT Y TAREAS'!AL41),'EDT Y TAREAS'!AH41/'EDT Y TAREAS'!M41,0),IF(AND(18&gt;='EDT Y TAREAS'!AK44,18&lt;'EDT Y TAREAS'!AL44),'EDT Y TAREAS'!AH44/'EDT Y TAREAS'!M44,0),IF(AND(18&gt;='EDT Y TAREAS'!AK46,18&lt;'EDT Y TAREAS'!AL46),'EDT Y TAREAS'!AH46/'EDT Y TAREAS'!M46,0),IF(AND(18&gt;='EDT Y TAREAS'!AK48,18&lt;'EDT Y TAREAS'!AL48),'EDT Y TAREAS'!AH48/'EDT Y TAREAS'!M48,0))</x:f>
        <x:v>2.4</x:v>
      </x:c>
      <x:c r="G58" s="35" t="n">
        <x:f>SUM(IF(AND(18&gt;='EDT Y TAREAS'!AK20,18&lt;'EDT Y TAREAS'!AL20),'EDT Y TAREAS'!AI20/'EDT Y TAREAS'!M20,0),IF(AND(18&gt;='EDT Y TAREAS'!AK25,18&lt;'EDT Y TAREAS'!AL25),'EDT Y TAREAS'!AI25/'EDT Y TAREAS'!M25,0),IF(AND(18&gt;='EDT Y TAREAS'!AK33,18&lt;'EDT Y TAREAS'!AL33),'EDT Y TAREAS'!AI33/'EDT Y TAREAS'!M33,0),IF(AND(18&gt;='EDT Y TAREAS'!AK34,18&lt;'EDT Y TAREAS'!AL34),'EDT Y TAREAS'!AI34/'EDT Y TAREAS'!M34,0),IF(AND(18&gt;='EDT Y TAREAS'!AK36,18&lt;'EDT Y TAREAS'!AL36),'EDT Y TAREAS'!AI36/'EDT Y TAREAS'!M36,0),IF(AND(18&gt;='EDT Y TAREAS'!AK39,18&lt;'EDT Y TAREAS'!AL39),'EDT Y TAREAS'!AI39/'EDT Y TAREAS'!M39,0),IF(AND(18&gt;='EDT Y TAREAS'!AK40,18&lt;'EDT Y TAREAS'!AL40),'EDT Y TAREAS'!AI40/'EDT Y TAREAS'!M40,0),IF(AND(18&gt;='EDT Y TAREAS'!AK42,18&lt;'EDT Y TAREAS'!AL42),'EDT Y TAREAS'!AI42/'EDT Y TAREAS'!M42,0),IF(AND(18&gt;='EDT Y TAREAS'!AK43,18&lt;'EDT Y TAREAS'!AL43),'EDT Y TAREAS'!AI43/'EDT Y TAREAS'!M43,0),IF(AND(18&gt;='EDT Y TAREAS'!AK44,18&lt;'EDT Y TAREAS'!AL44),'EDT Y TAREAS'!AI44/'EDT Y TAREAS'!M44,0),IF(AND(18&gt;='EDT Y TAREAS'!AK45,18&lt;'EDT Y TAREAS'!AL45),'EDT Y TAREAS'!AI45/'EDT Y TAREAS'!M45,0),IF(AND(18&gt;='EDT Y TAREAS'!AK46,18&lt;'EDT Y TAREAS'!AL46),'EDT Y TAREAS'!AI46/'EDT Y TAREAS'!M46,0),IF(AND(18&gt;='EDT Y TAREAS'!AK48,18&lt;'EDT Y TAREAS'!AL48),'EDT Y TAREAS'!AI48/'EDT Y TAREAS'!M48,0),IF(AND(18&gt;='EDT Y TAREAS'!AK50,18&lt;'EDT Y TAREAS'!AL50),'EDT Y TAREAS'!AI50/'EDT Y TAREAS'!M50,0),IF(AND(18&gt;='EDT Y TAREAS'!AK52,18&lt;'EDT Y TAREAS'!AL52),'EDT Y TAREAS'!AI52/'EDT Y TAREAS'!M52,0))</x:f>
        <x:v>0</x:v>
      </x:c>
      <x:c r="H58" s="35" t="n">
        <x:f>SUM(IF(AND(18&gt;='EDT Y TAREAS'!AK11,18&lt;'EDT Y TAREAS'!AL11),'EDT Y TAREAS'!AJ11/'EDT Y TAREAS'!M11,0),IF(AND(18&gt;='EDT Y TAREAS'!AK24,18&lt;'EDT Y TAREAS'!AL24),'EDT Y TAREAS'!AJ24/'EDT Y TAREAS'!M24,0),IF(AND(18&gt;='EDT Y TAREAS'!AK27,18&lt;'EDT Y TAREAS'!AL27),'EDT Y TAREAS'!AJ27/'EDT Y TAREAS'!M27,0),IF(AND(18&gt;='EDT Y TAREAS'!AK28,18&lt;'EDT Y TAREAS'!AL28),'EDT Y TAREAS'!AJ28/'EDT Y TAREAS'!M28,0),IF(AND(18&gt;='EDT Y TAREAS'!AK33,18&lt;'EDT Y TAREAS'!AL33),'EDT Y TAREAS'!AJ33/'EDT Y TAREAS'!M33,0),IF(AND(18&gt;='EDT Y TAREAS'!AK35,18&lt;'EDT Y TAREAS'!AL35),'EDT Y TAREAS'!AJ35/'EDT Y TAREAS'!M35,0),IF(AND(18&gt;='EDT Y TAREAS'!AK36,18&lt;'EDT Y TAREAS'!AL36),'EDT Y TAREAS'!AJ36/'EDT Y TAREAS'!M36,0),IF(AND(18&gt;='EDT Y TAREAS'!AK37,18&lt;'EDT Y TAREAS'!AL37),'EDT Y TAREAS'!AJ37/'EDT Y TAREAS'!M37,0),IF(AND(18&gt;='EDT Y TAREAS'!AK40,18&lt;'EDT Y TAREAS'!AL40),'EDT Y TAREAS'!AJ40/'EDT Y TAREAS'!M40,0),IF(AND(18&gt;='EDT Y TAREAS'!AK42,18&lt;'EDT Y TAREAS'!AL42),'EDT Y TAREAS'!AJ42/'EDT Y TAREAS'!M42,0),IF(AND(18&gt;='EDT Y TAREAS'!AK49,18&lt;'EDT Y TAREAS'!AL49),'EDT Y TAREAS'!AJ49/'EDT Y TAREAS'!M49,0),IF(AND(18&gt;='EDT Y TAREAS'!AK50,18&lt;'EDT Y TAREAS'!AL50),'EDT Y TAREAS'!AJ50/'EDT Y TAREAS'!M50,0),IF(AND(18&gt;='EDT Y TAREAS'!AK51,18&lt;'EDT Y TAREAS'!AL51),'EDT Y TAREAS'!AJ51/'EDT Y TAREAS'!M51,0),IF(AND(18&gt;='EDT Y TAREAS'!AK52,18&lt;'EDT Y TAREAS'!AL52),'EDT Y TAREAS'!AJ52/'EDT Y TAREAS'!M52,0))</x:f>
        <x:v>0.8</x:v>
      </x:c>
      <x:c r="I58" s="10" t="n">
        <x:f>WORKDAY('RESUMEN'!$D$3-1,A58,'RESUMEN'!$J$6:$J$25)</x:f>
        <x:v>46352</x:v>
      </x:c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</x:row>
    <x:row r="59" ht="24" customHeight="1">
      <x:c r="A59" s="3" t="n">
        <x:v>20</x:v>
      </x:c>
      <x:c r="B59" s="35" t="n">
        <x:f>SUM(IF(AND(19&gt;='EDT Y TAREAS'!AK6,19&lt;'EDT Y TAREAS'!AL6),'EDT Y TAREAS'!AD6/'EDT Y TAREAS'!M6,0),IF(AND(19&gt;='EDT Y TAREAS'!AK7,19&lt;'EDT Y TAREAS'!AL7),'EDT Y TAREAS'!AD7/'EDT Y TAREAS'!M7,0),IF(AND(19&gt;='EDT Y TAREAS'!AK8,19&lt;'EDT Y TAREAS'!AL8),'EDT Y TAREAS'!AD8/'EDT Y TAREAS'!M8,0),IF(AND(19&gt;='EDT Y TAREAS'!AK9,19&lt;'EDT Y TAREAS'!AL9),'EDT Y TAREAS'!AD9/'EDT Y TAREAS'!M9,0),IF(AND(19&gt;='EDT Y TAREAS'!AK10,19&lt;'EDT Y TAREAS'!AL10),'EDT Y TAREAS'!AD10/'EDT Y TAREAS'!M10,0),IF(AND(19&gt;='EDT Y TAREAS'!AK11,19&lt;'EDT Y TAREAS'!AL11),'EDT Y TAREAS'!AD11/'EDT Y TAREAS'!M11,0),IF(AND(19&gt;='EDT Y TAREAS'!AK12,19&lt;'EDT Y TAREAS'!AL12),'EDT Y TAREAS'!AD12/'EDT Y TAREAS'!M12,0),IF(AND(19&gt;='EDT Y TAREAS'!AK13,19&lt;'EDT Y TAREAS'!AL13),'EDT Y TAREAS'!AD13/'EDT Y TAREAS'!M13,0),IF(AND(19&gt;='EDT Y TAREAS'!AK14,19&lt;'EDT Y TAREAS'!AL14),'EDT Y TAREAS'!AD14/'EDT Y TAREAS'!M14,0),IF(AND(19&gt;='EDT Y TAREAS'!AK15,19&lt;'EDT Y TAREAS'!AL15),'EDT Y TAREAS'!AD15/'EDT Y TAREAS'!M15,0),IF(AND(19&gt;='EDT Y TAREAS'!AK16,19&lt;'EDT Y TAREAS'!AL16),'EDT Y TAREAS'!AD16/'EDT Y TAREAS'!M16,0),IF(AND(19&gt;='EDT Y TAREAS'!AK17,19&lt;'EDT Y TAREAS'!AL17),'EDT Y TAREAS'!AD17/'EDT Y TAREAS'!M17,0),IF(AND(19&gt;='EDT Y TAREAS'!AK18,19&lt;'EDT Y TAREAS'!AL18),'EDT Y TAREAS'!AD18/'EDT Y TAREAS'!M18,0),IF(AND(19&gt;='EDT Y TAREAS'!AK19,19&lt;'EDT Y TAREAS'!AL19),'EDT Y TAREAS'!AD19/'EDT Y TAREAS'!M19,0),IF(AND(19&gt;='EDT Y TAREAS'!AK20,19&lt;'EDT Y TAREAS'!AL20),'EDT Y TAREAS'!AD20/'EDT Y TAREAS'!M20,0),IF(AND(19&gt;='EDT Y TAREAS'!AK21,19&lt;'EDT Y TAREAS'!AL21),'EDT Y TAREAS'!AD21/'EDT Y TAREAS'!M21,0),IF(AND(19&gt;='EDT Y TAREAS'!AK22,19&lt;'EDT Y TAREAS'!AL22),'EDT Y TAREAS'!AD22/'EDT Y TAREAS'!M22,0),IF(AND(19&gt;='EDT Y TAREAS'!AK23,19&lt;'EDT Y TAREAS'!AL23),'EDT Y TAREAS'!AD23/'EDT Y TAREAS'!M23,0),IF(AND(19&gt;='EDT Y TAREAS'!AK26,19&lt;'EDT Y TAREAS'!AL26),'EDT Y TAREAS'!AD26/'EDT Y TAREAS'!M26,0),IF(AND(19&gt;='EDT Y TAREAS'!AK28,19&lt;'EDT Y TAREAS'!AL28),'EDT Y TAREAS'!AD28/'EDT Y TAREAS'!M28,0),IF(AND(19&gt;='EDT Y TAREAS'!AK30,19&lt;'EDT Y TAREAS'!AL30),'EDT Y TAREAS'!AD30/'EDT Y TAREAS'!M30,0),IF(AND(19&gt;='EDT Y TAREAS'!AK32,19&lt;'EDT Y TAREAS'!AL32),'EDT Y TAREAS'!AD32/'EDT Y TAREAS'!M32,0),IF(AND(19&gt;='EDT Y TAREAS'!AK34,19&lt;'EDT Y TAREAS'!AL34),'EDT Y TAREAS'!AD34/'EDT Y TAREAS'!M34,0),IF(AND(19&gt;='EDT Y TAREAS'!AK38,19&lt;'EDT Y TAREAS'!AL38),'EDT Y TAREAS'!AD38/'EDT Y TAREAS'!M38,0),IF(AND(19&gt;='EDT Y TAREAS'!AK39,19&lt;'EDT Y TAREAS'!AL39),'EDT Y TAREAS'!AD39/'EDT Y TAREAS'!M39,0),IF(AND(19&gt;='EDT Y TAREAS'!AK43,19&lt;'EDT Y TAREAS'!AL43),'EDT Y TAREAS'!AD43/'EDT Y TAREAS'!M43,0),IF(AND(19&gt;='EDT Y TAREAS'!AK44,19&lt;'EDT Y TAREAS'!AL44),'EDT Y TAREAS'!AD44/'EDT Y TAREAS'!M44,0),IF(AND(19&gt;='EDT Y TAREAS'!AK45,19&lt;'EDT Y TAREAS'!AL45),'EDT Y TAREAS'!AD45/'EDT Y TAREAS'!M45,0),IF(AND(19&gt;='EDT Y TAREAS'!AK46,19&lt;'EDT Y TAREAS'!AL46),'EDT Y TAREAS'!AD46/'EDT Y TAREAS'!M46,0),IF(AND(19&gt;='EDT Y TAREAS'!AK47,19&lt;'EDT Y TAREAS'!AL47),'EDT Y TAREAS'!AD47/'EDT Y TAREAS'!M47,0),IF(AND(19&gt;='EDT Y TAREAS'!AK49,19&lt;'EDT Y TAREAS'!AL49),'EDT Y TAREAS'!AD49/'EDT Y TAREAS'!M49,0),IF(AND(19&gt;='EDT Y TAREAS'!AK50,19&lt;'EDT Y TAREAS'!AL50),'EDT Y TAREAS'!AD50/'EDT Y TAREAS'!M50,0),IF(AND(19&gt;='EDT Y TAREAS'!AK51,19&lt;'EDT Y TAREAS'!AL51),'EDT Y TAREAS'!AD51/'EDT Y TAREAS'!M51,0),IF(AND(19&gt;='EDT Y TAREAS'!AK52,19&lt;'EDT Y TAREAS'!AL52),'EDT Y TAREAS'!AD52/'EDT Y TAREAS'!M52,0))</x:f>
        <x:v>3.2</x:v>
      </x:c>
      <x:c r="C59" s="35" t="n">
        <x:f>SUM(IF(AND(19&gt;='EDT Y TAREAS'!AK6,19&lt;'EDT Y TAREAS'!AL6),'EDT Y TAREAS'!AE6/'EDT Y TAREAS'!M6,0),IF(AND(19&gt;='EDT Y TAREAS'!AK8,19&lt;'EDT Y TAREAS'!AL8),'EDT Y TAREAS'!AE8/'EDT Y TAREAS'!M8,0),IF(AND(19&gt;='EDT Y TAREAS'!AK9,19&lt;'EDT Y TAREAS'!AL9),'EDT Y TAREAS'!AE9/'EDT Y TAREAS'!M9,0),IF(AND(19&gt;='EDT Y TAREAS'!AK10,19&lt;'EDT Y TAREAS'!AL10),'EDT Y TAREAS'!AE10/'EDT Y TAREAS'!M10,0),IF(AND(19&gt;='EDT Y TAREAS'!AK12,19&lt;'EDT Y TAREAS'!AL12),'EDT Y TAREAS'!AE12/'EDT Y TAREAS'!M12,0),IF(AND(19&gt;='EDT Y TAREAS'!AK16,19&lt;'EDT Y TAREAS'!AL16),'EDT Y TAREAS'!AE16/'EDT Y TAREAS'!M16,0),IF(AND(19&gt;='EDT Y TAREAS'!AK21,19&lt;'EDT Y TAREAS'!AL21),'EDT Y TAREAS'!AE21/'EDT Y TAREAS'!M21,0),IF(AND(19&gt;='EDT Y TAREAS'!AK23,19&lt;'EDT Y TAREAS'!AL23),'EDT Y TAREAS'!AE23/'EDT Y TAREAS'!M23,0),IF(AND(19&gt;='EDT Y TAREAS'!AK37,19&lt;'EDT Y TAREAS'!AL37),'EDT Y TAREAS'!AE37/'EDT Y TAREAS'!M37,0),IF(AND(19&gt;='EDT Y TAREAS'!AK38,19&lt;'EDT Y TAREAS'!AL38),'EDT Y TAREAS'!AE38/'EDT Y TAREAS'!M38,0),IF(AND(19&gt;='EDT Y TAREAS'!AK41,19&lt;'EDT Y TAREAS'!AL41),'EDT Y TAREAS'!AE41/'EDT Y TAREAS'!M41,0),IF(AND(19&gt;='EDT Y TAREAS'!AK43,19&lt;'EDT Y TAREAS'!AL43),'EDT Y TAREAS'!AE43/'EDT Y TAREAS'!M43,0),IF(AND(19&gt;='EDT Y TAREAS'!AK44,19&lt;'EDT Y TAREAS'!AL44),'EDT Y TAREAS'!AE44/'EDT Y TAREAS'!M44,0),IF(AND(19&gt;='EDT Y TAREAS'!AK46,19&lt;'EDT Y TAREAS'!AL46),'EDT Y TAREAS'!AE46/'EDT Y TAREAS'!M46,0),IF(AND(19&gt;='EDT Y TAREAS'!AK47,19&lt;'EDT Y TAREAS'!AL47),'EDT Y TAREAS'!AE47/'EDT Y TAREAS'!M47,0),IF(AND(19&gt;='EDT Y TAREAS'!AK51,19&lt;'EDT Y TAREAS'!AL51),'EDT Y TAREAS'!AE51/'EDT Y TAREAS'!M51,0),IF(AND(19&gt;='EDT Y TAREAS'!AK52,19&lt;'EDT Y TAREAS'!AL52),'EDT Y TAREAS'!AE52/'EDT Y TAREAS'!M52,0))</x:f>
        <x:v>0.8</x:v>
      </x:c>
      <x:c r="D59" s="35" t="n">
        <x:f>SUM(IF(AND(19&gt;='EDT Y TAREAS'!AK11,19&lt;'EDT Y TAREAS'!AL11),'EDT Y TAREAS'!AF11/'EDT Y TAREAS'!M11,0),IF(AND(19&gt;='EDT Y TAREAS'!AK24,19&lt;'EDT Y TAREAS'!AL24),'EDT Y TAREAS'!AF24/'EDT Y TAREAS'!M24,0),IF(AND(19&gt;='EDT Y TAREAS'!AK25,19&lt;'EDT Y TAREAS'!AL25),'EDT Y TAREAS'!AF25/'EDT Y TAREAS'!M25,0),IF(AND(19&gt;='EDT Y TAREAS'!AK26,19&lt;'EDT Y TAREAS'!AL26),'EDT Y TAREAS'!AF26/'EDT Y TAREAS'!M26,0),IF(AND(19&gt;='EDT Y TAREAS'!AK27,19&lt;'EDT Y TAREAS'!AL27),'EDT Y TAREAS'!AF27/'EDT Y TAREAS'!M27,0),IF(AND(19&gt;='EDT Y TAREAS'!AK28,19&lt;'EDT Y TAREAS'!AL28),'EDT Y TAREAS'!AF28/'EDT Y TAREAS'!M28,0),IF(AND(19&gt;='EDT Y TAREAS'!AK31,19&lt;'EDT Y TAREAS'!AL31),'EDT Y TAREAS'!AF31/'EDT Y TAREAS'!M31,0),IF(AND(19&gt;='EDT Y TAREAS'!AK33,19&lt;'EDT Y TAREAS'!AL33),'EDT Y TAREAS'!AF33/'EDT Y TAREAS'!M33,0),IF(AND(19&gt;='EDT Y TAREAS'!AK34,19&lt;'EDT Y TAREAS'!AL34),'EDT Y TAREAS'!AF34/'EDT Y TAREAS'!M34,0),IF(AND(19&gt;='EDT Y TAREAS'!AK35,19&lt;'EDT Y TAREAS'!AL35),'EDT Y TAREAS'!AF35/'EDT Y TAREAS'!M35,0),IF(AND(19&gt;='EDT Y TAREAS'!AK37,19&lt;'EDT Y TAREAS'!AL37),'EDT Y TAREAS'!AF37/'EDT Y TAREAS'!M37,0),IF(AND(19&gt;='EDT Y TAREAS'!AK39,19&lt;'EDT Y TAREAS'!AL39),'EDT Y TAREAS'!AF39/'EDT Y TAREAS'!M39,0),IF(AND(19&gt;='EDT Y TAREAS'!AK40,19&lt;'EDT Y TAREAS'!AL40),'EDT Y TAREAS'!AF40/'EDT Y TAREAS'!M40,0),IF(AND(19&gt;='EDT Y TAREAS'!AK42,19&lt;'EDT Y TAREAS'!AL42),'EDT Y TAREAS'!AF42/'EDT Y TAREAS'!M42,0),IF(AND(19&gt;='EDT Y TAREAS'!AK45,19&lt;'EDT Y TAREAS'!AL45),'EDT Y TAREAS'!AF45/'EDT Y TAREAS'!M45,0),IF(AND(19&gt;='EDT Y TAREAS'!AK49,19&lt;'EDT Y TAREAS'!AL49),'EDT Y TAREAS'!AF49/'EDT Y TAREAS'!M49,0),IF(AND(19&gt;='EDT Y TAREAS'!AK52,19&lt;'EDT Y TAREAS'!AL52),'EDT Y TAREAS'!AF52/'EDT Y TAREAS'!M52,0))</x:f>
        <x:v>4</x:v>
      </x:c>
      <x:c r="E59" s="35" t="n">
        <x:f>SUM(IF(AND(19&gt;='EDT Y TAREAS'!AK29,19&lt;'EDT Y TAREAS'!AL29),'EDT Y TAREAS'!AG29/'EDT Y TAREAS'!M29,0),IF(AND(19&gt;='EDT Y TAREAS'!AK30,19&lt;'EDT Y TAREAS'!AL30),'EDT Y TAREAS'!AG30/'EDT Y TAREAS'!M30,0),IF(AND(19&gt;='EDT Y TAREAS'!AK31,19&lt;'EDT Y TAREAS'!AL31),'EDT Y TAREAS'!AG31/'EDT Y TAREAS'!M31,0),IF(AND(19&gt;='EDT Y TAREAS'!AK32,19&lt;'EDT Y TAREAS'!AL32),'EDT Y TAREAS'!AG32/'EDT Y TAREAS'!M32,0),IF(AND(19&gt;='EDT Y TAREAS'!AK41,19&lt;'EDT Y TAREAS'!AL41),'EDT Y TAREAS'!AG41/'EDT Y TAREAS'!M41,0),IF(AND(19&gt;='EDT Y TAREAS'!AK45,19&lt;'EDT Y TAREAS'!AL45),'EDT Y TAREAS'!AG45/'EDT Y TAREAS'!M45,0),IF(AND(19&gt;='EDT Y TAREAS'!AK48,19&lt;'EDT Y TAREAS'!AL48),'EDT Y TAREAS'!AG48/'EDT Y TAREAS'!M48,0))</x:f>
        <x:v>0</x:v>
      </x:c>
      <x:c r="F59" s="35" t="n">
        <x:f>SUM(IF(AND(19&gt;='EDT Y TAREAS'!AK10,19&lt;'EDT Y TAREAS'!AL10),'EDT Y TAREAS'!AH10/'EDT Y TAREAS'!M10,0),IF(AND(19&gt;='EDT Y TAREAS'!AK12,19&lt;'EDT Y TAREAS'!AL12),'EDT Y TAREAS'!AH12/'EDT Y TAREAS'!M12,0),IF(AND(19&gt;='EDT Y TAREAS'!AK22,19&lt;'EDT Y TAREAS'!AL22),'EDT Y TAREAS'!AH22/'EDT Y TAREAS'!M22,0),IF(AND(19&gt;='EDT Y TAREAS'!AK23,19&lt;'EDT Y TAREAS'!AL23),'EDT Y TAREAS'!AH23/'EDT Y TAREAS'!M23,0),IF(AND(19&gt;='EDT Y TAREAS'!AK29,19&lt;'EDT Y TAREAS'!AL29),'EDT Y TAREAS'!AH29/'EDT Y TAREAS'!M29,0),IF(AND(19&gt;='EDT Y TAREAS'!AK30,19&lt;'EDT Y TAREAS'!AL30),'EDT Y TAREAS'!AH30/'EDT Y TAREAS'!M30,0),IF(AND(19&gt;='EDT Y TAREAS'!AK32,19&lt;'EDT Y TAREAS'!AL32),'EDT Y TAREAS'!AH32/'EDT Y TAREAS'!M32,0),IF(AND(19&gt;='EDT Y TAREAS'!AK41,19&lt;'EDT Y TAREAS'!AL41),'EDT Y TAREAS'!AH41/'EDT Y TAREAS'!M41,0),IF(AND(19&gt;='EDT Y TAREAS'!AK44,19&lt;'EDT Y TAREAS'!AL44),'EDT Y TAREAS'!AH44/'EDT Y TAREAS'!M44,0),IF(AND(19&gt;='EDT Y TAREAS'!AK46,19&lt;'EDT Y TAREAS'!AL46),'EDT Y TAREAS'!AH46/'EDT Y TAREAS'!M46,0),IF(AND(19&gt;='EDT Y TAREAS'!AK48,19&lt;'EDT Y TAREAS'!AL48),'EDT Y TAREAS'!AH48/'EDT Y TAREAS'!M48,0))</x:f>
        <x:v>2.4</x:v>
      </x:c>
      <x:c r="G59" s="35" t="n">
        <x:f>SUM(IF(AND(19&gt;='EDT Y TAREAS'!AK20,19&lt;'EDT Y TAREAS'!AL20),'EDT Y TAREAS'!AI20/'EDT Y TAREAS'!M20,0),IF(AND(19&gt;='EDT Y TAREAS'!AK25,19&lt;'EDT Y TAREAS'!AL25),'EDT Y TAREAS'!AI25/'EDT Y TAREAS'!M25,0),IF(AND(19&gt;='EDT Y TAREAS'!AK33,19&lt;'EDT Y TAREAS'!AL33),'EDT Y TAREAS'!AI33/'EDT Y TAREAS'!M33,0),IF(AND(19&gt;='EDT Y TAREAS'!AK34,19&lt;'EDT Y TAREAS'!AL34),'EDT Y TAREAS'!AI34/'EDT Y TAREAS'!M34,0),IF(AND(19&gt;='EDT Y TAREAS'!AK36,19&lt;'EDT Y TAREAS'!AL36),'EDT Y TAREAS'!AI36/'EDT Y TAREAS'!M36,0),IF(AND(19&gt;='EDT Y TAREAS'!AK39,19&lt;'EDT Y TAREAS'!AL39),'EDT Y TAREAS'!AI39/'EDT Y TAREAS'!M39,0),IF(AND(19&gt;='EDT Y TAREAS'!AK40,19&lt;'EDT Y TAREAS'!AL40),'EDT Y TAREAS'!AI40/'EDT Y TAREAS'!M40,0),IF(AND(19&gt;='EDT Y TAREAS'!AK42,19&lt;'EDT Y TAREAS'!AL42),'EDT Y TAREAS'!AI42/'EDT Y TAREAS'!M42,0),IF(AND(19&gt;='EDT Y TAREAS'!AK43,19&lt;'EDT Y TAREAS'!AL43),'EDT Y TAREAS'!AI43/'EDT Y TAREAS'!M43,0),IF(AND(19&gt;='EDT Y TAREAS'!AK44,19&lt;'EDT Y TAREAS'!AL44),'EDT Y TAREAS'!AI44/'EDT Y TAREAS'!M44,0),IF(AND(19&gt;='EDT Y TAREAS'!AK45,19&lt;'EDT Y TAREAS'!AL45),'EDT Y TAREAS'!AI45/'EDT Y TAREAS'!M45,0),IF(AND(19&gt;='EDT Y TAREAS'!AK46,19&lt;'EDT Y TAREAS'!AL46),'EDT Y TAREAS'!AI46/'EDT Y TAREAS'!M46,0),IF(AND(19&gt;='EDT Y TAREAS'!AK48,19&lt;'EDT Y TAREAS'!AL48),'EDT Y TAREAS'!AI48/'EDT Y TAREAS'!M48,0),IF(AND(19&gt;='EDT Y TAREAS'!AK50,19&lt;'EDT Y TAREAS'!AL50),'EDT Y TAREAS'!AI50/'EDT Y TAREAS'!M50,0),IF(AND(19&gt;='EDT Y TAREAS'!AK52,19&lt;'EDT Y TAREAS'!AL52),'EDT Y TAREAS'!AI52/'EDT Y TAREAS'!M52,0))</x:f>
        <x:v>0</x:v>
      </x:c>
      <x:c r="H59" s="35" t="n">
        <x:f>SUM(IF(AND(19&gt;='EDT Y TAREAS'!AK11,19&lt;'EDT Y TAREAS'!AL11),'EDT Y TAREAS'!AJ11/'EDT Y TAREAS'!M11,0),IF(AND(19&gt;='EDT Y TAREAS'!AK24,19&lt;'EDT Y TAREAS'!AL24),'EDT Y TAREAS'!AJ24/'EDT Y TAREAS'!M24,0),IF(AND(19&gt;='EDT Y TAREAS'!AK27,19&lt;'EDT Y TAREAS'!AL27),'EDT Y TAREAS'!AJ27/'EDT Y TAREAS'!M27,0),IF(AND(19&gt;='EDT Y TAREAS'!AK28,19&lt;'EDT Y TAREAS'!AL28),'EDT Y TAREAS'!AJ28/'EDT Y TAREAS'!M28,0),IF(AND(19&gt;='EDT Y TAREAS'!AK33,19&lt;'EDT Y TAREAS'!AL33),'EDT Y TAREAS'!AJ33/'EDT Y TAREAS'!M33,0),IF(AND(19&gt;='EDT Y TAREAS'!AK35,19&lt;'EDT Y TAREAS'!AL35),'EDT Y TAREAS'!AJ35/'EDT Y TAREAS'!M35,0),IF(AND(19&gt;='EDT Y TAREAS'!AK36,19&lt;'EDT Y TAREAS'!AL36),'EDT Y TAREAS'!AJ36/'EDT Y TAREAS'!M36,0),IF(AND(19&gt;='EDT Y TAREAS'!AK37,19&lt;'EDT Y TAREAS'!AL37),'EDT Y TAREAS'!AJ37/'EDT Y TAREAS'!M37,0),IF(AND(19&gt;='EDT Y TAREAS'!AK40,19&lt;'EDT Y TAREAS'!AL40),'EDT Y TAREAS'!AJ40/'EDT Y TAREAS'!M40,0),IF(AND(19&gt;='EDT Y TAREAS'!AK42,19&lt;'EDT Y TAREAS'!AL42),'EDT Y TAREAS'!AJ42/'EDT Y TAREAS'!M42,0),IF(AND(19&gt;='EDT Y TAREAS'!AK49,19&lt;'EDT Y TAREAS'!AL49),'EDT Y TAREAS'!AJ49/'EDT Y TAREAS'!M49,0),IF(AND(19&gt;='EDT Y TAREAS'!AK50,19&lt;'EDT Y TAREAS'!AL50),'EDT Y TAREAS'!AJ50/'EDT Y TAREAS'!M50,0),IF(AND(19&gt;='EDT Y TAREAS'!AK51,19&lt;'EDT Y TAREAS'!AL51),'EDT Y TAREAS'!AJ51/'EDT Y TAREAS'!M51,0),IF(AND(19&gt;='EDT Y TAREAS'!AK52,19&lt;'EDT Y TAREAS'!AL52),'EDT Y TAREAS'!AJ52/'EDT Y TAREAS'!M52,0))</x:f>
        <x:v>0.8</x:v>
      </x:c>
      <x:c r="I59" s="10" t="n">
        <x:f>WORKDAY('RESUMEN'!$D$3-1,A59,'RESUMEN'!$J$6:$J$25)</x:f>
        <x:v>46353</x:v>
      </x:c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  <x:c r="AL59" s="3"/>
      <x:c r="AM59" s="3"/>
      <x:c r="AN59" s="3"/>
      <x:c r="AO59" s="3"/>
    </x:row>
    <x:row r="60" ht="24" customHeight="1">
      <x:c r="A60" s="3" t="n">
        <x:v>21</x:v>
      </x:c>
      <x:c r="B60" s="35" t="n">
        <x:f>SUM(IF(AND(20&gt;='EDT Y TAREAS'!AK6,20&lt;'EDT Y TAREAS'!AL6),'EDT Y TAREAS'!AD6/'EDT Y TAREAS'!M6,0),IF(AND(20&gt;='EDT Y TAREAS'!AK7,20&lt;'EDT Y TAREAS'!AL7),'EDT Y TAREAS'!AD7/'EDT Y TAREAS'!M7,0),IF(AND(20&gt;='EDT Y TAREAS'!AK8,20&lt;'EDT Y TAREAS'!AL8),'EDT Y TAREAS'!AD8/'EDT Y TAREAS'!M8,0),IF(AND(20&gt;='EDT Y TAREAS'!AK9,20&lt;'EDT Y TAREAS'!AL9),'EDT Y TAREAS'!AD9/'EDT Y TAREAS'!M9,0),IF(AND(20&gt;='EDT Y TAREAS'!AK10,20&lt;'EDT Y TAREAS'!AL10),'EDT Y TAREAS'!AD10/'EDT Y TAREAS'!M10,0),IF(AND(20&gt;='EDT Y TAREAS'!AK11,20&lt;'EDT Y TAREAS'!AL11),'EDT Y TAREAS'!AD11/'EDT Y TAREAS'!M11,0),IF(AND(20&gt;='EDT Y TAREAS'!AK12,20&lt;'EDT Y TAREAS'!AL12),'EDT Y TAREAS'!AD12/'EDT Y TAREAS'!M12,0),IF(AND(20&gt;='EDT Y TAREAS'!AK13,20&lt;'EDT Y TAREAS'!AL13),'EDT Y TAREAS'!AD13/'EDT Y TAREAS'!M13,0),IF(AND(20&gt;='EDT Y TAREAS'!AK14,20&lt;'EDT Y TAREAS'!AL14),'EDT Y TAREAS'!AD14/'EDT Y TAREAS'!M14,0),IF(AND(20&gt;='EDT Y TAREAS'!AK15,20&lt;'EDT Y TAREAS'!AL15),'EDT Y TAREAS'!AD15/'EDT Y TAREAS'!M15,0),IF(AND(20&gt;='EDT Y TAREAS'!AK16,20&lt;'EDT Y TAREAS'!AL16),'EDT Y TAREAS'!AD16/'EDT Y TAREAS'!M16,0),IF(AND(20&gt;='EDT Y TAREAS'!AK17,20&lt;'EDT Y TAREAS'!AL17),'EDT Y TAREAS'!AD17/'EDT Y TAREAS'!M17,0),IF(AND(20&gt;='EDT Y TAREAS'!AK18,20&lt;'EDT Y TAREAS'!AL18),'EDT Y TAREAS'!AD18/'EDT Y TAREAS'!M18,0),IF(AND(20&gt;='EDT Y TAREAS'!AK19,20&lt;'EDT Y TAREAS'!AL19),'EDT Y TAREAS'!AD19/'EDT Y TAREAS'!M19,0),IF(AND(20&gt;='EDT Y TAREAS'!AK20,20&lt;'EDT Y TAREAS'!AL20),'EDT Y TAREAS'!AD20/'EDT Y TAREAS'!M20,0),IF(AND(20&gt;='EDT Y TAREAS'!AK21,20&lt;'EDT Y TAREAS'!AL21),'EDT Y TAREAS'!AD21/'EDT Y TAREAS'!M21,0),IF(AND(20&gt;='EDT Y TAREAS'!AK22,20&lt;'EDT Y TAREAS'!AL22),'EDT Y TAREAS'!AD22/'EDT Y TAREAS'!M22,0),IF(AND(20&gt;='EDT Y TAREAS'!AK23,20&lt;'EDT Y TAREAS'!AL23),'EDT Y TAREAS'!AD23/'EDT Y TAREAS'!M23,0),IF(AND(20&gt;='EDT Y TAREAS'!AK26,20&lt;'EDT Y TAREAS'!AL26),'EDT Y TAREAS'!AD26/'EDT Y TAREAS'!M26,0),IF(AND(20&gt;='EDT Y TAREAS'!AK28,20&lt;'EDT Y TAREAS'!AL28),'EDT Y TAREAS'!AD28/'EDT Y TAREAS'!M28,0),IF(AND(20&gt;='EDT Y TAREAS'!AK30,20&lt;'EDT Y TAREAS'!AL30),'EDT Y TAREAS'!AD30/'EDT Y TAREAS'!M30,0),IF(AND(20&gt;='EDT Y TAREAS'!AK32,20&lt;'EDT Y TAREAS'!AL32),'EDT Y TAREAS'!AD32/'EDT Y TAREAS'!M32,0),IF(AND(20&gt;='EDT Y TAREAS'!AK34,20&lt;'EDT Y TAREAS'!AL34),'EDT Y TAREAS'!AD34/'EDT Y TAREAS'!M34,0),IF(AND(20&gt;='EDT Y TAREAS'!AK38,20&lt;'EDT Y TAREAS'!AL38),'EDT Y TAREAS'!AD38/'EDT Y TAREAS'!M38,0),IF(AND(20&gt;='EDT Y TAREAS'!AK39,20&lt;'EDT Y TAREAS'!AL39),'EDT Y TAREAS'!AD39/'EDT Y TAREAS'!M39,0),IF(AND(20&gt;='EDT Y TAREAS'!AK43,20&lt;'EDT Y TAREAS'!AL43),'EDT Y TAREAS'!AD43/'EDT Y TAREAS'!M43,0),IF(AND(20&gt;='EDT Y TAREAS'!AK44,20&lt;'EDT Y TAREAS'!AL44),'EDT Y TAREAS'!AD44/'EDT Y TAREAS'!M44,0),IF(AND(20&gt;='EDT Y TAREAS'!AK45,20&lt;'EDT Y TAREAS'!AL45),'EDT Y TAREAS'!AD45/'EDT Y TAREAS'!M45,0),IF(AND(20&gt;='EDT Y TAREAS'!AK46,20&lt;'EDT Y TAREAS'!AL46),'EDT Y TAREAS'!AD46/'EDT Y TAREAS'!M46,0),IF(AND(20&gt;='EDT Y TAREAS'!AK47,20&lt;'EDT Y TAREAS'!AL47),'EDT Y TAREAS'!AD47/'EDT Y TAREAS'!M47,0),IF(AND(20&gt;='EDT Y TAREAS'!AK49,20&lt;'EDT Y TAREAS'!AL49),'EDT Y TAREAS'!AD49/'EDT Y TAREAS'!M49,0),IF(AND(20&gt;='EDT Y TAREAS'!AK50,20&lt;'EDT Y TAREAS'!AL50),'EDT Y TAREAS'!AD50/'EDT Y TAREAS'!M50,0),IF(AND(20&gt;='EDT Y TAREAS'!AK51,20&lt;'EDT Y TAREAS'!AL51),'EDT Y TAREAS'!AD51/'EDT Y TAREAS'!M51,0),IF(AND(20&gt;='EDT Y TAREAS'!AK52,20&lt;'EDT Y TAREAS'!AL52),'EDT Y TAREAS'!AD52/'EDT Y TAREAS'!M52,0))</x:f>
        <x:v>3.2</x:v>
      </x:c>
      <x:c r="C60" s="35" t="n">
        <x:f>SUM(IF(AND(20&gt;='EDT Y TAREAS'!AK6,20&lt;'EDT Y TAREAS'!AL6),'EDT Y TAREAS'!AE6/'EDT Y TAREAS'!M6,0),IF(AND(20&gt;='EDT Y TAREAS'!AK8,20&lt;'EDT Y TAREAS'!AL8),'EDT Y TAREAS'!AE8/'EDT Y TAREAS'!M8,0),IF(AND(20&gt;='EDT Y TAREAS'!AK9,20&lt;'EDT Y TAREAS'!AL9),'EDT Y TAREAS'!AE9/'EDT Y TAREAS'!M9,0),IF(AND(20&gt;='EDT Y TAREAS'!AK10,20&lt;'EDT Y TAREAS'!AL10),'EDT Y TAREAS'!AE10/'EDT Y TAREAS'!M10,0),IF(AND(20&gt;='EDT Y TAREAS'!AK12,20&lt;'EDT Y TAREAS'!AL12),'EDT Y TAREAS'!AE12/'EDT Y TAREAS'!M12,0),IF(AND(20&gt;='EDT Y TAREAS'!AK16,20&lt;'EDT Y TAREAS'!AL16),'EDT Y TAREAS'!AE16/'EDT Y TAREAS'!M16,0),IF(AND(20&gt;='EDT Y TAREAS'!AK21,20&lt;'EDT Y TAREAS'!AL21),'EDT Y TAREAS'!AE21/'EDT Y TAREAS'!M21,0),IF(AND(20&gt;='EDT Y TAREAS'!AK23,20&lt;'EDT Y TAREAS'!AL23),'EDT Y TAREAS'!AE23/'EDT Y TAREAS'!M23,0),IF(AND(20&gt;='EDT Y TAREAS'!AK37,20&lt;'EDT Y TAREAS'!AL37),'EDT Y TAREAS'!AE37/'EDT Y TAREAS'!M37,0),IF(AND(20&gt;='EDT Y TAREAS'!AK38,20&lt;'EDT Y TAREAS'!AL38),'EDT Y TAREAS'!AE38/'EDT Y TAREAS'!M38,0),IF(AND(20&gt;='EDT Y TAREAS'!AK41,20&lt;'EDT Y TAREAS'!AL41),'EDT Y TAREAS'!AE41/'EDT Y TAREAS'!M41,0),IF(AND(20&gt;='EDT Y TAREAS'!AK43,20&lt;'EDT Y TAREAS'!AL43),'EDT Y TAREAS'!AE43/'EDT Y TAREAS'!M43,0),IF(AND(20&gt;='EDT Y TAREAS'!AK44,20&lt;'EDT Y TAREAS'!AL44),'EDT Y TAREAS'!AE44/'EDT Y TAREAS'!M44,0),IF(AND(20&gt;='EDT Y TAREAS'!AK46,20&lt;'EDT Y TAREAS'!AL46),'EDT Y TAREAS'!AE46/'EDT Y TAREAS'!M46,0),IF(AND(20&gt;='EDT Y TAREAS'!AK47,20&lt;'EDT Y TAREAS'!AL47),'EDT Y TAREAS'!AE47/'EDT Y TAREAS'!M47,0),IF(AND(20&gt;='EDT Y TAREAS'!AK51,20&lt;'EDT Y TAREAS'!AL51),'EDT Y TAREAS'!AE51/'EDT Y TAREAS'!M51,0),IF(AND(20&gt;='EDT Y TAREAS'!AK52,20&lt;'EDT Y TAREAS'!AL52),'EDT Y TAREAS'!AE52/'EDT Y TAREAS'!M52,0))</x:f>
        <x:v>0.8</x:v>
      </x:c>
      <x:c r="D60" s="35" t="n">
        <x:f>SUM(IF(AND(20&gt;='EDT Y TAREAS'!AK11,20&lt;'EDT Y TAREAS'!AL11),'EDT Y TAREAS'!AF11/'EDT Y TAREAS'!M11,0),IF(AND(20&gt;='EDT Y TAREAS'!AK24,20&lt;'EDT Y TAREAS'!AL24),'EDT Y TAREAS'!AF24/'EDT Y TAREAS'!M24,0),IF(AND(20&gt;='EDT Y TAREAS'!AK25,20&lt;'EDT Y TAREAS'!AL25),'EDT Y TAREAS'!AF25/'EDT Y TAREAS'!M25,0),IF(AND(20&gt;='EDT Y TAREAS'!AK26,20&lt;'EDT Y TAREAS'!AL26),'EDT Y TAREAS'!AF26/'EDT Y TAREAS'!M26,0),IF(AND(20&gt;='EDT Y TAREAS'!AK27,20&lt;'EDT Y TAREAS'!AL27),'EDT Y TAREAS'!AF27/'EDT Y TAREAS'!M27,0),IF(AND(20&gt;='EDT Y TAREAS'!AK28,20&lt;'EDT Y TAREAS'!AL28),'EDT Y TAREAS'!AF28/'EDT Y TAREAS'!M28,0),IF(AND(20&gt;='EDT Y TAREAS'!AK31,20&lt;'EDT Y TAREAS'!AL31),'EDT Y TAREAS'!AF31/'EDT Y TAREAS'!M31,0),IF(AND(20&gt;='EDT Y TAREAS'!AK33,20&lt;'EDT Y TAREAS'!AL33),'EDT Y TAREAS'!AF33/'EDT Y TAREAS'!M33,0),IF(AND(20&gt;='EDT Y TAREAS'!AK34,20&lt;'EDT Y TAREAS'!AL34),'EDT Y TAREAS'!AF34/'EDT Y TAREAS'!M34,0),IF(AND(20&gt;='EDT Y TAREAS'!AK35,20&lt;'EDT Y TAREAS'!AL35),'EDT Y TAREAS'!AF35/'EDT Y TAREAS'!M35,0),IF(AND(20&gt;='EDT Y TAREAS'!AK37,20&lt;'EDT Y TAREAS'!AL37),'EDT Y TAREAS'!AF37/'EDT Y TAREAS'!M37,0),IF(AND(20&gt;='EDT Y TAREAS'!AK39,20&lt;'EDT Y TAREAS'!AL39),'EDT Y TAREAS'!AF39/'EDT Y TAREAS'!M39,0),IF(AND(20&gt;='EDT Y TAREAS'!AK40,20&lt;'EDT Y TAREAS'!AL40),'EDT Y TAREAS'!AF40/'EDT Y TAREAS'!M40,0),IF(AND(20&gt;='EDT Y TAREAS'!AK42,20&lt;'EDT Y TAREAS'!AL42),'EDT Y TAREAS'!AF42/'EDT Y TAREAS'!M42,0),IF(AND(20&gt;='EDT Y TAREAS'!AK45,20&lt;'EDT Y TAREAS'!AL45),'EDT Y TAREAS'!AF45/'EDT Y TAREAS'!M45,0),IF(AND(20&gt;='EDT Y TAREAS'!AK49,20&lt;'EDT Y TAREAS'!AL49),'EDT Y TAREAS'!AF49/'EDT Y TAREAS'!M49,0),IF(AND(20&gt;='EDT Y TAREAS'!AK52,20&lt;'EDT Y TAREAS'!AL52),'EDT Y TAREAS'!AF52/'EDT Y TAREAS'!M52,0))</x:f>
        <x:v>4</x:v>
      </x:c>
      <x:c r="E60" s="35" t="n">
        <x:f>SUM(IF(AND(20&gt;='EDT Y TAREAS'!AK29,20&lt;'EDT Y TAREAS'!AL29),'EDT Y TAREAS'!AG29/'EDT Y TAREAS'!M29,0),IF(AND(20&gt;='EDT Y TAREAS'!AK30,20&lt;'EDT Y TAREAS'!AL30),'EDT Y TAREAS'!AG30/'EDT Y TAREAS'!M30,0),IF(AND(20&gt;='EDT Y TAREAS'!AK31,20&lt;'EDT Y TAREAS'!AL31),'EDT Y TAREAS'!AG31/'EDT Y TAREAS'!M31,0),IF(AND(20&gt;='EDT Y TAREAS'!AK32,20&lt;'EDT Y TAREAS'!AL32),'EDT Y TAREAS'!AG32/'EDT Y TAREAS'!M32,0),IF(AND(20&gt;='EDT Y TAREAS'!AK41,20&lt;'EDT Y TAREAS'!AL41),'EDT Y TAREAS'!AG41/'EDT Y TAREAS'!M41,0),IF(AND(20&gt;='EDT Y TAREAS'!AK45,20&lt;'EDT Y TAREAS'!AL45),'EDT Y TAREAS'!AG45/'EDT Y TAREAS'!M45,0),IF(AND(20&gt;='EDT Y TAREAS'!AK48,20&lt;'EDT Y TAREAS'!AL48),'EDT Y TAREAS'!AG48/'EDT Y TAREAS'!M48,0))</x:f>
        <x:v>0</x:v>
      </x:c>
      <x:c r="F60" s="35" t="n">
        <x:f>SUM(IF(AND(20&gt;='EDT Y TAREAS'!AK10,20&lt;'EDT Y TAREAS'!AL10),'EDT Y TAREAS'!AH10/'EDT Y TAREAS'!M10,0),IF(AND(20&gt;='EDT Y TAREAS'!AK12,20&lt;'EDT Y TAREAS'!AL12),'EDT Y TAREAS'!AH12/'EDT Y TAREAS'!M12,0),IF(AND(20&gt;='EDT Y TAREAS'!AK22,20&lt;'EDT Y TAREAS'!AL22),'EDT Y TAREAS'!AH22/'EDT Y TAREAS'!M22,0),IF(AND(20&gt;='EDT Y TAREAS'!AK23,20&lt;'EDT Y TAREAS'!AL23),'EDT Y TAREAS'!AH23/'EDT Y TAREAS'!M23,0),IF(AND(20&gt;='EDT Y TAREAS'!AK29,20&lt;'EDT Y TAREAS'!AL29),'EDT Y TAREAS'!AH29/'EDT Y TAREAS'!M29,0),IF(AND(20&gt;='EDT Y TAREAS'!AK30,20&lt;'EDT Y TAREAS'!AL30),'EDT Y TAREAS'!AH30/'EDT Y TAREAS'!M30,0),IF(AND(20&gt;='EDT Y TAREAS'!AK32,20&lt;'EDT Y TAREAS'!AL32),'EDT Y TAREAS'!AH32/'EDT Y TAREAS'!M32,0),IF(AND(20&gt;='EDT Y TAREAS'!AK41,20&lt;'EDT Y TAREAS'!AL41),'EDT Y TAREAS'!AH41/'EDT Y TAREAS'!M41,0),IF(AND(20&gt;='EDT Y TAREAS'!AK44,20&lt;'EDT Y TAREAS'!AL44),'EDT Y TAREAS'!AH44/'EDT Y TAREAS'!M44,0),IF(AND(20&gt;='EDT Y TAREAS'!AK46,20&lt;'EDT Y TAREAS'!AL46),'EDT Y TAREAS'!AH46/'EDT Y TAREAS'!M46,0),IF(AND(20&gt;='EDT Y TAREAS'!AK48,20&lt;'EDT Y TAREAS'!AL48),'EDT Y TAREAS'!AH48/'EDT Y TAREAS'!M48,0))</x:f>
        <x:v>2.4</x:v>
      </x:c>
      <x:c r="G60" s="35" t="n">
        <x:f>SUM(IF(AND(20&gt;='EDT Y TAREAS'!AK20,20&lt;'EDT Y TAREAS'!AL20),'EDT Y TAREAS'!AI20/'EDT Y TAREAS'!M20,0),IF(AND(20&gt;='EDT Y TAREAS'!AK25,20&lt;'EDT Y TAREAS'!AL25),'EDT Y TAREAS'!AI25/'EDT Y TAREAS'!M25,0),IF(AND(20&gt;='EDT Y TAREAS'!AK33,20&lt;'EDT Y TAREAS'!AL33),'EDT Y TAREAS'!AI33/'EDT Y TAREAS'!M33,0),IF(AND(20&gt;='EDT Y TAREAS'!AK34,20&lt;'EDT Y TAREAS'!AL34),'EDT Y TAREAS'!AI34/'EDT Y TAREAS'!M34,0),IF(AND(20&gt;='EDT Y TAREAS'!AK36,20&lt;'EDT Y TAREAS'!AL36),'EDT Y TAREAS'!AI36/'EDT Y TAREAS'!M36,0),IF(AND(20&gt;='EDT Y TAREAS'!AK39,20&lt;'EDT Y TAREAS'!AL39),'EDT Y TAREAS'!AI39/'EDT Y TAREAS'!M39,0),IF(AND(20&gt;='EDT Y TAREAS'!AK40,20&lt;'EDT Y TAREAS'!AL40),'EDT Y TAREAS'!AI40/'EDT Y TAREAS'!M40,0),IF(AND(20&gt;='EDT Y TAREAS'!AK42,20&lt;'EDT Y TAREAS'!AL42),'EDT Y TAREAS'!AI42/'EDT Y TAREAS'!M42,0),IF(AND(20&gt;='EDT Y TAREAS'!AK43,20&lt;'EDT Y TAREAS'!AL43),'EDT Y TAREAS'!AI43/'EDT Y TAREAS'!M43,0),IF(AND(20&gt;='EDT Y TAREAS'!AK44,20&lt;'EDT Y TAREAS'!AL44),'EDT Y TAREAS'!AI44/'EDT Y TAREAS'!M44,0),IF(AND(20&gt;='EDT Y TAREAS'!AK45,20&lt;'EDT Y TAREAS'!AL45),'EDT Y TAREAS'!AI45/'EDT Y TAREAS'!M45,0),IF(AND(20&gt;='EDT Y TAREAS'!AK46,20&lt;'EDT Y TAREAS'!AL46),'EDT Y TAREAS'!AI46/'EDT Y TAREAS'!M46,0),IF(AND(20&gt;='EDT Y TAREAS'!AK48,20&lt;'EDT Y TAREAS'!AL48),'EDT Y TAREAS'!AI48/'EDT Y TAREAS'!M48,0),IF(AND(20&gt;='EDT Y TAREAS'!AK50,20&lt;'EDT Y TAREAS'!AL50),'EDT Y TAREAS'!AI50/'EDT Y TAREAS'!M50,0),IF(AND(20&gt;='EDT Y TAREAS'!AK52,20&lt;'EDT Y TAREAS'!AL52),'EDT Y TAREAS'!AI52/'EDT Y TAREAS'!M52,0))</x:f>
        <x:v>0</x:v>
      </x:c>
      <x:c r="H60" s="35" t="n">
        <x:f>SUM(IF(AND(20&gt;='EDT Y TAREAS'!AK11,20&lt;'EDT Y TAREAS'!AL11),'EDT Y TAREAS'!AJ11/'EDT Y TAREAS'!M11,0),IF(AND(20&gt;='EDT Y TAREAS'!AK24,20&lt;'EDT Y TAREAS'!AL24),'EDT Y TAREAS'!AJ24/'EDT Y TAREAS'!M24,0),IF(AND(20&gt;='EDT Y TAREAS'!AK27,20&lt;'EDT Y TAREAS'!AL27),'EDT Y TAREAS'!AJ27/'EDT Y TAREAS'!M27,0),IF(AND(20&gt;='EDT Y TAREAS'!AK28,20&lt;'EDT Y TAREAS'!AL28),'EDT Y TAREAS'!AJ28/'EDT Y TAREAS'!M28,0),IF(AND(20&gt;='EDT Y TAREAS'!AK33,20&lt;'EDT Y TAREAS'!AL33),'EDT Y TAREAS'!AJ33/'EDT Y TAREAS'!M33,0),IF(AND(20&gt;='EDT Y TAREAS'!AK35,20&lt;'EDT Y TAREAS'!AL35),'EDT Y TAREAS'!AJ35/'EDT Y TAREAS'!M35,0),IF(AND(20&gt;='EDT Y TAREAS'!AK36,20&lt;'EDT Y TAREAS'!AL36),'EDT Y TAREAS'!AJ36/'EDT Y TAREAS'!M36,0),IF(AND(20&gt;='EDT Y TAREAS'!AK37,20&lt;'EDT Y TAREAS'!AL37),'EDT Y TAREAS'!AJ37/'EDT Y TAREAS'!M37,0),IF(AND(20&gt;='EDT Y TAREAS'!AK40,20&lt;'EDT Y TAREAS'!AL40),'EDT Y TAREAS'!AJ40/'EDT Y TAREAS'!M40,0),IF(AND(20&gt;='EDT Y TAREAS'!AK42,20&lt;'EDT Y TAREAS'!AL42),'EDT Y TAREAS'!AJ42/'EDT Y TAREAS'!M42,0),IF(AND(20&gt;='EDT Y TAREAS'!AK49,20&lt;'EDT Y TAREAS'!AL49),'EDT Y TAREAS'!AJ49/'EDT Y TAREAS'!M49,0),IF(AND(20&gt;='EDT Y TAREAS'!AK50,20&lt;'EDT Y TAREAS'!AL50),'EDT Y TAREAS'!AJ50/'EDT Y TAREAS'!M50,0),IF(AND(20&gt;='EDT Y TAREAS'!AK51,20&lt;'EDT Y TAREAS'!AL51),'EDT Y TAREAS'!AJ51/'EDT Y TAREAS'!M51,0),IF(AND(20&gt;='EDT Y TAREAS'!AK52,20&lt;'EDT Y TAREAS'!AL52),'EDT Y TAREAS'!AJ52/'EDT Y TAREAS'!M52,0))</x:f>
        <x:v>0.8</x:v>
      </x:c>
      <x:c r="I60" s="10" t="n">
        <x:f>WORKDAY('RESUMEN'!$D$3-1,A60,'RESUMEN'!$J$6:$J$25)</x:f>
        <x:v>46356</x:v>
      </x:c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  <x:c r="AH60" s="3"/>
      <x:c r="AI60" s="3"/>
      <x:c r="AJ60" s="3"/>
      <x:c r="AK60" s="3"/>
      <x:c r="AL60" s="3"/>
      <x:c r="AM60" s="3"/>
      <x:c r="AN60" s="3"/>
      <x:c r="AO60" s="3"/>
    </x:row>
    <x:row r="61" ht="24" customHeight="1">
      <x:c r="A61" s="3" t="n">
        <x:v>22</x:v>
      </x:c>
      <x:c r="B61" s="35" t="n">
        <x:f>SUM(IF(AND(21&gt;='EDT Y TAREAS'!AK6,21&lt;'EDT Y TAREAS'!AL6),'EDT Y TAREAS'!AD6/'EDT Y TAREAS'!M6,0),IF(AND(21&gt;='EDT Y TAREAS'!AK7,21&lt;'EDT Y TAREAS'!AL7),'EDT Y TAREAS'!AD7/'EDT Y TAREAS'!M7,0),IF(AND(21&gt;='EDT Y TAREAS'!AK8,21&lt;'EDT Y TAREAS'!AL8),'EDT Y TAREAS'!AD8/'EDT Y TAREAS'!M8,0),IF(AND(21&gt;='EDT Y TAREAS'!AK9,21&lt;'EDT Y TAREAS'!AL9),'EDT Y TAREAS'!AD9/'EDT Y TAREAS'!M9,0),IF(AND(21&gt;='EDT Y TAREAS'!AK10,21&lt;'EDT Y TAREAS'!AL10),'EDT Y TAREAS'!AD10/'EDT Y TAREAS'!M10,0),IF(AND(21&gt;='EDT Y TAREAS'!AK11,21&lt;'EDT Y TAREAS'!AL11),'EDT Y TAREAS'!AD11/'EDT Y TAREAS'!M11,0),IF(AND(21&gt;='EDT Y TAREAS'!AK12,21&lt;'EDT Y TAREAS'!AL12),'EDT Y TAREAS'!AD12/'EDT Y TAREAS'!M12,0),IF(AND(21&gt;='EDT Y TAREAS'!AK13,21&lt;'EDT Y TAREAS'!AL13),'EDT Y TAREAS'!AD13/'EDT Y TAREAS'!M13,0),IF(AND(21&gt;='EDT Y TAREAS'!AK14,21&lt;'EDT Y TAREAS'!AL14),'EDT Y TAREAS'!AD14/'EDT Y TAREAS'!M14,0),IF(AND(21&gt;='EDT Y TAREAS'!AK15,21&lt;'EDT Y TAREAS'!AL15),'EDT Y TAREAS'!AD15/'EDT Y TAREAS'!M15,0),IF(AND(21&gt;='EDT Y TAREAS'!AK16,21&lt;'EDT Y TAREAS'!AL16),'EDT Y TAREAS'!AD16/'EDT Y TAREAS'!M16,0),IF(AND(21&gt;='EDT Y TAREAS'!AK17,21&lt;'EDT Y TAREAS'!AL17),'EDT Y TAREAS'!AD17/'EDT Y TAREAS'!M17,0),IF(AND(21&gt;='EDT Y TAREAS'!AK18,21&lt;'EDT Y TAREAS'!AL18),'EDT Y TAREAS'!AD18/'EDT Y TAREAS'!M18,0),IF(AND(21&gt;='EDT Y TAREAS'!AK19,21&lt;'EDT Y TAREAS'!AL19),'EDT Y TAREAS'!AD19/'EDT Y TAREAS'!M19,0),IF(AND(21&gt;='EDT Y TAREAS'!AK20,21&lt;'EDT Y TAREAS'!AL20),'EDT Y TAREAS'!AD20/'EDT Y TAREAS'!M20,0),IF(AND(21&gt;='EDT Y TAREAS'!AK21,21&lt;'EDT Y TAREAS'!AL21),'EDT Y TAREAS'!AD21/'EDT Y TAREAS'!M21,0),IF(AND(21&gt;='EDT Y TAREAS'!AK22,21&lt;'EDT Y TAREAS'!AL22),'EDT Y TAREAS'!AD22/'EDT Y TAREAS'!M22,0),IF(AND(21&gt;='EDT Y TAREAS'!AK23,21&lt;'EDT Y TAREAS'!AL23),'EDT Y TAREAS'!AD23/'EDT Y TAREAS'!M23,0),IF(AND(21&gt;='EDT Y TAREAS'!AK26,21&lt;'EDT Y TAREAS'!AL26),'EDT Y TAREAS'!AD26/'EDT Y TAREAS'!M26,0),IF(AND(21&gt;='EDT Y TAREAS'!AK28,21&lt;'EDT Y TAREAS'!AL28),'EDT Y TAREAS'!AD28/'EDT Y TAREAS'!M28,0),IF(AND(21&gt;='EDT Y TAREAS'!AK30,21&lt;'EDT Y TAREAS'!AL30),'EDT Y TAREAS'!AD30/'EDT Y TAREAS'!M30,0),IF(AND(21&gt;='EDT Y TAREAS'!AK32,21&lt;'EDT Y TAREAS'!AL32),'EDT Y TAREAS'!AD32/'EDT Y TAREAS'!M32,0),IF(AND(21&gt;='EDT Y TAREAS'!AK34,21&lt;'EDT Y TAREAS'!AL34),'EDT Y TAREAS'!AD34/'EDT Y TAREAS'!M34,0),IF(AND(21&gt;='EDT Y TAREAS'!AK38,21&lt;'EDT Y TAREAS'!AL38),'EDT Y TAREAS'!AD38/'EDT Y TAREAS'!M38,0),IF(AND(21&gt;='EDT Y TAREAS'!AK39,21&lt;'EDT Y TAREAS'!AL39),'EDT Y TAREAS'!AD39/'EDT Y TAREAS'!M39,0),IF(AND(21&gt;='EDT Y TAREAS'!AK43,21&lt;'EDT Y TAREAS'!AL43),'EDT Y TAREAS'!AD43/'EDT Y TAREAS'!M43,0),IF(AND(21&gt;='EDT Y TAREAS'!AK44,21&lt;'EDT Y TAREAS'!AL44),'EDT Y TAREAS'!AD44/'EDT Y TAREAS'!M44,0),IF(AND(21&gt;='EDT Y TAREAS'!AK45,21&lt;'EDT Y TAREAS'!AL45),'EDT Y TAREAS'!AD45/'EDT Y TAREAS'!M45,0),IF(AND(21&gt;='EDT Y TAREAS'!AK46,21&lt;'EDT Y TAREAS'!AL46),'EDT Y TAREAS'!AD46/'EDT Y TAREAS'!M46,0),IF(AND(21&gt;='EDT Y TAREAS'!AK47,21&lt;'EDT Y TAREAS'!AL47),'EDT Y TAREAS'!AD47/'EDT Y TAREAS'!M47,0),IF(AND(21&gt;='EDT Y TAREAS'!AK49,21&lt;'EDT Y TAREAS'!AL49),'EDT Y TAREAS'!AD49/'EDT Y TAREAS'!M49,0),IF(AND(21&gt;='EDT Y TAREAS'!AK50,21&lt;'EDT Y TAREAS'!AL50),'EDT Y TAREAS'!AD50/'EDT Y TAREAS'!M50,0),IF(AND(21&gt;='EDT Y TAREAS'!AK51,21&lt;'EDT Y TAREAS'!AL51),'EDT Y TAREAS'!AD51/'EDT Y TAREAS'!M51,0),IF(AND(21&gt;='EDT Y TAREAS'!AK52,21&lt;'EDT Y TAREAS'!AL52),'EDT Y TAREAS'!AD52/'EDT Y TAREAS'!M52,0))</x:f>
        <x:v>3.2</x:v>
      </x:c>
      <x:c r="C61" s="35" t="n">
        <x:f>SUM(IF(AND(21&gt;='EDT Y TAREAS'!AK6,21&lt;'EDT Y TAREAS'!AL6),'EDT Y TAREAS'!AE6/'EDT Y TAREAS'!M6,0),IF(AND(21&gt;='EDT Y TAREAS'!AK8,21&lt;'EDT Y TAREAS'!AL8),'EDT Y TAREAS'!AE8/'EDT Y TAREAS'!M8,0),IF(AND(21&gt;='EDT Y TAREAS'!AK9,21&lt;'EDT Y TAREAS'!AL9),'EDT Y TAREAS'!AE9/'EDT Y TAREAS'!M9,0),IF(AND(21&gt;='EDT Y TAREAS'!AK10,21&lt;'EDT Y TAREAS'!AL10),'EDT Y TAREAS'!AE10/'EDT Y TAREAS'!M10,0),IF(AND(21&gt;='EDT Y TAREAS'!AK12,21&lt;'EDT Y TAREAS'!AL12),'EDT Y TAREAS'!AE12/'EDT Y TAREAS'!M12,0),IF(AND(21&gt;='EDT Y TAREAS'!AK16,21&lt;'EDT Y TAREAS'!AL16),'EDT Y TAREAS'!AE16/'EDT Y TAREAS'!M16,0),IF(AND(21&gt;='EDT Y TAREAS'!AK21,21&lt;'EDT Y TAREAS'!AL21),'EDT Y TAREAS'!AE21/'EDT Y TAREAS'!M21,0),IF(AND(21&gt;='EDT Y TAREAS'!AK23,21&lt;'EDT Y TAREAS'!AL23),'EDT Y TAREAS'!AE23/'EDT Y TAREAS'!M23,0),IF(AND(21&gt;='EDT Y TAREAS'!AK37,21&lt;'EDT Y TAREAS'!AL37),'EDT Y TAREAS'!AE37/'EDT Y TAREAS'!M37,0),IF(AND(21&gt;='EDT Y TAREAS'!AK38,21&lt;'EDT Y TAREAS'!AL38),'EDT Y TAREAS'!AE38/'EDT Y TAREAS'!M38,0),IF(AND(21&gt;='EDT Y TAREAS'!AK41,21&lt;'EDT Y TAREAS'!AL41),'EDT Y TAREAS'!AE41/'EDT Y TAREAS'!M41,0),IF(AND(21&gt;='EDT Y TAREAS'!AK43,21&lt;'EDT Y TAREAS'!AL43),'EDT Y TAREAS'!AE43/'EDT Y TAREAS'!M43,0),IF(AND(21&gt;='EDT Y TAREAS'!AK44,21&lt;'EDT Y TAREAS'!AL44),'EDT Y TAREAS'!AE44/'EDT Y TAREAS'!M44,0),IF(AND(21&gt;='EDT Y TAREAS'!AK46,21&lt;'EDT Y TAREAS'!AL46),'EDT Y TAREAS'!AE46/'EDT Y TAREAS'!M46,0),IF(AND(21&gt;='EDT Y TAREAS'!AK47,21&lt;'EDT Y TAREAS'!AL47),'EDT Y TAREAS'!AE47/'EDT Y TAREAS'!M47,0),IF(AND(21&gt;='EDT Y TAREAS'!AK51,21&lt;'EDT Y TAREAS'!AL51),'EDT Y TAREAS'!AE51/'EDT Y TAREAS'!M51,0),IF(AND(21&gt;='EDT Y TAREAS'!AK52,21&lt;'EDT Y TAREAS'!AL52),'EDT Y TAREAS'!AE52/'EDT Y TAREAS'!M52,0))</x:f>
        <x:v>0.8</x:v>
      </x:c>
      <x:c r="D61" s="35" t="n">
        <x:f>SUM(IF(AND(21&gt;='EDT Y TAREAS'!AK11,21&lt;'EDT Y TAREAS'!AL11),'EDT Y TAREAS'!AF11/'EDT Y TAREAS'!M11,0),IF(AND(21&gt;='EDT Y TAREAS'!AK24,21&lt;'EDT Y TAREAS'!AL24),'EDT Y TAREAS'!AF24/'EDT Y TAREAS'!M24,0),IF(AND(21&gt;='EDT Y TAREAS'!AK25,21&lt;'EDT Y TAREAS'!AL25),'EDT Y TAREAS'!AF25/'EDT Y TAREAS'!M25,0),IF(AND(21&gt;='EDT Y TAREAS'!AK26,21&lt;'EDT Y TAREAS'!AL26),'EDT Y TAREAS'!AF26/'EDT Y TAREAS'!M26,0),IF(AND(21&gt;='EDT Y TAREAS'!AK27,21&lt;'EDT Y TAREAS'!AL27),'EDT Y TAREAS'!AF27/'EDT Y TAREAS'!M27,0),IF(AND(21&gt;='EDT Y TAREAS'!AK28,21&lt;'EDT Y TAREAS'!AL28),'EDT Y TAREAS'!AF28/'EDT Y TAREAS'!M28,0),IF(AND(21&gt;='EDT Y TAREAS'!AK31,21&lt;'EDT Y TAREAS'!AL31),'EDT Y TAREAS'!AF31/'EDT Y TAREAS'!M31,0),IF(AND(21&gt;='EDT Y TAREAS'!AK33,21&lt;'EDT Y TAREAS'!AL33),'EDT Y TAREAS'!AF33/'EDT Y TAREAS'!M33,0),IF(AND(21&gt;='EDT Y TAREAS'!AK34,21&lt;'EDT Y TAREAS'!AL34),'EDT Y TAREAS'!AF34/'EDT Y TAREAS'!M34,0),IF(AND(21&gt;='EDT Y TAREAS'!AK35,21&lt;'EDT Y TAREAS'!AL35),'EDT Y TAREAS'!AF35/'EDT Y TAREAS'!M35,0),IF(AND(21&gt;='EDT Y TAREAS'!AK37,21&lt;'EDT Y TAREAS'!AL37),'EDT Y TAREAS'!AF37/'EDT Y TAREAS'!M37,0),IF(AND(21&gt;='EDT Y TAREAS'!AK39,21&lt;'EDT Y TAREAS'!AL39),'EDT Y TAREAS'!AF39/'EDT Y TAREAS'!M39,0),IF(AND(21&gt;='EDT Y TAREAS'!AK40,21&lt;'EDT Y TAREAS'!AL40),'EDT Y TAREAS'!AF40/'EDT Y TAREAS'!M40,0),IF(AND(21&gt;='EDT Y TAREAS'!AK42,21&lt;'EDT Y TAREAS'!AL42),'EDT Y TAREAS'!AF42/'EDT Y TAREAS'!M42,0),IF(AND(21&gt;='EDT Y TAREAS'!AK45,21&lt;'EDT Y TAREAS'!AL45),'EDT Y TAREAS'!AF45/'EDT Y TAREAS'!M45,0),IF(AND(21&gt;='EDT Y TAREAS'!AK49,21&lt;'EDT Y TAREAS'!AL49),'EDT Y TAREAS'!AF49/'EDT Y TAREAS'!M49,0),IF(AND(21&gt;='EDT Y TAREAS'!AK52,21&lt;'EDT Y TAREAS'!AL52),'EDT Y TAREAS'!AF52/'EDT Y TAREAS'!M52,0))</x:f>
        <x:v>4</x:v>
      </x:c>
      <x:c r="E61" s="35" t="n">
        <x:f>SUM(IF(AND(21&gt;='EDT Y TAREAS'!AK29,21&lt;'EDT Y TAREAS'!AL29),'EDT Y TAREAS'!AG29/'EDT Y TAREAS'!M29,0),IF(AND(21&gt;='EDT Y TAREAS'!AK30,21&lt;'EDT Y TAREAS'!AL30),'EDT Y TAREAS'!AG30/'EDT Y TAREAS'!M30,0),IF(AND(21&gt;='EDT Y TAREAS'!AK31,21&lt;'EDT Y TAREAS'!AL31),'EDT Y TAREAS'!AG31/'EDT Y TAREAS'!M31,0),IF(AND(21&gt;='EDT Y TAREAS'!AK32,21&lt;'EDT Y TAREAS'!AL32),'EDT Y TAREAS'!AG32/'EDT Y TAREAS'!M32,0),IF(AND(21&gt;='EDT Y TAREAS'!AK41,21&lt;'EDT Y TAREAS'!AL41),'EDT Y TAREAS'!AG41/'EDT Y TAREAS'!M41,0),IF(AND(21&gt;='EDT Y TAREAS'!AK45,21&lt;'EDT Y TAREAS'!AL45),'EDT Y TAREAS'!AG45/'EDT Y TAREAS'!M45,0),IF(AND(21&gt;='EDT Y TAREAS'!AK48,21&lt;'EDT Y TAREAS'!AL48),'EDT Y TAREAS'!AG48/'EDT Y TAREAS'!M48,0))</x:f>
        <x:v>0</x:v>
      </x:c>
      <x:c r="F61" s="35" t="n">
        <x:f>SUM(IF(AND(21&gt;='EDT Y TAREAS'!AK10,21&lt;'EDT Y TAREAS'!AL10),'EDT Y TAREAS'!AH10/'EDT Y TAREAS'!M10,0),IF(AND(21&gt;='EDT Y TAREAS'!AK12,21&lt;'EDT Y TAREAS'!AL12),'EDT Y TAREAS'!AH12/'EDT Y TAREAS'!M12,0),IF(AND(21&gt;='EDT Y TAREAS'!AK22,21&lt;'EDT Y TAREAS'!AL22),'EDT Y TAREAS'!AH22/'EDT Y TAREAS'!M22,0),IF(AND(21&gt;='EDT Y TAREAS'!AK23,21&lt;'EDT Y TAREAS'!AL23),'EDT Y TAREAS'!AH23/'EDT Y TAREAS'!M23,0),IF(AND(21&gt;='EDT Y TAREAS'!AK29,21&lt;'EDT Y TAREAS'!AL29),'EDT Y TAREAS'!AH29/'EDT Y TAREAS'!M29,0),IF(AND(21&gt;='EDT Y TAREAS'!AK30,21&lt;'EDT Y TAREAS'!AL30),'EDT Y TAREAS'!AH30/'EDT Y TAREAS'!M30,0),IF(AND(21&gt;='EDT Y TAREAS'!AK32,21&lt;'EDT Y TAREAS'!AL32),'EDT Y TAREAS'!AH32/'EDT Y TAREAS'!M32,0),IF(AND(21&gt;='EDT Y TAREAS'!AK41,21&lt;'EDT Y TAREAS'!AL41),'EDT Y TAREAS'!AH41/'EDT Y TAREAS'!M41,0),IF(AND(21&gt;='EDT Y TAREAS'!AK44,21&lt;'EDT Y TAREAS'!AL44),'EDT Y TAREAS'!AH44/'EDT Y TAREAS'!M44,0),IF(AND(21&gt;='EDT Y TAREAS'!AK46,21&lt;'EDT Y TAREAS'!AL46),'EDT Y TAREAS'!AH46/'EDT Y TAREAS'!M46,0),IF(AND(21&gt;='EDT Y TAREAS'!AK48,21&lt;'EDT Y TAREAS'!AL48),'EDT Y TAREAS'!AH48/'EDT Y TAREAS'!M48,0))</x:f>
        <x:v>2.4</x:v>
      </x:c>
      <x:c r="G61" s="35" t="n">
        <x:f>SUM(IF(AND(21&gt;='EDT Y TAREAS'!AK20,21&lt;'EDT Y TAREAS'!AL20),'EDT Y TAREAS'!AI20/'EDT Y TAREAS'!M20,0),IF(AND(21&gt;='EDT Y TAREAS'!AK25,21&lt;'EDT Y TAREAS'!AL25),'EDT Y TAREAS'!AI25/'EDT Y TAREAS'!M25,0),IF(AND(21&gt;='EDT Y TAREAS'!AK33,21&lt;'EDT Y TAREAS'!AL33),'EDT Y TAREAS'!AI33/'EDT Y TAREAS'!M33,0),IF(AND(21&gt;='EDT Y TAREAS'!AK34,21&lt;'EDT Y TAREAS'!AL34),'EDT Y TAREAS'!AI34/'EDT Y TAREAS'!M34,0),IF(AND(21&gt;='EDT Y TAREAS'!AK36,21&lt;'EDT Y TAREAS'!AL36),'EDT Y TAREAS'!AI36/'EDT Y TAREAS'!M36,0),IF(AND(21&gt;='EDT Y TAREAS'!AK39,21&lt;'EDT Y TAREAS'!AL39),'EDT Y TAREAS'!AI39/'EDT Y TAREAS'!M39,0),IF(AND(21&gt;='EDT Y TAREAS'!AK40,21&lt;'EDT Y TAREAS'!AL40),'EDT Y TAREAS'!AI40/'EDT Y TAREAS'!M40,0),IF(AND(21&gt;='EDT Y TAREAS'!AK42,21&lt;'EDT Y TAREAS'!AL42),'EDT Y TAREAS'!AI42/'EDT Y TAREAS'!M42,0),IF(AND(21&gt;='EDT Y TAREAS'!AK43,21&lt;'EDT Y TAREAS'!AL43),'EDT Y TAREAS'!AI43/'EDT Y TAREAS'!M43,0),IF(AND(21&gt;='EDT Y TAREAS'!AK44,21&lt;'EDT Y TAREAS'!AL44),'EDT Y TAREAS'!AI44/'EDT Y TAREAS'!M44,0),IF(AND(21&gt;='EDT Y TAREAS'!AK45,21&lt;'EDT Y TAREAS'!AL45),'EDT Y TAREAS'!AI45/'EDT Y TAREAS'!M45,0),IF(AND(21&gt;='EDT Y TAREAS'!AK46,21&lt;'EDT Y TAREAS'!AL46),'EDT Y TAREAS'!AI46/'EDT Y TAREAS'!M46,0),IF(AND(21&gt;='EDT Y TAREAS'!AK48,21&lt;'EDT Y TAREAS'!AL48),'EDT Y TAREAS'!AI48/'EDT Y TAREAS'!M48,0),IF(AND(21&gt;='EDT Y TAREAS'!AK50,21&lt;'EDT Y TAREAS'!AL50),'EDT Y TAREAS'!AI50/'EDT Y TAREAS'!M50,0),IF(AND(21&gt;='EDT Y TAREAS'!AK52,21&lt;'EDT Y TAREAS'!AL52),'EDT Y TAREAS'!AI52/'EDT Y TAREAS'!M52,0))</x:f>
        <x:v>0</x:v>
      </x:c>
      <x:c r="H61" s="35" t="n">
        <x:f>SUM(IF(AND(21&gt;='EDT Y TAREAS'!AK11,21&lt;'EDT Y TAREAS'!AL11),'EDT Y TAREAS'!AJ11/'EDT Y TAREAS'!M11,0),IF(AND(21&gt;='EDT Y TAREAS'!AK24,21&lt;'EDT Y TAREAS'!AL24),'EDT Y TAREAS'!AJ24/'EDT Y TAREAS'!M24,0),IF(AND(21&gt;='EDT Y TAREAS'!AK27,21&lt;'EDT Y TAREAS'!AL27),'EDT Y TAREAS'!AJ27/'EDT Y TAREAS'!M27,0),IF(AND(21&gt;='EDT Y TAREAS'!AK28,21&lt;'EDT Y TAREAS'!AL28),'EDT Y TAREAS'!AJ28/'EDT Y TAREAS'!M28,0),IF(AND(21&gt;='EDT Y TAREAS'!AK33,21&lt;'EDT Y TAREAS'!AL33),'EDT Y TAREAS'!AJ33/'EDT Y TAREAS'!M33,0),IF(AND(21&gt;='EDT Y TAREAS'!AK35,21&lt;'EDT Y TAREAS'!AL35),'EDT Y TAREAS'!AJ35/'EDT Y TAREAS'!M35,0),IF(AND(21&gt;='EDT Y TAREAS'!AK36,21&lt;'EDT Y TAREAS'!AL36),'EDT Y TAREAS'!AJ36/'EDT Y TAREAS'!M36,0),IF(AND(21&gt;='EDT Y TAREAS'!AK37,21&lt;'EDT Y TAREAS'!AL37),'EDT Y TAREAS'!AJ37/'EDT Y TAREAS'!M37,0),IF(AND(21&gt;='EDT Y TAREAS'!AK40,21&lt;'EDT Y TAREAS'!AL40),'EDT Y TAREAS'!AJ40/'EDT Y TAREAS'!M40,0),IF(AND(21&gt;='EDT Y TAREAS'!AK42,21&lt;'EDT Y TAREAS'!AL42),'EDT Y TAREAS'!AJ42/'EDT Y TAREAS'!M42,0),IF(AND(21&gt;='EDT Y TAREAS'!AK49,21&lt;'EDT Y TAREAS'!AL49),'EDT Y TAREAS'!AJ49/'EDT Y TAREAS'!M49,0),IF(AND(21&gt;='EDT Y TAREAS'!AK50,21&lt;'EDT Y TAREAS'!AL50),'EDT Y TAREAS'!AJ50/'EDT Y TAREAS'!M50,0),IF(AND(21&gt;='EDT Y TAREAS'!AK51,21&lt;'EDT Y TAREAS'!AL51),'EDT Y TAREAS'!AJ51/'EDT Y TAREAS'!M51,0),IF(AND(21&gt;='EDT Y TAREAS'!AK52,21&lt;'EDT Y TAREAS'!AL52),'EDT Y TAREAS'!AJ52/'EDT Y TAREAS'!M52,0))</x:f>
        <x:v>0.8</x:v>
      </x:c>
      <x:c r="I61" s="10" t="n">
        <x:f>WORKDAY('RESUMEN'!$D$3-1,A61,'RESUMEN'!$J$6:$J$25)</x:f>
        <x:v>46357</x:v>
      </x:c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  <x:c r="AH61" s="3"/>
      <x:c r="AI61" s="3"/>
      <x:c r="AJ61" s="3"/>
      <x:c r="AK61" s="3"/>
      <x:c r="AL61" s="3"/>
      <x:c r="AM61" s="3"/>
      <x:c r="AN61" s="3"/>
      <x:c r="AO61" s="3"/>
    </x:row>
    <x:row r="62" ht="24" customHeight="1">
      <x:c r="A62" s="3" t="n">
        <x:v>23</x:v>
      </x:c>
      <x:c r="B62" s="35" t="n">
        <x:f>SUM(IF(AND(22&gt;='EDT Y TAREAS'!AK6,22&lt;'EDT Y TAREAS'!AL6),'EDT Y TAREAS'!AD6/'EDT Y TAREAS'!M6,0),IF(AND(22&gt;='EDT Y TAREAS'!AK7,22&lt;'EDT Y TAREAS'!AL7),'EDT Y TAREAS'!AD7/'EDT Y TAREAS'!M7,0),IF(AND(22&gt;='EDT Y TAREAS'!AK8,22&lt;'EDT Y TAREAS'!AL8),'EDT Y TAREAS'!AD8/'EDT Y TAREAS'!M8,0),IF(AND(22&gt;='EDT Y TAREAS'!AK9,22&lt;'EDT Y TAREAS'!AL9),'EDT Y TAREAS'!AD9/'EDT Y TAREAS'!M9,0),IF(AND(22&gt;='EDT Y TAREAS'!AK10,22&lt;'EDT Y TAREAS'!AL10),'EDT Y TAREAS'!AD10/'EDT Y TAREAS'!M10,0),IF(AND(22&gt;='EDT Y TAREAS'!AK11,22&lt;'EDT Y TAREAS'!AL11),'EDT Y TAREAS'!AD11/'EDT Y TAREAS'!M11,0),IF(AND(22&gt;='EDT Y TAREAS'!AK12,22&lt;'EDT Y TAREAS'!AL12),'EDT Y TAREAS'!AD12/'EDT Y TAREAS'!M12,0),IF(AND(22&gt;='EDT Y TAREAS'!AK13,22&lt;'EDT Y TAREAS'!AL13),'EDT Y TAREAS'!AD13/'EDT Y TAREAS'!M13,0),IF(AND(22&gt;='EDT Y TAREAS'!AK14,22&lt;'EDT Y TAREAS'!AL14),'EDT Y TAREAS'!AD14/'EDT Y TAREAS'!M14,0),IF(AND(22&gt;='EDT Y TAREAS'!AK15,22&lt;'EDT Y TAREAS'!AL15),'EDT Y TAREAS'!AD15/'EDT Y TAREAS'!M15,0),IF(AND(22&gt;='EDT Y TAREAS'!AK16,22&lt;'EDT Y TAREAS'!AL16),'EDT Y TAREAS'!AD16/'EDT Y TAREAS'!M16,0),IF(AND(22&gt;='EDT Y TAREAS'!AK17,22&lt;'EDT Y TAREAS'!AL17),'EDT Y TAREAS'!AD17/'EDT Y TAREAS'!M17,0),IF(AND(22&gt;='EDT Y TAREAS'!AK18,22&lt;'EDT Y TAREAS'!AL18),'EDT Y TAREAS'!AD18/'EDT Y TAREAS'!M18,0),IF(AND(22&gt;='EDT Y TAREAS'!AK19,22&lt;'EDT Y TAREAS'!AL19),'EDT Y TAREAS'!AD19/'EDT Y TAREAS'!M19,0),IF(AND(22&gt;='EDT Y TAREAS'!AK20,22&lt;'EDT Y TAREAS'!AL20),'EDT Y TAREAS'!AD20/'EDT Y TAREAS'!M20,0),IF(AND(22&gt;='EDT Y TAREAS'!AK21,22&lt;'EDT Y TAREAS'!AL21),'EDT Y TAREAS'!AD21/'EDT Y TAREAS'!M21,0),IF(AND(22&gt;='EDT Y TAREAS'!AK22,22&lt;'EDT Y TAREAS'!AL22),'EDT Y TAREAS'!AD22/'EDT Y TAREAS'!M22,0),IF(AND(22&gt;='EDT Y TAREAS'!AK23,22&lt;'EDT Y TAREAS'!AL23),'EDT Y TAREAS'!AD23/'EDT Y TAREAS'!M23,0),IF(AND(22&gt;='EDT Y TAREAS'!AK26,22&lt;'EDT Y TAREAS'!AL26),'EDT Y TAREAS'!AD26/'EDT Y TAREAS'!M26,0),IF(AND(22&gt;='EDT Y TAREAS'!AK28,22&lt;'EDT Y TAREAS'!AL28),'EDT Y TAREAS'!AD28/'EDT Y TAREAS'!M28,0),IF(AND(22&gt;='EDT Y TAREAS'!AK30,22&lt;'EDT Y TAREAS'!AL30),'EDT Y TAREAS'!AD30/'EDT Y TAREAS'!M30,0),IF(AND(22&gt;='EDT Y TAREAS'!AK32,22&lt;'EDT Y TAREAS'!AL32),'EDT Y TAREAS'!AD32/'EDT Y TAREAS'!M32,0),IF(AND(22&gt;='EDT Y TAREAS'!AK34,22&lt;'EDT Y TAREAS'!AL34),'EDT Y TAREAS'!AD34/'EDT Y TAREAS'!M34,0),IF(AND(22&gt;='EDT Y TAREAS'!AK38,22&lt;'EDT Y TAREAS'!AL38),'EDT Y TAREAS'!AD38/'EDT Y TAREAS'!M38,0),IF(AND(22&gt;='EDT Y TAREAS'!AK39,22&lt;'EDT Y TAREAS'!AL39),'EDT Y TAREAS'!AD39/'EDT Y TAREAS'!M39,0),IF(AND(22&gt;='EDT Y TAREAS'!AK43,22&lt;'EDT Y TAREAS'!AL43),'EDT Y TAREAS'!AD43/'EDT Y TAREAS'!M43,0),IF(AND(22&gt;='EDT Y TAREAS'!AK44,22&lt;'EDT Y TAREAS'!AL44),'EDT Y TAREAS'!AD44/'EDT Y TAREAS'!M44,0),IF(AND(22&gt;='EDT Y TAREAS'!AK45,22&lt;'EDT Y TAREAS'!AL45),'EDT Y TAREAS'!AD45/'EDT Y TAREAS'!M45,0),IF(AND(22&gt;='EDT Y TAREAS'!AK46,22&lt;'EDT Y TAREAS'!AL46),'EDT Y TAREAS'!AD46/'EDT Y TAREAS'!M46,0),IF(AND(22&gt;='EDT Y TAREAS'!AK47,22&lt;'EDT Y TAREAS'!AL47),'EDT Y TAREAS'!AD47/'EDT Y TAREAS'!M47,0),IF(AND(22&gt;='EDT Y TAREAS'!AK49,22&lt;'EDT Y TAREAS'!AL49),'EDT Y TAREAS'!AD49/'EDT Y TAREAS'!M49,0),IF(AND(22&gt;='EDT Y TAREAS'!AK50,22&lt;'EDT Y TAREAS'!AL50),'EDT Y TAREAS'!AD50/'EDT Y TAREAS'!M50,0),IF(AND(22&gt;='EDT Y TAREAS'!AK51,22&lt;'EDT Y TAREAS'!AL51),'EDT Y TAREAS'!AD51/'EDT Y TAREAS'!M51,0),IF(AND(22&gt;='EDT Y TAREAS'!AK52,22&lt;'EDT Y TAREAS'!AL52),'EDT Y TAREAS'!AD52/'EDT Y TAREAS'!M52,0))</x:f>
        <x:v>3.2</x:v>
      </x:c>
      <x:c r="C62" s="35" t="n">
        <x:f>SUM(IF(AND(22&gt;='EDT Y TAREAS'!AK6,22&lt;'EDT Y TAREAS'!AL6),'EDT Y TAREAS'!AE6/'EDT Y TAREAS'!M6,0),IF(AND(22&gt;='EDT Y TAREAS'!AK8,22&lt;'EDT Y TAREAS'!AL8),'EDT Y TAREAS'!AE8/'EDT Y TAREAS'!M8,0),IF(AND(22&gt;='EDT Y TAREAS'!AK9,22&lt;'EDT Y TAREAS'!AL9),'EDT Y TAREAS'!AE9/'EDT Y TAREAS'!M9,0),IF(AND(22&gt;='EDT Y TAREAS'!AK10,22&lt;'EDT Y TAREAS'!AL10),'EDT Y TAREAS'!AE10/'EDT Y TAREAS'!M10,0),IF(AND(22&gt;='EDT Y TAREAS'!AK12,22&lt;'EDT Y TAREAS'!AL12),'EDT Y TAREAS'!AE12/'EDT Y TAREAS'!M12,0),IF(AND(22&gt;='EDT Y TAREAS'!AK16,22&lt;'EDT Y TAREAS'!AL16),'EDT Y TAREAS'!AE16/'EDT Y TAREAS'!M16,0),IF(AND(22&gt;='EDT Y TAREAS'!AK21,22&lt;'EDT Y TAREAS'!AL21),'EDT Y TAREAS'!AE21/'EDT Y TAREAS'!M21,0),IF(AND(22&gt;='EDT Y TAREAS'!AK23,22&lt;'EDT Y TAREAS'!AL23),'EDT Y TAREAS'!AE23/'EDT Y TAREAS'!M23,0),IF(AND(22&gt;='EDT Y TAREAS'!AK37,22&lt;'EDT Y TAREAS'!AL37),'EDT Y TAREAS'!AE37/'EDT Y TAREAS'!M37,0),IF(AND(22&gt;='EDT Y TAREAS'!AK38,22&lt;'EDT Y TAREAS'!AL38),'EDT Y TAREAS'!AE38/'EDT Y TAREAS'!M38,0),IF(AND(22&gt;='EDT Y TAREAS'!AK41,22&lt;'EDT Y TAREAS'!AL41),'EDT Y TAREAS'!AE41/'EDT Y TAREAS'!M41,0),IF(AND(22&gt;='EDT Y TAREAS'!AK43,22&lt;'EDT Y TAREAS'!AL43),'EDT Y TAREAS'!AE43/'EDT Y TAREAS'!M43,0),IF(AND(22&gt;='EDT Y TAREAS'!AK44,22&lt;'EDT Y TAREAS'!AL44),'EDT Y TAREAS'!AE44/'EDT Y TAREAS'!M44,0),IF(AND(22&gt;='EDT Y TAREAS'!AK46,22&lt;'EDT Y TAREAS'!AL46),'EDT Y TAREAS'!AE46/'EDT Y TAREAS'!M46,0),IF(AND(22&gt;='EDT Y TAREAS'!AK47,22&lt;'EDT Y TAREAS'!AL47),'EDT Y TAREAS'!AE47/'EDT Y TAREAS'!M47,0),IF(AND(22&gt;='EDT Y TAREAS'!AK51,22&lt;'EDT Y TAREAS'!AL51),'EDT Y TAREAS'!AE51/'EDT Y TAREAS'!M51,0),IF(AND(22&gt;='EDT Y TAREAS'!AK52,22&lt;'EDT Y TAREAS'!AL52),'EDT Y TAREAS'!AE52/'EDT Y TAREAS'!M52,0))</x:f>
        <x:v>0.8</x:v>
      </x:c>
      <x:c r="D62" s="35" t="n">
        <x:f>SUM(IF(AND(22&gt;='EDT Y TAREAS'!AK11,22&lt;'EDT Y TAREAS'!AL11),'EDT Y TAREAS'!AF11/'EDT Y TAREAS'!M11,0),IF(AND(22&gt;='EDT Y TAREAS'!AK24,22&lt;'EDT Y TAREAS'!AL24),'EDT Y TAREAS'!AF24/'EDT Y TAREAS'!M24,0),IF(AND(22&gt;='EDT Y TAREAS'!AK25,22&lt;'EDT Y TAREAS'!AL25),'EDT Y TAREAS'!AF25/'EDT Y TAREAS'!M25,0),IF(AND(22&gt;='EDT Y TAREAS'!AK26,22&lt;'EDT Y TAREAS'!AL26),'EDT Y TAREAS'!AF26/'EDT Y TAREAS'!M26,0),IF(AND(22&gt;='EDT Y TAREAS'!AK27,22&lt;'EDT Y TAREAS'!AL27),'EDT Y TAREAS'!AF27/'EDT Y TAREAS'!M27,0),IF(AND(22&gt;='EDT Y TAREAS'!AK28,22&lt;'EDT Y TAREAS'!AL28),'EDT Y TAREAS'!AF28/'EDT Y TAREAS'!M28,0),IF(AND(22&gt;='EDT Y TAREAS'!AK31,22&lt;'EDT Y TAREAS'!AL31),'EDT Y TAREAS'!AF31/'EDT Y TAREAS'!M31,0),IF(AND(22&gt;='EDT Y TAREAS'!AK33,22&lt;'EDT Y TAREAS'!AL33),'EDT Y TAREAS'!AF33/'EDT Y TAREAS'!M33,0),IF(AND(22&gt;='EDT Y TAREAS'!AK34,22&lt;'EDT Y TAREAS'!AL34),'EDT Y TAREAS'!AF34/'EDT Y TAREAS'!M34,0),IF(AND(22&gt;='EDT Y TAREAS'!AK35,22&lt;'EDT Y TAREAS'!AL35),'EDT Y TAREAS'!AF35/'EDT Y TAREAS'!M35,0),IF(AND(22&gt;='EDT Y TAREAS'!AK37,22&lt;'EDT Y TAREAS'!AL37),'EDT Y TAREAS'!AF37/'EDT Y TAREAS'!M37,0),IF(AND(22&gt;='EDT Y TAREAS'!AK39,22&lt;'EDT Y TAREAS'!AL39),'EDT Y TAREAS'!AF39/'EDT Y TAREAS'!M39,0),IF(AND(22&gt;='EDT Y TAREAS'!AK40,22&lt;'EDT Y TAREAS'!AL40),'EDT Y TAREAS'!AF40/'EDT Y TAREAS'!M40,0),IF(AND(22&gt;='EDT Y TAREAS'!AK42,22&lt;'EDT Y TAREAS'!AL42),'EDT Y TAREAS'!AF42/'EDT Y TAREAS'!M42,0),IF(AND(22&gt;='EDT Y TAREAS'!AK45,22&lt;'EDT Y TAREAS'!AL45),'EDT Y TAREAS'!AF45/'EDT Y TAREAS'!M45,0),IF(AND(22&gt;='EDT Y TAREAS'!AK49,22&lt;'EDT Y TAREAS'!AL49),'EDT Y TAREAS'!AF49/'EDT Y TAREAS'!M49,0),IF(AND(22&gt;='EDT Y TAREAS'!AK52,22&lt;'EDT Y TAREAS'!AL52),'EDT Y TAREAS'!AF52/'EDT Y TAREAS'!M52,0))</x:f>
        <x:v>4</x:v>
      </x:c>
      <x:c r="E62" s="35" t="n">
        <x:f>SUM(IF(AND(22&gt;='EDT Y TAREAS'!AK29,22&lt;'EDT Y TAREAS'!AL29),'EDT Y TAREAS'!AG29/'EDT Y TAREAS'!M29,0),IF(AND(22&gt;='EDT Y TAREAS'!AK30,22&lt;'EDT Y TAREAS'!AL30),'EDT Y TAREAS'!AG30/'EDT Y TAREAS'!M30,0),IF(AND(22&gt;='EDT Y TAREAS'!AK31,22&lt;'EDT Y TAREAS'!AL31),'EDT Y TAREAS'!AG31/'EDT Y TAREAS'!M31,0),IF(AND(22&gt;='EDT Y TAREAS'!AK32,22&lt;'EDT Y TAREAS'!AL32),'EDT Y TAREAS'!AG32/'EDT Y TAREAS'!M32,0),IF(AND(22&gt;='EDT Y TAREAS'!AK41,22&lt;'EDT Y TAREAS'!AL41),'EDT Y TAREAS'!AG41/'EDT Y TAREAS'!M41,0),IF(AND(22&gt;='EDT Y TAREAS'!AK45,22&lt;'EDT Y TAREAS'!AL45),'EDT Y TAREAS'!AG45/'EDT Y TAREAS'!M45,0),IF(AND(22&gt;='EDT Y TAREAS'!AK48,22&lt;'EDT Y TAREAS'!AL48),'EDT Y TAREAS'!AG48/'EDT Y TAREAS'!M48,0))</x:f>
        <x:v>0</x:v>
      </x:c>
      <x:c r="F62" s="35" t="n">
        <x:f>SUM(IF(AND(22&gt;='EDT Y TAREAS'!AK10,22&lt;'EDT Y TAREAS'!AL10),'EDT Y TAREAS'!AH10/'EDT Y TAREAS'!M10,0),IF(AND(22&gt;='EDT Y TAREAS'!AK12,22&lt;'EDT Y TAREAS'!AL12),'EDT Y TAREAS'!AH12/'EDT Y TAREAS'!M12,0),IF(AND(22&gt;='EDT Y TAREAS'!AK22,22&lt;'EDT Y TAREAS'!AL22),'EDT Y TAREAS'!AH22/'EDT Y TAREAS'!M22,0),IF(AND(22&gt;='EDT Y TAREAS'!AK23,22&lt;'EDT Y TAREAS'!AL23),'EDT Y TAREAS'!AH23/'EDT Y TAREAS'!M23,0),IF(AND(22&gt;='EDT Y TAREAS'!AK29,22&lt;'EDT Y TAREAS'!AL29),'EDT Y TAREAS'!AH29/'EDT Y TAREAS'!M29,0),IF(AND(22&gt;='EDT Y TAREAS'!AK30,22&lt;'EDT Y TAREAS'!AL30),'EDT Y TAREAS'!AH30/'EDT Y TAREAS'!M30,0),IF(AND(22&gt;='EDT Y TAREAS'!AK32,22&lt;'EDT Y TAREAS'!AL32),'EDT Y TAREAS'!AH32/'EDT Y TAREAS'!M32,0),IF(AND(22&gt;='EDT Y TAREAS'!AK41,22&lt;'EDT Y TAREAS'!AL41),'EDT Y TAREAS'!AH41/'EDT Y TAREAS'!M41,0),IF(AND(22&gt;='EDT Y TAREAS'!AK44,22&lt;'EDT Y TAREAS'!AL44),'EDT Y TAREAS'!AH44/'EDT Y TAREAS'!M44,0),IF(AND(22&gt;='EDT Y TAREAS'!AK46,22&lt;'EDT Y TAREAS'!AL46),'EDT Y TAREAS'!AH46/'EDT Y TAREAS'!M46,0),IF(AND(22&gt;='EDT Y TAREAS'!AK48,22&lt;'EDT Y TAREAS'!AL48),'EDT Y TAREAS'!AH48/'EDT Y TAREAS'!M48,0))</x:f>
        <x:v>2.4</x:v>
      </x:c>
      <x:c r="G62" s="35" t="n">
        <x:f>SUM(IF(AND(22&gt;='EDT Y TAREAS'!AK20,22&lt;'EDT Y TAREAS'!AL20),'EDT Y TAREAS'!AI20/'EDT Y TAREAS'!M20,0),IF(AND(22&gt;='EDT Y TAREAS'!AK25,22&lt;'EDT Y TAREAS'!AL25),'EDT Y TAREAS'!AI25/'EDT Y TAREAS'!M25,0),IF(AND(22&gt;='EDT Y TAREAS'!AK33,22&lt;'EDT Y TAREAS'!AL33),'EDT Y TAREAS'!AI33/'EDT Y TAREAS'!M33,0),IF(AND(22&gt;='EDT Y TAREAS'!AK34,22&lt;'EDT Y TAREAS'!AL34),'EDT Y TAREAS'!AI34/'EDT Y TAREAS'!M34,0),IF(AND(22&gt;='EDT Y TAREAS'!AK36,22&lt;'EDT Y TAREAS'!AL36),'EDT Y TAREAS'!AI36/'EDT Y TAREAS'!M36,0),IF(AND(22&gt;='EDT Y TAREAS'!AK39,22&lt;'EDT Y TAREAS'!AL39),'EDT Y TAREAS'!AI39/'EDT Y TAREAS'!M39,0),IF(AND(22&gt;='EDT Y TAREAS'!AK40,22&lt;'EDT Y TAREAS'!AL40),'EDT Y TAREAS'!AI40/'EDT Y TAREAS'!M40,0),IF(AND(22&gt;='EDT Y TAREAS'!AK42,22&lt;'EDT Y TAREAS'!AL42),'EDT Y TAREAS'!AI42/'EDT Y TAREAS'!M42,0),IF(AND(22&gt;='EDT Y TAREAS'!AK43,22&lt;'EDT Y TAREAS'!AL43),'EDT Y TAREAS'!AI43/'EDT Y TAREAS'!M43,0),IF(AND(22&gt;='EDT Y TAREAS'!AK44,22&lt;'EDT Y TAREAS'!AL44),'EDT Y TAREAS'!AI44/'EDT Y TAREAS'!M44,0),IF(AND(22&gt;='EDT Y TAREAS'!AK45,22&lt;'EDT Y TAREAS'!AL45),'EDT Y TAREAS'!AI45/'EDT Y TAREAS'!M45,0),IF(AND(22&gt;='EDT Y TAREAS'!AK46,22&lt;'EDT Y TAREAS'!AL46),'EDT Y TAREAS'!AI46/'EDT Y TAREAS'!M46,0),IF(AND(22&gt;='EDT Y TAREAS'!AK48,22&lt;'EDT Y TAREAS'!AL48),'EDT Y TAREAS'!AI48/'EDT Y TAREAS'!M48,0),IF(AND(22&gt;='EDT Y TAREAS'!AK50,22&lt;'EDT Y TAREAS'!AL50),'EDT Y TAREAS'!AI50/'EDT Y TAREAS'!M50,0),IF(AND(22&gt;='EDT Y TAREAS'!AK52,22&lt;'EDT Y TAREAS'!AL52),'EDT Y TAREAS'!AI52/'EDT Y TAREAS'!M52,0))</x:f>
        <x:v>0</x:v>
      </x:c>
      <x:c r="H62" s="35" t="n">
        <x:f>SUM(IF(AND(22&gt;='EDT Y TAREAS'!AK11,22&lt;'EDT Y TAREAS'!AL11),'EDT Y TAREAS'!AJ11/'EDT Y TAREAS'!M11,0),IF(AND(22&gt;='EDT Y TAREAS'!AK24,22&lt;'EDT Y TAREAS'!AL24),'EDT Y TAREAS'!AJ24/'EDT Y TAREAS'!M24,0),IF(AND(22&gt;='EDT Y TAREAS'!AK27,22&lt;'EDT Y TAREAS'!AL27),'EDT Y TAREAS'!AJ27/'EDT Y TAREAS'!M27,0),IF(AND(22&gt;='EDT Y TAREAS'!AK28,22&lt;'EDT Y TAREAS'!AL28),'EDT Y TAREAS'!AJ28/'EDT Y TAREAS'!M28,0),IF(AND(22&gt;='EDT Y TAREAS'!AK33,22&lt;'EDT Y TAREAS'!AL33),'EDT Y TAREAS'!AJ33/'EDT Y TAREAS'!M33,0),IF(AND(22&gt;='EDT Y TAREAS'!AK35,22&lt;'EDT Y TAREAS'!AL35),'EDT Y TAREAS'!AJ35/'EDT Y TAREAS'!M35,0),IF(AND(22&gt;='EDT Y TAREAS'!AK36,22&lt;'EDT Y TAREAS'!AL36),'EDT Y TAREAS'!AJ36/'EDT Y TAREAS'!M36,0),IF(AND(22&gt;='EDT Y TAREAS'!AK37,22&lt;'EDT Y TAREAS'!AL37),'EDT Y TAREAS'!AJ37/'EDT Y TAREAS'!M37,0),IF(AND(22&gt;='EDT Y TAREAS'!AK40,22&lt;'EDT Y TAREAS'!AL40),'EDT Y TAREAS'!AJ40/'EDT Y TAREAS'!M40,0),IF(AND(22&gt;='EDT Y TAREAS'!AK42,22&lt;'EDT Y TAREAS'!AL42),'EDT Y TAREAS'!AJ42/'EDT Y TAREAS'!M42,0),IF(AND(22&gt;='EDT Y TAREAS'!AK49,22&lt;'EDT Y TAREAS'!AL49),'EDT Y TAREAS'!AJ49/'EDT Y TAREAS'!M49,0),IF(AND(22&gt;='EDT Y TAREAS'!AK50,22&lt;'EDT Y TAREAS'!AL50),'EDT Y TAREAS'!AJ50/'EDT Y TAREAS'!M50,0),IF(AND(22&gt;='EDT Y TAREAS'!AK51,22&lt;'EDT Y TAREAS'!AL51),'EDT Y TAREAS'!AJ51/'EDT Y TAREAS'!M51,0),IF(AND(22&gt;='EDT Y TAREAS'!AK52,22&lt;'EDT Y TAREAS'!AL52),'EDT Y TAREAS'!AJ52/'EDT Y TAREAS'!M52,0))</x:f>
        <x:v>0.8</x:v>
      </x:c>
      <x:c r="I62" s="10" t="n">
        <x:f>WORKDAY('RESUMEN'!$D$3-1,A62,'RESUMEN'!$J$6:$J$25)</x:f>
        <x:v>46358</x:v>
      </x:c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  <x:c r="AJ62" s="3"/>
      <x:c r="AK62" s="3"/>
      <x:c r="AL62" s="3"/>
      <x:c r="AM62" s="3"/>
      <x:c r="AN62" s="3"/>
      <x:c r="AO62" s="3"/>
    </x:row>
    <x:row r="63" ht="24" customHeight="1">
      <x:c r="A63" s="3" t="n">
        <x:v>24</x:v>
      </x:c>
      <x:c r="B63" s="35" t="n">
        <x:f>SUM(IF(AND(23&gt;='EDT Y TAREAS'!AK6,23&lt;'EDT Y TAREAS'!AL6),'EDT Y TAREAS'!AD6/'EDT Y TAREAS'!M6,0),IF(AND(23&gt;='EDT Y TAREAS'!AK7,23&lt;'EDT Y TAREAS'!AL7),'EDT Y TAREAS'!AD7/'EDT Y TAREAS'!M7,0),IF(AND(23&gt;='EDT Y TAREAS'!AK8,23&lt;'EDT Y TAREAS'!AL8),'EDT Y TAREAS'!AD8/'EDT Y TAREAS'!M8,0),IF(AND(23&gt;='EDT Y TAREAS'!AK9,23&lt;'EDT Y TAREAS'!AL9),'EDT Y TAREAS'!AD9/'EDT Y TAREAS'!M9,0),IF(AND(23&gt;='EDT Y TAREAS'!AK10,23&lt;'EDT Y TAREAS'!AL10),'EDT Y TAREAS'!AD10/'EDT Y TAREAS'!M10,0),IF(AND(23&gt;='EDT Y TAREAS'!AK11,23&lt;'EDT Y TAREAS'!AL11),'EDT Y TAREAS'!AD11/'EDT Y TAREAS'!M11,0),IF(AND(23&gt;='EDT Y TAREAS'!AK12,23&lt;'EDT Y TAREAS'!AL12),'EDT Y TAREAS'!AD12/'EDT Y TAREAS'!M12,0),IF(AND(23&gt;='EDT Y TAREAS'!AK13,23&lt;'EDT Y TAREAS'!AL13),'EDT Y TAREAS'!AD13/'EDT Y TAREAS'!M13,0),IF(AND(23&gt;='EDT Y TAREAS'!AK14,23&lt;'EDT Y TAREAS'!AL14),'EDT Y TAREAS'!AD14/'EDT Y TAREAS'!M14,0),IF(AND(23&gt;='EDT Y TAREAS'!AK15,23&lt;'EDT Y TAREAS'!AL15),'EDT Y TAREAS'!AD15/'EDT Y TAREAS'!M15,0),IF(AND(23&gt;='EDT Y TAREAS'!AK16,23&lt;'EDT Y TAREAS'!AL16),'EDT Y TAREAS'!AD16/'EDT Y TAREAS'!M16,0),IF(AND(23&gt;='EDT Y TAREAS'!AK17,23&lt;'EDT Y TAREAS'!AL17),'EDT Y TAREAS'!AD17/'EDT Y TAREAS'!M17,0),IF(AND(23&gt;='EDT Y TAREAS'!AK18,23&lt;'EDT Y TAREAS'!AL18),'EDT Y TAREAS'!AD18/'EDT Y TAREAS'!M18,0),IF(AND(23&gt;='EDT Y TAREAS'!AK19,23&lt;'EDT Y TAREAS'!AL19),'EDT Y TAREAS'!AD19/'EDT Y TAREAS'!M19,0),IF(AND(23&gt;='EDT Y TAREAS'!AK20,23&lt;'EDT Y TAREAS'!AL20),'EDT Y TAREAS'!AD20/'EDT Y TAREAS'!M20,0),IF(AND(23&gt;='EDT Y TAREAS'!AK21,23&lt;'EDT Y TAREAS'!AL21),'EDT Y TAREAS'!AD21/'EDT Y TAREAS'!M21,0),IF(AND(23&gt;='EDT Y TAREAS'!AK22,23&lt;'EDT Y TAREAS'!AL22),'EDT Y TAREAS'!AD22/'EDT Y TAREAS'!M22,0),IF(AND(23&gt;='EDT Y TAREAS'!AK23,23&lt;'EDT Y TAREAS'!AL23),'EDT Y TAREAS'!AD23/'EDT Y TAREAS'!M23,0),IF(AND(23&gt;='EDT Y TAREAS'!AK26,23&lt;'EDT Y TAREAS'!AL26),'EDT Y TAREAS'!AD26/'EDT Y TAREAS'!M26,0),IF(AND(23&gt;='EDT Y TAREAS'!AK28,23&lt;'EDT Y TAREAS'!AL28),'EDT Y TAREAS'!AD28/'EDT Y TAREAS'!M28,0),IF(AND(23&gt;='EDT Y TAREAS'!AK30,23&lt;'EDT Y TAREAS'!AL30),'EDT Y TAREAS'!AD30/'EDT Y TAREAS'!M30,0),IF(AND(23&gt;='EDT Y TAREAS'!AK32,23&lt;'EDT Y TAREAS'!AL32),'EDT Y TAREAS'!AD32/'EDT Y TAREAS'!M32,0),IF(AND(23&gt;='EDT Y TAREAS'!AK34,23&lt;'EDT Y TAREAS'!AL34),'EDT Y TAREAS'!AD34/'EDT Y TAREAS'!M34,0),IF(AND(23&gt;='EDT Y TAREAS'!AK38,23&lt;'EDT Y TAREAS'!AL38),'EDT Y TAREAS'!AD38/'EDT Y TAREAS'!M38,0),IF(AND(23&gt;='EDT Y TAREAS'!AK39,23&lt;'EDT Y TAREAS'!AL39),'EDT Y TAREAS'!AD39/'EDT Y TAREAS'!M39,0),IF(AND(23&gt;='EDT Y TAREAS'!AK43,23&lt;'EDT Y TAREAS'!AL43),'EDT Y TAREAS'!AD43/'EDT Y TAREAS'!M43,0),IF(AND(23&gt;='EDT Y TAREAS'!AK44,23&lt;'EDT Y TAREAS'!AL44),'EDT Y TAREAS'!AD44/'EDT Y TAREAS'!M44,0),IF(AND(23&gt;='EDT Y TAREAS'!AK45,23&lt;'EDT Y TAREAS'!AL45),'EDT Y TAREAS'!AD45/'EDT Y TAREAS'!M45,0),IF(AND(23&gt;='EDT Y TAREAS'!AK46,23&lt;'EDT Y TAREAS'!AL46),'EDT Y TAREAS'!AD46/'EDT Y TAREAS'!M46,0),IF(AND(23&gt;='EDT Y TAREAS'!AK47,23&lt;'EDT Y TAREAS'!AL47),'EDT Y TAREAS'!AD47/'EDT Y TAREAS'!M47,0),IF(AND(23&gt;='EDT Y TAREAS'!AK49,23&lt;'EDT Y TAREAS'!AL49),'EDT Y TAREAS'!AD49/'EDT Y TAREAS'!M49,0),IF(AND(23&gt;='EDT Y TAREAS'!AK50,23&lt;'EDT Y TAREAS'!AL50),'EDT Y TAREAS'!AD50/'EDT Y TAREAS'!M50,0),IF(AND(23&gt;='EDT Y TAREAS'!AK51,23&lt;'EDT Y TAREAS'!AL51),'EDT Y TAREAS'!AD51/'EDT Y TAREAS'!M51,0),IF(AND(23&gt;='EDT Y TAREAS'!AK52,23&lt;'EDT Y TAREAS'!AL52),'EDT Y TAREAS'!AD52/'EDT Y TAREAS'!M52,0))</x:f>
        <x:v>1.3333333333333333</x:v>
      </x:c>
      <x:c r="C63" s="35" t="n">
        <x:f>SUM(IF(AND(23&gt;='EDT Y TAREAS'!AK6,23&lt;'EDT Y TAREAS'!AL6),'EDT Y TAREAS'!AE6/'EDT Y TAREAS'!M6,0),IF(AND(23&gt;='EDT Y TAREAS'!AK8,23&lt;'EDT Y TAREAS'!AL8),'EDT Y TAREAS'!AE8/'EDT Y TAREAS'!M8,0),IF(AND(23&gt;='EDT Y TAREAS'!AK9,23&lt;'EDT Y TAREAS'!AL9),'EDT Y TAREAS'!AE9/'EDT Y TAREAS'!M9,0),IF(AND(23&gt;='EDT Y TAREAS'!AK10,23&lt;'EDT Y TAREAS'!AL10),'EDT Y TAREAS'!AE10/'EDT Y TAREAS'!M10,0),IF(AND(23&gt;='EDT Y TAREAS'!AK12,23&lt;'EDT Y TAREAS'!AL12),'EDT Y TAREAS'!AE12/'EDT Y TAREAS'!M12,0),IF(AND(23&gt;='EDT Y TAREAS'!AK16,23&lt;'EDT Y TAREAS'!AL16),'EDT Y TAREAS'!AE16/'EDT Y TAREAS'!M16,0),IF(AND(23&gt;='EDT Y TAREAS'!AK21,23&lt;'EDT Y TAREAS'!AL21),'EDT Y TAREAS'!AE21/'EDT Y TAREAS'!M21,0),IF(AND(23&gt;='EDT Y TAREAS'!AK23,23&lt;'EDT Y TAREAS'!AL23),'EDT Y TAREAS'!AE23/'EDT Y TAREAS'!M23,0),IF(AND(23&gt;='EDT Y TAREAS'!AK37,23&lt;'EDT Y TAREAS'!AL37),'EDT Y TAREAS'!AE37/'EDT Y TAREAS'!M37,0),IF(AND(23&gt;='EDT Y TAREAS'!AK38,23&lt;'EDT Y TAREAS'!AL38),'EDT Y TAREAS'!AE38/'EDT Y TAREAS'!M38,0),IF(AND(23&gt;='EDT Y TAREAS'!AK41,23&lt;'EDT Y TAREAS'!AL41),'EDT Y TAREAS'!AE41/'EDT Y TAREAS'!M41,0),IF(AND(23&gt;='EDT Y TAREAS'!AK43,23&lt;'EDT Y TAREAS'!AL43),'EDT Y TAREAS'!AE43/'EDT Y TAREAS'!M43,0),IF(AND(23&gt;='EDT Y TAREAS'!AK44,23&lt;'EDT Y TAREAS'!AL44),'EDT Y TAREAS'!AE44/'EDT Y TAREAS'!M44,0),IF(AND(23&gt;='EDT Y TAREAS'!AK46,23&lt;'EDT Y TAREAS'!AL46),'EDT Y TAREAS'!AE46/'EDT Y TAREAS'!M46,0),IF(AND(23&gt;='EDT Y TAREAS'!AK47,23&lt;'EDT Y TAREAS'!AL47),'EDT Y TAREAS'!AE47/'EDT Y TAREAS'!M47,0),IF(AND(23&gt;='EDT Y TAREAS'!AK51,23&lt;'EDT Y TAREAS'!AL51),'EDT Y TAREAS'!AE51/'EDT Y TAREAS'!M51,0),IF(AND(23&gt;='EDT Y TAREAS'!AK52,23&lt;'EDT Y TAREAS'!AL52),'EDT Y TAREAS'!AE52/'EDT Y TAREAS'!M52,0))</x:f>
        <x:v>1.3333333333333333</x:v>
      </x:c>
      <x:c r="D63" s="35" t="n">
        <x:f>SUM(IF(AND(23&gt;='EDT Y TAREAS'!AK11,23&lt;'EDT Y TAREAS'!AL11),'EDT Y TAREAS'!AF11/'EDT Y TAREAS'!M11,0),IF(AND(23&gt;='EDT Y TAREAS'!AK24,23&lt;'EDT Y TAREAS'!AL24),'EDT Y TAREAS'!AF24/'EDT Y TAREAS'!M24,0),IF(AND(23&gt;='EDT Y TAREAS'!AK25,23&lt;'EDT Y TAREAS'!AL25),'EDT Y TAREAS'!AF25/'EDT Y TAREAS'!M25,0),IF(AND(23&gt;='EDT Y TAREAS'!AK26,23&lt;'EDT Y TAREAS'!AL26),'EDT Y TAREAS'!AF26/'EDT Y TAREAS'!M26,0),IF(AND(23&gt;='EDT Y TAREAS'!AK27,23&lt;'EDT Y TAREAS'!AL27),'EDT Y TAREAS'!AF27/'EDT Y TAREAS'!M27,0),IF(AND(23&gt;='EDT Y TAREAS'!AK28,23&lt;'EDT Y TAREAS'!AL28),'EDT Y TAREAS'!AF28/'EDT Y TAREAS'!M28,0),IF(AND(23&gt;='EDT Y TAREAS'!AK31,23&lt;'EDT Y TAREAS'!AL31),'EDT Y TAREAS'!AF31/'EDT Y TAREAS'!M31,0),IF(AND(23&gt;='EDT Y TAREAS'!AK33,23&lt;'EDT Y TAREAS'!AL33),'EDT Y TAREAS'!AF33/'EDT Y TAREAS'!M33,0),IF(AND(23&gt;='EDT Y TAREAS'!AK34,23&lt;'EDT Y TAREAS'!AL34),'EDT Y TAREAS'!AF34/'EDT Y TAREAS'!M34,0),IF(AND(23&gt;='EDT Y TAREAS'!AK35,23&lt;'EDT Y TAREAS'!AL35),'EDT Y TAREAS'!AF35/'EDT Y TAREAS'!M35,0),IF(AND(23&gt;='EDT Y TAREAS'!AK37,23&lt;'EDT Y TAREAS'!AL37),'EDT Y TAREAS'!AF37/'EDT Y TAREAS'!M37,0),IF(AND(23&gt;='EDT Y TAREAS'!AK39,23&lt;'EDT Y TAREAS'!AL39),'EDT Y TAREAS'!AF39/'EDT Y TAREAS'!M39,0),IF(AND(23&gt;='EDT Y TAREAS'!AK40,23&lt;'EDT Y TAREAS'!AL40),'EDT Y TAREAS'!AF40/'EDT Y TAREAS'!M40,0),IF(AND(23&gt;='EDT Y TAREAS'!AK42,23&lt;'EDT Y TAREAS'!AL42),'EDT Y TAREAS'!AF42/'EDT Y TAREAS'!M42,0),IF(AND(23&gt;='EDT Y TAREAS'!AK45,23&lt;'EDT Y TAREAS'!AL45),'EDT Y TAREAS'!AF45/'EDT Y TAREAS'!M45,0),IF(AND(23&gt;='EDT Y TAREAS'!AK49,23&lt;'EDT Y TAREAS'!AL49),'EDT Y TAREAS'!AF49/'EDT Y TAREAS'!M49,0),IF(AND(23&gt;='EDT Y TAREAS'!AK52,23&lt;'EDT Y TAREAS'!AL52),'EDT Y TAREAS'!AF52/'EDT Y TAREAS'!M52,0))</x:f>
        <x:v>1.2</x:v>
      </x:c>
      <x:c r="E63" s="35" t="n">
        <x:f>SUM(IF(AND(23&gt;='EDT Y TAREAS'!AK29,23&lt;'EDT Y TAREAS'!AL29),'EDT Y TAREAS'!AG29/'EDT Y TAREAS'!M29,0),IF(AND(23&gt;='EDT Y TAREAS'!AK30,23&lt;'EDT Y TAREAS'!AL30),'EDT Y TAREAS'!AG30/'EDT Y TAREAS'!M30,0),IF(AND(23&gt;='EDT Y TAREAS'!AK31,23&lt;'EDT Y TAREAS'!AL31),'EDT Y TAREAS'!AG31/'EDT Y TAREAS'!M31,0),IF(AND(23&gt;='EDT Y TAREAS'!AK32,23&lt;'EDT Y TAREAS'!AL32),'EDT Y TAREAS'!AG32/'EDT Y TAREAS'!M32,0),IF(AND(23&gt;='EDT Y TAREAS'!AK41,23&lt;'EDT Y TAREAS'!AL41),'EDT Y TAREAS'!AG41/'EDT Y TAREAS'!M41,0),IF(AND(23&gt;='EDT Y TAREAS'!AK45,23&lt;'EDT Y TAREAS'!AL45),'EDT Y TAREAS'!AG45/'EDT Y TAREAS'!M45,0),IF(AND(23&gt;='EDT Y TAREAS'!AK48,23&lt;'EDT Y TAREAS'!AL48),'EDT Y TAREAS'!AG48/'EDT Y TAREAS'!M48,0))</x:f>
        <x:v>0</x:v>
      </x:c>
      <x:c r="F63" s="35" t="n">
        <x:f>SUM(IF(AND(23&gt;='EDT Y TAREAS'!AK10,23&lt;'EDT Y TAREAS'!AL10),'EDT Y TAREAS'!AH10/'EDT Y TAREAS'!M10,0),IF(AND(23&gt;='EDT Y TAREAS'!AK12,23&lt;'EDT Y TAREAS'!AL12),'EDT Y TAREAS'!AH12/'EDT Y TAREAS'!M12,0),IF(AND(23&gt;='EDT Y TAREAS'!AK22,23&lt;'EDT Y TAREAS'!AL22),'EDT Y TAREAS'!AH22/'EDT Y TAREAS'!M22,0),IF(AND(23&gt;='EDT Y TAREAS'!AK23,23&lt;'EDT Y TAREAS'!AL23),'EDT Y TAREAS'!AH23/'EDT Y TAREAS'!M23,0),IF(AND(23&gt;='EDT Y TAREAS'!AK29,23&lt;'EDT Y TAREAS'!AL29),'EDT Y TAREAS'!AH29/'EDT Y TAREAS'!M29,0),IF(AND(23&gt;='EDT Y TAREAS'!AK30,23&lt;'EDT Y TAREAS'!AL30),'EDT Y TAREAS'!AH30/'EDT Y TAREAS'!M30,0),IF(AND(23&gt;='EDT Y TAREAS'!AK32,23&lt;'EDT Y TAREAS'!AL32),'EDT Y TAREAS'!AH32/'EDT Y TAREAS'!M32,0),IF(AND(23&gt;='EDT Y TAREAS'!AK41,23&lt;'EDT Y TAREAS'!AL41),'EDT Y TAREAS'!AH41/'EDT Y TAREAS'!M41,0),IF(AND(23&gt;='EDT Y TAREAS'!AK44,23&lt;'EDT Y TAREAS'!AL44),'EDT Y TAREAS'!AH44/'EDT Y TAREAS'!M44,0),IF(AND(23&gt;='EDT Y TAREAS'!AK46,23&lt;'EDT Y TAREAS'!AL46),'EDT Y TAREAS'!AH46/'EDT Y TAREAS'!M46,0),IF(AND(23&gt;='EDT Y TAREAS'!AK48,23&lt;'EDT Y TAREAS'!AL48),'EDT Y TAREAS'!AH48/'EDT Y TAREAS'!M48,0))</x:f>
        <x:v>1.3333333333333333</x:v>
      </x:c>
      <x:c r="G63" s="35" t="n">
        <x:f>SUM(IF(AND(23&gt;='EDT Y TAREAS'!AK20,23&lt;'EDT Y TAREAS'!AL20),'EDT Y TAREAS'!AI20/'EDT Y TAREAS'!M20,0),IF(AND(23&gt;='EDT Y TAREAS'!AK25,23&lt;'EDT Y TAREAS'!AL25),'EDT Y TAREAS'!AI25/'EDT Y TAREAS'!M25,0),IF(AND(23&gt;='EDT Y TAREAS'!AK33,23&lt;'EDT Y TAREAS'!AL33),'EDT Y TAREAS'!AI33/'EDT Y TAREAS'!M33,0),IF(AND(23&gt;='EDT Y TAREAS'!AK34,23&lt;'EDT Y TAREAS'!AL34),'EDT Y TAREAS'!AI34/'EDT Y TAREAS'!M34,0),IF(AND(23&gt;='EDT Y TAREAS'!AK36,23&lt;'EDT Y TAREAS'!AL36),'EDT Y TAREAS'!AI36/'EDT Y TAREAS'!M36,0),IF(AND(23&gt;='EDT Y TAREAS'!AK39,23&lt;'EDT Y TAREAS'!AL39),'EDT Y TAREAS'!AI39/'EDT Y TAREAS'!M39,0),IF(AND(23&gt;='EDT Y TAREAS'!AK40,23&lt;'EDT Y TAREAS'!AL40),'EDT Y TAREAS'!AI40/'EDT Y TAREAS'!M40,0),IF(AND(23&gt;='EDT Y TAREAS'!AK42,23&lt;'EDT Y TAREAS'!AL42),'EDT Y TAREAS'!AI42/'EDT Y TAREAS'!M42,0),IF(AND(23&gt;='EDT Y TAREAS'!AK43,23&lt;'EDT Y TAREAS'!AL43),'EDT Y TAREAS'!AI43/'EDT Y TAREAS'!M43,0),IF(AND(23&gt;='EDT Y TAREAS'!AK44,23&lt;'EDT Y TAREAS'!AL44),'EDT Y TAREAS'!AI44/'EDT Y TAREAS'!M44,0),IF(AND(23&gt;='EDT Y TAREAS'!AK45,23&lt;'EDT Y TAREAS'!AL45),'EDT Y TAREAS'!AI45/'EDT Y TAREAS'!M45,0),IF(AND(23&gt;='EDT Y TAREAS'!AK46,23&lt;'EDT Y TAREAS'!AL46),'EDT Y TAREAS'!AI46/'EDT Y TAREAS'!M46,0),IF(AND(23&gt;='EDT Y TAREAS'!AK48,23&lt;'EDT Y TAREAS'!AL48),'EDT Y TAREAS'!AI48/'EDT Y TAREAS'!M48,0),IF(AND(23&gt;='EDT Y TAREAS'!AK50,23&lt;'EDT Y TAREAS'!AL50),'EDT Y TAREAS'!AI50/'EDT Y TAREAS'!M50,0),IF(AND(23&gt;='EDT Y TAREAS'!AK52,23&lt;'EDT Y TAREAS'!AL52),'EDT Y TAREAS'!AI52/'EDT Y TAREAS'!M52,0))</x:f>
        <x:v>0</x:v>
      </x:c>
      <x:c r="H63" s="35" t="n">
        <x:f>SUM(IF(AND(23&gt;='EDT Y TAREAS'!AK11,23&lt;'EDT Y TAREAS'!AL11),'EDT Y TAREAS'!AJ11/'EDT Y TAREAS'!M11,0),IF(AND(23&gt;='EDT Y TAREAS'!AK24,23&lt;'EDT Y TAREAS'!AL24),'EDT Y TAREAS'!AJ24/'EDT Y TAREAS'!M24,0),IF(AND(23&gt;='EDT Y TAREAS'!AK27,23&lt;'EDT Y TAREAS'!AL27),'EDT Y TAREAS'!AJ27/'EDT Y TAREAS'!M27,0),IF(AND(23&gt;='EDT Y TAREAS'!AK28,23&lt;'EDT Y TAREAS'!AL28),'EDT Y TAREAS'!AJ28/'EDT Y TAREAS'!M28,0),IF(AND(23&gt;='EDT Y TAREAS'!AK33,23&lt;'EDT Y TAREAS'!AL33),'EDT Y TAREAS'!AJ33/'EDT Y TAREAS'!M33,0),IF(AND(23&gt;='EDT Y TAREAS'!AK35,23&lt;'EDT Y TAREAS'!AL35),'EDT Y TAREAS'!AJ35/'EDT Y TAREAS'!M35,0),IF(AND(23&gt;='EDT Y TAREAS'!AK36,23&lt;'EDT Y TAREAS'!AL36),'EDT Y TAREAS'!AJ36/'EDT Y TAREAS'!M36,0),IF(AND(23&gt;='EDT Y TAREAS'!AK37,23&lt;'EDT Y TAREAS'!AL37),'EDT Y TAREAS'!AJ37/'EDT Y TAREAS'!M37,0),IF(AND(23&gt;='EDT Y TAREAS'!AK40,23&lt;'EDT Y TAREAS'!AL40),'EDT Y TAREAS'!AJ40/'EDT Y TAREAS'!M40,0),IF(AND(23&gt;='EDT Y TAREAS'!AK42,23&lt;'EDT Y TAREAS'!AL42),'EDT Y TAREAS'!AJ42/'EDT Y TAREAS'!M42,0),IF(AND(23&gt;='EDT Y TAREAS'!AK49,23&lt;'EDT Y TAREAS'!AL49),'EDT Y TAREAS'!AJ49/'EDT Y TAREAS'!M49,0),IF(AND(23&gt;='EDT Y TAREAS'!AK50,23&lt;'EDT Y TAREAS'!AL50),'EDT Y TAREAS'!AJ50/'EDT Y TAREAS'!M50,0),IF(AND(23&gt;='EDT Y TAREAS'!AK51,23&lt;'EDT Y TAREAS'!AL51),'EDT Y TAREAS'!AJ51/'EDT Y TAREAS'!M51,0),IF(AND(23&gt;='EDT Y TAREAS'!AK52,23&lt;'EDT Y TAREAS'!AL52),'EDT Y TAREAS'!AJ52/'EDT Y TAREAS'!M52,0))</x:f>
        <x:v>2.8</x:v>
      </x:c>
      <x:c r="I63" s="10" t="n">
        <x:f>WORKDAY('RESUMEN'!$D$3-1,A63,'RESUMEN'!$J$6:$J$25)</x:f>
        <x:v>46359</x:v>
      </x:c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  <x:c r="AJ63" s="3"/>
      <x:c r="AK63" s="3"/>
      <x:c r="AL63" s="3"/>
      <x:c r="AM63" s="3"/>
      <x:c r="AN63" s="3"/>
      <x:c r="AO63" s="3"/>
    </x:row>
    <x:row r="64" ht="24" customHeight="1">
      <x:c r="A64" s="3" t="n">
        <x:v>25</x:v>
      </x:c>
      <x:c r="B64" s="35" t="n">
        <x:f>SUM(IF(AND(24&gt;='EDT Y TAREAS'!AK6,24&lt;'EDT Y TAREAS'!AL6),'EDT Y TAREAS'!AD6/'EDT Y TAREAS'!M6,0),IF(AND(24&gt;='EDT Y TAREAS'!AK7,24&lt;'EDT Y TAREAS'!AL7),'EDT Y TAREAS'!AD7/'EDT Y TAREAS'!M7,0),IF(AND(24&gt;='EDT Y TAREAS'!AK8,24&lt;'EDT Y TAREAS'!AL8),'EDT Y TAREAS'!AD8/'EDT Y TAREAS'!M8,0),IF(AND(24&gt;='EDT Y TAREAS'!AK9,24&lt;'EDT Y TAREAS'!AL9),'EDT Y TAREAS'!AD9/'EDT Y TAREAS'!M9,0),IF(AND(24&gt;='EDT Y TAREAS'!AK10,24&lt;'EDT Y TAREAS'!AL10),'EDT Y TAREAS'!AD10/'EDT Y TAREAS'!M10,0),IF(AND(24&gt;='EDT Y TAREAS'!AK11,24&lt;'EDT Y TAREAS'!AL11),'EDT Y TAREAS'!AD11/'EDT Y TAREAS'!M11,0),IF(AND(24&gt;='EDT Y TAREAS'!AK12,24&lt;'EDT Y TAREAS'!AL12),'EDT Y TAREAS'!AD12/'EDT Y TAREAS'!M12,0),IF(AND(24&gt;='EDT Y TAREAS'!AK13,24&lt;'EDT Y TAREAS'!AL13),'EDT Y TAREAS'!AD13/'EDT Y TAREAS'!M13,0),IF(AND(24&gt;='EDT Y TAREAS'!AK14,24&lt;'EDT Y TAREAS'!AL14),'EDT Y TAREAS'!AD14/'EDT Y TAREAS'!M14,0),IF(AND(24&gt;='EDT Y TAREAS'!AK15,24&lt;'EDT Y TAREAS'!AL15),'EDT Y TAREAS'!AD15/'EDT Y TAREAS'!M15,0),IF(AND(24&gt;='EDT Y TAREAS'!AK16,24&lt;'EDT Y TAREAS'!AL16),'EDT Y TAREAS'!AD16/'EDT Y TAREAS'!M16,0),IF(AND(24&gt;='EDT Y TAREAS'!AK17,24&lt;'EDT Y TAREAS'!AL17),'EDT Y TAREAS'!AD17/'EDT Y TAREAS'!M17,0),IF(AND(24&gt;='EDT Y TAREAS'!AK18,24&lt;'EDT Y TAREAS'!AL18),'EDT Y TAREAS'!AD18/'EDT Y TAREAS'!M18,0),IF(AND(24&gt;='EDT Y TAREAS'!AK19,24&lt;'EDT Y TAREAS'!AL19),'EDT Y TAREAS'!AD19/'EDT Y TAREAS'!M19,0),IF(AND(24&gt;='EDT Y TAREAS'!AK20,24&lt;'EDT Y TAREAS'!AL20),'EDT Y TAREAS'!AD20/'EDT Y TAREAS'!M20,0),IF(AND(24&gt;='EDT Y TAREAS'!AK21,24&lt;'EDT Y TAREAS'!AL21),'EDT Y TAREAS'!AD21/'EDT Y TAREAS'!M21,0),IF(AND(24&gt;='EDT Y TAREAS'!AK22,24&lt;'EDT Y TAREAS'!AL22),'EDT Y TAREAS'!AD22/'EDT Y TAREAS'!M22,0),IF(AND(24&gt;='EDT Y TAREAS'!AK23,24&lt;'EDT Y TAREAS'!AL23),'EDT Y TAREAS'!AD23/'EDT Y TAREAS'!M23,0),IF(AND(24&gt;='EDT Y TAREAS'!AK26,24&lt;'EDT Y TAREAS'!AL26),'EDT Y TAREAS'!AD26/'EDT Y TAREAS'!M26,0),IF(AND(24&gt;='EDT Y TAREAS'!AK28,24&lt;'EDT Y TAREAS'!AL28),'EDT Y TAREAS'!AD28/'EDT Y TAREAS'!M28,0),IF(AND(24&gt;='EDT Y TAREAS'!AK30,24&lt;'EDT Y TAREAS'!AL30),'EDT Y TAREAS'!AD30/'EDT Y TAREAS'!M30,0),IF(AND(24&gt;='EDT Y TAREAS'!AK32,24&lt;'EDT Y TAREAS'!AL32),'EDT Y TAREAS'!AD32/'EDT Y TAREAS'!M32,0),IF(AND(24&gt;='EDT Y TAREAS'!AK34,24&lt;'EDT Y TAREAS'!AL34),'EDT Y TAREAS'!AD34/'EDT Y TAREAS'!M34,0),IF(AND(24&gt;='EDT Y TAREAS'!AK38,24&lt;'EDT Y TAREAS'!AL38),'EDT Y TAREAS'!AD38/'EDT Y TAREAS'!M38,0),IF(AND(24&gt;='EDT Y TAREAS'!AK39,24&lt;'EDT Y TAREAS'!AL39),'EDT Y TAREAS'!AD39/'EDT Y TAREAS'!M39,0),IF(AND(24&gt;='EDT Y TAREAS'!AK43,24&lt;'EDT Y TAREAS'!AL43),'EDT Y TAREAS'!AD43/'EDT Y TAREAS'!M43,0),IF(AND(24&gt;='EDT Y TAREAS'!AK44,24&lt;'EDT Y TAREAS'!AL44),'EDT Y TAREAS'!AD44/'EDT Y TAREAS'!M44,0),IF(AND(24&gt;='EDT Y TAREAS'!AK45,24&lt;'EDT Y TAREAS'!AL45),'EDT Y TAREAS'!AD45/'EDT Y TAREAS'!M45,0),IF(AND(24&gt;='EDT Y TAREAS'!AK46,24&lt;'EDT Y TAREAS'!AL46),'EDT Y TAREAS'!AD46/'EDT Y TAREAS'!M46,0),IF(AND(24&gt;='EDT Y TAREAS'!AK47,24&lt;'EDT Y TAREAS'!AL47),'EDT Y TAREAS'!AD47/'EDT Y TAREAS'!M47,0),IF(AND(24&gt;='EDT Y TAREAS'!AK49,24&lt;'EDT Y TAREAS'!AL49),'EDT Y TAREAS'!AD49/'EDT Y TAREAS'!M49,0),IF(AND(24&gt;='EDT Y TAREAS'!AK50,24&lt;'EDT Y TAREAS'!AL50),'EDT Y TAREAS'!AD50/'EDT Y TAREAS'!M50,0),IF(AND(24&gt;='EDT Y TAREAS'!AK51,24&lt;'EDT Y TAREAS'!AL51),'EDT Y TAREAS'!AD51/'EDT Y TAREAS'!M51,0),IF(AND(24&gt;='EDT Y TAREAS'!AK52,24&lt;'EDT Y TAREAS'!AL52),'EDT Y TAREAS'!AD52/'EDT Y TAREAS'!M52,0))</x:f>
        <x:v>1.3333333333333333</x:v>
      </x:c>
      <x:c r="C64" s="35" t="n">
        <x:f>SUM(IF(AND(24&gt;='EDT Y TAREAS'!AK6,24&lt;'EDT Y TAREAS'!AL6),'EDT Y TAREAS'!AE6/'EDT Y TAREAS'!M6,0),IF(AND(24&gt;='EDT Y TAREAS'!AK8,24&lt;'EDT Y TAREAS'!AL8),'EDT Y TAREAS'!AE8/'EDT Y TAREAS'!M8,0),IF(AND(24&gt;='EDT Y TAREAS'!AK9,24&lt;'EDT Y TAREAS'!AL9),'EDT Y TAREAS'!AE9/'EDT Y TAREAS'!M9,0),IF(AND(24&gt;='EDT Y TAREAS'!AK10,24&lt;'EDT Y TAREAS'!AL10),'EDT Y TAREAS'!AE10/'EDT Y TAREAS'!M10,0),IF(AND(24&gt;='EDT Y TAREAS'!AK12,24&lt;'EDT Y TAREAS'!AL12),'EDT Y TAREAS'!AE12/'EDT Y TAREAS'!M12,0),IF(AND(24&gt;='EDT Y TAREAS'!AK16,24&lt;'EDT Y TAREAS'!AL16),'EDT Y TAREAS'!AE16/'EDT Y TAREAS'!M16,0),IF(AND(24&gt;='EDT Y TAREAS'!AK21,24&lt;'EDT Y TAREAS'!AL21),'EDT Y TAREAS'!AE21/'EDT Y TAREAS'!M21,0),IF(AND(24&gt;='EDT Y TAREAS'!AK23,24&lt;'EDT Y TAREAS'!AL23),'EDT Y TAREAS'!AE23/'EDT Y TAREAS'!M23,0),IF(AND(24&gt;='EDT Y TAREAS'!AK37,24&lt;'EDT Y TAREAS'!AL37),'EDT Y TAREAS'!AE37/'EDT Y TAREAS'!M37,0),IF(AND(24&gt;='EDT Y TAREAS'!AK38,24&lt;'EDT Y TAREAS'!AL38),'EDT Y TAREAS'!AE38/'EDT Y TAREAS'!M38,0),IF(AND(24&gt;='EDT Y TAREAS'!AK41,24&lt;'EDT Y TAREAS'!AL41),'EDT Y TAREAS'!AE41/'EDT Y TAREAS'!M41,0),IF(AND(24&gt;='EDT Y TAREAS'!AK43,24&lt;'EDT Y TAREAS'!AL43),'EDT Y TAREAS'!AE43/'EDT Y TAREAS'!M43,0),IF(AND(24&gt;='EDT Y TAREAS'!AK44,24&lt;'EDT Y TAREAS'!AL44),'EDT Y TAREAS'!AE44/'EDT Y TAREAS'!M44,0),IF(AND(24&gt;='EDT Y TAREAS'!AK46,24&lt;'EDT Y TAREAS'!AL46),'EDT Y TAREAS'!AE46/'EDT Y TAREAS'!M46,0),IF(AND(24&gt;='EDT Y TAREAS'!AK47,24&lt;'EDT Y TAREAS'!AL47),'EDT Y TAREAS'!AE47/'EDT Y TAREAS'!M47,0),IF(AND(24&gt;='EDT Y TAREAS'!AK51,24&lt;'EDT Y TAREAS'!AL51),'EDT Y TAREAS'!AE51/'EDT Y TAREAS'!M51,0),IF(AND(24&gt;='EDT Y TAREAS'!AK52,24&lt;'EDT Y TAREAS'!AL52),'EDT Y TAREAS'!AE52/'EDT Y TAREAS'!M52,0))</x:f>
        <x:v>1.3333333333333333</x:v>
      </x:c>
      <x:c r="D64" s="35" t="n">
        <x:f>SUM(IF(AND(24&gt;='EDT Y TAREAS'!AK11,24&lt;'EDT Y TAREAS'!AL11),'EDT Y TAREAS'!AF11/'EDT Y TAREAS'!M11,0),IF(AND(24&gt;='EDT Y TAREAS'!AK24,24&lt;'EDT Y TAREAS'!AL24),'EDT Y TAREAS'!AF24/'EDT Y TAREAS'!M24,0),IF(AND(24&gt;='EDT Y TAREAS'!AK25,24&lt;'EDT Y TAREAS'!AL25),'EDT Y TAREAS'!AF25/'EDT Y TAREAS'!M25,0),IF(AND(24&gt;='EDT Y TAREAS'!AK26,24&lt;'EDT Y TAREAS'!AL26),'EDT Y TAREAS'!AF26/'EDT Y TAREAS'!M26,0),IF(AND(24&gt;='EDT Y TAREAS'!AK27,24&lt;'EDT Y TAREAS'!AL27),'EDT Y TAREAS'!AF27/'EDT Y TAREAS'!M27,0),IF(AND(24&gt;='EDT Y TAREAS'!AK28,24&lt;'EDT Y TAREAS'!AL28),'EDT Y TAREAS'!AF28/'EDT Y TAREAS'!M28,0),IF(AND(24&gt;='EDT Y TAREAS'!AK31,24&lt;'EDT Y TAREAS'!AL31),'EDT Y TAREAS'!AF31/'EDT Y TAREAS'!M31,0),IF(AND(24&gt;='EDT Y TAREAS'!AK33,24&lt;'EDT Y TAREAS'!AL33),'EDT Y TAREAS'!AF33/'EDT Y TAREAS'!M33,0),IF(AND(24&gt;='EDT Y TAREAS'!AK34,24&lt;'EDT Y TAREAS'!AL34),'EDT Y TAREAS'!AF34/'EDT Y TAREAS'!M34,0),IF(AND(24&gt;='EDT Y TAREAS'!AK35,24&lt;'EDT Y TAREAS'!AL35),'EDT Y TAREAS'!AF35/'EDT Y TAREAS'!M35,0),IF(AND(24&gt;='EDT Y TAREAS'!AK37,24&lt;'EDT Y TAREAS'!AL37),'EDT Y TAREAS'!AF37/'EDT Y TAREAS'!M37,0),IF(AND(24&gt;='EDT Y TAREAS'!AK39,24&lt;'EDT Y TAREAS'!AL39),'EDT Y TAREAS'!AF39/'EDT Y TAREAS'!M39,0),IF(AND(24&gt;='EDT Y TAREAS'!AK40,24&lt;'EDT Y TAREAS'!AL40),'EDT Y TAREAS'!AF40/'EDT Y TAREAS'!M40,0),IF(AND(24&gt;='EDT Y TAREAS'!AK42,24&lt;'EDT Y TAREAS'!AL42),'EDT Y TAREAS'!AF42/'EDT Y TAREAS'!M42,0),IF(AND(24&gt;='EDT Y TAREAS'!AK45,24&lt;'EDT Y TAREAS'!AL45),'EDT Y TAREAS'!AF45/'EDT Y TAREAS'!M45,0),IF(AND(24&gt;='EDT Y TAREAS'!AK49,24&lt;'EDT Y TAREAS'!AL49),'EDT Y TAREAS'!AF49/'EDT Y TAREAS'!M49,0),IF(AND(24&gt;='EDT Y TAREAS'!AK52,24&lt;'EDT Y TAREAS'!AL52),'EDT Y TAREAS'!AF52/'EDT Y TAREAS'!M52,0))</x:f>
        <x:v>1.2</x:v>
      </x:c>
      <x:c r="E64" s="35" t="n">
        <x:f>SUM(IF(AND(24&gt;='EDT Y TAREAS'!AK29,24&lt;'EDT Y TAREAS'!AL29),'EDT Y TAREAS'!AG29/'EDT Y TAREAS'!M29,0),IF(AND(24&gt;='EDT Y TAREAS'!AK30,24&lt;'EDT Y TAREAS'!AL30),'EDT Y TAREAS'!AG30/'EDT Y TAREAS'!M30,0),IF(AND(24&gt;='EDT Y TAREAS'!AK31,24&lt;'EDT Y TAREAS'!AL31),'EDT Y TAREAS'!AG31/'EDT Y TAREAS'!M31,0),IF(AND(24&gt;='EDT Y TAREAS'!AK32,24&lt;'EDT Y TAREAS'!AL32),'EDT Y TAREAS'!AG32/'EDT Y TAREAS'!M32,0),IF(AND(24&gt;='EDT Y TAREAS'!AK41,24&lt;'EDT Y TAREAS'!AL41),'EDT Y TAREAS'!AG41/'EDT Y TAREAS'!M41,0),IF(AND(24&gt;='EDT Y TAREAS'!AK45,24&lt;'EDT Y TAREAS'!AL45),'EDT Y TAREAS'!AG45/'EDT Y TAREAS'!M45,0),IF(AND(24&gt;='EDT Y TAREAS'!AK48,24&lt;'EDT Y TAREAS'!AL48),'EDT Y TAREAS'!AG48/'EDT Y TAREAS'!M48,0))</x:f>
        <x:v>0</x:v>
      </x:c>
      <x:c r="F64" s="35" t="n">
        <x:f>SUM(IF(AND(24&gt;='EDT Y TAREAS'!AK10,24&lt;'EDT Y TAREAS'!AL10),'EDT Y TAREAS'!AH10/'EDT Y TAREAS'!M10,0),IF(AND(24&gt;='EDT Y TAREAS'!AK12,24&lt;'EDT Y TAREAS'!AL12),'EDT Y TAREAS'!AH12/'EDT Y TAREAS'!M12,0),IF(AND(24&gt;='EDT Y TAREAS'!AK22,24&lt;'EDT Y TAREAS'!AL22),'EDT Y TAREAS'!AH22/'EDT Y TAREAS'!M22,0),IF(AND(24&gt;='EDT Y TAREAS'!AK23,24&lt;'EDT Y TAREAS'!AL23),'EDT Y TAREAS'!AH23/'EDT Y TAREAS'!M23,0),IF(AND(24&gt;='EDT Y TAREAS'!AK29,24&lt;'EDT Y TAREAS'!AL29),'EDT Y TAREAS'!AH29/'EDT Y TAREAS'!M29,0),IF(AND(24&gt;='EDT Y TAREAS'!AK30,24&lt;'EDT Y TAREAS'!AL30),'EDT Y TAREAS'!AH30/'EDT Y TAREAS'!M30,0),IF(AND(24&gt;='EDT Y TAREAS'!AK32,24&lt;'EDT Y TAREAS'!AL32),'EDT Y TAREAS'!AH32/'EDT Y TAREAS'!M32,0),IF(AND(24&gt;='EDT Y TAREAS'!AK41,24&lt;'EDT Y TAREAS'!AL41),'EDT Y TAREAS'!AH41/'EDT Y TAREAS'!M41,0),IF(AND(24&gt;='EDT Y TAREAS'!AK44,24&lt;'EDT Y TAREAS'!AL44),'EDT Y TAREAS'!AH44/'EDT Y TAREAS'!M44,0),IF(AND(24&gt;='EDT Y TAREAS'!AK46,24&lt;'EDT Y TAREAS'!AL46),'EDT Y TAREAS'!AH46/'EDT Y TAREAS'!M46,0),IF(AND(24&gt;='EDT Y TAREAS'!AK48,24&lt;'EDT Y TAREAS'!AL48),'EDT Y TAREAS'!AH48/'EDT Y TAREAS'!M48,0))</x:f>
        <x:v>1.3333333333333333</x:v>
      </x:c>
      <x:c r="G64" s="35" t="n">
        <x:f>SUM(IF(AND(24&gt;='EDT Y TAREAS'!AK20,24&lt;'EDT Y TAREAS'!AL20),'EDT Y TAREAS'!AI20/'EDT Y TAREAS'!M20,0),IF(AND(24&gt;='EDT Y TAREAS'!AK25,24&lt;'EDT Y TAREAS'!AL25),'EDT Y TAREAS'!AI25/'EDT Y TAREAS'!M25,0),IF(AND(24&gt;='EDT Y TAREAS'!AK33,24&lt;'EDT Y TAREAS'!AL33),'EDT Y TAREAS'!AI33/'EDT Y TAREAS'!M33,0),IF(AND(24&gt;='EDT Y TAREAS'!AK34,24&lt;'EDT Y TAREAS'!AL34),'EDT Y TAREAS'!AI34/'EDT Y TAREAS'!M34,0),IF(AND(24&gt;='EDT Y TAREAS'!AK36,24&lt;'EDT Y TAREAS'!AL36),'EDT Y TAREAS'!AI36/'EDT Y TAREAS'!M36,0),IF(AND(24&gt;='EDT Y TAREAS'!AK39,24&lt;'EDT Y TAREAS'!AL39),'EDT Y TAREAS'!AI39/'EDT Y TAREAS'!M39,0),IF(AND(24&gt;='EDT Y TAREAS'!AK40,24&lt;'EDT Y TAREAS'!AL40),'EDT Y TAREAS'!AI40/'EDT Y TAREAS'!M40,0),IF(AND(24&gt;='EDT Y TAREAS'!AK42,24&lt;'EDT Y TAREAS'!AL42),'EDT Y TAREAS'!AI42/'EDT Y TAREAS'!M42,0),IF(AND(24&gt;='EDT Y TAREAS'!AK43,24&lt;'EDT Y TAREAS'!AL43),'EDT Y TAREAS'!AI43/'EDT Y TAREAS'!M43,0),IF(AND(24&gt;='EDT Y TAREAS'!AK44,24&lt;'EDT Y TAREAS'!AL44),'EDT Y TAREAS'!AI44/'EDT Y TAREAS'!M44,0),IF(AND(24&gt;='EDT Y TAREAS'!AK45,24&lt;'EDT Y TAREAS'!AL45),'EDT Y TAREAS'!AI45/'EDT Y TAREAS'!M45,0),IF(AND(24&gt;='EDT Y TAREAS'!AK46,24&lt;'EDT Y TAREAS'!AL46),'EDT Y TAREAS'!AI46/'EDT Y TAREAS'!M46,0),IF(AND(24&gt;='EDT Y TAREAS'!AK48,24&lt;'EDT Y TAREAS'!AL48),'EDT Y TAREAS'!AI48/'EDT Y TAREAS'!M48,0),IF(AND(24&gt;='EDT Y TAREAS'!AK50,24&lt;'EDT Y TAREAS'!AL50),'EDT Y TAREAS'!AI50/'EDT Y TAREAS'!M50,0),IF(AND(24&gt;='EDT Y TAREAS'!AK52,24&lt;'EDT Y TAREAS'!AL52),'EDT Y TAREAS'!AI52/'EDT Y TAREAS'!M52,0))</x:f>
        <x:v>0</x:v>
      </x:c>
      <x:c r="H64" s="35" t="n">
        <x:f>SUM(IF(AND(24&gt;='EDT Y TAREAS'!AK11,24&lt;'EDT Y TAREAS'!AL11),'EDT Y TAREAS'!AJ11/'EDT Y TAREAS'!M11,0),IF(AND(24&gt;='EDT Y TAREAS'!AK24,24&lt;'EDT Y TAREAS'!AL24),'EDT Y TAREAS'!AJ24/'EDT Y TAREAS'!M24,0),IF(AND(24&gt;='EDT Y TAREAS'!AK27,24&lt;'EDT Y TAREAS'!AL27),'EDT Y TAREAS'!AJ27/'EDT Y TAREAS'!M27,0),IF(AND(24&gt;='EDT Y TAREAS'!AK28,24&lt;'EDT Y TAREAS'!AL28),'EDT Y TAREAS'!AJ28/'EDT Y TAREAS'!M28,0),IF(AND(24&gt;='EDT Y TAREAS'!AK33,24&lt;'EDT Y TAREAS'!AL33),'EDT Y TAREAS'!AJ33/'EDT Y TAREAS'!M33,0),IF(AND(24&gt;='EDT Y TAREAS'!AK35,24&lt;'EDT Y TAREAS'!AL35),'EDT Y TAREAS'!AJ35/'EDT Y TAREAS'!M35,0),IF(AND(24&gt;='EDT Y TAREAS'!AK36,24&lt;'EDT Y TAREAS'!AL36),'EDT Y TAREAS'!AJ36/'EDT Y TAREAS'!M36,0),IF(AND(24&gt;='EDT Y TAREAS'!AK37,24&lt;'EDT Y TAREAS'!AL37),'EDT Y TAREAS'!AJ37/'EDT Y TAREAS'!M37,0),IF(AND(24&gt;='EDT Y TAREAS'!AK40,24&lt;'EDT Y TAREAS'!AL40),'EDT Y TAREAS'!AJ40/'EDT Y TAREAS'!M40,0),IF(AND(24&gt;='EDT Y TAREAS'!AK42,24&lt;'EDT Y TAREAS'!AL42),'EDT Y TAREAS'!AJ42/'EDT Y TAREAS'!M42,0),IF(AND(24&gt;='EDT Y TAREAS'!AK49,24&lt;'EDT Y TAREAS'!AL49),'EDT Y TAREAS'!AJ49/'EDT Y TAREAS'!M49,0),IF(AND(24&gt;='EDT Y TAREAS'!AK50,24&lt;'EDT Y TAREAS'!AL50),'EDT Y TAREAS'!AJ50/'EDT Y TAREAS'!M50,0),IF(AND(24&gt;='EDT Y TAREAS'!AK51,24&lt;'EDT Y TAREAS'!AL51),'EDT Y TAREAS'!AJ51/'EDT Y TAREAS'!M51,0),IF(AND(24&gt;='EDT Y TAREAS'!AK52,24&lt;'EDT Y TAREAS'!AL52),'EDT Y TAREAS'!AJ52/'EDT Y TAREAS'!M52,0))</x:f>
        <x:v>2.8</x:v>
      </x:c>
      <x:c r="I64" s="10" t="n">
        <x:f>WORKDAY('RESUMEN'!$D$3-1,A64,'RESUMEN'!$J$6:$J$25)</x:f>
        <x:v>46360</x:v>
      </x:c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  <x:c r="AO64" s="3"/>
    </x:row>
    <x:row r="65" ht="24" customHeight="1">
      <x:c r="A65" s="3" t="n">
        <x:v>26</x:v>
      </x:c>
      <x:c r="B65" s="35" t="n">
        <x:f>SUM(IF(AND(25&gt;='EDT Y TAREAS'!AK6,25&lt;'EDT Y TAREAS'!AL6),'EDT Y TAREAS'!AD6/'EDT Y TAREAS'!M6,0),IF(AND(25&gt;='EDT Y TAREAS'!AK7,25&lt;'EDT Y TAREAS'!AL7),'EDT Y TAREAS'!AD7/'EDT Y TAREAS'!M7,0),IF(AND(25&gt;='EDT Y TAREAS'!AK8,25&lt;'EDT Y TAREAS'!AL8),'EDT Y TAREAS'!AD8/'EDT Y TAREAS'!M8,0),IF(AND(25&gt;='EDT Y TAREAS'!AK9,25&lt;'EDT Y TAREAS'!AL9),'EDT Y TAREAS'!AD9/'EDT Y TAREAS'!M9,0),IF(AND(25&gt;='EDT Y TAREAS'!AK10,25&lt;'EDT Y TAREAS'!AL10),'EDT Y TAREAS'!AD10/'EDT Y TAREAS'!M10,0),IF(AND(25&gt;='EDT Y TAREAS'!AK11,25&lt;'EDT Y TAREAS'!AL11),'EDT Y TAREAS'!AD11/'EDT Y TAREAS'!M11,0),IF(AND(25&gt;='EDT Y TAREAS'!AK12,25&lt;'EDT Y TAREAS'!AL12),'EDT Y TAREAS'!AD12/'EDT Y TAREAS'!M12,0),IF(AND(25&gt;='EDT Y TAREAS'!AK13,25&lt;'EDT Y TAREAS'!AL13),'EDT Y TAREAS'!AD13/'EDT Y TAREAS'!M13,0),IF(AND(25&gt;='EDT Y TAREAS'!AK14,25&lt;'EDT Y TAREAS'!AL14),'EDT Y TAREAS'!AD14/'EDT Y TAREAS'!M14,0),IF(AND(25&gt;='EDT Y TAREAS'!AK15,25&lt;'EDT Y TAREAS'!AL15),'EDT Y TAREAS'!AD15/'EDT Y TAREAS'!M15,0),IF(AND(25&gt;='EDT Y TAREAS'!AK16,25&lt;'EDT Y TAREAS'!AL16),'EDT Y TAREAS'!AD16/'EDT Y TAREAS'!M16,0),IF(AND(25&gt;='EDT Y TAREAS'!AK17,25&lt;'EDT Y TAREAS'!AL17),'EDT Y TAREAS'!AD17/'EDT Y TAREAS'!M17,0),IF(AND(25&gt;='EDT Y TAREAS'!AK18,25&lt;'EDT Y TAREAS'!AL18),'EDT Y TAREAS'!AD18/'EDT Y TAREAS'!M18,0),IF(AND(25&gt;='EDT Y TAREAS'!AK19,25&lt;'EDT Y TAREAS'!AL19),'EDT Y TAREAS'!AD19/'EDT Y TAREAS'!M19,0),IF(AND(25&gt;='EDT Y TAREAS'!AK20,25&lt;'EDT Y TAREAS'!AL20),'EDT Y TAREAS'!AD20/'EDT Y TAREAS'!M20,0),IF(AND(25&gt;='EDT Y TAREAS'!AK21,25&lt;'EDT Y TAREAS'!AL21),'EDT Y TAREAS'!AD21/'EDT Y TAREAS'!M21,0),IF(AND(25&gt;='EDT Y TAREAS'!AK22,25&lt;'EDT Y TAREAS'!AL22),'EDT Y TAREAS'!AD22/'EDT Y TAREAS'!M22,0),IF(AND(25&gt;='EDT Y TAREAS'!AK23,25&lt;'EDT Y TAREAS'!AL23),'EDT Y TAREAS'!AD23/'EDT Y TAREAS'!M23,0),IF(AND(25&gt;='EDT Y TAREAS'!AK26,25&lt;'EDT Y TAREAS'!AL26),'EDT Y TAREAS'!AD26/'EDT Y TAREAS'!M26,0),IF(AND(25&gt;='EDT Y TAREAS'!AK28,25&lt;'EDT Y TAREAS'!AL28),'EDT Y TAREAS'!AD28/'EDT Y TAREAS'!M28,0),IF(AND(25&gt;='EDT Y TAREAS'!AK30,25&lt;'EDT Y TAREAS'!AL30),'EDT Y TAREAS'!AD30/'EDT Y TAREAS'!M30,0),IF(AND(25&gt;='EDT Y TAREAS'!AK32,25&lt;'EDT Y TAREAS'!AL32),'EDT Y TAREAS'!AD32/'EDT Y TAREAS'!M32,0),IF(AND(25&gt;='EDT Y TAREAS'!AK34,25&lt;'EDT Y TAREAS'!AL34),'EDT Y TAREAS'!AD34/'EDT Y TAREAS'!M34,0),IF(AND(25&gt;='EDT Y TAREAS'!AK38,25&lt;'EDT Y TAREAS'!AL38),'EDT Y TAREAS'!AD38/'EDT Y TAREAS'!M38,0),IF(AND(25&gt;='EDT Y TAREAS'!AK39,25&lt;'EDT Y TAREAS'!AL39),'EDT Y TAREAS'!AD39/'EDT Y TAREAS'!M39,0),IF(AND(25&gt;='EDT Y TAREAS'!AK43,25&lt;'EDT Y TAREAS'!AL43),'EDT Y TAREAS'!AD43/'EDT Y TAREAS'!M43,0),IF(AND(25&gt;='EDT Y TAREAS'!AK44,25&lt;'EDT Y TAREAS'!AL44),'EDT Y TAREAS'!AD44/'EDT Y TAREAS'!M44,0),IF(AND(25&gt;='EDT Y TAREAS'!AK45,25&lt;'EDT Y TAREAS'!AL45),'EDT Y TAREAS'!AD45/'EDT Y TAREAS'!M45,0),IF(AND(25&gt;='EDT Y TAREAS'!AK46,25&lt;'EDT Y TAREAS'!AL46),'EDT Y TAREAS'!AD46/'EDT Y TAREAS'!M46,0),IF(AND(25&gt;='EDT Y TAREAS'!AK47,25&lt;'EDT Y TAREAS'!AL47),'EDT Y TAREAS'!AD47/'EDT Y TAREAS'!M47,0),IF(AND(25&gt;='EDT Y TAREAS'!AK49,25&lt;'EDT Y TAREAS'!AL49),'EDT Y TAREAS'!AD49/'EDT Y TAREAS'!M49,0),IF(AND(25&gt;='EDT Y TAREAS'!AK50,25&lt;'EDT Y TAREAS'!AL50),'EDT Y TAREAS'!AD50/'EDT Y TAREAS'!M50,0),IF(AND(25&gt;='EDT Y TAREAS'!AK51,25&lt;'EDT Y TAREAS'!AL51),'EDT Y TAREAS'!AD51/'EDT Y TAREAS'!M51,0),IF(AND(25&gt;='EDT Y TAREAS'!AK52,25&lt;'EDT Y TAREAS'!AL52),'EDT Y TAREAS'!AD52/'EDT Y TAREAS'!M52,0))</x:f>
        <x:v>1.3333333333333333</x:v>
      </x:c>
      <x:c r="C65" s="35" t="n">
        <x:f>SUM(IF(AND(25&gt;='EDT Y TAREAS'!AK6,25&lt;'EDT Y TAREAS'!AL6),'EDT Y TAREAS'!AE6/'EDT Y TAREAS'!M6,0),IF(AND(25&gt;='EDT Y TAREAS'!AK8,25&lt;'EDT Y TAREAS'!AL8),'EDT Y TAREAS'!AE8/'EDT Y TAREAS'!M8,0),IF(AND(25&gt;='EDT Y TAREAS'!AK9,25&lt;'EDT Y TAREAS'!AL9),'EDT Y TAREAS'!AE9/'EDT Y TAREAS'!M9,0),IF(AND(25&gt;='EDT Y TAREAS'!AK10,25&lt;'EDT Y TAREAS'!AL10),'EDT Y TAREAS'!AE10/'EDT Y TAREAS'!M10,0),IF(AND(25&gt;='EDT Y TAREAS'!AK12,25&lt;'EDT Y TAREAS'!AL12),'EDT Y TAREAS'!AE12/'EDT Y TAREAS'!M12,0),IF(AND(25&gt;='EDT Y TAREAS'!AK16,25&lt;'EDT Y TAREAS'!AL16),'EDT Y TAREAS'!AE16/'EDT Y TAREAS'!M16,0),IF(AND(25&gt;='EDT Y TAREAS'!AK21,25&lt;'EDT Y TAREAS'!AL21),'EDT Y TAREAS'!AE21/'EDT Y TAREAS'!M21,0),IF(AND(25&gt;='EDT Y TAREAS'!AK23,25&lt;'EDT Y TAREAS'!AL23),'EDT Y TAREAS'!AE23/'EDT Y TAREAS'!M23,0),IF(AND(25&gt;='EDT Y TAREAS'!AK37,25&lt;'EDT Y TAREAS'!AL37),'EDT Y TAREAS'!AE37/'EDT Y TAREAS'!M37,0),IF(AND(25&gt;='EDT Y TAREAS'!AK38,25&lt;'EDT Y TAREAS'!AL38),'EDT Y TAREAS'!AE38/'EDT Y TAREAS'!M38,0),IF(AND(25&gt;='EDT Y TAREAS'!AK41,25&lt;'EDT Y TAREAS'!AL41),'EDT Y TAREAS'!AE41/'EDT Y TAREAS'!M41,0),IF(AND(25&gt;='EDT Y TAREAS'!AK43,25&lt;'EDT Y TAREAS'!AL43),'EDT Y TAREAS'!AE43/'EDT Y TAREAS'!M43,0),IF(AND(25&gt;='EDT Y TAREAS'!AK44,25&lt;'EDT Y TAREAS'!AL44),'EDT Y TAREAS'!AE44/'EDT Y TAREAS'!M44,0),IF(AND(25&gt;='EDT Y TAREAS'!AK46,25&lt;'EDT Y TAREAS'!AL46),'EDT Y TAREAS'!AE46/'EDT Y TAREAS'!M46,0),IF(AND(25&gt;='EDT Y TAREAS'!AK47,25&lt;'EDT Y TAREAS'!AL47),'EDT Y TAREAS'!AE47/'EDT Y TAREAS'!M47,0),IF(AND(25&gt;='EDT Y TAREAS'!AK51,25&lt;'EDT Y TAREAS'!AL51),'EDT Y TAREAS'!AE51/'EDT Y TAREAS'!M51,0),IF(AND(25&gt;='EDT Y TAREAS'!AK52,25&lt;'EDT Y TAREAS'!AL52),'EDT Y TAREAS'!AE52/'EDT Y TAREAS'!M52,0))</x:f>
        <x:v>1.3333333333333333</x:v>
      </x:c>
      <x:c r="D65" s="35" t="n">
        <x:f>SUM(IF(AND(25&gt;='EDT Y TAREAS'!AK11,25&lt;'EDT Y TAREAS'!AL11),'EDT Y TAREAS'!AF11/'EDT Y TAREAS'!M11,0),IF(AND(25&gt;='EDT Y TAREAS'!AK24,25&lt;'EDT Y TAREAS'!AL24),'EDT Y TAREAS'!AF24/'EDT Y TAREAS'!M24,0),IF(AND(25&gt;='EDT Y TAREAS'!AK25,25&lt;'EDT Y TAREAS'!AL25),'EDT Y TAREAS'!AF25/'EDT Y TAREAS'!M25,0),IF(AND(25&gt;='EDT Y TAREAS'!AK26,25&lt;'EDT Y TAREAS'!AL26),'EDT Y TAREAS'!AF26/'EDT Y TAREAS'!M26,0),IF(AND(25&gt;='EDT Y TAREAS'!AK27,25&lt;'EDT Y TAREAS'!AL27),'EDT Y TAREAS'!AF27/'EDT Y TAREAS'!M27,0),IF(AND(25&gt;='EDT Y TAREAS'!AK28,25&lt;'EDT Y TAREAS'!AL28),'EDT Y TAREAS'!AF28/'EDT Y TAREAS'!M28,0),IF(AND(25&gt;='EDT Y TAREAS'!AK31,25&lt;'EDT Y TAREAS'!AL31),'EDT Y TAREAS'!AF31/'EDT Y TAREAS'!M31,0),IF(AND(25&gt;='EDT Y TAREAS'!AK33,25&lt;'EDT Y TAREAS'!AL33),'EDT Y TAREAS'!AF33/'EDT Y TAREAS'!M33,0),IF(AND(25&gt;='EDT Y TAREAS'!AK34,25&lt;'EDT Y TAREAS'!AL34),'EDT Y TAREAS'!AF34/'EDT Y TAREAS'!M34,0),IF(AND(25&gt;='EDT Y TAREAS'!AK35,25&lt;'EDT Y TAREAS'!AL35),'EDT Y TAREAS'!AF35/'EDT Y TAREAS'!M35,0),IF(AND(25&gt;='EDT Y TAREAS'!AK37,25&lt;'EDT Y TAREAS'!AL37),'EDT Y TAREAS'!AF37/'EDT Y TAREAS'!M37,0),IF(AND(25&gt;='EDT Y TAREAS'!AK39,25&lt;'EDT Y TAREAS'!AL39),'EDT Y TAREAS'!AF39/'EDT Y TAREAS'!M39,0),IF(AND(25&gt;='EDT Y TAREAS'!AK40,25&lt;'EDT Y TAREAS'!AL40),'EDT Y TAREAS'!AF40/'EDT Y TAREAS'!M40,0),IF(AND(25&gt;='EDT Y TAREAS'!AK42,25&lt;'EDT Y TAREAS'!AL42),'EDT Y TAREAS'!AF42/'EDT Y TAREAS'!M42,0),IF(AND(25&gt;='EDT Y TAREAS'!AK45,25&lt;'EDT Y TAREAS'!AL45),'EDT Y TAREAS'!AF45/'EDT Y TAREAS'!M45,0),IF(AND(25&gt;='EDT Y TAREAS'!AK49,25&lt;'EDT Y TAREAS'!AL49),'EDT Y TAREAS'!AF49/'EDT Y TAREAS'!M49,0),IF(AND(25&gt;='EDT Y TAREAS'!AK52,25&lt;'EDT Y TAREAS'!AL52),'EDT Y TAREAS'!AF52/'EDT Y TAREAS'!M52,0))</x:f>
        <x:v>1.2</x:v>
      </x:c>
      <x:c r="E65" s="35" t="n">
        <x:f>SUM(IF(AND(25&gt;='EDT Y TAREAS'!AK29,25&lt;'EDT Y TAREAS'!AL29),'EDT Y TAREAS'!AG29/'EDT Y TAREAS'!M29,0),IF(AND(25&gt;='EDT Y TAREAS'!AK30,25&lt;'EDT Y TAREAS'!AL30),'EDT Y TAREAS'!AG30/'EDT Y TAREAS'!M30,0),IF(AND(25&gt;='EDT Y TAREAS'!AK31,25&lt;'EDT Y TAREAS'!AL31),'EDT Y TAREAS'!AG31/'EDT Y TAREAS'!M31,0),IF(AND(25&gt;='EDT Y TAREAS'!AK32,25&lt;'EDT Y TAREAS'!AL32),'EDT Y TAREAS'!AG32/'EDT Y TAREAS'!M32,0),IF(AND(25&gt;='EDT Y TAREAS'!AK41,25&lt;'EDT Y TAREAS'!AL41),'EDT Y TAREAS'!AG41/'EDT Y TAREAS'!M41,0),IF(AND(25&gt;='EDT Y TAREAS'!AK45,25&lt;'EDT Y TAREAS'!AL45),'EDT Y TAREAS'!AG45/'EDT Y TAREAS'!M45,0),IF(AND(25&gt;='EDT Y TAREAS'!AK48,25&lt;'EDT Y TAREAS'!AL48),'EDT Y TAREAS'!AG48/'EDT Y TAREAS'!M48,0))</x:f>
        <x:v>0</x:v>
      </x:c>
      <x:c r="F65" s="35" t="n">
        <x:f>SUM(IF(AND(25&gt;='EDT Y TAREAS'!AK10,25&lt;'EDT Y TAREAS'!AL10),'EDT Y TAREAS'!AH10/'EDT Y TAREAS'!M10,0),IF(AND(25&gt;='EDT Y TAREAS'!AK12,25&lt;'EDT Y TAREAS'!AL12),'EDT Y TAREAS'!AH12/'EDT Y TAREAS'!M12,0),IF(AND(25&gt;='EDT Y TAREAS'!AK22,25&lt;'EDT Y TAREAS'!AL22),'EDT Y TAREAS'!AH22/'EDT Y TAREAS'!M22,0),IF(AND(25&gt;='EDT Y TAREAS'!AK23,25&lt;'EDT Y TAREAS'!AL23),'EDT Y TAREAS'!AH23/'EDT Y TAREAS'!M23,0),IF(AND(25&gt;='EDT Y TAREAS'!AK29,25&lt;'EDT Y TAREAS'!AL29),'EDT Y TAREAS'!AH29/'EDT Y TAREAS'!M29,0),IF(AND(25&gt;='EDT Y TAREAS'!AK30,25&lt;'EDT Y TAREAS'!AL30),'EDT Y TAREAS'!AH30/'EDT Y TAREAS'!M30,0),IF(AND(25&gt;='EDT Y TAREAS'!AK32,25&lt;'EDT Y TAREAS'!AL32),'EDT Y TAREAS'!AH32/'EDT Y TAREAS'!M32,0),IF(AND(25&gt;='EDT Y TAREAS'!AK41,25&lt;'EDT Y TAREAS'!AL41),'EDT Y TAREAS'!AH41/'EDT Y TAREAS'!M41,0),IF(AND(25&gt;='EDT Y TAREAS'!AK44,25&lt;'EDT Y TAREAS'!AL44),'EDT Y TAREAS'!AH44/'EDT Y TAREAS'!M44,0),IF(AND(25&gt;='EDT Y TAREAS'!AK46,25&lt;'EDT Y TAREAS'!AL46),'EDT Y TAREAS'!AH46/'EDT Y TAREAS'!M46,0),IF(AND(25&gt;='EDT Y TAREAS'!AK48,25&lt;'EDT Y TAREAS'!AL48),'EDT Y TAREAS'!AH48/'EDT Y TAREAS'!M48,0))</x:f>
        <x:v>1.3333333333333333</x:v>
      </x:c>
      <x:c r="G65" s="35" t="n">
        <x:f>SUM(IF(AND(25&gt;='EDT Y TAREAS'!AK20,25&lt;'EDT Y TAREAS'!AL20),'EDT Y TAREAS'!AI20/'EDT Y TAREAS'!M20,0),IF(AND(25&gt;='EDT Y TAREAS'!AK25,25&lt;'EDT Y TAREAS'!AL25),'EDT Y TAREAS'!AI25/'EDT Y TAREAS'!M25,0),IF(AND(25&gt;='EDT Y TAREAS'!AK33,25&lt;'EDT Y TAREAS'!AL33),'EDT Y TAREAS'!AI33/'EDT Y TAREAS'!M33,0),IF(AND(25&gt;='EDT Y TAREAS'!AK34,25&lt;'EDT Y TAREAS'!AL34),'EDT Y TAREAS'!AI34/'EDT Y TAREAS'!M34,0),IF(AND(25&gt;='EDT Y TAREAS'!AK36,25&lt;'EDT Y TAREAS'!AL36),'EDT Y TAREAS'!AI36/'EDT Y TAREAS'!M36,0),IF(AND(25&gt;='EDT Y TAREAS'!AK39,25&lt;'EDT Y TAREAS'!AL39),'EDT Y TAREAS'!AI39/'EDT Y TAREAS'!M39,0),IF(AND(25&gt;='EDT Y TAREAS'!AK40,25&lt;'EDT Y TAREAS'!AL40),'EDT Y TAREAS'!AI40/'EDT Y TAREAS'!M40,0),IF(AND(25&gt;='EDT Y TAREAS'!AK42,25&lt;'EDT Y TAREAS'!AL42),'EDT Y TAREAS'!AI42/'EDT Y TAREAS'!M42,0),IF(AND(25&gt;='EDT Y TAREAS'!AK43,25&lt;'EDT Y TAREAS'!AL43),'EDT Y TAREAS'!AI43/'EDT Y TAREAS'!M43,0),IF(AND(25&gt;='EDT Y TAREAS'!AK44,25&lt;'EDT Y TAREAS'!AL44),'EDT Y TAREAS'!AI44/'EDT Y TAREAS'!M44,0),IF(AND(25&gt;='EDT Y TAREAS'!AK45,25&lt;'EDT Y TAREAS'!AL45),'EDT Y TAREAS'!AI45/'EDT Y TAREAS'!M45,0),IF(AND(25&gt;='EDT Y TAREAS'!AK46,25&lt;'EDT Y TAREAS'!AL46),'EDT Y TAREAS'!AI46/'EDT Y TAREAS'!M46,0),IF(AND(25&gt;='EDT Y TAREAS'!AK48,25&lt;'EDT Y TAREAS'!AL48),'EDT Y TAREAS'!AI48/'EDT Y TAREAS'!M48,0),IF(AND(25&gt;='EDT Y TAREAS'!AK50,25&lt;'EDT Y TAREAS'!AL50),'EDT Y TAREAS'!AI50/'EDT Y TAREAS'!M50,0),IF(AND(25&gt;='EDT Y TAREAS'!AK52,25&lt;'EDT Y TAREAS'!AL52),'EDT Y TAREAS'!AI52/'EDT Y TAREAS'!M52,0))</x:f>
        <x:v>0</x:v>
      </x:c>
      <x:c r="H65" s="35" t="n">
        <x:f>SUM(IF(AND(25&gt;='EDT Y TAREAS'!AK11,25&lt;'EDT Y TAREAS'!AL11),'EDT Y TAREAS'!AJ11/'EDT Y TAREAS'!M11,0),IF(AND(25&gt;='EDT Y TAREAS'!AK24,25&lt;'EDT Y TAREAS'!AL24),'EDT Y TAREAS'!AJ24/'EDT Y TAREAS'!M24,0),IF(AND(25&gt;='EDT Y TAREAS'!AK27,25&lt;'EDT Y TAREAS'!AL27),'EDT Y TAREAS'!AJ27/'EDT Y TAREAS'!M27,0),IF(AND(25&gt;='EDT Y TAREAS'!AK28,25&lt;'EDT Y TAREAS'!AL28),'EDT Y TAREAS'!AJ28/'EDT Y TAREAS'!M28,0),IF(AND(25&gt;='EDT Y TAREAS'!AK33,25&lt;'EDT Y TAREAS'!AL33),'EDT Y TAREAS'!AJ33/'EDT Y TAREAS'!M33,0),IF(AND(25&gt;='EDT Y TAREAS'!AK35,25&lt;'EDT Y TAREAS'!AL35),'EDT Y TAREAS'!AJ35/'EDT Y TAREAS'!M35,0),IF(AND(25&gt;='EDT Y TAREAS'!AK36,25&lt;'EDT Y TAREAS'!AL36),'EDT Y TAREAS'!AJ36/'EDT Y TAREAS'!M36,0),IF(AND(25&gt;='EDT Y TAREAS'!AK37,25&lt;'EDT Y TAREAS'!AL37),'EDT Y TAREAS'!AJ37/'EDT Y TAREAS'!M37,0),IF(AND(25&gt;='EDT Y TAREAS'!AK40,25&lt;'EDT Y TAREAS'!AL40),'EDT Y TAREAS'!AJ40/'EDT Y TAREAS'!M40,0),IF(AND(25&gt;='EDT Y TAREAS'!AK42,25&lt;'EDT Y TAREAS'!AL42),'EDT Y TAREAS'!AJ42/'EDT Y TAREAS'!M42,0),IF(AND(25&gt;='EDT Y TAREAS'!AK49,25&lt;'EDT Y TAREAS'!AL49),'EDT Y TAREAS'!AJ49/'EDT Y TAREAS'!M49,0),IF(AND(25&gt;='EDT Y TAREAS'!AK50,25&lt;'EDT Y TAREAS'!AL50),'EDT Y TAREAS'!AJ50/'EDT Y TAREAS'!M50,0),IF(AND(25&gt;='EDT Y TAREAS'!AK51,25&lt;'EDT Y TAREAS'!AL51),'EDT Y TAREAS'!AJ51/'EDT Y TAREAS'!M51,0),IF(AND(25&gt;='EDT Y TAREAS'!AK52,25&lt;'EDT Y TAREAS'!AL52),'EDT Y TAREAS'!AJ52/'EDT Y TAREAS'!M52,0))</x:f>
        <x:v>2.8</x:v>
      </x:c>
      <x:c r="I65" s="10" t="n">
        <x:f>WORKDAY('RESUMEN'!$D$3-1,A65,'RESUMEN'!$J$6:$J$25)</x:f>
        <x:v>46363</x:v>
      </x:c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  <x:c r="AL65" s="3"/>
      <x:c r="AM65" s="3"/>
      <x:c r="AN65" s="3"/>
      <x:c r="AO65" s="3"/>
    </x:row>
    <x:row r="66" ht="24" customHeight="1">
      <x:c r="A66" s="3" t="n">
        <x:v>27</x:v>
      </x:c>
      <x:c r="B66" s="35" t="n">
        <x:f>SUM(IF(AND(26&gt;='EDT Y TAREAS'!AK6,26&lt;'EDT Y TAREAS'!AL6),'EDT Y TAREAS'!AD6/'EDT Y TAREAS'!M6,0),IF(AND(26&gt;='EDT Y TAREAS'!AK7,26&lt;'EDT Y TAREAS'!AL7),'EDT Y TAREAS'!AD7/'EDT Y TAREAS'!M7,0),IF(AND(26&gt;='EDT Y TAREAS'!AK8,26&lt;'EDT Y TAREAS'!AL8),'EDT Y TAREAS'!AD8/'EDT Y TAREAS'!M8,0),IF(AND(26&gt;='EDT Y TAREAS'!AK9,26&lt;'EDT Y TAREAS'!AL9),'EDT Y TAREAS'!AD9/'EDT Y TAREAS'!M9,0),IF(AND(26&gt;='EDT Y TAREAS'!AK10,26&lt;'EDT Y TAREAS'!AL10),'EDT Y TAREAS'!AD10/'EDT Y TAREAS'!M10,0),IF(AND(26&gt;='EDT Y TAREAS'!AK11,26&lt;'EDT Y TAREAS'!AL11),'EDT Y TAREAS'!AD11/'EDT Y TAREAS'!M11,0),IF(AND(26&gt;='EDT Y TAREAS'!AK12,26&lt;'EDT Y TAREAS'!AL12),'EDT Y TAREAS'!AD12/'EDT Y TAREAS'!M12,0),IF(AND(26&gt;='EDT Y TAREAS'!AK13,26&lt;'EDT Y TAREAS'!AL13),'EDT Y TAREAS'!AD13/'EDT Y TAREAS'!M13,0),IF(AND(26&gt;='EDT Y TAREAS'!AK14,26&lt;'EDT Y TAREAS'!AL14),'EDT Y TAREAS'!AD14/'EDT Y TAREAS'!M14,0),IF(AND(26&gt;='EDT Y TAREAS'!AK15,26&lt;'EDT Y TAREAS'!AL15),'EDT Y TAREAS'!AD15/'EDT Y TAREAS'!M15,0),IF(AND(26&gt;='EDT Y TAREAS'!AK16,26&lt;'EDT Y TAREAS'!AL16),'EDT Y TAREAS'!AD16/'EDT Y TAREAS'!M16,0),IF(AND(26&gt;='EDT Y TAREAS'!AK17,26&lt;'EDT Y TAREAS'!AL17),'EDT Y TAREAS'!AD17/'EDT Y TAREAS'!M17,0),IF(AND(26&gt;='EDT Y TAREAS'!AK18,26&lt;'EDT Y TAREAS'!AL18),'EDT Y TAREAS'!AD18/'EDT Y TAREAS'!M18,0),IF(AND(26&gt;='EDT Y TAREAS'!AK19,26&lt;'EDT Y TAREAS'!AL19),'EDT Y TAREAS'!AD19/'EDT Y TAREAS'!M19,0),IF(AND(26&gt;='EDT Y TAREAS'!AK20,26&lt;'EDT Y TAREAS'!AL20),'EDT Y TAREAS'!AD20/'EDT Y TAREAS'!M20,0),IF(AND(26&gt;='EDT Y TAREAS'!AK21,26&lt;'EDT Y TAREAS'!AL21),'EDT Y TAREAS'!AD21/'EDT Y TAREAS'!M21,0),IF(AND(26&gt;='EDT Y TAREAS'!AK22,26&lt;'EDT Y TAREAS'!AL22),'EDT Y TAREAS'!AD22/'EDT Y TAREAS'!M22,0),IF(AND(26&gt;='EDT Y TAREAS'!AK23,26&lt;'EDT Y TAREAS'!AL23),'EDT Y TAREAS'!AD23/'EDT Y TAREAS'!M23,0),IF(AND(26&gt;='EDT Y TAREAS'!AK26,26&lt;'EDT Y TAREAS'!AL26),'EDT Y TAREAS'!AD26/'EDT Y TAREAS'!M26,0),IF(AND(26&gt;='EDT Y TAREAS'!AK28,26&lt;'EDT Y TAREAS'!AL28),'EDT Y TAREAS'!AD28/'EDT Y TAREAS'!M28,0),IF(AND(26&gt;='EDT Y TAREAS'!AK30,26&lt;'EDT Y TAREAS'!AL30),'EDT Y TAREAS'!AD30/'EDT Y TAREAS'!M30,0),IF(AND(26&gt;='EDT Y TAREAS'!AK32,26&lt;'EDT Y TAREAS'!AL32),'EDT Y TAREAS'!AD32/'EDT Y TAREAS'!M32,0),IF(AND(26&gt;='EDT Y TAREAS'!AK34,26&lt;'EDT Y TAREAS'!AL34),'EDT Y TAREAS'!AD34/'EDT Y TAREAS'!M34,0),IF(AND(26&gt;='EDT Y TAREAS'!AK38,26&lt;'EDT Y TAREAS'!AL38),'EDT Y TAREAS'!AD38/'EDT Y TAREAS'!M38,0),IF(AND(26&gt;='EDT Y TAREAS'!AK39,26&lt;'EDT Y TAREAS'!AL39),'EDT Y TAREAS'!AD39/'EDT Y TAREAS'!M39,0),IF(AND(26&gt;='EDT Y TAREAS'!AK43,26&lt;'EDT Y TAREAS'!AL43),'EDT Y TAREAS'!AD43/'EDT Y TAREAS'!M43,0),IF(AND(26&gt;='EDT Y TAREAS'!AK44,26&lt;'EDT Y TAREAS'!AL44),'EDT Y TAREAS'!AD44/'EDT Y TAREAS'!M44,0),IF(AND(26&gt;='EDT Y TAREAS'!AK45,26&lt;'EDT Y TAREAS'!AL45),'EDT Y TAREAS'!AD45/'EDT Y TAREAS'!M45,0),IF(AND(26&gt;='EDT Y TAREAS'!AK46,26&lt;'EDT Y TAREAS'!AL46),'EDT Y TAREAS'!AD46/'EDT Y TAREAS'!M46,0),IF(AND(26&gt;='EDT Y TAREAS'!AK47,26&lt;'EDT Y TAREAS'!AL47),'EDT Y TAREAS'!AD47/'EDT Y TAREAS'!M47,0),IF(AND(26&gt;='EDT Y TAREAS'!AK49,26&lt;'EDT Y TAREAS'!AL49),'EDT Y TAREAS'!AD49/'EDT Y TAREAS'!M49,0),IF(AND(26&gt;='EDT Y TAREAS'!AK50,26&lt;'EDT Y TAREAS'!AL50),'EDT Y TAREAS'!AD50/'EDT Y TAREAS'!M50,0),IF(AND(26&gt;='EDT Y TAREAS'!AK51,26&lt;'EDT Y TAREAS'!AL51),'EDT Y TAREAS'!AD51/'EDT Y TAREAS'!M51,0),IF(AND(26&gt;='EDT Y TAREAS'!AK52,26&lt;'EDT Y TAREAS'!AL52),'EDT Y TAREAS'!AD52/'EDT Y TAREAS'!M52,0))</x:f>
        <x:v>4.8</x:v>
      </x:c>
      <x:c r="C66" s="35" t="n">
        <x:f>SUM(IF(AND(26&gt;='EDT Y TAREAS'!AK6,26&lt;'EDT Y TAREAS'!AL6),'EDT Y TAREAS'!AE6/'EDT Y TAREAS'!M6,0),IF(AND(26&gt;='EDT Y TAREAS'!AK8,26&lt;'EDT Y TAREAS'!AL8),'EDT Y TAREAS'!AE8/'EDT Y TAREAS'!M8,0),IF(AND(26&gt;='EDT Y TAREAS'!AK9,26&lt;'EDT Y TAREAS'!AL9),'EDT Y TAREAS'!AE9/'EDT Y TAREAS'!M9,0),IF(AND(26&gt;='EDT Y TAREAS'!AK10,26&lt;'EDT Y TAREAS'!AL10),'EDT Y TAREAS'!AE10/'EDT Y TAREAS'!M10,0),IF(AND(26&gt;='EDT Y TAREAS'!AK12,26&lt;'EDT Y TAREAS'!AL12),'EDT Y TAREAS'!AE12/'EDT Y TAREAS'!M12,0),IF(AND(26&gt;='EDT Y TAREAS'!AK16,26&lt;'EDT Y TAREAS'!AL16),'EDT Y TAREAS'!AE16/'EDT Y TAREAS'!M16,0),IF(AND(26&gt;='EDT Y TAREAS'!AK21,26&lt;'EDT Y TAREAS'!AL21),'EDT Y TAREAS'!AE21/'EDT Y TAREAS'!M21,0),IF(AND(26&gt;='EDT Y TAREAS'!AK23,26&lt;'EDT Y TAREAS'!AL23),'EDT Y TAREAS'!AE23/'EDT Y TAREAS'!M23,0),IF(AND(26&gt;='EDT Y TAREAS'!AK37,26&lt;'EDT Y TAREAS'!AL37),'EDT Y TAREAS'!AE37/'EDT Y TAREAS'!M37,0),IF(AND(26&gt;='EDT Y TAREAS'!AK38,26&lt;'EDT Y TAREAS'!AL38),'EDT Y TAREAS'!AE38/'EDT Y TAREAS'!M38,0),IF(AND(26&gt;='EDT Y TAREAS'!AK41,26&lt;'EDT Y TAREAS'!AL41),'EDT Y TAREAS'!AE41/'EDT Y TAREAS'!M41,0),IF(AND(26&gt;='EDT Y TAREAS'!AK43,26&lt;'EDT Y TAREAS'!AL43),'EDT Y TAREAS'!AE43/'EDT Y TAREAS'!M43,0),IF(AND(26&gt;='EDT Y TAREAS'!AK44,26&lt;'EDT Y TAREAS'!AL44),'EDT Y TAREAS'!AE44/'EDT Y TAREAS'!M44,0),IF(AND(26&gt;='EDT Y TAREAS'!AK46,26&lt;'EDT Y TAREAS'!AL46),'EDT Y TAREAS'!AE46/'EDT Y TAREAS'!M46,0),IF(AND(26&gt;='EDT Y TAREAS'!AK47,26&lt;'EDT Y TAREAS'!AL47),'EDT Y TAREAS'!AE47/'EDT Y TAREAS'!M47,0),IF(AND(26&gt;='EDT Y TAREAS'!AK51,26&lt;'EDT Y TAREAS'!AL51),'EDT Y TAREAS'!AE51/'EDT Y TAREAS'!M51,0),IF(AND(26&gt;='EDT Y TAREAS'!AK52,26&lt;'EDT Y TAREAS'!AL52),'EDT Y TAREAS'!AE52/'EDT Y TAREAS'!M52,0))</x:f>
        <x:v>1.6</x:v>
      </x:c>
      <x:c r="D66" s="35" t="n">
        <x:f>SUM(IF(AND(26&gt;='EDT Y TAREAS'!AK11,26&lt;'EDT Y TAREAS'!AL11),'EDT Y TAREAS'!AF11/'EDT Y TAREAS'!M11,0),IF(AND(26&gt;='EDT Y TAREAS'!AK24,26&lt;'EDT Y TAREAS'!AL24),'EDT Y TAREAS'!AF24/'EDT Y TAREAS'!M24,0),IF(AND(26&gt;='EDT Y TAREAS'!AK25,26&lt;'EDT Y TAREAS'!AL25),'EDT Y TAREAS'!AF25/'EDT Y TAREAS'!M25,0),IF(AND(26&gt;='EDT Y TAREAS'!AK26,26&lt;'EDT Y TAREAS'!AL26),'EDT Y TAREAS'!AF26/'EDT Y TAREAS'!M26,0),IF(AND(26&gt;='EDT Y TAREAS'!AK27,26&lt;'EDT Y TAREAS'!AL27),'EDT Y TAREAS'!AF27/'EDT Y TAREAS'!M27,0),IF(AND(26&gt;='EDT Y TAREAS'!AK28,26&lt;'EDT Y TAREAS'!AL28),'EDT Y TAREAS'!AF28/'EDT Y TAREAS'!M28,0),IF(AND(26&gt;='EDT Y TAREAS'!AK31,26&lt;'EDT Y TAREAS'!AL31),'EDT Y TAREAS'!AF31/'EDT Y TAREAS'!M31,0),IF(AND(26&gt;='EDT Y TAREAS'!AK33,26&lt;'EDT Y TAREAS'!AL33),'EDT Y TAREAS'!AF33/'EDT Y TAREAS'!M33,0),IF(AND(26&gt;='EDT Y TAREAS'!AK34,26&lt;'EDT Y TAREAS'!AL34),'EDT Y TAREAS'!AF34/'EDT Y TAREAS'!M34,0),IF(AND(26&gt;='EDT Y TAREAS'!AK35,26&lt;'EDT Y TAREAS'!AL35),'EDT Y TAREAS'!AF35/'EDT Y TAREAS'!M35,0),IF(AND(26&gt;='EDT Y TAREAS'!AK37,26&lt;'EDT Y TAREAS'!AL37),'EDT Y TAREAS'!AF37/'EDT Y TAREAS'!M37,0),IF(AND(26&gt;='EDT Y TAREAS'!AK39,26&lt;'EDT Y TAREAS'!AL39),'EDT Y TAREAS'!AF39/'EDT Y TAREAS'!M39,0),IF(AND(26&gt;='EDT Y TAREAS'!AK40,26&lt;'EDT Y TAREAS'!AL40),'EDT Y TAREAS'!AF40/'EDT Y TAREAS'!M40,0),IF(AND(26&gt;='EDT Y TAREAS'!AK42,26&lt;'EDT Y TAREAS'!AL42),'EDT Y TAREAS'!AF42/'EDT Y TAREAS'!M42,0),IF(AND(26&gt;='EDT Y TAREAS'!AK45,26&lt;'EDT Y TAREAS'!AL45),'EDT Y TAREAS'!AF45/'EDT Y TAREAS'!M45,0),IF(AND(26&gt;='EDT Y TAREAS'!AK49,26&lt;'EDT Y TAREAS'!AL49),'EDT Y TAREAS'!AF49/'EDT Y TAREAS'!M49,0),IF(AND(26&gt;='EDT Y TAREAS'!AK52,26&lt;'EDT Y TAREAS'!AL52),'EDT Y TAREAS'!AF52/'EDT Y TAREAS'!M52,0))</x:f>
        <x:v>7.6</x:v>
      </x:c>
      <x:c r="E66" s="35" t="n">
        <x:f>SUM(IF(AND(26&gt;='EDT Y TAREAS'!AK29,26&lt;'EDT Y TAREAS'!AL29),'EDT Y TAREAS'!AG29/'EDT Y TAREAS'!M29,0),IF(AND(26&gt;='EDT Y TAREAS'!AK30,26&lt;'EDT Y TAREAS'!AL30),'EDT Y TAREAS'!AG30/'EDT Y TAREAS'!M30,0),IF(AND(26&gt;='EDT Y TAREAS'!AK31,26&lt;'EDT Y TAREAS'!AL31),'EDT Y TAREAS'!AG31/'EDT Y TAREAS'!M31,0),IF(AND(26&gt;='EDT Y TAREAS'!AK32,26&lt;'EDT Y TAREAS'!AL32),'EDT Y TAREAS'!AG32/'EDT Y TAREAS'!M32,0),IF(AND(26&gt;='EDT Y TAREAS'!AK41,26&lt;'EDT Y TAREAS'!AL41),'EDT Y TAREAS'!AG41/'EDT Y TAREAS'!M41,0),IF(AND(26&gt;='EDT Y TAREAS'!AK45,26&lt;'EDT Y TAREAS'!AL45),'EDT Y TAREAS'!AG45/'EDT Y TAREAS'!M45,0),IF(AND(26&gt;='EDT Y TAREAS'!AK48,26&lt;'EDT Y TAREAS'!AL48),'EDT Y TAREAS'!AG48/'EDT Y TAREAS'!M48,0))</x:f>
        <x:v>0</x:v>
      </x:c>
      <x:c r="F66" s="35" t="n">
        <x:f>SUM(IF(AND(26&gt;='EDT Y TAREAS'!AK10,26&lt;'EDT Y TAREAS'!AL10),'EDT Y TAREAS'!AH10/'EDT Y TAREAS'!M10,0),IF(AND(26&gt;='EDT Y TAREAS'!AK12,26&lt;'EDT Y TAREAS'!AL12),'EDT Y TAREAS'!AH12/'EDT Y TAREAS'!M12,0),IF(AND(26&gt;='EDT Y TAREAS'!AK22,26&lt;'EDT Y TAREAS'!AL22),'EDT Y TAREAS'!AH22/'EDT Y TAREAS'!M22,0),IF(AND(26&gt;='EDT Y TAREAS'!AK23,26&lt;'EDT Y TAREAS'!AL23),'EDT Y TAREAS'!AH23/'EDT Y TAREAS'!M23,0),IF(AND(26&gt;='EDT Y TAREAS'!AK29,26&lt;'EDT Y TAREAS'!AL29),'EDT Y TAREAS'!AH29/'EDT Y TAREAS'!M29,0),IF(AND(26&gt;='EDT Y TAREAS'!AK30,26&lt;'EDT Y TAREAS'!AL30),'EDT Y TAREAS'!AH30/'EDT Y TAREAS'!M30,0),IF(AND(26&gt;='EDT Y TAREAS'!AK32,26&lt;'EDT Y TAREAS'!AL32),'EDT Y TAREAS'!AH32/'EDT Y TAREAS'!M32,0),IF(AND(26&gt;='EDT Y TAREAS'!AK41,26&lt;'EDT Y TAREAS'!AL41),'EDT Y TAREAS'!AH41/'EDT Y TAREAS'!M41,0),IF(AND(26&gt;='EDT Y TAREAS'!AK44,26&lt;'EDT Y TAREAS'!AL44),'EDT Y TAREAS'!AH44/'EDT Y TAREAS'!M44,0),IF(AND(26&gt;='EDT Y TAREAS'!AK46,26&lt;'EDT Y TAREAS'!AL46),'EDT Y TAREAS'!AH46/'EDT Y TAREAS'!M46,0),IF(AND(26&gt;='EDT Y TAREAS'!AK48,26&lt;'EDT Y TAREAS'!AL48),'EDT Y TAREAS'!AH48/'EDT Y TAREAS'!M48,0))</x:f>
        <x:v>3.2</x:v>
      </x:c>
      <x:c r="G66" s="35" t="n">
        <x:f>SUM(IF(AND(26&gt;='EDT Y TAREAS'!AK20,26&lt;'EDT Y TAREAS'!AL20),'EDT Y TAREAS'!AI20/'EDT Y TAREAS'!M20,0),IF(AND(26&gt;='EDT Y TAREAS'!AK25,26&lt;'EDT Y TAREAS'!AL25),'EDT Y TAREAS'!AI25/'EDT Y TAREAS'!M25,0),IF(AND(26&gt;='EDT Y TAREAS'!AK33,26&lt;'EDT Y TAREAS'!AL33),'EDT Y TAREAS'!AI33/'EDT Y TAREAS'!M33,0),IF(AND(26&gt;='EDT Y TAREAS'!AK34,26&lt;'EDT Y TAREAS'!AL34),'EDT Y TAREAS'!AI34/'EDT Y TAREAS'!M34,0),IF(AND(26&gt;='EDT Y TAREAS'!AK36,26&lt;'EDT Y TAREAS'!AL36),'EDT Y TAREAS'!AI36/'EDT Y TAREAS'!M36,0),IF(AND(26&gt;='EDT Y TAREAS'!AK39,26&lt;'EDT Y TAREAS'!AL39),'EDT Y TAREAS'!AI39/'EDT Y TAREAS'!M39,0),IF(AND(26&gt;='EDT Y TAREAS'!AK40,26&lt;'EDT Y TAREAS'!AL40),'EDT Y TAREAS'!AI40/'EDT Y TAREAS'!M40,0),IF(AND(26&gt;='EDT Y TAREAS'!AK42,26&lt;'EDT Y TAREAS'!AL42),'EDT Y TAREAS'!AI42/'EDT Y TAREAS'!M42,0),IF(AND(26&gt;='EDT Y TAREAS'!AK43,26&lt;'EDT Y TAREAS'!AL43),'EDT Y TAREAS'!AI43/'EDT Y TAREAS'!M43,0),IF(AND(26&gt;='EDT Y TAREAS'!AK44,26&lt;'EDT Y TAREAS'!AL44),'EDT Y TAREAS'!AI44/'EDT Y TAREAS'!M44,0),IF(AND(26&gt;='EDT Y TAREAS'!AK45,26&lt;'EDT Y TAREAS'!AL45),'EDT Y TAREAS'!AI45/'EDT Y TAREAS'!M45,0),IF(AND(26&gt;='EDT Y TAREAS'!AK46,26&lt;'EDT Y TAREAS'!AL46),'EDT Y TAREAS'!AI46/'EDT Y TAREAS'!M46,0),IF(AND(26&gt;='EDT Y TAREAS'!AK48,26&lt;'EDT Y TAREAS'!AL48),'EDT Y TAREAS'!AI48/'EDT Y TAREAS'!M48,0),IF(AND(26&gt;='EDT Y TAREAS'!AK50,26&lt;'EDT Y TAREAS'!AL50),'EDT Y TAREAS'!AI50/'EDT Y TAREAS'!M50,0),IF(AND(26&gt;='EDT Y TAREAS'!AK52,26&lt;'EDT Y TAREAS'!AL52),'EDT Y TAREAS'!AI52/'EDT Y TAREAS'!M52,0))</x:f>
        <x:v>0.8</x:v>
      </x:c>
      <x:c r="H66" s="35" t="n">
        <x:f>SUM(IF(AND(26&gt;='EDT Y TAREAS'!AK11,26&lt;'EDT Y TAREAS'!AL11),'EDT Y TAREAS'!AJ11/'EDT Y TAREAS'!M11,0),IF(AND(26&gt;='EDT Y TAREAS'!AK24,26&lt;'EDT Y TAREAS'!AL24),'EDT Y TAREAS'!AJ24/'EDT Y TAREAS'!M24,0),IF(AND(26&gt;='EDT Y TAREAS'!AK27,26&lt;'EDT Y TAREAS'!AL27),'EDT Y TAREAS'!AJ27/'EDT Y TAREAS'!M27,0),IF(AND(26&gt;='EDT Y TAREAS'!AK28,26&lt;'EDT Y TAREAS'!AL28),'EDT Y TAREAS'!AJ28/'EDT Y TAREAS'!M28,0),IF(AND(26&gt;='EDT Y TAREAS'!AK33,26&lt;'EDT Y TAREAS'!AL33),'EDT Y TAREAS'!AJ33/'EDT Y TAREAS'!M33,0),IF(AND(26&gt;='EDT Y TAREAS'!AK35,26&lt;'EDT Y TAREAS'!AL35),'EDT Y TAREAS'!AJ35/'EDT Y TAREAS'!M35,0),IF(AND(26&gt;='EDT Y TAREAS'!AK36,26&lt;'EDT Y TAREAS'!AL36),'EDT Y TAREAS'!AJ36/'EDT Y TAREAS'!M36,0),IF(AND(26&gt;='EDT Y TAREAS'!AK37,26&lt;'EDT Y TAREAS'!AL37),'EDT Y TAREAS'!AJ37/'EDT Y TAREAS'!M37,0),IF(AND(26&gt;='EDT Y TAREAS'!AK40,26&lt;'EDT Y TAREAS'!AL40),'EDT Y TAREAS'!AJ40/'EDT Y TAREAS'!M40,0),IF(AND(26&gt;='EDT Y TAREAS'!AK42,26&lt;'EDT Y TAREAS'!AL42),'EDT Y TAREAS'!AJ42/'EDT Y TAREAS'!M42,0),IF(AND(26&gt;='EDT Y TAREAS'!AK49,26&lt;'EDT Y TAREAS'!AL49),'EDT Y TAREAS'!AJ49/'EDT Y TAREAS'!M49,0),IF(AND(26&gt;='EDT Y TAREAS'!AK50,26&lt;'EDT Y TAREAS'!AL50),'EDT Y TAREAS'!AJ50/'EDT Y TAREAS'!M50,0),IF(AND(26&gt;='EDT Y TAREAS'!AK51,26&lt;'EDT Y TAREAS'!AL51),'EDT Y TAREAS'!AJ51/'EDT Y TAREAS'!M51,0),IF(AND(26&gt;='EDT Y TAREAS'!AK52,26&lt;'EDT Y TAREAS'!AL52),'EDT Y TAREAS'!AJ52/'EDT Y TAREAS'!M52,0))</x:f>
        <x:v>4.4</x:v>
      </x:c>
      <x:c r="I66" s="10" t="n">
        <x:f>WORKDAY('RESUMEN'!$D$3-1,A66,'RESUMEN'!$J$6:$J$25)</x:f>
        <x:v>46364</x:v>
      </x:c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  <x:c r="AL66" s="3"/>
      <x:c r="AM66" s="3"/>
      <x:c r="AN66" s="3"/>
      <x:c r="AO66" s="3"/>
    </x:row>
    <x:row r="67" ht="24" customHeight="1">
      <x:c r="A67" s="3" t="n">
        <x:v>28</x:v>
      </x:c>
      <x:c r="B67" s="35" t="n">
        <x:f>SUM(IF(AND(27&gt;='EDT Y TAREAS'!AK6,27&lt;'EDT Y TAREAS'!AL6),'EDT Y TAREAS'!AD6/'EDT Y TAREAS'!M6,0),IF(AND(27&gt;='EDT Y TAREAS'!AK7,27&lt;'EDT Y TAREAS'!AL7),'EDT Y TAREAS'!AD7/'EDT Y TAREAS'!M7,0),IF(AND(27&gt;='EDT Y TAREAS'!AK8,27&lt;'EDT Y TAREAS'!AL8),'EDT Y TAREAS'!AD8/'EDT Y TAREAS'!M8,0),IF(AND(27&gt;='EDT Y TAREAS'!AK9,27&lt;'EDT Y TAREAS'!AL9),'EDT Y TAREAS'!AD9/'EDT Y TAREAS'!M9,0),IF(AND(27&gt;='EDT Y TAREAS'!AK10,27&lt;'EDT Y TAREAS'!AL10),'EDT Y TAREAS'!AD10/'EDT Y TAREAS'!M10,0),IF(AND(27&gt;='EDT Y TAREAS'!AK11,27&lt;'EDT Y TAREAS'!AL11),'EDT Y TAREAS'!AD11/'EDT Y TAREAS'!M11,0),IF(AND(27&gt;='EDT Y TAREAS'!AK12,27&lt;'EDT Y TAREAS'!AL12),'EDT Y TAREAS'!AD12/'EDT Y TAREAS'!M12,0),IF(AND(27&gt;='EDT Y TAREAS'!AK13,27&lt;'EDT Y TAREAS'!AL13),'EDT Y TAREAS'!AD13/'EDT Y TAREAS'!M13,0),IF(AND(27&gt;='EDT Y TAREAS'!AK14,27&lt;'EDT Y TAREAS'!AL14),'EDT Y TAREAS'!AD14/'EDT Y TAREAS'!M14,0),IF(AND(27&gt;='EDT Y TAREAS'!AK15,27&lt;'EDT Y TAREAS'!AL15),'EDT Y TAREAS'!AD15/'EDT Y TAREAS'!M15,0),IF(AND(27&gt;='EDT Y TAREAS'!AK16,27&lt;'EDT Y TAREAS'!AL16),'EDT Y TAREAS'!AD16/'EDT Y TAREAS'!M16,0),IF(AND(27&gt;='EDT Y TAREAS'!AK17,27&lt;'EDT Y TAREAS'!AL17),'EDT Y TAREAS'!AD17/'EDT Y TAREAS'!M17,0),IF(AND(27&gt;='EDT Y TAREAS'!AK18,27&lt;'EDT Y TAREAS'!AL18),'EDT Y TAREAS'!AD18/'EDT Y TAREAS'!M18,0),IF(AND(27&gt;='EDT Y TAREAS'!AK19,27&lt;'EDT Y TAREAS'!AL19),'EDT Y TAREAS'!AD19/'EDT Y TAREAS'!M19,0),IF(AND(27&gt;='EDT Y TAREAS'!AK20,27&lt;'EDT Y TAREAS'!AL20),'EDT Y TAREAS'!AD20/'EDT Y TAREAS'!M20,0),IF(AND(27&gt;='EDT Y TAREAS'!AK21,27&lt;'EDT Y TAREAS'!AL21),'EDT Y TAREAS'!AD21/'EDT Y TAREAS'!M21,0),IF(AND(27&gt;='EDT Y TAREAS'!AK22,27&lt;'EDT Y TAREAS'!AL22),'EDT Y TAREAS'!AD22/'EDT Y TAREAS'!M22,0),IF(AND(27&gt;='EDT Y TAREAS'!AK23,27&lt;'EDT Y TAREAS'!AL23),'EDT Y TAREAS'!AD23/'EDT Y TAREAS'!M23,0),IF(AND(27&gt;='EDT Y TAREAS'!AK26,27&lt;'EDT Y TAREAS'!AL26),'EDT Y TAREAS'!AD26/'EDT Y TAREAS'!M26,0),IF(AND(27&gt;='EDT Y TAREAS'!AK28,27&lt;'EDT Y TAREAS'!AL28),'EDT Y TAREAS'!AD28/'EDT Y TAREAS'!M28,0),IF(AND(27&gt;='EDT Y TAREAS'!AK30,27&lt;'EDT Y TAREAS'!AL30),'EDT Y TAREAS'!AD30/'EDT Y TAREAS'!M30,0),IF(AND(27&gt;='EDT Y TAREAS'!AK32,27&lt;'EDT Y TAREAS'!AL32),'EDT Y TAREAS'!AD32/'EDT Y TAREAS'!M32,0),IF(AND(27&gt;='EDT Y TAREAS'!AK34,27&lt;'EDT Y TAREAS'!AL34),'EDT Y TAREAS'!AD34/'EDT Y TAREAS'!M34,0),IF(AND(27&gt;='EDT Y TAREAS'!AK38,27&lt;'EDT Y TAREAS'!AL38),'EDT Y TAREAS'!AD38/'EDT Y TAREAS'!M38,0),IF(AND(27&gt;='EDT Y TAREAS'!AK39,27&lt;'EDT Y TAREAS'!AL39),'EDT Y TAREAS'!AD39/'EDT Y TAREAS'!M39,0),IF(AND(27&gt;='EDT Y TAREAS'!AK43,27&lt;'EDT Y TAREAS'!AL43),'EDT Y TAREAS'!AD43/'EDT Y TAREAS'!M43,0),IF(AND(27&gt;='EDT Y TAREAS'!AK44,27&lt;'EDT Y TAREAS'!AL44),'EDT Y TAREAS'!AD44/'EDT Y TAREAS'!M44,0),IF(AND(27&gt;='EDT Y TAREAS'!AK45,27&lt;'EDT Y TAREAS'!AL45),'EDT Y TAREAS'!AD45/'EDT Y TAREAS'!M45,0),IF(AND(27&gt;='EDT Y TAREAS'!AK46,27&lt;'EDT Y TAREAS'!AL46),'EDT Y TAREAS'!AD46/'EDT Y TAREAS'!M46,0),IF(AND(27&gt;='EDT Y TAREAS'!AK47,27&lt;'EDT Y TAREAS'!AL47),'EDT Y TAREAS'!AD47/'EDT Y TAREAS'!M47,0),IF(AND(27&gt;='EDT Y TAREAS'!AK49,27&lt;'EDT Y TAREAS'!AL49),'EDT Y TAREAS'!AD49/'EDT Y TAREAS'!M49,0),IF(AND(27&gt;='EDT Y TAREAS'!AK50,27&lt;'EDT Y TAREAS'!AL50),'EDT Y TAREAS'!AD50/'EDT Y TAREAS'!M50,0),IF(AND(27&gt;='EDT Y TAREAS'!AK51,27&lt;'EDT Y TAREAS'!AL51),'EDT Y TAREAS'!AD51/'EDT Y TAREAS'!M51,0),IF(AND(27&gt;='EDT Y TAREAS'!AK52,27&lt;'EDT Y TAREAS'!AL52),'EDT Y TAREAS'!AD52/'EDT Y TAREAS'!M52,0))</x:f>
        <x:v>4.8</x:v>
      </x:c>
      <x:c r="C67" s="35" t="n">
        <x:f>SUM(IF(AND(27&gt;='EDT Y TAREAS'!AK6,27&lt;'EDT Y TAREAS'!AL6),'EDT Y TAREAS'!AE6/'EDT Y TAREAS'!M6,0),IF(AND(27&gt;='EDT Y TAREAS'!AK8,27&lt;'EDT Y TAREAS'!AL8),'EDT Y TAREAS'!AE8/'EDT Y TAREAS'!M8,0),IF(AND(27&gt;='EDT Y TAREAS'!AK9,27&lt;'EDT Y TAREAS'!AL9),'EDT Y TAREAS'!AE9/'EDT Y TAREAS'!M9,0),IF(AND(27&gt;='EDT Y TAREAS'!AK10,27&lt;'EDT Y TAREAS'!AL10),'EDT Y TAREAS'!AE10/'EDT Y TAREAS'!M10,0),IF(AND(27&gt;='EDT Y TAREAS'!AK12,27&lt;'EDT Y TAREAS'!AL12),'EDT Y TAREAS'!AE12/'EDT Y TAREAS'!M12,0),IF(AND(27&gt;='EDT Y TAREAS'!AK16,27&lt;'EDT Y TAREAS'!AL16),'EDT Y TAREAS'!AE16/'EDT Y TAREAS'!M16,0),IF(AND(27&gt;='EDT Y TAREAS'!AK21,27&lt;'EDT Y TAREAS'!AL21),'EDT Y TAREAS'!AE21/'EDT Y TAREAS'!M21,0),IF(AND(27&gt;='EDT Y TAREAS'!AK23,27&lt;'EDT Y TAREAS'!AL23),'EDT Y TAREAS'!AE23/'EDT Y TAREAS'!M23,0),IF(AND(27&gt;='EDT Y TAREAS'!AK37,27&lt;'EDT Y TAREAS'!AL37),'EDT Y TAREAS'!AE37/'EDT Y TAREAS'!M37,0),IF(AND(27&gt;='EDT Y TAREAS'!AK38,27&lt;'EDT Y TAREAS'!AL38),'EDT Y TAREAS'!AE38/'EDT Y TAREAS'!M38,0),IF(AND(27&gt;='EDT Y TAREAS'!AK41,27&lt;'EDT Y TAREAS'!AL41),'EDT Y TAREAS'!AE41/'EDT Y TAREAS'!M41,0),IF(AND(27&gt;='EDT Y TAREAS'!AK43,27&lt;'EDT Y TAREAS'!AL43),'EDT Y TAREAS'!AE43/'EDT Y TAREAS'!M43,0),IF(AND(27&gt;='EDT Y TAREAS'!AK44,27&lt;'EDT Y TAREAS'!AL44),'EDT Y TAREAS'!AE44/'EDT Y TAREAS'!M44,0),IF(AND(27&gt;='EDT Y TAREAS'!AK46,27&lt;'EDT Y TAREAS'!AL46),'EDT Y TAREAS'!AE46/'EDT Y TAREAS'!M46,0),IF(AND(27&gt;='EDT Y TAREAS'!AK47,27&lt;'EDT Y TAREAS'!AL47),'EDT Y TAREAS'!AE47/'EDT Y TAREAS'!M47,0),IF(AND(27&gt;='EDT Y TAREAS'!AK51,27&lt;'EDT Y TAREAS'!AL51),'EDT Y TAREAS'!AE51/'EDT Y TAREAS'!M51,0),IF(AND(27&gt;='EDT Y TAREAS'!AK52,27&lt;'EDT Y TAREAS'!AL52),'EDT Y TAREAS'!AE52/'EDT Y TAREAS'!M52,0))</x:f>
        <x:v>1.6</x:v>
      </x:c>
      <x:c r="D67" s="35" t="n">
        <x:f>SUM(IF(AND(27&gt;='EDT Y TAREAS'!AK11,27&lt;'EDT Y TAREAS'!AL11),'EDT Y TAREAS'!AF11/'EDT Y TAREAS'!M11,0),IF(AND(27&gt;='EDT Y TAREAS'!AK24,27&lt;'EDT Y TAREAS'!AL24),'EDT Y TAREAS'!AF24/'EDT Y TAREAS'!M24,0),IF(AND(27&gt;='EDT Y TAREAS'!AK25,27&lt;'EDT Y TAREAS'!AL25),'EDT Y TAREAS'!AF25/'EDT Y TAREAS'!M25,0),IF(AND(27&gt;='EDT Y TAREAS'!AK26,27&lt;'EDT Y TAREAS'!AL26),'EDT Y TAREAS'!AF26/'EDT Y TAREAS'!M26,0),IF(AND(27&gt;='EDT Y TAREAS'!AK27,27&lt;'EDT Y TAREAS'!AL27),'EDT Y TAREAS'!AF27/'EDT Y TAREAS'!M27,0),IF(AND(27&gt;='EDT Y TAREAS'!AK28,27&lt;'EDT Y TAREAS'!AL28),'EDT Y TAREAS'!AF28/'EDT Y TAREAS'!M28,0),IF(AND(27&gt;='EDT Y TAREAS'!AK31,27&lt;'EDT Y TAREAS'!AL31),'EDT Y TAREAS'!AF31/'EDT Y TAREAS'!M31,0),IF(AND(27&gt;='EDT Y TAREAS'!AK33,27&lt;'EDT Y TAREAS'!AL33),'EDT Y TAREAS'!AF33/'EDT Y TAREAS'!M33,0),IF(AND(27&gt;='EDT Y TAREAS'!AK34,27&lt;'EDT Y TAREAS'!AL34),'EDT Y TAREAS'!AF34/'EDT Y TAREAS'!M34,0),IF(AND(27&gt;='EDT Y TAREAS'!AK35,27&lt;'EDT Y TAREAS'!AL35),'EDT Y TAREAS'!AF35/'EDT Y TAREAS'!M35,0),IF(AND(27&gt;='EDT Y TAREAS'!AK37,27&lt;'EDT Y TAREAS'!AL37),'EDT Y TAREAS'!AF37/'EDT Y TAREAS'!M37,0),IF(AND(27&gt;='EDT Y TAREAS'!AK39,27&lt;'EDT Y TAREAS'!AL39),'EDT Y TAREAS'!AF39/'EDT Y TAREAS'!M39,0),IF(AND(27&gt;='EDT Y TAREAS'!AK40,27&lt;'EDT Y TAREAS'!AL40),'EDT Y TAREAS'!AF40/'EDT Y TAREAS'!M40,0),IF(AND(27&gt;='EDT Y TAREAS'!AK42,27&lt;'EDT Y TAREAS'!AL42),'EDT Y TAREAS'!AF42/'EDT Y TAREAS'!M42,0),IF(AND(27&gt;='EDT Y TAREAS'!AK45,27&lt;'EDT Y TAREAS'!AL45),'EDT Y TAREAS'!AF45/'EDT Y TAREAS'!M45,0),IF(AND(27&gt;='EDT Y TAREAS'!AK49,27&lt;'EDT Y TAREAS'!AL49),'EDT Y TAREAS'!AF49/'EDT Y TAREAS'!M49,0),IF(AND(27&gt;='EDT Y TAREAS'!AK52,27&lt;'EDT Y TAREAS'!AL52),'EDT Y TAREAS'!AF52/'EDT Y TAREAS'!M52,0))</x:f>
        <x:v>7.6</x:v>
      </x:c>
      <x:c r="E67" s="35" t="n">
        <x:f>SUM(IF(AND(27&gt;='EDT Y TAREAS'!AK29,27&lt;'EDT Y TAREAS'!AL29),'EDT Y TAREAS'!AG29/'EDT Y TAREAS'!M29,0),IF(AND(27&gt;='EDT Y TAREAS'!AK30,27&lt;'EDT Y TAREAS'!AL30),'EDT Y TAREAS'!AG30/'EDT Y TAREAS'!M30,0),IF(AND(27&gt;='EDT Y TAREAS'!AK31,27&lt;'EDT Y TAREAS'!AL31),'EDT Y TAREAS'!AG31/'EDT Y TAREAS'!M31,0),IF(AND(27&gt;='EDT Y TAREAS'!AK32,27&lt;'EDT Y TAREAS'!AL32),'EDT Y TAREAS'!AG32/'EDT Y TAREAS'!M32,0),IF(AND(27&gt;='EDT Y TAREAS'!AK41,27&lt;'EDT Y TAREAS'!AL41),'EDT Y TAREAS'!AG41/'EDT Y TAREAS'!M41,0),IF(AND(27&gt;='EDT Y TAREAS'!AK45,27&lt;'EDT Y TAREAS'!AL45),'EDT Y TAREAS'!AG45/'EDT Y TAREAS'!M45,0),IF(AND(27&gt;='EDT Y TAREAS'!AK48,27&lt;'EDT Y TAREAS'!AL48),'EDT Y TAREAS'!AG48/'EDT Y TAREAS'!M48,0))</x:f>
        <x:v>0</x:v>
      </x:c>
      <x:c r="F67" s="35" t="n">
        <x:f>SUM(IF(AND(27&gt;='EDT Y TAREAS'!AK10,27&lt;'EDT Y TAREAS'!AL10),'EDT Y TAREAS'!AH10/'EDT Y TAREAS'!M10,0),IF(AND(27&gt;='EDT Y TAREAS'!AK12,27&lt;'EDT Y TAREAS'!AL12),'EDT Y TAREAS'!AH12/'EDT Y TAREAS'!M12,0),IF(AND(27&gt;='EDT Y TAREAS'!AK22,27&lt;'EDT Y TAREAS'!AL22),'EDT Y TAREAS'!AH22/'EDT Y TAREAS'!M22,0),IF(AND(27&gt;='EDT Y TAREAS'!AK23,27&lt;'EDT Y TAREAS'!AL23),'EDT Y TAREAS'!AH23/'EDT Y TAREAS'!M23,0),IF(AND(27&gt;='EDT Y TAREAS'!AK29,27&lt;'EDT Y TAREAS'!AL29),'EDT Y TAREAS'!AH29/'EDT Y TAREAS'!M29,0),IF(AND(27&gt;='EDT Y TAREAS'!AK30,27&lt;'EDT Y TAREAS'!AL30),'EDT Y TAREAS'!AH30/'EDT Y TAREAS'!M30,0),IF(AND(27&gt;='EDT Y TAREAS'!AK32,27&lt;'EDT Y TAREAS'!AL32),'EDT Y TAREAS'!AH32/'EDT Y TAREAS'!M32,0),IF(AND(27&gt;='EDT Y TAREAS'!AK41,27&lt;'EDT Y TAREAS'!AL41),'EDT Y TAREAS'!AH41/'EDT Y TAREAS'!M41,0),IF(AND(27&gt;='EDT Y TAREAS'!AK44,27&lt;'EDT Y TAREAS'!AL44),'EDT Y TAREAS'!AH44/'EDT Y TAREAS'!M44,0),IF(AND(27&gt;='EDT Y TAREAS'!AK46,27&lt;'EDT Y TAREAS'!AL46),'EDT Y TAREAS'!AH46/'EDT Y TAREAS'!M46,0),IF(AND(27&gt;='EDT Y TAREAS'!AK48,27&lt;'EDT Y TAREAS'!AL48),'EDT Y TAREAS'!AH48/'EDT Y TAREAS'!M48,0))</x:f>
        <x:v>3.2</x:v>
      </x:c>
      <x:c r="G67" s="35" t="n">
        <x:f>SUM(IF(AND(27&gt;='EDT Y TAREAS'!AK20,27&lt;'EDT Y TAREAS'!AL20),'EDT Y TAREAS'!AI20/'EDT Y TAREAS'!M20,0),IF(AND(27&gt;='EDT Y TAREAS'!AK25,27&lt;'EDT Y TAREAS'!AL25),'EDT Y TAREAS'!AI25/'EDT Y TAREAS'!M25,0),IF(AND(27&gt;='EDT Y TAREAS'!AK33,27&lt;'EDT Y TAREAS'!AL33),'EDT Y TAREAS'!AI33/'EDT Y TAREAS'!M33,0),IF(AND(27&gt;='EDT Y TAREAS'!AK34,27&lt;'EDT Y TAREAS'!AL34),'EDT Y TAREAS'!AI34/'EDT Y TAREAS'!M34,0),IF(AND(27&gt;='EDT Y TAREAS'!AK36,27&lt;'EDT Y TAREAS'!AL36),'EDT Y TAREAS'!AI36/'EDT Y TAREAS'!M36,0),IF(AND(27&gt;='EDT Y TAREAS'!AK39,27&lt;'EDT Y TAREAS'!AL39),'EDT Y TAREAS'!AI39/'EDT Y TAREAS'!M39,0),IF(AND(27&gt;='EDT Y TAREAS'!AK40,27&lt;'EDT Y TAREAS'!AL40),'EDT Y TAREAS'!AI40/'EDT Y TAREAS'!M40,0),IF(AND(27&gt;='EDT Y TAREAS'!AK42,27&lt;'EDT Y TAREAS'!AL42),'EDT Y TAREAS'!AI42/'EDT Y TAREAS'!M42,0),IF(AND(27&gt;='EDT Y TAREAS'!AK43,27&lt;'EDT Y TAREAS'!AL43),'EDT Y TAREAS'!AI43/'EDT Y TAREAS'!M43,0),IF(AND(27&gt;='EDT Y TAREAS'!AK44,27&lt;'EDT Y TAREAS'!AL44),'EDT Y TAREAS'!AI44/'EDT Y TAREAS'!M44,0),IF(AND(27&gt;='EDT Y TAREAS'!AK45,27&lt;'EDT Y TAREAS'!AL45),'EDT Y TAREAS'!AI45/'EDT Y TAREAS'!M45,0),IF(AND(27&gt;='EDT Y TAREAS'!AK46,27&lt;'EDT Y TAREAS'!AL46),'EDT Y TAREAS'!AI46/'EDT Y TAREAS'!M46,0),IF(AND(27&gt;='EDT Y TAREAS'!AK48,27&lt;'EDT Y TAREAS'!AL48),'EDT Y TAREAS'!AI48/'EDT Y TAREAS'!M48,0),IF(AND(27&gt;='EDT Y TAREAS'!AK50,27&lt;'EDT Y TAREAS'!AL50),'EDT Y TAREAS'!AI50/'EDT Y TAREAS'!M50,0),IF(AND(27&gt;='EDT Y TAREAS'!AK52,27&lt;'EDT Y TAREAS'!AL52),'EDT Y TAREAS'!AI52/'EDT Y TAREAS'!M52,0))</x:f>
        <x:v>0.8</x:v>
      </x:c>
      <x:c r="H67" s="35" t="n">
        <x:f>SUM(IF(AND(27&gt;='EDT Y TAREAS'!AK11,27&lt;'EDT Y TAREAS'!AL11),'EDT Y TAREAS'!AJ11/'EDT Y TAREAS'!M11,0),IF(AND(27&gt;='EDT Y TAREAS'!AK24,27&lt;'EDT Y TAREAS'!AL24),'EDT Y TAREAS'!AJ24/'EDT Y TAREAS'!M24,0),IF(AND(27&gt;='EDT Y TAREAS'!AK27,27&lt;'EDT Y TAREAS'!AL27),'EDT Y TAREAS'!AJ27/'EDT Y TAREAS'!M27,0),IF(AND(27&gt;='EDT Y TAREAS'!AK28,27&lt;'EDT Y TAREAS'!AL28),'EDT Y TAREAS'!AJ28/'EDT Y TAREAS'!M28,0),IF(AND(27&gt;='EDT Y TAREAS'!AK33,27&lt;'EDT Y TAREAS'!AL33),'EDT Y TAREAS'!AJ33/'EDT Y TAREAS'!M33,0),IF(AND(27&gt;='EDT Y TAREAS'!AK35,27&lt;'EDT Y TAREAS'!AL35),'EDT Y TAREAS'!AJ35/'EDT Y TAREAS'!M35,0),IF(AND(27&gt;='EDT Y TAREAS'!AK36,27&lt;'EDT Y TAREAS'!AL36),'EDT Y TAREAS'!AJ36/'EDT Y TAREAS'!M36,0),IF(AND(27&gt;='EDT Y TAREAS'!AK37,27&lt;'EDT Y TAREAS'!AL37),'EDT Y TAREAS'!AJ37/'EDT Y TAREAS'!M37,0),IF(AND(27&gt;='EDT Y TAREAS'!AK40,27&lt;'EDT Y TAREAS'!AL40),'EDT Y TAREAS'!AJ40/'EDT Y TAREAS'!M40,0),IF(AND(27&gt;='EDT Y TAREAS'!AK42,27&lt;'EDT Y TAREAS'!AL42),'EDT Y TAREAS'!AJ42/'EDT Y TAREAS'!M42,0),IF(AND(27&gt;='EDT Y TAREAS'!AK49,27&lt;'EDT Y TAREAS'!AL49),'EDT Y TAREAS'!AJ49/'EDT Y TAREAS'!M49,0),IF(AND(27&gt;='EDT Y TAREAS'!AK50,27&lt;'EDT Y TAREAS'!AL50),'EDT Y TAREAS'!AJ50/'EDT Y TAREAS'!M50,0),IF(AND(27&gt;='EDT Y TAREAS'!AK51,27&lt;'EDT Y TAREAS'!AL51),'EDT Y TAREAS'!AJ51/'EDT Y TAREAS'!M51,0),IF(AND(27&gt;='EDT Y TAREAS'!AK52,27&lt;'EDT Y TAREAS'!AL52),'EDT Y TAREAS'!AJ52/'EDT Y TAREAS'!M52,0))</x:f>
        <x:v>4.4</x:v>
      </x:c>
      <x:c r="I67" s="10" t="n">
        <x:f>WORKDAY('RESUMEN'!$D$3-1,A67,'RESUMEN'!$J$6:$J$25)</x:f>
        <x:v>46365</x:v>
      </x:c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  <x:c r="AJ67" s="3"/>
      <x:c r="AK67" s="3"/>
      <x:c r="AL67" s="3"/>
      <x:c r="AM67" s="3"/>
      <x:c r="AN67" s="3"/>
      <x:c r="AO67" s="3"/>
    </x:row>
    <x:row r="68" ht="24" customHeight="1">
      <x:c r="A68" s="3" t="n">
        <x:v>29</x:v>
      </x:c>
      <x:c r="B68" s="35" t="n">
        <x:f>SUM(IF(AND(28&gt;='EDT Y TAREAS'!AK6,28&lt;'EDT Y TAREAS'!AL6),'EDT Y TAREAS'!AD6/'EDT Y TAREAS'!M6,0),IF(AND(28&gt;='EDT Y TAREAS'!AK7,28&lt;'EDT Y TAREAS'!AL7),'EDT Y TAREAS'!AD7/'EDT Y TAREAS'!M7,0),IF(AND(28&gt;='EDT Y TAREAS'!AK8,28&lt;'EDT Y TAREAS'!AL8),'EDT Y TAREAS'!AD8/'EDT Y TAREAS'!M8,0),IF(AND(28&gt;='EDT Y TAREAS'!AK9,28&lt;'EDT Y TAREAS'!AL9),'EDT Y TAREAS'!AD9/'EDT Y TAREAS'!M9,0),IF(AND(28&gt;='EDT Y TAREAS'!AK10,28&lt;'EDT Y TAREAS'!AL10),'EDT Y TAREAS'!AD10/'EDT Y TAREAS'!M10,0),IF(AND(28&gt;='EDT Y TAREAS'!AK11,28&lt;'EDT Y TAREAS'!AL11),'EDT Y TAREAS'!AD11/'EDT Y TAREAS'!M11,0),IF(AND(28&gt;='EDT Y TAREAS'!AK12,28&lt;'EDT Y TAREAS'!AL12),'EDT Y TAREAS'!AD12/'EDT Y TAREAS'!M12,0),IF(AND(28&gt;='EDT Y TAREAS'!AK13,28&lt;'EDT Y TAREAS'!AL13),'EDT Y TAREAS'!AD13/'EDT Y TAREAS'!M13,0),IF(AND(28&gt;='EDT Y TAREAS'!AK14,28&lt;'EDT Y TAREAS'!AL14),'EDT Y TAREAS'!AD14/'EDT Y TAREAS'!M14,0),IF(AND(28&gt;='EDT Y TAREAS'!AK15,28&lt;'EDT Y TAREAS'!AL15),'EDT Y TAREAS'!AD15/'EDT Y TAREAS'!M15,0),IF(AND(28&gt;='EDT Y TAREAS'!AK16,28&lt;'EDT Y TAREAS'!AL16),'EDT Y TAREAS'!AD16/'EDT Y TAREAS'!M16,0),IF(AND(28&gt;='EDT Y TAREAS'!AK17,28&lt;'EDT Y TAREAS'!AL17),'EDT Y TAREAS'!AD17/'EDT Y TAREAS'!M17,0),IF(AND(28&gt;='EDT Y TAREAS'!AK18,28&lt;'EDT Y TAREAS'!AL18),'EDT Y TAREAS'!AD18/'EDT Y TAREAS'!M18,0),IF(AND(28&gt;='EDT Y TAREAS'!AK19,28&lt;'EDT Y TAREAS'!AL19),'EDT Y TAREAS'!AD19/'EDT Y TAREAS'!M19,0),IF(AND(28&gt;='EDT Y TAREAS'!AK20,28&lt;'EDT Y TAREAS'!AL20),'EDT Y TAREAS'!AD20/'EDT Y TAREAS'!M20,0),IF(AND(28&gt;='EDT Y TAREAS'!AK21,28&lt;'EDT Y TAREAS'!AL21),'EDT Y TAREAS'!AD21/'EDT Y TAREAS'!M21,0),IF(AND(28&gt;='EDT Y TAREAS'!AK22,28&lt;'EDT Y TAREAS'!AL22),'EDT Y TAREAS'!AD22/'EDT Y TAREAS'!M22,0),IF(AND(28&gt;='EDT Y TAREAS'!AK23,28&lt;'EDT Y TAREAS'!AL23),'EDT Y TAREAS'!AD23/'EDT Y TAREAS'!M23,0),IF(AND(28&gt;='EDT Y TAREAS'!AK26,28&lt;'EDT Y TAREAS'!AL26),'EDT Y TAREAS'!AD26/'EDT Y TAREAS'!M26,0),IF(AND(28&gt;='EDT Y TAREAS'!AK28,28&lt;'EDT Y TAREAS'!AL28),'EDT Y TAREAS'!AD28/'EDT Y TAREAS'!M28,0),IF(AND(28&gt;='EDT Y TAREAS'!AK30,28&lt;'EDT Y TAREAS'!AL30),'EDT Y TAREAS'!AD30/'EDT Y TAREAS'!M30,0),IF(AND(28&gt;='EDT Y TAREAS'!AK32,28&lt;'EDT Y TAREAS'!AL32),'EDT Y TAREAS'!AD32/'EDT Y TAREAS'!M32,0),IF(AND(28&gt;='EDT Y TAREAS'!AK34,28&lt;'EDT Y TAREAS'!AL34),'EDT Y TAREAS'!AD34/'EDT Y TAREAS'!M34,0),IF(AND(28&gt;='EDT Y TAREAS'!AK38,28&lt;'EDT Y TAREAS'!AL38),'EDT Y TAREAS'!AD38/'EDT Y TAREAS'!M38,0),IF(AND(28&gt;='EDT Y TAREAS'!AK39,28&lt;'EDT Y TAREAS'!AL39),'EDT Y TAREAS'!AD39/'EDT Y TAREAS'!M39,0),IF(AND(28&gt;='EDT Y TAREAS'!AK43,28&lt;'EDT Y TAREAS'!AL43),'EDT Y TAREAS'!AD43/'EDT Y TAREAS'!M43,0),IF(AND(28&gt;='EDT Y TAREAS'!AK44,28&lt;'EDT Y TAREAS'!AL44),'EDT Y TAREAS'!AD44/'EDT Y TAREAS'!M44,0),IF(AND(28&gt;='EDT Y TAREAS'!AK45,28&lt;'EDT Y TAREAS'!AL45),'EDT Y TAREAS'!AD45/'EDT Y TAREAS'!M45,0),IF(AND(28&gt;='EDT Y TAREAS'!AK46,28&lt;'EDT Y TAREAS'!AL46),'EDT Y TAREAS'!AD46/'EDT Y TAREAS'!M46,0),IF(AND(28&gt;='EDT Y TAREAS'!AK47,28&lt;'EDT Y TAREAS'!AL47),'EDT Y TAREAS'!AD47/'EDT Y TAREAS'!M47,0),IF(AND(28&gt;='EDT Y TAREAS'!AK49,28&lt;'EDT Y TAREAS'!AL49),'EDT Y TAREAS'!AD49/'EDT Y TAREAS'!M49,0),IF(AND(28&gt;='EDT Y TAREAS'!AK50,28&lt;'EDT Y TAREAS'!AL50),'EDT Y TAREAS'!AD50/'EDT Y TAREAS'!M50,0),IF(AND(28&gt;='EDT Y TAREAS'!AK51,28&lt;'EDT Y TAREAS'!AL51),'EDT Y TAREAS'!AD51/'EDT Y TAREAS'!M51,0),IF(AND(28&gt;='EDT Y TAREAS'!AK52,28&lt;'EDT Y TAREAS'!AL52),'EDT Y TAREAS'!AD52/'EDT Y TAREAS'!M52,0))</x:f>
        <x:v>4.8</x:v>
      </x:c>
      <x:c r="C68" s="35" t="n">
        <x:f>SUM(IF(AND(28&gt;='EDT Y TAREAS'!AK6,28&lt;'EDT Y TAREAS'!AL6),'EDT Y TAREAS'!AE6/'EDT Y TAREAS'!M6,0),IF(AND(28&gt;='EDT Y TAREAS'!AK8,28&lt;'EDT Y TAREAS'!AL8),'EDT Y TAREAS'!AE8/'EDT Y TAREAS'!M8,0),IF(AND(28&gt;='EDT Y TAREAS'!AK9,28&lt;'EDT Y TAREAS'!AL9),'EDT Y TAREAS'!AE9/'EDT Y TAREAS'!M9,0),IF(AND(28&gt;='EDT Y TAREAS'!AK10,28&lt;'EDT Y TAREAS'!AL10),'EDT Y TAREAS'!AE10/'EDT Y TAREAS'!M10,0),IF(AND(28&gt;='EDT Y TAREAS'!AK12,28&lt;'EDT Y TAREAS'!AL12),'EDT Y TAREAS'!AE12/'EDT Y TAREAS'!M12,0),IF(AND(28&gt;='EDT Y TAREAS'!AK16,28&lt;'EDT Y TAREAS'!AL16),'EDT Y TAREAS'!AE16/'EDT Y TAREAS'!M16,0),IF(AND(28&gt;='EDT Y TAREAS'!AK21,28&lt;'EDT Y TAREAS'!AL21),'EDT Y TAREAS'!AE21/'EDT Y TAREAS'!M21,0),IF(AND(28&gt;='EDT Y TAREAS'!AK23,28&lt;'EDT Y TAREAS'!AL23),'EDT Y TAREAS'!AE23/'EDT Y TAREAS'!M23,0),IF(AND(28&gt;='EDT Y TAREAS'!AK37,28&lt;'EDT Y TAREAS'!AL37),'EDT Y TAREAS'!AE37/'EDT Y TAREAS'!M37,0),IF(AND(28&gt;='EDT Y TAREAS'!AK38,28&lt;'EDT Y TAREAS'!AL38),'EDT Y TAREAS'!AE38/'EDT Y TAREAS'!M38,0),IF(AND(28&gt;='EDT Y TAREAS'!AK41,28&lt;'EDT Y TAREAS'!AL41),'EDT Y TAREAS'!AE41/'EDT Y TAREAS'!M41,0),IF(AND(28&gt;='EDT Y TAREAS'!AK43,28&lt;'EDT Y TAREAS'!AL43),'EDT Y TAREAS'!AE43/'EDT Y TAREAS'!M43,0),IF(AND(28&gt;='EDT Y TAREAS'!AK44,28&lt;'EDT Y TAREAS'!AL44),'EDT Y TAREAS'!AE44/'EDT Y TAREAS'!M44,0),IF(AND(28&gt;='EDT Y TAREAS'!AK46,28&lt;'EDT Y TAREAS'!AL46),'EDT Y TAREAS'!AE46/'EDT Y TAREAS'!M46,0),IF(AND(28&gt;='EDT Y TAREAS'!AK47,28&lt;'EDT Y TAREAS'!AL47),'EDT Y TAREAS'!AE47/'EDT Y TAREAS'!M47,0),IF(AND(28&gt;='EDT Y TAREAS'!AK51,28&lt;'EDT Y TAREAS'!AL51),'EDT Y TAREAS'!AE51/'EDT Y TAREAS'!M51,0),IF(AND(28&gt;='EDT Y TAREAS'!AK52,28&lt;'EDT Y TAREAS'!AL52),'EDT Y TAREAS'!AE52/'EDT Y TAREAS'!M52,0))</x:f>
        <x:v>1.6</x:v>
      </x:c>
      <x:c r="D68" s="35" t="n">
        <x:f>SUM(IF(AND(28&gt;='EDT Y TAREAS'!AK11,28&lt;'EDT Y TAREAS'!AL11),'EDT Y TAREAS'!AF11/'EDT Y TAREAS'!M11,0),IF(AND(28&gt;='EDT Y TAREAS'!AK24,28&lt;'EDT Y TAREAS'!AL24),'EDT Y TAREAS'!AF24/'EDT Y TAREAS'!M24,0),IF(AND(28&gt;='EDT Y TAREAS'!AK25,28&lt;'EDT Y TAREAS'!AL25),'EDT Y TAREAS'!AF25/'EDT Y TAREAS'!M25,0),IF(AND(28&gt;='EDT Y TAREAS'!AK26,28&lt;'EDT Y TAREAS'!AL26),'EDT Y TAREAS'!AF26/'EDT Y TAREAS'!M26,0),IF(AND(28&gt;='EDT Y TAREAS'!AK27,28&lt;'EDT Y TAREAS'!AL27),'EDT Y TAREAS'!AF27/'EDT Y TAREAS'!M27,0),IF(AND(28&gt;='EDT Y TAREAS'!AK28,28&lt;'EDT Y TAREAS'!AL28),'EDT Y TAREAS'!AF28/'EDT Y TAREAS'!M28,0),IF(AND(28&gt;='EDT Y TAREAS'!AK31,28&lt;'EDT Y TAREAS'!AL31),'EDT Y TAREAS'!AF31/'EDT Y TAREAS'!M31,0),IF(AND(28&gt;='EDT Y TAREAS'!AK33,28&lt;'EDT Y TAREAS'!AL33),'EDT Y TAREAS'!AF33/'EDT Y TAREAS'!M33,0),IF(AND(28&gt;='EDT Y TAREAS'!AK34,28&lt;'EDT Y TAREAS'!AL34),'EDT Y TAREAS'!AF34/'EDT Y TAREAS'!M34,0),IF(AND(28&gt;='EDT Y TAREAS'!AK35,28&lt;'EDT Y TAREAS'!AL35),'EDT Y TAREAS'!AF35/'EDT Y TAREAS'!M35,0),IF(AND(28&gt;='EDT Y TAREAS'!AK37,28&lt;'EDT Y TAREAS'!AL37),'EDT Y TAREAS'!AF37/'EDT Y TAREAS'!M37,0),IF(AND(28&gt;='EDT Y TAREAS'!AK39,28&lt;'EDT Y TAREAS'!AL39),'EDT Y TAREAS'!AF39/'EDT Y TAREAS'!M39,0),IF(AND(28&gt;='EDT Y TAREAS'!AK40,28&lt;'EDT Y TAREAS'!AL40),'EDT Y TAREAS'!AF40/'EDT Y TAREAS'!M40,0),IF(AND(28&gt;='EDT Y TAREAS'!AK42,28&lt;'EDT Y TAREAS'!AL42),'EDT Y TAREAS'!AF42/'EDT Y TAREAS'!M42,0),IF(AND(28&gt;='EDT Y TAREAS'!AK45,28&lt;'EDT Y TAREAS'!AL45),'EDT Y TAREAS'!AF45/'EDT Y TAREAS'!M45,0),IF(AND(28&gt;='EDT Y TAREAS'!AK49,28&lt;'EDT Y TAREAS'!AL49),'EDT Y TAREAS'!AF49/'EDT Y TAREAS'!M49,0),IF(AND(28&gt;='EDT Y TAREAS'!AK52,28&lt;'EDT Y TAREAS'!AL52),'EDT Y TAREAS'!AF52/'EDT Y TAREAS'!M52,0))</x:f>
        <x:v>7.6</x:v>
      </x:c>
      <x:c r="E68" s="35" t="n">
        <x:f>SUM(IF(AND(28&gt;='EDT Y TAREAS'!AK29,28&lt;'EDT Y TAREAS'!AL29),'EDT Y TAREAS'!AG29/'EDT Y TAREAS'!M29,0),IF(AND(28&gt;='EDT Y TAREAS'!AK30,28&lt;'EDT Y TAREAS'!AL30),'EDT Y TAREAS'!AG30/'EDT Y TAREAS'!M30,0),IF(AND(28&gt;='EDT Y TAREAS'!AK31,28&lt;'EDT Y TAREAS'!AL31),'EDT Y TAREAS'!AG31/'EDT Y TAREAS'!M31,0),IF(AND(28&gt;='EDT Y TAREAS'!AK32,28&lt;'EDT Y TAREAS'!AL32),'EDT Y TAREAS'!AG32/'EDT Y TAREAS'!M32,0),IF(AND(28&gt;='EDT Y TAREAS'!AK41,28&lt;'EDT Y TAREAS'!AL41),'EDT Y TAREAS'!AG41/'EDT Y TAREAS'!M41,0),IF(AND(28&gt;='EDT Y TAREAS'!AK45,28&lt;'EDT Y TAREAS'!AL45),'EDT Y TAREAS'!AG45/'EDT Y TAREAS'!M45,0),IF(AND(28&gt;='EDT Y TAREAS'!AK48,28&lt;'EDT Y TAREAS'!AL48),'EDT Y TAREAS'!AG48/'EDT Y TAREAS'!M48,0))</x:f>
        <x:v>0</x:v>
      </x:c>
      <x:c r="F68" s="35" t="n">
        <x:f>SUM(IF(AND(28&gt;='EDT Y TAREAS'!AK10,28&lt;'EDT Y TAREAS'!AL10),'EDT Y TAREAS'!AH10/'EDT Y TAREAS'!M10,0),IF(AND(28&gt;='EDT Y TAREAS'!AK12,28&lt;'EDT Y TAREAS'!AL12),'EDT Y TAREAS'!AH12/'EDT Y TAREAS'!M12,0),IF(AND(28&gt;='EDT Y TAREAS'!AK22,28&lt;'EDT Y TAREAS'!AL22),'EDT Y TAREAS'!AH22/'EDT Y TAREAS'!M22,0),IF(AND(28&gt;='EDT Y TAREAS'!AK23,28&lt;'EDT Y TAREAS'!AL23),'EDT Y TAREAS'!AH23/'EDT Y TAREAS'!M23,0),IF(AND(28&gt;='EDT Y TAREAS'!AK29,28&lt;'EDT Y TAREAS'!AL29),'EDT Y TAREAS'!AH29/'EDT Y TAREAS'!M29,0),IF(AND(28&gt;='EDT Y TAREAS'!AK30,28&lt;'EDT Y TAREAS'!AL30),'EDT Y TAREAS'!AH30/'EDT Y TAREAS'!M30,0),IF(AND(28&gt;='EDT Y TAREAS'!AK32,28&lt;'EDT Y TAREAS'!AL32),'EDT Y TAREAS'!AH32/'EDT Y TAREAS'!M32,0),IF(AND(28&gt;='EDT Y TAREAS'!AK41,28&lt;'EDT Y TAREAS'!AL41),'EDT Y TAREAS'!AH41/'EDT Y TAREAS'!M41,0),IF(AND(28&gt;='EDT Y TAREAS'!AK44,28&lt;'EDT Y TAREAS'!AL44),'EDT Y TAREAS'!AH44/'EDT Y TAREAS'!M44,0),IF(AND(28&gt;='EDT Y TAREAS'!AK46,28&lt;'EDT Y TAREAS'!AL46),'EDT Y TAREAS'!AH46/'EDT Y TAREAS'!M46,0),IF(AND(28&gt;='EDT Y TAREAS'!AK48,28&lt;'EDT Y TAREAS'!AL48),'EDT Y TAREAS'!AH48/'EDT Y TAREAS'!M48,0))</x:f>
        <x:v>3.2</x:v>
      </x:c>
      <x:c r="G68" s="35" t="n">
        <x:f>SUM(IF(AND(28&gt;='EDT Y TAREAS'!AK20,28&lt;'EDT Y TAREAS'!AL20),'EDT Y TAREAS'!AI20/'EDT Y TAREAS'!M20,0),IF(AND(28&gt;='EDT Y TAREAS'!AK25,28&lt;'EDT Y TAREAS'!AL25),'EDT Y TAREAS'!AI25/'EDT Y TAREAS'!M25,0),IF(AND(28&gt;='EDT Y TAREAS'!AK33,28&lt;'EDT Y TAREAS'!AL33),'EDT Y TAREAS'!AI33/'EDT Y TAREAS'!M33,0),IF(AND(28&gt;='EDT Y TAREAS'!AK34,28&lt;'EDT Y TAREAS'!AL34),'EDT Y TAREAS'!AI34/'EDT Y TAREAS'!M34,0),IF(AND(28&gt;='EDT Y TAREAS'!AK36,28&lt;'EDT Y TAREAS'!AL36),'EDT Y TAREAS'!AI36/'EDT Y TAREAS'!M36,0),IF(AND(28&gt;='EDT Y TAREAS'!AK39,28&lt;'EDT Y TAREAS'!AL39),'EDT Y TAREAS'!AI39/'EDT Y TAREAS'!M39,0),IF(AND(28&gt;='EDT Y TAREAS'!AK40,28&lt;'EDT Y TAREAS'!AL40),'EDT Y TAREAS'!AI40/'EDT Y TAREAS'!M40,0),IF(AND(28&gt;='EDT Y TAREAS'!AK42,28&lt;'EDT Y TAREAS'!AL42),'EDT Y TAREAS'!AI42/'EDT Y TAREAS'!M42,0),IF(AND(28&gt;='EDT Y TAREAS'!AK43,28&lt;'EDT Y TAREAS'!AL43),'EDT Y TAREAS'!AI43/'EDT Y TAREAS'!M43,0),IF(AND(28&gt;='EDT Y TAREAS'!AK44,28&lt;'EDT Y TAREAS'!AL44),'EDT Y TAREAS'!AI44/'EDT Y TAREAS'!M44,0),IF(AND(28&gt;='EDT Y TAREAS'!AK45,28&lt;'EDT Y TAREAS'!AL45),'EDT Y TAREAS'!AI45/'EDT Y TAREAS'!M45,0),IF(AND(28&gt;='EDT Y TAREAS'!AK46,28&lt;'EDT Y TAREAS'!AL46),'EDT Y TAREAS'!AI46/'EDT Y TAREAS'!M46,0),IF(AND(28&gt;='EDT Y TAREAS'!AK48,28&lt;'EDT Y TAREAS'!AL48),'EDT Y TAREAS'!AI48/'EDT Y TAREAS'!M48,0),IF(AND(28&gt;='EDT Y TAREAS'!AK50,28&lt;'EDT Y TAREAS'!AL50),'EDT Y TAREAS'!AI50/'EDT Y TAREAS'!M50,0),IF(AND(28&gt;='EDT Y TAREAS'!AK52,28&lt;'EDT Y TAREAS'!AL52),'EDT Y TAREAS'!AI52/'EDT Y TAREAS'!M52,0))</x:f>
        <x:v>0.8</x:v>
      </x:c>
      <x:c r="H68" s="35" t="n">
        <x:f>SUM(IF(AND(28&gt;='EDT Y TAREAS'!AK11,28&lt;'EDT Y TAREAS'!AL11),'EDT Y TAREAS'!AJ11/'EDT Y TAREAS'!M11,0),IF(AND(28&gt;='EDT Y TAREAS'!AK24,28&lt;'EDT Y TAREAS'!AL24),'EDT Y TAREAS'!AJ24/'EDT Y TAREAS'!M24,0),IF(AND(28&gt;='EDT Y TAREAS'!AK27,28&lt;'EDT Y TAREAS'!AL27),'EDT Y TAREAS'!AJ27/'EDT Y TAREAS'!M27,0),IF(AND(28&gt;='EDT Y TAREAS'!AK28,28&lt;'EDT Y TAREAS'!AL28),'EDT Y TAREAS'!AJ28/'EDT Y TAREAS'!M28,0),IF(AND(28&gt;='EDT Y TAREAS'!AK33,28&lt;'EDT Y TAREAS'!AL33),'EDT Y TAREAS'!AJ33/'EDT Y TAREAS'!M33,0),IF(AND(28&gt;='EDT Y TAREAS'!AK35,28&lt;'EDT Y TAREAS'!AL35),'EDT Y TAREAS'!AJ35/'EDT Y TAREAS'!M35,0),IF(AND(28&gt;='EDT Y TAREAS'!AK36,28&lt;'EDT Y TAREAS'!AL36),'EDT Y TAREAS'!AJ36/'EDT Y TAREAS'!M36,0),IF(AND(28&gt;='EDT Y TAREAS'!AK37,28&lt;'EDT Y TAREAS'!AL37),'EDT Y TAREAS'!AJ37/'EDT Y TAREAS'!M37,0),IF(AND(28&gt;='EDT Y TAREAS'!AK40,28&lt;'EDT Y TAREAS'!AL40),'EDT Y TAREAS'!AJ40/'EDT Y TAREAS'!M40,0),IF(AND(28&gt;='EDT Y TAREAS'!AK42,28&lt;'EDT Y TAREAS'!AL42),'EDT Y TAREAS'!AJ42/'EDT Y TAREAS'!M42,0),IF(AND(28&gt;='EDT Y TAREAS'!AK49,28&lt;'EDT Y TAREAS'!AL49),'EDT Y TAREAS'!AJ49/'EDT Y TAREAS'!M49,0),IF(AND(28&gt;='EDT Y TAREAS'!AK50,28&lt;'EDT Y TAREAS'!AL50),'EDT Y TAREAS'!AJ50/'EDT Y TAREAS'!M50,0),IF(AND(28&gt;='EDT Y TAREAS'!AK51,28&lt;'EDT Y TAREAS'!AL51),'EDT Y TAREAS'!AJ51/'EDT Y TAREAS'!M51,0),IF(AND(28&gt;='EDT Y TAREAS'!AK52,28&lt;'EDT Y TAREAS'!AL52),'EDT Y TAREAS'!AJ52/'EDT Y TAREAS'!M52,0))</x:f>
        <x:v>4.4</x:v>
      </x:c>
      <x:c r="I68" s="10" t="n">
        <x:f>WORKDAY('RESUMEN'!$D$3-1,A68,'RESUMEN'!$J$6:$J$25)</x:f>
        <x:v>46366</x:v>
      </x:c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  <x:c r="AO68" s="3"/>
    </x:row>
    <x:row r="69" ht="24" customHeight="1">
      <x:c r="A69" s="3" t="n">
        <x:v>30</x:v>
      </x:c>
      <x:c r="B69" s="35" t="n">
        <x:f>SUM(IF(AND(29&gt;='EDT Y TAREAS'!AK6,29&lt;'EDT Y TAREAS'!AL6),'EDT Y TAREAS'!AD6/'EDT Y TAREAS'!M6,0),IF(AND(29&gt;='EDT Y TAREAS'!AK7,29&lt;'EDT Y TAREAS'!AL7),'EDT Y TAREAS'!AD7/'EDT Y TAREAS'!M7,0),IF(AND(29&gt;='EDT Y TAREAS'!AK8,29&lt;'EDT Y TAREAS'!AL8),'EDT Y TAREAS'!AD8/'EDT Y TAREAS'!M8,0),IF(AND(29&gt;='EDT Y TAREAS'!AK9,29&lt;'EDT Y TAREAS'!AL9),'EDT Y TAREAS'!AD9/'EDT Y TAREAS'!M9,0),IF(AND(29&gt;='EDT Y TAREAS'!AK10,29&lt;'EDT Y TAREAS'!AL10),'EDT Y TAREAS'!AD10/'EDT Y TAREAS'!M10,0),IF(AND(29&gt;='EDT Y TAREAS'!AK11,29&lt;'EDT Y TAREAS'!AL11),'EDT Y TAREAS'!AD11/'EDT Y TAREAS'!M11,0),IF(AND(29&gt;='EDT Y TAREAS'!AK12,29&lt;'EDT Y TAREAS'!AL12),'EDT Y TAREAS'!AD12/'EDT Y TAREAS'!M12,0),IF(AND(29&gt;='EDT Y TAREAS'!AK13,29&lt;'EDT Y TAREAS'!AL13),'EDT Y TAREAS'!AD13/'EDT Y TAREAS'!M13,0),IF(AND(29&gt;='EDT Y TAREAS'!AK14,29&lt;'EDT Y TAREAS'!AL14),'EDT Y TAREAS'!AD14/'EDT Y TAREAS'!M14,0),IF(AND(29&gt;='EDT Y TAREAS'!AK15,29&lt;'EDT Y TAREAS'!AL15),'EDT Y TAREAS'!AD15/'EDT Y TAREAS'!M15,0),IF(AND(29&gt;='EDT Y TAREAS'!AK16,29&lt;'EDT Y TAREAS'!AL16),'EDT Y TAREAS'!AD16/'EDT Y TAREAS'!M16,0),IF(AND(29&gt;='EDT Y TAREAS'!AK17,29&lt;'EDT Y TAREAS'!AL17),'EDT Y TAREAS'!AD17/'EDT Y TAREAS'!M17,0),IF(AND(29&gt;='EDT Y TAREAS'!AK18,29&lt;'EDT Y TAREAS'!AL18),'EDT Y TAREAS'!AD18/'EDT Y TAREAS'!M18,0),IF(AND(29&gt;='EDT Y TAREAS'!AK19,29&lt;'EDT Y TAREAS'!AL19),'EDT Y TAREAS'!AD19/'EDT Y TAREAS'!M19,0),IF(AND(29&gt;='EDT Y TAREAS'!AK20,29&lt;'EDT Y TAREAS'!AL20),'EDT Y TAREAS'!AD20/'EDT Y TAREAS'!M20,0),IF(AND(29&gt;='EDT Y TAREAS'!AK21,29&lt;'EDT Y TAREAS'!AL21),'EDT Y TAREAS'!AD21/'EDT Y TAREAS'!M21,0),IF(AND(29&gt;='EDT Y TAREAS'!AK22,29&lt;'EDT Y TAREAS'!AL22),'EDT Y TAREAS'!AD22/'EDT Y TAREAS'!M22,0),IF(AND(29&gt;='EDT Y TAREAS'!AK23,29&lt;'EDT Y TAREAS'!AL23),'EDT Y TAREAS'!AD23/'EDT Y TAREAS'!M23,0),IF(AND(29&gt;='EDT Y TAREAS'!AK26,29&lt;'EDT Y TAREAS'!AL26),'EDT Y TAREAS'!AD26/'EDT Y TAREAS'!M26,0),IF(AND(29&gt;='EDT Y TAREAS'!AK28,29&lt;'EDT Y TAREAS'!AL28),'EDT Y TAREAS'!AD28/'EDT Y TAREAS'!M28,0),IF(AND(29&gt;='EDT Y TAREAS'!AK30,29&lt;'EDT Y TAREAS'!AL30),'EDT Y TAREAS'!AD30/'EDT Y TAREAS'!M30,0),IF(AND(29&gt;='EDT Y TAREAS'!AK32,29&lt;'EDT Y TAREAS'!AL32),'EDT Y TAREAS'!AD32/'EDT Y TAREAS'!M32,0),IF(AND(29&gt;='EDT Y TAREAS'!AK34,29&lt;'EDT Y TAREAS'!AL34),'EDT Y TAREAS'!AD34/'EDT Y TAREAS'!M34,0),IF(AND(29&gt;='EDT Y TAREAS'!AK38,29&lt;'EDT Y TAREAS'!AL38),'EDT Y TAREAS'!AD38/'EDT Y TAREAS'!M38,0),IF(AND(29&gt;='EDT Y TAREAS'!AK39,29&lt;'EDT Y TAREAS'!AL39),'EDT Y TAREAS'!AD39/'EDT Y TAREAS'!M39,0),IF(AND(29&gt;='EDT Y TAREAS'!AK43,29&lt;'EDT Y TAREAS'!AL43),'EDT Y TAREAS'!AD43/'EDT Y TAREAS'!M43,0),IF(AND(29&gt;='EDT Y TAREAS'!AK44,29&lt;'EDT Y TAREAS'!AL44),'EDT Y TAREAS'!AD44/'EDT Y TAREAS'!M44,0),IF(AND(29&gt;='EDT Y TAREAS'!AK45,29&lt;'EDT Y TAREAS'!AL45),'EDT Y TAREAS'!AD45/'EDT Y TAREAS'!M45,0),IF(AND(29&gt;='EDT Y TAREAS'!AK46,29&lt;'EDT Y TAREAS'!AL46),'EDT Y TAREAS'!AD46/'EDT Y TAREAS'!M46,0),IF(AND(29&gt;='EDT Y TAREAS'!AK47,29&lt;'EDT Y TAREAS'!AL47),'EDT Y TAREAS'!AD47/'EDT Y TAREAS'!M47,0),IF(AND(29&gt;='EDT Y TAREAS'!AK49,29&lt;'EDT Y TAREAS'!AL49),'EDT Y TAREAS'!AD49/'EDT Y TAREAS'!M49,0),IF(AND(29&gt;='EDT Y TAREAS'!AK50,29&lt;'EDT Y TAREAS'!AL50),'EDT Y TAREAS'!AD50/'EDT Y TAREAS'!M50,0),IF(AND(29&gt;='EDT Y TAREAS'!AK51,29&lt;'EDT Y TAREAS'!AL51),'EDT Y TAREAS'!AD51/'EDT Y TAREAS'!M51,0),IF(AND(29&gt;='EDT Y TAREAS'!AK52,29&lt;'EDT Y TAREAS'!AL52),'EDT Y TAREAS'!AD52/'EDT Y TAREAS'!M52,0))</x:f>
        <x:v>4.8</x:v>
      </x:c>
      <x:c r="C69" s="35" t="n">
        <x:f>SUM(IF(AND(29&gt;='EDT Y TAREAS'!AK6,29&lt;'EDT Y TAREAS'!AL6),'EDT Y TAREAS'!AE6/'EDT Y TAREAS'!M6,0),IF(AND(29&gt;='EDT Y TAREAS'!AK8,29&lt;'EDT Y TAREAS'!AL8),'EDT Y TAREAS'!AE8/'EDT Y TAREAS'!M8,0),IF(AND(29&gt;='EDT Y TAREAS'!AK9,29&lt;'EDT Y TAREAS'!AL9),'EDT Y TAREAS'!AE9/'EDT Y TAREAS'!M9,0),IF(AND(29&gt;='EDT Y TAREAS'!AK10,29&lt;'EDT Y TAREAS'!AL10),'EDT Y TAREAS'!AE10/'EDT Y TAREAS'!M10,0),IF(AND(29&gt;='EDT Y TAREAS'!AK12,29&lt;'EDT Y TAREAS'!AL12),'EDT Y TAREAS'!AE12/'EDT Y TAREAS'!M12,0),IF(AND(29&gt;='EDT Y TAREAS'!AK16,29&lt;'EDT Y TAREAS'!AL16),'EDT Y TAREAS'!AE16/'EDT Y TAREAS'!M16,0),IF(AND(29&gt;='EDT Y TAREAS'!AK21,29&lt;'EDT Y TAREAS'!AL21),'EDT Y TAREAS'!AE21/'EDT Y TAREAS'!M21,0),IF(AND(29&gt;='EDT Y TAREAS'!AK23,29&lt;'EDT Y TAREAS'!AL23),'EDT Y TAREAS'!AE23/'EDT Y TAREAS'!M23,0),IF(AND(29&gt;='EDT Y TAREAS'!AK37,29&lt;'EDT Y TAREAS'!AL37),'EDT Y TAREAS'!AE37/'EDT Y TAREAS'!M37,0),IF(AND(29&gt;='EDT Y TAREAS'!AK38,29&lt;'EDT Y TAREAS'!AL38),'EDT Y TAREAS'!AE38/'EDT Y TAREAS'!M38,0),IF(AND(29&gt;='EDT Y TAREAS'!AK41,29&lt;'EDT Y TAREAS'!AL41),'EDT Y TAREAS'!AE41/'EDT Y TAREAS'!M41,0),IF(AND(29&gt;='EDT Y TAREAS'!AK43,29&lt;'EDT Y TAREAS'!AL43),'EDT Y TAREAS'!AE43/'EDT Y TAREAS'!M43,0),IF(AND(29&gt;='EDT Y TAREAS'!AK44,29&lt;'EDT Y TAREAS'!AL44),'EDT Y TAREAS'!AE44/'EDT Y TAREAS'!M44,0),IF(AND(29&gt;='EDT Y TAREAS'!AK46,29&lt;'EDT Y TAREAS'!AL46),'EDT Y TAREAS'!AE46/'EDT Y TAREAS'!M46,0),IF(AND(29&gt;='EDT Y TAREAS'!AK47,29&lt;'EDT Y TAREAS'!AL47),'EDT Y TAREAS'!AE47/'EDT Y TAREAS'!M47,0),IF(AND(29&gt;='EDT Y TAREAS'!AK51,29&lt;'EDT Y TAREAS'!AL51),'EDT Y TAREAS'!AE51/'EDT Y TAREAS'!M51,0),IF(AND(29&gt;='EDT Y TAREAS'!AK52,29&lt;'EDT Y TAREAS'!AL52),'EDT Y TAREAS'!AE52/'EDT Y TAREAS'!M52,0))</x:f>
        <x:v>1.6</x:v>
      </x:c>
      <x:c r="D69" s="35" t="n">
        <x:f>SUM(IF(AND(29&gt;='EDT Y TAREAS'!AK11,29&lt;'EDT Y TAREAS'!AL11),'EDT Y TAREAS'!AF11/'EDT Y TAREAS'!M11,0),IF(AND(29&gt;='EDT Y TAREAS'!AK24,29&lt;'EDT Y TAREAS'!AL24),'EDT Y TAREAS'!AF24/'EDT Y TAREAS'!M24,0),IF(AND(29&gt;='EDT Y TAREAS'!AK25,29&lt;'EDT Y TAREAS'!AL25),'EDT Y TAREAS'!AF25/'EDT Y TAREAS'!M25,0),IF(AND(29&gt;='EDT Y TAREAS'!AK26,29&lt;'EDT Y TAREAS'!AL26),'EDT Y TAREAS'!AF26/'EDT Y TAREAS'!M26,0),IF(AND(29&gt;='EDT Y TAREAS'!AK27,29&lt;'EDT Y TAREAS'!AL27),'EDT Y TAREAS'!AF27/'EDT Y TAREAS'!M27,0),IF(AND(29&gt;='EDT Y TAREAS'!AK28,29&lt;'EDT Y TAREAS'!AL28),'EDT Y TAREAS'!AF28/'EDT Y TAREAS'!M28,0),IF(AND(29&gt;='EDT Y TAREAS'!AK31,29&lt;'EDT Y TAREAS'!AL31),'EDT Y TAREAS'!AF31/'EDT Y TAREAS'!M31,0),IF(AND(29&gt;='EDT Y TAREAS'!AK33,29&lt;'EDT Y TAREAS'!AL33),'EDT Y TAREAS'!AF33/'EDT Y TAREAS'!M33,0),IF(AND(29&gt;='EDT Y TAREAS'!AK34,29&lt;'EDT Y TAREAS'!AL34),'EDT Y TAREAS'!AF34/'EDT Y TAREAS'!M34,0),IF(AND(29&gt;='EDT Y TAREAS'!AK35,29&lt;'EDT Y TAREAS'!AL35),'EDT Y TAREAS'!AF35/'EDT Y TAREAS'!M35,0),IF(AND(29&gt;='EDT Y TAREAS'!AK37,29&lt;'EDT Y TAREAS'!AL37),'EDT Y TAREAS'!AF37/'EDT Y TAREAS'!M37,0),IF(AND(29&gt;='EDT Y TAREAS'!AK39,29&lt;'EDT Y TAREAS'!AL39),'EDT Y TAREAS'!AF39/'EDT Y TAREAS'!M39,0),IF(AND(29&gt;='EDT Y TAREAS'!AK40,29&lt;'EDT Y TAREAS'!AL40),'EDT Y TAREAS'!AF40/'EDT Y TAREAS'!M40,0),IF(AND(29&gt;='EDT Y TAREAS'!AK42,29&lt;'EDT Y TAREAS'!AL42),'EDT Y TAREAS'!AF42/'EDT Y TAREAS'!M42,0),IF(AND(29&gt;='EDT Y TAREAS'!AK45,29&lt;'EDT Y TAREAS'!AL45),'EDT Y TAREAS'!AF45/'EDT Y TAREAS'!M45,0),IF(AND(29&gt;='EDT Y TAREAS'!AK49,29&lt;'EDT Y TAREAS'!AL49),'EDT Y TAREAS'!AF49/'EDT Y TAREAS'!M49,0),IF(AND(29&gt;='EDT Y TAREAS'!AK52,29&lt;'EDT Y TAREAS'!AL52),'EDT Y TAREAS'!AF52/'EDT Y TAREAS'!M52,0))</x:f>
        <x:v>7.6</x:v>
      </x:c>
      <x:c r="E69" s="35" t="n">
        <x:f>SUM(IF(AND(29&gt;='EDT Y TAREAS'!AK29,29&lt;'EDT Y TAREAS'!AL29),'EDT Y TAREAS'!AG29/'EDT Y TAREAS'!M29,0),IF(AND(29&gt;='EDT Y TAREAS'!AK30,29&lt;'EDT Y TAREAS'!AL30),'EDT Y TAREAS'!AG30/'EDT Y TAREAS'!M30,0),IF(AND(29&gt;='EDT Y TAREAS'!AK31,29&lt;'EDT Y TAREAS'!AL31),'EDT Y TAREAS'!AG31/'EDT Y TAREAS'!M31,0),IF(AND(29&gt;='EDT Y TAREAS'!AK32,29&lt;'EDT Y TAREAS'!AL32),'EDT Y TAREAS'!AG32/'EDT Y TAREAS'!M32,0),IF(AND(29&gt;='EDT Y TAREAS'!AK41,29&lt;'EDT Y TAREAS'!AL41),'EDT Y TAREAS'!AG41/'EDT Y TAREAS'!M41,0),IF(AND(29&gt;='EDT Y TAREAS'!AK45,29&lt;'EDT Y TAREAS'!AL45),'EDT Y TAREAS'!AG45/'EDT Y TAREAS'!M45,0),IF(AND(29&gt;='EDT Y TAREAS'!AK48,29&lt;'EDT Y TAREAS'!AL48),'EDT Y TAREAS'!AG48/'EDT Y TAREAS'!M48,0))</x:f>
        <x:v>0</x:v>
      </x:c>
      <x:c r="F69" s="35" t="n">
        <x:f>SUM(IF(AND(29&gt;='EDT Y TAREAS'!AK10,29&lt;'EDT Y TAREAS'!AL10),'EDT Y TAREAS'!AH10/'EDT Y TAREAS'!M10,0),IF(AND(29&gt;='EDT Y TAREAS'!AK12,29&lt;'EDT Y TAREAS'!AL12),'EDT Y TAREAS'!AH12/'EDT Y TAREAS'!M12,0),IF(AND(29&gt;='EDT Y TAREAS'!AK22,29&lt;'EDT Y TAREAS'!AL22),'EDT Y TAREAS'!AH22/'EDT Y TAREAS'!M22,0),IF(AND(29&gt;='EDT Y TAREAS'!AK23,29&lt;'EDT Y TAREAS'!AL23),'EDT Y TAREAS'!AH23/'EDT Y TAREAS'!M23,0),IF(AND(29&gt;='EDT Y TAREAS'!AK29,29&lt;'EDT Y TAREAS'!AL29),'EDT Y TAREAS'!AH29/'EDT Y TAREAS'!M29,0),IF(AND(29&gt;='EDT Y TAREAS'!AK30,29&lt;'EDT Y TAREAS'!AL30),'EDT Y TAREAS'!AH30/'EDT Y TAREAS'!M30,0),IF(AND(29&gt;='EDT Y TAREAS'!AK32,29&lt;'EDT Y TAREAS'!AL32),'EDT Y TAREAS'!AH32/'EDT Y TAREAS'!M32,0),IF(AND(29&gt;='EDT Y TAREAS'!AK41,29&lt;'EDT Y TAREAS'!AL41),'EDT Y TAREAS'!AH41/'EDT Y TAREAS'!M41,0),IF(AND(29&gt;='EDT Y TAREAS'!AK44,29&lt;'EDT Y TAREAS'!AL44),'EDT Y TAREAS'!AH44/'EDT Y TAREAS'!M44,0),IF(AND(29&gt;='EDT Y TAREAS'!AK46,29&lt;'EDT Y TAREAS'!AL46),'EDT Y TAREAS'!AH46/'EDT Y TAREAS'!M46,0),IF(AND(29&gt;='EDT Y TAREAS'!AK48,29&lt;'EDT Y TAREAS'!AL48),'EDT Y TAREAS'!AH48/'EDT Y TAREAS'!M48,0))</x:f>
        <x:v>3.2</x:v>
      </x:c>
      <x:c r="G69" s="35" t="n">
        <x:f>SUM(IF(AND(29&gt;='EDT Y TAREAS'!AK20,29&lt;'EDT Y TAREAS'!AL20),'EDT Y TAREAS'!AI20/'EDT Y TAREAS'!M20,0),IF(AND(29&gt;='EDT Y TAREAS'!AK25,29&lt;'EDT Y TAREAS'!AL25),'EDT Y TAREAS'!AI25/'EDT Y TAREAS'!M25,0),IF(AND(29&gt;='EDT Y TAREAS'!AK33,29&lt;'EDT Y TAREAS'!AL33),'EDT Y TAREAS'!AI33/'EDT Y TAREAS'!M33,0),IF(AND(29&gt;='EDT Y TAREAS'!AK34,29&lt;'EDT Y TAREAS'!AL34),'EDT Y TAREAS'!AI34/'EDT Y TAREAS'!M34,0),IF(AND(29&gt;='EDT Y TAREAS'!AK36,29&lt;'EDT Y TAREAS'!AL36),'EDT Y TAREAS'!AI36/'EDT Y TAREAS'!M36,0),IF(AND(29&gt;='EDT Y TAREAS'!AK39,29&lt;'EDT Y TAREAS'!AL39),'EDT Y TAREAS'!AI39/'EDT Y TAREAS'!M39,0),IF(AND(29&gt;='EDT Y TAREAS'!AK40,29&lt;'EDT Y TAREAS'!AL40),'EDT Y TAREAS'!AI40/'EDT Y TAREAS'!M40,0),IF(AND(29&gt;='EDT Y TAREAS'!AK42,29&lt;'EDT Y TAREAS'!AL42),'EDT Y TAREAS'!AI42/'EDT Y TAREAS'!M42,0),IF(AND(29&gt;='EDT Y TAREAS'!AK43,29&lt;'EDT Y TAREAS'!AL43),'EDT Y TAREAS'!AI43/'EDT Y TAREAS'!M43,0),IF(AND(29&gt;='EDT Y TAREAS'!AK44,29&lt;'EDT Y TAREAS'!AL44),'EDT Y TAREAS'!AI44/'EDT Y TAREAS'!M44,0),IF(AND(29&gt;='EDT Y TAREAS'!AK45,29&lt;'EDT Y TAREAS'!AL45),'EDT Y TAREAS'!AI45/'EDT Y TAREAS'!M45,0),IF(AND(29&gt;='EDT Y TAREAS'!AK46,29&lt;'EDT Y TAREAS'!AL46),'EDT Y TAREAS'!AI46/'EDT Y TAREAS'!M46,0),IF(AND(29&gt;='EDT Y TAREAS'!AK48,29&lt;'EDT Y TAREAS'!AL48),'EDT Y TAREAS'!AI48/'EDT Y TAREAS'!M48,0),IF(AND(29&gt;='EDT Y TAREAS'!AK50,29&lt;'EDT Y TAREAS'!AL50),'EDT Y TAREAS'!AI50/'EDT Y TAREAS'!M50,0),IF(AND(29&gt;='EDT Y TAREAS'!AK52,29&lt;'EDT Y TAREAS'!AL52),'EDT Y TAREAS'!AI52/'EDT Y TAREAS'!M52,0))</x:f>
        <x:v>0.8</x:v>
      </x:c>
      <x:c r="H69" s="35" t="n">
        <x:f>SUM(IF(AND(29&gt;='EDT Y TAREAS'!AK11,29&lt;'EDT Y TAREAS'!AL11),'EDT Y TAREAS'!AJ11/'EDT Y TAREAS'!M11,0),IF(AND(29&gt;='EDT Y TAREAS'!AK24,29&lt;'EDT Y TAREAS'!AL24),'EDT Y TAREAS'!AJ24/'EDT Y TAREAS'!M24,0),IF(AND(29&gt;='EDT Y TAREAS'!AK27,29&lt;'EDT Y TAREAS'!AL27),'EDT Y TAREAS'!AJ27/'EDT Y TAREAS'!M27,0),IF(AND(29&gt;='EDT Y TAREAS'!AK28,29&lt;'EDT Y TAREAS'!AL28),'EDT Y TAREAS'!AJ28/'EDT Y TAREAS'!M28,0),IF(AND(29&gt;='EDT Y TAREAS'!AK33,29&lt;'EDT Y TAREAS'!AL33),'EDT Y TAREAS'!AJ33/'EDT Y TAREAS'!M33,0),IF(AND(29&gt;='EDT Y TAREAS'!AK35,29&lt;'EDT Y TAREAS'!AL35),'EDT Y TAREAS'!AJ35/'EDT Y TAREAS'!M35,0),IF(AND(29&gt;='EDT Y TAREAS'!AK36,29&lt;'EDT Y TAREAS'!AL36),'EDT Y TAREAS'!AJ36/'EDT Y TAREAS'!M36,0),IF(AND(29&gt;='EDT Y TAREAS'!AK37,29&lt;'EDT Y TAREAS'!AL37),'EDT Y TAREAS'!AJ37/'EDT Y TAREAS'!M37,0),IF(AND(29&gt;='EDT Y TAREAS'!AK40,29&lt;'EDT Y TAREAS'!AL40),'EDT Y TAREAS'!AJ40/'EDT Y TAREAS'!M40,0),IF(AND(29&gt;='EDT Y TAREAS'!AK42,29&lt;'EDT Y TAREAS'!AL42),'EDT Y TAREAS'!AJ42/'EDT Y TAREAS'!M42,0),IF(AND(29&gt;='EDT Y TAREAS'!AK49,29&lt;'EDT Y TAREAS'!AL49),'EDT Y TAREAS'!AJ49/'EDT Y TAREAS'!M49,0),IF(AND(29&gt;='EDT Y TAREAS'!AK50,29&lt;'EDT Y TAREAS'!AL50),'EDT Y TAREAS'!AJ50/'EDT Y TAREAS'!M50,0),IF(AND(29&gt;='EDT Y TAREAS'!AK51,29&lt;'EDT Y TAREAS'!AL51),'EDT Y TAREAS'!AJ51/'EDT Y TAREAS'!M51,0),IF(AND(29&gt;='EDT Y TAREAS'!AK52,29&lt;'EDT Y TAREAS'!AL52),'EDT Y TAREAS'!AJ52/'EDT Y TAREAS'!M52,0))</x:f>
        <x:v>4.4</x:v>
      </x:c>
      <x:c r="I69" s="10" t="n">
        <x:f>WORKDAY('RESUMEN'!$D$3-1,A69,'RESUMEN'!$J$6:$J$25)</x:f>
        <x:v>46367</x:v>
      </x:c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  <x:c r="AL69" s="3"/>
      <x:c r="AM69" s="3"/>
      <x:c r="AN69" s="3"/>
      <x:c r="AO69" s="3"/>
    </x:row>
    <x:row r="70" ht="24" customHeight="1">
      <x:c r="A70" s="3" t="n">
        <x:v>31</x:v>
      </x:c>
      <x:c r="B70" s="35" t="n">
        <x:f>SUM(IF(AND(30&gt;='EDT Y TAREAS'!AK6,30&lt;'EDT Y TAREAS'!AL6),'EDT Y TAREAS'!AD6/'EDT Y TAREAS'!M6,0),IF(AND(30&gt;='EDT Y TAREAS'!AK7,30&lt;'EDT Y TAREAS'!AL7),'EDT Y TAREAS'!AD7/'EDT Y TAREAS'!M7,0),IF(AND(30&gt;='EDT Y TAREAS'!AK8,30&lt;'EDT Y TAREAS'!AL8),'EDT Y TAREAS'!AD8/'EDT Y TAREAS'!M8,0),IF(AND(30&gt;='EDT Y TAREAS'!AK9,30&lt;'EDT Y TAREAS'!AL9),'EDT Y TAREAS'!AD9/'EDT Y TAREAS'!M9,0),IF(AND(30&gt;='EDT Y TAREAS'!AK10,30&lt;'EDT Y TAREAS'!AL10),'EDT Y TAREAS'!AD10/'EDT Y TAREAS'!M10,0),IF(AND(30&gt;='EDT Y TAREAS'!AK11,30&lt;'EDT Y TAREAS'!AL11),'EDT Y TAREAS'!AD11/'EDT Y TAREAS'!M11,0),IF(AND(30&gt;='EDT Y TAREAS'!AK12,30&lt;'EDT Y TAREAS'!AL12),'EDT Y TAREAS'!AD12/'EDT Y TAREAS'!M12,0),IF(AND(30&gt;='EDT Y TAREAS'!AK13,30&lt;'EDT Y TAREAS'!AL13),'EDT Y TAREAS'!AD13/'EDT Y TAREAS'!M13,0),IF(AND(30&gt;='EDT Y TAREAS'!AK14,30&lt;'EDT Y TAREAS'!AL14),'EDT Y TAREAS'!AD14/'EDT Y TAREAS'!M14,0),IF(AND(30&gt;='EDT Y TAREAS'!AK15,30&lt;'EDT Y TAREAS'!AL15),'EDT Y TAREAS'!AD15/'EDT Y TAREAS'!M15,0),IF(AND(30&gt;='EDT Y TAREAS'!AK16,30&lt;'EDT Y TAREAS'!AL16),'EDT Y TAREAS'!AD16/'EDT Y TAREAS'!M16,0),IF(AND(30&gt;='EDT Y TAREAS'!AK17,30&lt;'EDT Y TAREAS'!AL17),'EDT Y TAREAS'!AD17/'EDT Y TAREAS'!M17,0),IF(AND(30&gt;='EDT Y TAREAS'!AK18,30&lt;'EDT Y TAREAS'!AL18),'EDT Y TAREAS'!AD18/'EDT Y TAREAS'!M18,0),IF(AND(30&gt;='EDT Y TAREAS'!AK19,30&lt;'EDT Y TAREAS'!AL19),'EDT Y TAREAS'!AD19/'EDT Y TAREAS'!M19,0),IF(AND(30&gt;='EDT Y TAREAS'!AK20,30&lt;'EDT Y TAREAS'!AL20),'EDT Y TAREAS'!AD20/'EDT Y TAREAS'!M20,0),IF(AND(30&gt;='EDT Y TAREAS'!AK21,30&lt;'EDT Y TAREAS'!AL21),'EDT Y TAREAS'!AD21/'EDT Y TAREAS'!M21,0),IF(AND(30&gt;='EDT Y TAREAS'!AK22,30&lt;'EDT Y TAREAS'!AL22),'EDT Y TAREAS'!AD22/'EDT Y TAREAS'!M22,0),IF(AND(30&gt;='EDT Y TAREAS'!AK23,30&lt;'EDT Y TAREAS'!AL23),'EDT Y TAREAS'!AD23/'EDT Y TAREAS'!M23,0),IF(AND(30&gt;='EDT Y TAREAS'!AK26,30&lt;'EDT Y TAREAS'!AL26),'EDT Y TAREAS'!AD26/'EDT Y TAREAS'!M26,0),IF(AND(30&gt;='EDT Y TAREAS'!AK28,30&lt;'EDT Y TAREAS'!AL28),'EDT Y TAREAS'!AD28/'EDT Y TAREAS'!M28,0),IF(AND(30&gt;='EDT Y TAREAS'!AK30,30&lt;'EDT Y TAREAS'!AL30),'EDT Y TAREAS'!AD30/'EDT Y TAREAS'!M30,0),IF(AND(30&gt;='EDT Y TAREAS'!AK32,30&lt;'EDT Y TAREAS'!AL32),'EDT Y TAREAS'!AD32/'EDT Y TAREAS'!M32,0),IF(AND(30&gt;='EDT Y TAREAS'!AK34,30&lt;'EDT Y TAREAS'!AL34),'EDT Y TAREAS'!AD34/'EDT Y TAREAS'!M34,0),IF(AND(30&gt;='EDT Y TAREAS'!AK38,30&lt;'EDT Y TAREAS'!AL38),'EDT Y TAREAS'!AD38/'EDT Y TAREAS'!M38,0),IF(AND(30&gt;='EDT Y TAREAS'!AK39,30&lt;'EDT Y TAREAS'!AL39),'EDT Y TAREAS'!AD39/'EDT Y TAREAS'!M39,0),IF(AND(30&gt;='EDT Y TAREAS'!AK43,30&lt;'EDT Y TAREAS'!AL43),'EDT Y TAREAS'!AD43/'EDT Y TAREAS'!M43,0),IF(AND(30&gt;='EDT Y TAREAS'!AK44,30&lt;'EDT Y TAREAS'!AL44),'EDT Y TAREAS'!AD44/'EDT Y TAREAS'!M44,0),IF(AND(30&gt;='EDT Y TAREAS'!AK45,30&lt;'EDT Y TAREAS'!AL45),'EDT Y TAREAS'!AD45/'EDT Y TAREAS'!M45,0),IF(AND(30&gt;='EDT Y TAREAS'!AK46,30&lt;'EDT Y TAREAS'!AL46),'EDT Y TAREAS'!AD46/'EDT Y TAREAS'!M46,0),IF(AND(30&gt;='EDT Y TAREAS'!AK47,30&lt;'EDT Y TAREAS'!AL47),'EDT Y TAREAS'!AD47/'EDT Y TAREAS'!M47,0),IF(AND(30&gt;='EDT Y TAREAS'!AK49,30&lt;'EDT Y TAREAS'!AL49),'EDT Y TAREAS'!AD49/'EDT Y TAREAS'!M49,0),IF(AND(30&gt;='EDT Y TAREAS'!AK50,30&lt;'EDT Y TAREAS'!AL50),'EDT Y TAREAS'!AD50/'EDT Y TAREAS'!M50,0),IF(AND(30&gt;='EDT Y TAREAS'!AK51,30&lt;'EDT Y TAREAS'!AL51),'EDT Y TAREAS'!AD51/'EDT Y TAREAS'!M51,0),IF(AND(30&gt;='EDT Y TAREAS'!AK52,30&lt;'EDT Y TAREAS'!AL52),'EDT Y TAREAS'!AD52/'EDT Y TAREAS'!M52,0))</x:f>
        <x:v>4.8</x:v>
      </x:c>
      <x:c r="C70" s="35" t="n">
        <x:f>SUM(IF(AND(30&gt;='EDT Y TAREAS'!AK6,30&lt;'EDT Y TAREAS'!AL6),'EDT Y TAREAS'!AE6/'EDT Y TAREAS'!M6,0),IF(AND(30&gt;='EDT Y TAREAS'!AK8,30&lt;'EDT Y TAREAS'!AL8),'EDT Y TAREAS'!AE8/'EDT Y TAREAS'!M8,0),IF(AND(30&gt;='EDT Y TAREAS'!AK9,30&lt;'EDT Y TAREAS'!AL9),'EDT Y TAREAS'!AE9/'EDT Y TAREAS'!M9,0),IF(AND(30&gt;='EDT Y TAREAS'!AK10,30&lt;'EDT Y TAREAS'!AL10),'EDT Y TAREAS'!AE10/'EDT Y TAREAS'!M10,0),IF(AND(30&gt;='EDT Y TAREAS'!AK12,30&lt;'EDT Y TAREAS'!AL12),'EDT Y TAREAS'!AE12/'EDT Y TAREAS'!M12,0),IF(AND(30&gt;='EDT Y TAREAS'!AK16,30&lt;'EDT Y TAREAS'!AL16),'EDT Y TAREAS'!AE16/'EDT Y TAREAS'!M16,0),IF(AND(30&gt;='EDT Y TAREAS'!AK21,30&lt;'EDT Y TAREAS'!AL21),'EDT Y TAREAS'!AE21/'EDT Y TAREAS'!M21,0),IF(AND(30&gt;='EDT Y TAREAS'!AK23,30&lt;'EDT Y TAREAS'!AL23),'EDT Y TAREAS'!AE23/'EDT Y TAREAS'!M23,0),IF(AND(30&gt;='EDT Y TAREAS'!AK37,30&lt;'EDT Y TAREAS'!AL37),'EDT Y TAREAS'!AE37/'EDT Y TAREAS'!M37,0),IF(AND(30&gt;='EDT Y TAREAS'!AK38,30&lt;'EDT Y TAREAS'!AL38),'EDT Y TAREAS'!AE38/'EDT Y TAREAS'!M38,0),IF(AND(30&gt;='EDT Y TAREAS'!AK41,30&lt;'EDT Y TAREAS'!AL41),'EDT Y TAREAS'!AE41/'EDT Y TAREAS'!M41,0),IF(AND(30&gt;='EDT Y TAREAS'!AK43,30&lt;'EDT Y TAREAS'!AL43),'EDT Y TAREAS'!AE43/'EDT Y TAREAS'!M43,0),IF(AND(30&gt;='EDT Y TAREAS'!AK44,30&lt;'EDT Y TAREAS'!AL44),'EDT Y TAREAS'!AE44/'EDT Y TAREAS'!M44,0),IF(AND(30&gt;='EDT Y TAREAS'!AK46,30&lt;'EDT Y TAREAS'!AL46),'EDT Y TAREAS'!AE46/'EDT Y TAREAS'!M46,0),IF(AND(30&gt;='EDT Y TAREAS'!AK47,30&lt;'EDT Y TAREAS'!AL47),'EDT Y TAREAS'!AE47/'EDT Y TAREAS'!M47,0),IF(AND(30&gt;='EDT Y TAREAS'!AK51,30&lt;'EDT Y TAREAS'!AL51),'EDT Y TAREAS'!AE51/'EDT Y TAREAS'!M51,0),IF(AND(30&gt;='EDT Y TAREAS'!AK52,30&lt;'EDT Y TAREAS'!AL52),'EDT Y TAREAS'!AE52/'EDT Y TAREAS'!M52,0))</x:f>
        <x:v>1.6</x:v>
      </x:c>
      <x:c r="D70" s="35" t="n">
        <x:f>SUM(IF(AND(30&gt;='EDT Y TAREAS'!AK11,30&lt;'EDT Y TAREAS'!AL11),'EDT Y TAREAS'!AF11/'EDT Y TAREAS'!M11,0),IF(AND(30&gt;='EDT Y TAREAS'!AK24,30&lt;'EDT Y TAREAS'!AL24),'EDT Y TAREAS'!AF24/'EDT Y TAREAS'!M24,0),IF(AND(30&gt;='EDT Y TAREAS'!AK25,30&lt;'EDT Y TAREAS'!AL25),'EDT Y TAREAS'!AF25/'EDT Y TAREAS'!M25,0),IF(AND(30&gt;='EDT Y TAREAS'!AK26,30&lt;'EDT Y TAREAS'!AL26),'EDT Y TAREAS'!AF26/'EDT Y TAREAS'!M26,0),IF(AND(30&gt;='EDT Y TAREAS'!AK27,30&lt;'EDT Y TAREAS'!AL27),'EDT Y TAREAS'!AF27/'EDT Y TAREAS'!M27,0),IF(AND(30&gt;='EDT Y TAREAS'!AK28,30&lt;'EDT Y TAREAS'!AL28),'EDT Y TAREAS'!AF28/'EDT Y TAREAS'!M28,0),IF(AND(30&gt;='EDT Y TAREAS'!AK31,30&lt;'EDT Y TAREAS'!AL31),'EDT Y TAREAS'!AF31/'EDT Y TAREAS'!M31,0),IF(AND(30&gt;='EDT Y TAREAS'!AK33,30&lt;'EDT Y TAREAS'!AL33),'EDT Y TAREAS'!AF33/'EDT Y TAREAS'!M33,0),IF(AND(30&gt;='EDT Y TAREAS'!AK34,30&lt;'EDT Y TAREAS'!AL34),'EDT Y TAREAS'!AF34/'EDT Y TAREAS'!M34,0),IF(AND(30&gt;='EDT Y TAREAS'!AK35,30&lt;'EDT Y TAREAS'!AL35),'EDT Y TAREAS'!AF35/'EDT Y TAREAS'!M35,0),IF(AND(30&gt;='EDT Y TAREAS'!AK37,30&lt;'EDT Y TAREAS'!AL37),'EDT Y TAREAS'!AF37/'EDT Y TAREAS'!M37,0),IF(AND(30&gt;='EDT Y TAREAS'!AK39,30&lt;'EDT Y TAREAS'!AL39),'EDT Y TAREAS'!AF39/'EDT Y TAREAS'!M39,0),IF(AND(30&gt;='EDT Y TAREAS'!AK40,30&lt;'EDT Y TAREAS'!AL40),'EDT Y TAREAS'!AF40/'EDT Y TAREAS'!M40,0),IF(AND(30&gt;='EDT Y TAREAS'!AK42,30&lt;'EDT Y TAREAS'!AL42),'EDT Y TAREAS'!AF42/'EDT Y TAREAS'!M42,0),IF(AND(30&gt;='EDT Y TAREAS'!AK45,30&lt;'EDT Y TAREAS'!AL45),'EDT Y TAREAS'!AF45/'EDT Y TAREAS'!M45,0),IF(AND(30&gt;='EDT Y TAREAS'!AK49,30&lt;'EDT Y TAREAS'!AL49),'EDT Y TAREAS'!AF49/'EDT Y TAREAS'!M49,0),IF(AND(30&gt;='EDT Y TAREAS'!AK52,30&lt;'EDT Y TAREAS'!AL52),'EDT Y TAREAS'!AF52/'EDT Y TAREAS'!M52,0))</x:f>
        <x:v>7.6</x:v>
      </x:c>
      <x:c r="E70" s="35" t="n">
        <x:f>SUM(IF(AND(30&gt;='EDT Y TAREAS'!AK29,30&lt;'EDT Y TAREAS'!AL29),'EDT Y TAREAS'!AG29/'EDT Y TAREAS'!M29,0),IF(AND(30&gt;='EDT Y TAREAS'!AK30,30&lt;'EDT Y TAREAS'!AL30),'EDT Y TAREAS'!AG30/'EDT Y TAREAS'!M30,0),IF(AND(30&gt;='EDT Y TAREAS'!AK31,30&lt;'EDT Y TAREAS'!AL31),'EDT Y TAREAS'!AG31/'EDT Y TAREAS'!M31,0),IF(AND(30&gt;='EDT Y TAREAS'!AK32,30&lt;'EDT Y TAREAS'!AL32),'EDT Y TAREAS'!AG32/'EDT Y TAREAS'!M32,0),IF(AND(30&gt;='EDT Y TAREAS'!AK41,30&lt;'EDT Y TAREAS'!AL41),'EDT Y TAREAS'!AG41/'EDT Y TAREAS'!M41,0),IF(AND(30&gt;='EDT Y TAREAS'!AK45,30&lt;'EDT Y TAREAS'!AL45),'EDT Y TAREAS'!AG45/'EDT Y TAREAS'!M45,0),IF(AND(30&gt;='EDT Y TAREAS'!AK48,30&lt;'EDT Y TAREAS'!AL48),'EDT Y TAREAS'!AG48/'EDT Y TAREAS'!M48,0))</x:f>
        <x:v>0</x:v>
      </x:c>
      <x:c r="F70" s="35" t="n">
        <x:f>SUM(IF(AND(30&gt;='EDT Y TAREAS'!AK10,30&lt;'EDT Y TAREAS'!AL10),'EDT Y TAREAS'!AH10/'EDT Y TAREAS'!M10,0),IF(AND(30&gt;='EDT Y TAREAS'!AK12,30&lt;'EDT Y TAREAS'!AL12),'EDT Y TAREAS'!AH12/'EDT Y TAREAS'!M12,0),IF(AND(30&gt;='EDT Y TAREAS'!AK22,30&lt;'EDT Y TAREAS'!AL22),'EDT Y TAREAS'!AH22/'EDT Y TAREAS'!M22,0),IF(AND(30&gt;='EDT Y TAREAS'!AK23,30&lt;'EDT Y TAREAS'!AL23),'EDT Y TAREAS'!AH23/'EDT Y TAREAS'!M23,0),IF(AND(30&gt;='EDT Y TAREAS'!AK29,30&lt;'EDT Y TAREAS'!AL29),'EDT Y TAREAS'!AH29/'EDT Y TAREAS'!M29,0),IF(AND(30&gt;='EDT Y TAREAS'!AK30,30&lt;'EDT Y TAREAS'!AL30),'EDT Y TAREAS'!AH30/'EDT Y TAREAS'!M30,0),IF(AND(30&gt;='EDT Y TAREAS'!AK32,30&lt;'EDT Y TAREAS'!AL32),'EDT Y TAREAS'!AH32/'EDT Y TAREAS'!M32,0),IF(AND(30&gt;='EDT Y TAREAS'!AK41,30&lt;'EDT Y TAREAS'!AL41),'EDT Y TAREAS'!AH41/'EDT Y TAREAS'!M41,0),IF(AND(30&gt;='EDT Y TAREAS'!AK44,30&lt;'EDT Y TAREAS'!AL44),'EDT Y TAREAS'!AH44/'EDT Y TAREAS'!M44,0),IF(AND(30&gt;='EDT Y TAREAS'!AK46,30&lt;'EDT Y TAREAS'!AL46),'EDT Y TAREAS'!AH46/'EDT Y TAREAS'!M46,0),IF(AND(30&gt;='EDT Y TAREAS'!AK48,30&lt;'EDT Y TAREAS'!AL48),'EDT Y TAREAS'!AH48/'EDT Y TAREAS'!M48,0))</x:f>
        <x:v>3.2</x:v>
      </x:c>
      <x:c r="G70" s="35" t="n">
        <x:f>SUM(IF(AND(30&gt;='EDT Y TAREAS'!AK20,30&lt;'EDT Y TAREAS'!AL20),'EDT Y TAREAS'!AI20/'EDT Y TAREAS'!M20,0),IF(AND(30&gt;='EDT Y TAREAS'!AK25,30&lt;'EDT Y TAREAS'!AL25),'EDT Y TAREAS'!AI25/'EDT Y TAREAS'!M25,0),IF(AND(30&gt;='EDT Y TAREAS'!AK33,30&lt;'EDT Y TAREAS'!AL33),'EDT Y TAREAS'!AI33/'EDT Y TAREAS'!M33,0),IF(AND(30&gt;='EDT Y TAREAS'!AK34,30&lt;'EDT Y TAREAS'!AL34),'EDT Y TAREAS'!AI34/'EDT Y TAREAS'!M34,0),IF(AND(30&gt;='EDT Y TAREAS'!AK36,30&lt;'EDT Y TAREAS'!AL36),'EDT Y TAREAS'!AI36/'EDT Y TAREAS'!M36,0),IF(AND(30&gt;='EDT Y TAREAS'!AK39,30&lt;'EDT Y TAREAS'!AL39),'EDT Y TAREAS'!AI39/'EDT Y TAREAS'!M39,0),IF(AND(30&gt;='EDT Y TAREAS'!AK40,30&lt;'EDT Y TAREAS'!AL40),'EDT Y TAREAS'!AI40/'EDT Y TAREAS'!M40,0),IF(AND(30&gt;='EDT Y TAREAS'!AK42,30&lt;'EDT Y TAREAS'!AL42),'EDT Y TAREAS'!AI42/'EDT Y TAREAS'!M42,0),IF(AND(30&gt;='EDT Y TAREAS'!AK43,30&lt;'EDT Y TAREAS'!AL43),'EDT Y TAREAS'!AI43/'EDT Y TAREAS'!M43,0),IF(AND(30&gt;='EDT Y TAREAS'!AK44,30&lt;'EDT Y TAREAS'!AL44),'EDT Y TAREAS'!AI44/'EDT Y TAREAS'!M44,0),IF(AND(30&gt;='EDT Y TAREAS'!AK45,30&lt;'EDT Y TAREAS'!AL45),'EDT Y TAREAS'!AI45/'EDT Y TAREAS'!M45,0),IF(AND(30&gt;='EDT Y TAREAS'!AK46,30&lt;'EDT Y TAREAS'!AL46),'EDT Y TAREAS'!AI46/'EDT Y TAREAS'!M46,0),IF(AND(30&gt;='EDT Y TAREAS'!AK48,30&lt;'EDT Y TAREAS'!AL48),'EDT Y TAREAS'!AI48/'EDT Y TAREAS'!M48,0),IF(AND(30&gt;='EDT Y TAREAS'!AK50,30&lt;'EDT Y TAREAS'!AL50),'EDT Y TAREAS'!AI50/'EDT Y TAREAS'!M50,0),IF(AND(30&gt;='EDT Y TAREAS'!AK52,30&lt;'EDT Y TAREAS'!AL52),'EDT Y TAREAS'!AI52/'EDT Y TAREAS'!M52,0))</x:f>
        <x:v>0.8</x:v>
      </x:c>
      <x:c r="H70" s="35" t="n">
        <x:f>SUM(IF(AND(30&gt;='EDT Y TAREAS'!AK11,30&lt;'EDT Y TAREAS'!AL11),'EDT Y TAREAS'!AJ11/'EDT Y TAREAS'!M11,0),IF(AND(30&gt;='EDT Y TAREAS'!AK24,30&lt;'EDT Y TAREAS'!AL24),'EDT Y TAREAS'!AJ24/'EDT Y TAREAS'!M24,0),IF(AND(30&gt;='EDT Y TAREAS'!AK27,30&lt;'EDT Y TAREAS'!AL27),'EDT Y TAREAS'!AJ27/'EDT Y TAREAS'!M27,0),IF(AND(30&gt;='EDT Y TAREAS'!AK28,30&lt;'EDT Y TAREAS'!AL28),'EDT Y TAREAS'!AJ28/'EDT Y TAREAS'!M28,0),IF(AND(30&gt;='EDT Y TAREAS'!AK33,30&lt;'EDT Y TAREAS'!AL33),'EDT Y TAREAS'!AJ33/'EDT Y TAREAS'!M33,0),IF(AND(30&gt;='EDT Y TAREAS'!AK35,30&lt;'EDT Y TAREAS'!AL35),'EDT Y TAREAS'!AJ35/'EDT Y TAREAS'!M35,0),IF(AND(30&gt;='EDT Y TAREAS'!AK36,30&lt;'EDT Y TAREAS'!AL36),'EDT Y TAREAS'!AJ36/'EDT Y TAREAS'!M36,0),IF(AND(30&gt;='EDT Y TAREAS'!AK37,30&lt;'EDT Y TAREAS'!AL37),'EDT Y TAREAS'!AJ37/'EDT Y TAREAS'!M37,0),IF(AND(30&gt;='EDT Y TAREAS'!AK40,30&lt;'EDT Y TAREAS'!AL40),'EDT Y TAREAS'!AJ40/'EDT Y TAREAS'!M40,0),IF(AND(30&gt;='EDT Y TAREAS'!AK42,30&lt;'EDT Y TAREAS'!AL42),'EDT Y TAREAS'!AJ42/'EDT Y TAREAS'!M42,0),IF(AND(30&gt;='EDT Y TAREAS'!AK49,30&lt;'EDT Y TAREAS'!AL49),'EDT Y TAREAS'!AJ49/'EDT Y TAREAS'!M49,0),IF(AND(30&gt;='EDT Y TAREAS'!AK50,30&lt;'EDT Y TAREAS'!AL50),'EDT Y TAREAS'!AJ50/'EDT Y TAREAS'!M50,0),IF(AND(30&gt;='EDT Y TAREAS'!AK51,30&lt;'EDT Y TAREAS'!AL51),'EDT Y TAREAS'!AJ51/'EDT Y TAREAS'!M51,0),IF(AND(30&gt;='EDT Y TAREAS'!AK52,30&lt;'EDT Y TAREAS'!AL52),'EDT Y TAREAS'!AJ52/'EDT Y TAREAS'!M52,0))</x:f>
        <x:v>4.4</x:v>
      </x:c>
      <x:c r="I70" s="10" t="n">
        <x:f>WORKDAY('RESUMEN'!$D$3-1,A70,'RESUMEN'!$J$6:$J$25)</x:f>
        <x:v>46370</x:v>
      </x:c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  <x:c r="AJ70" s="3"/>
      <x:c r="AK70" s="3"/>
      <x:c r="AL70" s="3"/>
      <x:c r="AM70" s="3"/>
      <x:c r="AN70" s="3"/>
      <x:c r="AO70" s="3"/>
    </x:row>
    <x:row r="71" ht="24" customHeight="1">
      <x:c r="A71" s="3" t="n">
        <x:v>32</x:v>
      </x:c>
      <x:c r="B71" s="35" t="n">
        <x:f>SUM(IF(AND(31&gt;='EDT Y TAREAS'!AK6,31&lt;'EDT Y TAREAS'!AL6),'EDT Y TAREAS'!AD6/'EDT Y TAREAS'!M6,0),IF(AND(31&gt;='EDT Y TAREAS'!AK7,31&lt;'EDT Y TAREAS'!AL7),'EDT Y TAREAS'!AD7/'EDT Y TAREAS'!M7,0),IF(AND(31&gt;='EDT Y TAREAS'!AK8,31&lt;'EDT Y TAREAS'!AL8),'EDT Y TAREAS'!AD8/'EDT Y TAREAS'!M8,0),IF(AND(31&gt;='EDT Y TAREAS'!AK9,31&lt;'EDT Y TAREAS'!AL9),'EDT Y TAREAS'!AD9/'EDT Y TAREAS'!M9,0),IF(AND(31&gt;='EDT Y TAREAS'!AK10,31&lt;'EDT Y TAREAS'!AL10),'EDT Y TAREAS'!AD10/'EDT Y TAREAS'!M10,0),IF(AND(31&gt;='EDT Y TAREAS'!AK11,31&lt;'EDT Y TAREAS'!AL11),'EDT Y TAREAS'!AD11/'EDT Y TAREAS'!M11,0),IF(AND(31&gt;='EDT Y TAREAS'!AK12,31&lt;'EDT Y TAREAS'!AL12),'EDT Y TAREAS'!AD12/'EDT Y TAREAS'!M12,0),IF(AND(31&gt;='EDT Y TAREAS'!AK13,31&lt;'EDT Y TAREAS'!AL13),'EDT Y TAREAS'!AD13/'EDT Y TAREAS'!M13,0),IF(AND(31&gt;='EDT Y TAREAS'!AK14,31&lt;'EDT Y TAREAS'!AL14),'EDT Y TAREAS'!AD14/'EDT Y TAREAS'!M14,0),IF(AND(31&gt;='EDT Y TAREAS'!AK15,31&lt;'EDT Y TAREAS'!AL15),'EDT Y TAREAS'!AD15/'EDT Y TAREAS'!M15,0),IF(AND(31&gt;='EDT Y TAREAS'!AK16,31&lt;'EDT Y TAREAS'!AL16),'EDT Y TAREAS'!AD16/'EDT Y TAREAS'!M16,0),IF(AND(31&gt;='EDT Y TAREAS'!AK17,31&lt;'EDT Y TAREAS'!AL17),'EDT Y TAREAS'!AD17/'EDT Y TAREAS'!M17,0),IF(AND(31&gt;='EDT Y TAREAS'!AK18,31&lt;'EDT Y TAREAS'!AL18),'EDT Y TAREAS'!AD18/'EDT Y TAREAS'!M18,0),IF(AND(31&gt;='EDT Y TAREAS'!AK19,31&lt;'EDT Y TAREAS'!AL19),'EDT Y TAREAS'!AD19/'EDT Y TAREAS'!M19,0),IF(AND(31&gt;='EDT Y TAREAS'!AK20,31&lt;'EDT Y TAREAS'!AL20),'EDT Y TAREAS'!AD20/'EDT Y TAREAS'!M20,0),IF(AND(31&gt;='EDT Y TAREAS'!AK21,31&lt;'EDT Y TAREAS'!AL21),'EDT Y TAREAS'!AD21/'EDT Y TAREAS'!M21,0),IF(AND(31&gt;='EDT Y TAREAS'!AK22,31&lt;'EDT Y TAREAS'!AL22),'EDT Y TAREAS'!AD22/'EDT Y TAREAS'!M22,0),IF(AND(31&gt;='EDT Y TAREAS'!AK23,31&lt;'EDT Y TAREAS'!AL23),'EDT Y TAREAS'!AD23/'EDT Y TAREAS'!M23,0),IF(AND(31&gt;='EDT Y TAREAS'!AK26,31&lt;'EDT Y TAREAS'!AL26),'EDT Y TAREAS'!AD26/'EDT Y TAREAS'!M26,0),IF(AND(31&gt;='EDT Y TAREAS'!AK28,31&lt;'EDT Y TAREAS'!AL28),'EDT Y TAREAS'!AD28/'EDT Y TAREAS'!M28,0),IF(AND(31&gt;='EDT Y TAREAS'!AK30,31&lt;'EDT Y TAREAS'!AL30),'EDT Y TAREAS'!AD30/'EDT Y TAREAS'!M30,0),IF(AND(31&gt;='EDT Y TAREAS'!AK32,31&lt;'EDT Y TAREAS'!AL32),'EDT Y TAREAS'!AD32/'EDT Y TAREAS'!M32,0),IF(AND(31&gt;='EDT Y TAREAS'!AK34,31&lt;'EDT Y TAREAS'!AL34),'EDT Y TAREAS'!AD34/'EDT Y TAREAS'!M34,0),IF(AND(31&gt;='EDT Y TAREAS'!AK38,31&lt;'EDT Y TAREAS'!AL38),'EDT Y TAREAS'!AD38/'EDT Y TAREAS'!M38,0),IF(AND(31&gt;='EDT Y TAREAS'!AK39,31&lt;'EDT Y TAREAS'!AL39),'EDT Y TAREAS'!AD39/'EDT Y TAREAS'!M39,0),IF(AND(31&gt;='EDT Y TAREAS'!AK43,31&lt;'EDT Y TAREAS'!AL43),'EDT Y TAREAS'!AD43/'EDT Y TAREAS'!M43,0),IF(AND(31&gt;='EDT Y TAREAS'!AK44,31&lt;'EDT Y TAREAS'!AL44),'EDT Y TAREAS'!AD44/'EDT Y TAREAS'!M44,0),IF(AND(31&gt;='EDT Y TAREAS'!AK45,31&lt;'EDT Y TAREAS'!AL45),'EDT Y TAREAS'!AD45/'EDT Y TAREAS'!M45,0),IF(AND(31&gt;='EDT Y TAREAS'!AK46,31&lt;'EDT Y TAREAS'!AL46),'EDT Y TAREAS'!AD46/'EDT Y TAREAS'!M46,0),IF(AND(31&gt;='EDT Y TAREAS'!AK47,31&lt;'EDT Y TAREAS'!AL47),'EDT Y TAREAS'!AD47/'EDT Y TAREAS'!M47,0),IF(AND(31&gt;='EDT Y TAREAS'!AK49,31&lt;'EDT Y TAREAS'!AL49),'EDT Y TAREAS'!AD49/'EDT Y TAREAS'!M49,0),IF(AND(31&gt;='EDT Y TAREAS'!AK50,31&lt;'EDT Y TAREAS'!AL50),'EDT Y TAREAS'!AD50/'EDT Y TAREAS'!M50,0),IF(AND(31&gt;='EDT Y TAREAS'!AK51,31&lt;'EDT Y TAREAS'!AL51),'EDT Y TAREAS'!AD51/'EDT Y TAREAS'!M51,0),IF(AND(31&gt;='EDT Y TAREAS'!AK52,31&lt;'EDT Y TAREAS'!AL52),'EDT Y TAREAS'!AD52/'EDT Y TAREAS'!M52,0))</x:f>
        <x:v>6</x:v>
      </x:c>
      <x:c r="C71" s="35" t="n">
        <x:f>SUM(IF(AND(31&gt;='EDT Y TAREAS'!AK6,31&lt;'EDT Y TAREAS'!AL6),'EDT Y TAREAS'!AE6/'EDT Y TAREAS'!M6,0),IF(AND(31&gt;='EDT Y TAREAS'!AK8,31&lt;'EDT Y TAREAS'!AL8),'EDT Y TAREAS'!AE8/'EDT Y TAREAS'!M8,0),IF(AND(31&gt;='EDT Y TAREAS'!AK9,31&lt;'EDT Y TAREAS'!AL9),'EDT Y TAREAS'!AE9/'EDT Y TAREAS'!M9,0),IF(AND(31&gt;='EDT Y TAREAS'!AK10,31&lt;'EDT Y TAREAS'!AL10),'EDT Y TAREAS'!AE10/'EDT Y TAREAS'!M10,0),IF(AND(31&gt;='EDT Y TAREAS'!AK12,31&lt;'EDT Y TAREAS'!AL12),'EDT Y TAREAS'!AE12/'EDT Y TAREAS'!M12,0),IF(AND(31&gt;='EDT Y TAREAS'!AK16,31&lt;'EDT Y TAREAS'!AL16),'EDT Y TAREAS'!AE16/'EDT Y TAREAS'!M16,0),IF(AND(31&gt;='EDT Y TAREAS'!AK21,31&lt;'EDT Y TAREAS'!AL21),'EDT Y TAREAS'!AE21/'EDT Y TAREAS'!M21,0),IF(AND(31&gt;='EDT Y TAREAS'!AK23,31&lt;'EDT Y TAREAS'!AL23),'EDT Y TAREAS'!AE23/'EDT Y TAREAS'!M23,0),IF(AND(31&gt;='EDT Y TAREAS'!AK37,31&lt;'EDT Y TAREAS'!AL37),'EDT Y TAREAS'!AE37/'EDT Y TAREAS'!M37,0),IF(AND(31&gt;='EDT Y TAREAS'!AK38,31&lt;'EDT Y TAREAS'!AL38),'EDT Y TAREAS'!AE38/'EDT Y TAREAS'!M38,0),IF(AND(31&gt;='EDT Y TAREAS'!AK41,31&lt;'EDT Y TAREAS'!AL41),'EDT Y TAREAS'!AE41/'EDT Y TAREAS'!M41,0),IF(AND(31&gt;='EDT Y TAREAS'!AK43,31&lt;'EDT Y TAREAS'!AL43),'EDT Y TAREAS'!AE43/'EDT Y TAREAS'!M43,0),IF(AND(31&gt;='EDT Y TAREAS'!AK44,31&lt;'EDT Y TAREAS'!AL44),'EDT Y TAREAS'!AE44/'EDT Y TAREAS'!M44,0),IF(AND(31&gt;='EDT Y TAREAS'!AK46,31&lt;'EDT Y TAREAS'!AL46),'EDT Y TAREAS'!AE46/'EDT Y TAREAS'!M46,0),IF(AND(31&gt;='EDT Y TAREAS'!AK47,31&lt;'EDT Y TAREAS'!AL47),'EDT Y TAREAS'!AE47/'EDT Y TAREAS'!M47,0),IF(AND(31&gt;='EDT Y TAREAS'!AK51,31&lt;'EDT Y TAREAS'!AL51),'EDT Y TAREAS'!AE51/'EDT Y TAREAS'!M51,0),IF(AND(31&gt;='EDT Y TAREAS'!AK52,31&lt;'EDT Y TAREAS'!AL52),'EDT Y TAREAS'!AE52/'EDT Y TAREAS'!M52,0))</x:f>
        <x:v>2</x:v>
      </x:c>
      <x:c r="D71" s="35" t="n">
        <x:f>SUM(IF(AND(31&gt;='EDT Y TAREAS'!AK11,31&lt;'EDT Y TAREAS'!AL11),'EDT Y TAREAS'!AF11/'EDT Y TAREAS'!M11,0),IF(AND(31&gt;='EDT Y TAREAS'!AK24,31&lt;'EDT Y TAREAS'!AL24),'EDT Y TAREAS'!AF24/'EDT Y TAREAS'!M24,0),IF(AND(31&gt;='EDT Y TAREAS'!AK25,31&lt;'EDT Y TAREAS'!AL25),'EDT Y TAREAS'!AF25/'EDT Y TAREAS'!M25,0),IF(AND(31&gt;='EDT Y TAREAS'!AK26,31&lt;'EDT Y TAREAS'!AL26),'EDT Y TAREAS'!AF26/'EDT Y TAREAS'!M26,0),IF(AND(31&gt;='EDT Y TAREAS'!AK27,31&lt;'EDT Y TAREAS'!AL27),'EDT Y TAREAS'!AF27/'EDT Y TAREAS'!M27,0),IF(AND(31&gt;='EDT Y TAREAS'!AK28,31&lt;'EDT Y TAREAS'!AL28),'EDT Y TAREAS'!AF28/'EDT Y TAREAS'!M28,0),IF(AND(31&gt;='EDT Y TAREAS'!AK31,31&lt;'EDT Y TAREAS'!AL31),'EDT Y TAREAS'!AF31/'EDT Y TAREAS'!M31,0),IF(AND(31&gt;='EDT Y TAREAS'!AK33,31&lt;'EDT Y TAREAS'!AL33),'EDT Y TAREAS'!AF33/'EDT Y TAREAS'!M33,0),IF(AND(31&gt;='EDT Y TAREAS'!AK34,31&lt;'EDT Y TAREAS'!AL34),'EDT Y TAREAS'!AF34/'EDT Y TAREAS'!M34,0),IF(AND(31&gt;='EDT Y TAREAS'!AK35,31&lt;'EDT Y TAREAS'!AL35),'EDT Y TAREAS'!AF35/'EDT Y TAREAS'!M35,0),IF(AND(31&gt;='EDT Y TAREAS'!AK37,31&lt;'EDT Y TAREAS'!AL37),'EDT Y TAREAS'!AF37/'EDT Y TAREAS'!M37,0),IF(AND(31&gt;='EDT Y TAREAS'!AK39,31&lt;'EDT Y TAREAS'!AL39),'EDT Y TAREAS'!AF39/'EDT Y TAREAS'!M39,0),IF(AND(31&gt;='EDT Y TAREAS'!AK40,31&lt;'EDT Y TAREAS'!AL40),'EDT Y TAREAS'!AF40/'EDT Y TAREAS'!M40,0),IF(AND(31&gt;='EDT Y TAREAS'!AK42,31&lt;'EDT Y TAREAS'!AL42),'EDT Y TAREAS'!AF42/'EDT Y TAREAS'!M42,0),IF(AND(31&gt;='EDT Y TAREAS'!AK45,31&lt;'EDT Y TAREAS'!AL45),'EDT Y TAREAS'!AF45/'EDT Y TAREAS'!M45,0),IF(AND(31&gt;='EDT Y TAREAS'!AK49,31&lt;'EDT Y TAREAS'!AL49),'EDT Y TAREAS'!AF49/'EDT Y TAREAS'!M49,0),IF(AND(31&gt;='EDT Y TAREAS'!AK52,31&lt;'EDT Y TAREAS'!AL52),'EDT Y TAREAS'!AF52/'EDT Y TAREAS'!M52,0))</x:f>
        <x:v>7.6</x:v>
      </x:c>
      <x:c r="E71" s="35" t="n">
        <x:f>SUM(IF(AND(31&gt;='EDT Y TAREAS'!AK29,31&lt;'EDT Y TAREAS'!AL29),'EDT Y TAREAS'!AG29/'EDT Y TAREAS'!M29,0),IF(AND(31&gt;='EDT Y TAREAS'!AK30,31&lt;'EDT Y TAREAS'!AL30),'EDT Y TAREAS'!AG30/'EDT Y TAREAS'!M30,0),IF(AND(31&gt;='EDT Y TAREAS'!AK31,31&lt;'EDT Y TAREAS'!AL31),'EDT Y TAREAS'!AG31/'EDT Y TAREAS'!M31,0),IF(AND(31&gt;='EDT Y TAREAS'!AK32,31&lt;'EDT Y TAREAS'!AL32),'EDT Y TAREAS'!AG32/'EDT Y TAREAS'!M32,0),IF(AND(31&gt;='EDT Y TAREAS'!AK41,31&lt;'EDT Y TAREAS'!AL41),'EDT Y TAREAS'!AG41/'EDT Y TAREAS'!M41,0),IF(AND(31&gt;='EDT Y TAREAS'!AK45,31&lt;'EDT Y TAREAS'!AL45),'EDT Y TAREAS'!AG45/'EDT Y TAREAS'!M45,0),IF(AND(31&gt;='EDT Y TAREAS'!AK48,31&lt;'EDT Y TAREAS'!AL48),'EDT Y TAREAS'!AG48/'EDT Y TAREAS'!M48,0))</x:f>
        <x:v>0</x:v>
      </x:c>
      <x:c r="F71" s="35" t="n">
        <x:f>SUM(IF(AND(31&gt;='EDT Y TAREAS'!AK10,31&lt;'EDT Y TAREAS'!AL10),'EDT Y TAREAS'!AH10/'EDT Y TAREAS'!M10,0),IF(AND(31&gt;='EDT Y TAREAS'!AK12,31&lt;'EDT Y TAREAS'!AL12),'EDT Y TAREAS'!AH12/'EDT Y TAREAS'!M12,0),IF(AND(31&gt;='EDT Y TAREAS'!AK22,31&lt;'EDT Y TAREAS'!AL22),'EDT Y TAREAS'!AH22/'EDT Y TAREAS'!M22,0),IF(AND(31&gt;='EDT Y TAREAS'!AK23,31&lt;'EDT Y TAREAS'!AL23),'EDT Y TAREAS'!AH23/'EDT Y TAREAS'!M23,0),IF(AND(31&gt;='EDT Y TAREAS'!AK29,31&lt;'EDT Y TAREAS'!AL29),'EDT Y TAREAS'!AH29/'EDT Y TAREAS'!M29,0),IF(AND(31&gt;='EDT Y TAREAS'!AK30,31&lt;'EDT Y TAREAS'!AL30),'EDT Y TAREAS'!AH30/'EDT Y TAREAS'!M30,0),IF(AND(31&gt;='EDT Y TAREAS'!AK32,31&lt;'EDT Y TAREAS'!AL32),'EDT Y TAREAS'!AH32/'EDT Y TAREAS'!M32,0),IF(AND(31&gt;='EDT Y TAREAS'!AK41,31&lt;'EDT Y TAREAS'!AL41),'EDT Y TAREAS'!AH41/'EDT Y TAREAS'!M41,0),IF(AND(31&gt;='EDT Y TAREAS'!AK44,31&lt;'EDT Y TAREAS'!AL44),'EDT Y TAREAS'!AH44/'EDT Y TAREAS'!M44,0),IF(AND(31&gt;='EDT Y TAREAS'!AK46,31&lt;'EDT Y TAREAS'!AL46),'EDT Y TAREAS'!AH46/'EDT Y TAREAS'!M46,0),IF(AND(31&gt;='EDT Y TAREAS'!AK48,31&lt;'EDT Y TAREAS'!AL48),'EDT Y TAREAS'!AH48/'EDT Y TAREAS'!M48,0))</x:f>
        <x:v>3.2</x:v>
      </x:c>
      <x:c r="G71" s="35" t="n">
        <x:f>SUM(IF(AND(31&gt;='EDT Y TAREAS'!AK20,31&lt;'EDT Y TAREAS'!AL20),'EDT Y TAREAS'!AI20/'EDT Y TAREAS'!M20,0),IF(AND(31&gt;='EDT Y TAREAS'!AK25,31&lt;'EDT Y TAREAS'!AL25),'EDT Y TAREAS'!AI25/'EDT Y TAREAS'!M25,0),IF(AND(31&gt;='EDT Y TAREAS'!AK33,31&lt;'EDT Y TAREAS'!AL33),'EDT Y TAREAS'!AI33/'EDT Y TAREAS'!M33,0),IF(AND(31&gt;='EDT Y TAREAS'!AK34,31&lt;'EDT Y TAREAS'!AL34),'EDT Y TAREAS'!AI34/'EDT Y TAREAS'!M34,0),IF(AND(31&gt;='EDT Y TAREAS'!AK36,31&lt;'EDT Y TAREAS'!AL36),'EDT Y TAREAS'!AI36/'EDT Y TAREAS'!M36,0),IF(AND(31&gt;='EDT Y TAREAS'!AK39,31&lt;'EDT Y TAREAS'!AL39),'EDT Y TAREAS'!AI39/'EDT Y TAREAS'!M39,0),IF(AND(31&gt;='EDT Y TAREAS'!AK40,31&lt;'EDT Y TAREAS'!AL40),'EDT Y TAREAS'!AI40/'EDT Y TAREAS'!M40,0),IF(AND(31&gt;='EDT Y TAREAS'!AK42,31&lt;'EDT Y TAREAS'!AL42),'EDT Y TAREAS'!AI42/'EDT Y TAREAS'!M42,0),IF(AND(31&gt;='EDT Y TAREAS'!AK43,31&lt;'EDT Y TAREAS'!AL43),'EDT Y TAREAS'!AI43/'EDT Y TAREAS'!M43,0),IF(AND(31&gt;='EDT Y TAREAS'!AK44,31&lt;'EDT Y TAREAS'!AL44),'EDT Y TAREAS'!AI44/'EDT Y TAREAS'!M44,0),IF(AND(31&gt;='EDT Y TAREAS'!AK45,31&lt;'EDT Y TAREAS'!AL45),'EDT Y TAREAS'!AI45/'EDT Y TAREAS'!M45,0),IF(AND(31&gt;='EDT Y TAREAS'!AK46,31&lt;'EDT Y TAREAS'!AL46),'EDT Y TAREAS'!AI46/'EDT Y TAREAS'!M46,0),IF(AND(31&gt;='EDT Y TAREAS'!AK48,31&lt;'EDT Y TAREAS'!AL48),'EDT Y TAREAS'!AI48/'EDT Y TAREAS'!M48,0),IF(AND(31&gt;='EDT Y TAREAS'!AK50,31&lt;'EDT Y TAREAS'!AL50),'EDT Y TAREAS'!AI50/'EDT Y TAREAS'!M50,0),IF(AND(31&gt;='EDT Y TAREAS'!AK52,31&lt;'EDT Y TAREAS'!AL52),'EDT Y TAREAS'!AI52/'EDT Y TAREAS'!M52,0))</x:f>
        <x:v>0.8</x:v>
      </x:c>
      <x:c r="H71" s="35" t="n">
        <x:f>SUM(IF(AND(31&gt;='EDT Y TAREAS'!AK11,31&lt;'EDT Y TAREAS'!AL11),'EDT Y TAREAS'!AJ11/'EDT Y TAREAS'!M11,0),IF(AND(31&gt;='EDT Y TAREAS'!AK24,31&lt;'EDT Y TAREAS'!AL24),'EDT Y TAREAS'!AJ24/'EDT Y TAREAS'!M24,0),IF(AND(31&gt;='EDT Y TAREAS'!AK27,31&lt;'EDT Y TAREAS'!AL27),'EDT Y TAREAS'!AJ27/'EDT Y TAREAS'!M27,0),IF(AND(31&gt;='EDT Y TAREAS'!AK28,31&lt;'EDT Y TAREAS'!AL28),'EDT Y TAREAS'!AJ28/'EDT Y TAREAS'!M28,0),IF(AND(31&gt;='EDT Y TAREAS'!AK33,31&lt;'EDT Y TAREAS'!AL33),'EDT Y TAREAS'!AJ33/'EDT Y TAREAS'!M33,0),IF(AND(31&gt;='EDT Y TAREAS'!AK35,31&lt;'EDT Y TAREAS'!AL35),'EDT Y TAREAS'!AJ35/'EDT Y TAREAS'!M35,0),IF(AND(31&gt;='EDT Y TAREAS'!AK36,31&lt;'EDT Y TAREAS'!AL36),'EDT Y TAREAS'!AJ36/'EDT Y TAREAS'!M36,0),IF(AND(31&gt;='EDT Y TAREAS'!AK37,31&lt;'EDT Y TAREAS'!AL37),'EDT Y TAREAS'!AJ37/'EDT Y TAREAS'!M37,0),IF(AND(31&gt;='EDT Y TAREAS'!AK40,31&lt;'EDT Y TAREAS'!AL40),'EDT Y TAREAS'!AJ40/'EDT Y TAREAS'!M40,0),IF(AND(31&gt;='EDT Y TAREAS'!AK42,31&lt;'EDT Y TAREAS'!AL42),'EDT Y TAREAS'!AJ42/'EDT Y TAREAS'!M42,0),IF(AND(31&gt;='EDT Y TAREAS'!AK49,31&lt;'EDT Y TAREAS'!AL49),'EDT Y TAREAS'!AJ49/'EDT Y TAREAS'!M49,0),IF(AND(31&gt;='EDT Y TAREAS'!AK50,31&lt;'EDT Y TAREAS'!AL50),'EDT Y TAREAS'!AJ50/'EDT Y TAREAS'!M50,0),IF(AND(31&gt;='EDT Y TAREAS'!AK51,31&lt;'EDT Y TAREAS'!AL51),'EDT Y TAREAS'!AJ51/'EDT Y TAREAS'!M51,0),IF(AND(31&gt;='EDT Y TAREAS'!AK52,31&lt;'EDT Y TAREAS'!AL52),'EDT Y TAREAS'!AJ52/'EDT Y TAREAS'!M52,0))</x:f>
        <x:v>4.4</x:v>
      </x:c>
      <x:c r="I71" s="10" t="n">
        <x:f>WORKDAY('RESUMEN'!$D$3-1,A71,'RESUMEN'!$J$6:$J$25)</x:f>
        <x:v>46371</x:v>
      </x:c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  <x:c r="AJ71" s="3"/>
      <x:c r="AK71" s="3"/>
      <x:c r="AL71" s="3"/>
      <x:c r="AM71" s="3"/>
      <x:c r="AN71" s="3"/>
      <x:c r="AO71" s="3"/>
    </x:row>
    <x:row r="72" ht="24" customHeight="1">
      <x:c r="A72" s="3" t="n">
        <x:v>33</x:v>
      </x:c>
      <x:c r="B72" s="35" t="n">
        <x:f>SUM(IF(AND(32&gt;='EDT Y TAREAS'!AK6,32&lt;'EDT Y TAREAS'!AL6),'EDT Y TAREAS'!AD6/'EDT Y TAREAS'!M6,0),IF(AND(32&gt;='EDT Y TAREAS'!AK7,32&lt;'EDT Y TAREAS'!AL7),'EDT Y TAREAS'!AD7/'EDT Y TAREAS'!M7,0),IF(AND(32&gt;='EDT Y TAREAS'!AK8,32&lt;'EDT Y TAREAS'!AL8),'EDT Y TAREAS'!AD8/'EDT Y TAREAS'!M8,0),IF(AND(32&gt;='EDT Y TAREAS'!AK9,32&lt;'EDT Y TAREAS'!AL9),'EDT Y TAREAS'!AD9/'EDT Y TAREAS'!M9,0),IF(AND(32&gt;='EDT Y TAREAS'!AK10,32&lt;'EDT Y TAREAS'!AL10),'EDT Y TAREAS'!AD10/'EDT Y TAREAS'!M10,0),IF(AND(32&gt;='EDT Y TAREAS'!AK11,32&lt;'EDT Y TAREAS'!AL11),'EDT Y TAREAS'!AD11/'EDT Y TAREAS'!M11,0),IF(AND(32&gt;='EDT Y TAREAS'!AK12,32&lt;'EDT Y TAREAS'!AL12),'EDT Y TAREAS'!AD12/'EDT Y TAREAS'!M12,0),IF(AND(32&gt;='EDT Y TAREAS'!AK13,32&lt;'EDT Y TAREAS'!AL13),'EDT Y TAREAS'!AD13/'EDT Y TAREAS'!M13,0),IF(AND(32&gt;='EDT Y TAREAS'!AK14,32&lt;'EDT Y TAREAS'!AL14),'EDT Y TAREAS'!AD14/'EDT Y TAREAS'!M14,0),IF(AND(32&gt;='EDT Y TAREAS'!AK15,32&lt;'EDT Y TAREAS'!AL15),'EDT Y TAREAS'!AD15/'EDT Y TAREAS'!M15,0),IF(AND(32&gt;='EDT Y TAREAS'!AK16,32&lt;'EDT Y TAREAS'!AL16),'EDT Y TAREAS'!AD16/'EDT Y TAREAS'!M16,0),IF(AND(32&gt;='EDT Y TAREAS'!AK17,32&lt;'EDT Y TAREAS'!AL17),'EDT Y TAREAS'!AD17/'EDT Y TAREAS'!M17,0),IF(AND(32&gt;='EDT Y TAREAS'!AK18,32&lt;'EDT Y TAREAS'!AL18),'EDT Y TAREAS'!AD18/'EDT Y TAREAS'!M18,0),IF(AND(32&gt;='EDT Y TAREAS'!AK19,32&lt;'EDT Y TAREAS'!AL19),'EDT Y TAREAS'!AD19/'EDT Y TAREAS'!M19,0),IF(AND(32&gt;='EDT Y TAREAS'!AK20,32&lt;'EDT Y TAREAS'!AL20),'EDT Y TAREAS'!AD20/'EDT Y TAREAS'!M20,0),IF(AND(32&gt;='EDT Y TAREAS'!AK21,32&lt;'EDT Y TAREAS'!AL21),'EDT Y TAREAS'!AD21/'EDT Y TAREAS'!M21,0),IF(AND(32&gt;='EDT Y TAREAS'!AK22,32&lt;'EDT Y TAREAS'!AL22),'EDT Y TAREAS'!AD22/'EDT Y TAREAS'!M22,0),IF(AND(32&gt;='EDT Y TAREAS'!AK23,32&lt;'EDT Y TAREAS'!AL23),'EDT Y TAREAS'!AD23/'EDT Y TAREAS'!M23,0),IF(AND(32&gt;='EDT Y TAREAS'!AK26,32&lt;'EDT Y TAREAS'!AL26),'EDT Y TAREAS'!AD26/'EDT Y TAREAS'!M26,0),IF(AND(32&gt;='EDT Y TAREAS'!AK28,32&lt;'EDT Y TAREAS'!AL28),'EDT Y TAREAS'!AD28/'EDT Y TAREAS'!M28,0),IF(AND(32&gt;='EDT Y TAREAS'!AK30,32&lt;'EDT Y TAREAS'!AL30),'EDT Y TAREAS'!AD30/'EDT Y TAREAS'!M30,0),IF(AND(32&gt;='EDT Y TAREAS'!AK32,32&lt;'EDT Y TAREAS'!AL32),'EDT Y TAREAS'!AD32/'EDT Y TAREAS'!M32,0),IF(AND(32&gt;='EDT Y TAREAS'!AK34,32&lt;'EDT Y TAREAS'!AL34),'EDT Y TAREAS'!AD34/'EDT Y TAREAS'!M34,0),IF(AND(32&gt;='EDT Y TAREAS'!AK38,32&lt;'EDT Y TAREAS'!AL38),'EDT Y TAREAS'!AD38/'EDT Y TAREAS'!M38,0),IF(AND(32&gt;='EDT Y TAREAS'!AK39,32&lt;'EDT Y TAREAS'!AL39),'EDT Y TAREAS'!AD39/'EDT Y TAREAS'!M39,0),IF(AND(32&gt;='EDT Y TAREAS'!AK43,32&lt;'EDT Y TAREAS'!AL43),'EDT Y TAREAS'!AD43/'EDT Y TAREAS'!M43,0),IF(AND(32&gt;='EDT Y TAREAS'!AK44,32&lt;'EDT Y TAREAS'!AL44),'EDT Y TAREAS'!AD44/'EDT Y TAREAS'!M44,0),IF(AND(32&gt;='EDT Y TAREAS'!AK45,32&lt;'EDT Y TAREAS'!AL45),'EDT Y TAREAS'!AD45/'EDT Y TAREAS'!M45,0),IF(AND(32&gt;='EDT Y TAREAS'!AK46,32&lt;'EDT Y TAREAS'!AL46),'EDT Y TAREAS'!AD46/'EDT Y TAREAS'!M46,0),IF(AND(32&gt;='EDT Y TAREAS'!AK47,32&lt;'EDT Y TAREAS'!AL47),'EDT Y TAREAS'!AD47/'EDT Y TAREAS'!M47,0),IF(AND(32&gt;='EDT Y TAREAS'!AK49,32&lt;'EDT Y TAREAS'!AL49),'EDT Y TAREAS'!AD49/'EDT Y TAREAS'!M49,0),IF(AND(32&gt;='EDT Y TAREAS'!AK50,32&lt;'EDT Y TAREAS'!AL50),'EDT Y TAREAS'!AD50/'EDT Y TAREAS'!M50,0),IF(AND(32&gt;='EDT Y TAREAS'!AK51,32&lt;'EDT Y TAREAS'!AL51),'EDT Y TAREAS'!AD51/'EDT Y TAREAS'!M51,0),IF(AND(32&gt;='EDT Y TAREAS'!AK52,32&lt;'EDT Y TAREAS'!AL52),'EDT Y TAREAS'!AD52/'EDT Y TAREAS'!M52,0))</x:f>
        <x:v>6</x:v>
      </x:c>
      <x:c r="C72" s="35" t="n">
        <x:f>SUM(IF(AND(32&gt;='EDT Y TAREAS'!AK6,32&lt;'EDT Y TAREAS'!AL6),'EDT Y TAREAS'!AE6/'EDT Y TAREAS'!M6,0),IF(AND(32&gt;='EDT Y TAREAS'!AK8,32&lt;'EDT Y TAREAS'!AL8),'EDT Y TAREAS'!AE8/'EDT Y TAREAS'!M8,0),IF(AND(32&gt;='EDT Y TAREAS'!AK9,32&lt;'EDT Y TAREAS'!AL9),'EDT Y TAREAS'!AE9/'EDT Y TAREAS'!M9,0),IF(AND(32&gt;='EDT Y TAREAS'!AK10,32&lt;'EDT Y TAREAS'!AL10),'EDT Y TAREAS'!AE10/'EDT Y TAREAS'!M10,0),IF(AND(32&gt;='EDT Y TAREAS'!AK12,32&lt;'EDT Y TAREAS'!AL12),'EDT Y TAREAS'!AE12/'EDT Y TAREAS'!M12,0),IF(AND(32&gt;='EDT Y TAREAS'!AK16,32&lt;'EDT Y TAREAS'!AL16),'EDT Y TAREAS'!AE16/'EDT Y TAREAS'!M16,0),IF(AND(32&gt;='EDT Y TAREAS'!AK21,32&lt;'EDT Y TAREAS'!AL21),'EDT Y TAREAS'!AE21/'EDT Y TAREAS'!M21,0),IF(AND(32&gt;='EDT Y TAREAS'!AK23,32&lt;'EDT Y TAREAS'!AL23),'EDT Y TAREAS'!AE23/'EDT Y TAREAS'!M23,0),IF(AND(32&gt;='EDT Y TAREAS'!AK37,32&lt;'EDT Y TAREAS'!AL37),'EDT Y TAREAS'!AE37/'EDT Y TAREAS'!M37,0),IF(AND(32&gt;='EDT Y TAREAS'!AK38,32&lt;'EDT Y TAREAS'!AL38),'EDT Y TAREAS'!AE38/'EDT Y TAREAS'!M38,0),IF(AND(32&gt;='EDT Y TAREAS'!AK41,32&lt;'EDT Y TAREAS'!AL41),'EDT Y TAREAS'!AE41/'EDT Y TAREAS'!M41,0),IF(AND(32&gt;='EDT Y TAREAS'!AK43,32&lt;'EDT Y TAREAS'!AL43),'EDT Y TAREAS'!AE43/'EDT Y TAREAS'!M43,0),IF(AND(32&gt;='EDT Y TAREAS'!AK44,32&lt;'EDT Y TAREAS'!AL44),'EDT Y TAREAS'!AE44/'EDT Y TAREAS'!M44,0),IF(AND(32&gt;='EDT Y TAREAS'!AK46,32&lt;'EDT Y TAREAS'!AL46),'EDT Y TAREAS'!AE46/'EDT Y TAREAS'!M46,0),IF(AND(32&gt;='EDT Y TAREAS'!AK47,32&lt;'EDT Y TAREAS'!AL47),'EDT Y TAREAS'!AE47/'EDT Y TAREAS'!M47,0),IF(AND(32&gt;='EDT Y TAREAS'!AK51,32&lt;'EDT Y TAREAS'!AL51),'EDT Y TAREAS'!AE51/'EDT Y TAREAS'!M51,0),IF(AND(32&gt;='EDT Y TAREAS'!AK52,32&lt;'EDT Y TAREAS'!AL52),'EDT Y TAREAS'!AE52/'EDT Y TAREAS'!M52,0))</x:f>
        <x:v>2</x:v>
      </x:c>
      <x:c r="D72" s="35" t="n">
        <x:f>SUM(IF(AND(32&gt;='EDT Y TAREAS'!AK11,32&lt;'EDT Y TAREAS'!AL11),'EDT Y TAREAS'!AF11/'EDT Y TAREAS'!M11,0),IF(AND(32&gt;='EDT Y TAREAS'!AK24,32&lt;'EDT Y TAREAS'!AL24),'EDT Y TAREAS'!AF24/'EDT Y TAREAS'!M24,0),IF(AND(32&gt;='EDT Y TAREAS'!AK25,32&lt;'EDT Y TAREAS'!AL25),'EDT Y TAREAS'!AF25/'EDT Y TAREAS'!M25,0),IF(AND(32&gt;='EDT Y TAREAS'!AK26,32&lt;'EDT Y TAREAS'!AL26),'EDT Y TAREAS'!AF26/'EDT Y TAREAS'!M26,0),IF(AND(32&gt;='EDT Y TAREAS'!AK27,32&lt;'EDT Y TAREAS'!AL27),'EDT Y TAREAS'!AF27/'EDT Y TAREAS'!M27,0),IF(AND(32&gt;='EDT Y TAREAS'!AK28,32&lt;'EDT Y TAREAS'!AL28),'EDT Y TAREAS'!AF28/'EDT Y TAREAS'!M28,0),IF(AND(32&gt;='EDT Y TAREAS'!AK31,32&lt;'EDT Y TAREAS'!AL31),'EDT Y TAREAS'!AF31/'EDT Y TAREAS'!M31,0),IF(AND(32&gt;='EDT Y TAREAS'!AK33,32&lt;'EDT Y TAREAS'!AL33),'EDT Y TAREAS'!AF33/'EDT Y TAREAS'!M33,0),IF(AND(32&gt;='EDT Y TAREAS'!AK34,32&lt;'EDT Y TAREAS'!AL34),'EDT Y TAREAS'!AF34/'EDT Y TAREAS'!M34,0),IF(AND(32&gt;='EDT Y TAREAS'!AK35,32&lt;'EDT Y TAREAS'!AL35),'EDT Y TAREAS'!AF35/'EDT Y TAREAS'!M35,0),IF(AND(32&gt;='EDT Y TAREAS'!AK37,32&lt;'EDT Y TAREAS'!AL37),'EDT Y TAREAS'!AF37/'EDT Y TAREAS'!M37,0),IF(AND(32&gt;='EDT Y TAREAS'!AK39,32&lt;'EDT Y TAREAS'!AL39),'EDT Y TAREAS'!AF39/'EDT Y TAREAS'!M39,0),IF(AND(32&gt;='EDT Y TAREAS'!AK40,32&lt;'EDT Y TAREAS'!AL40),'EDT Y TAREAS'!AF40/'EDT Y TAREAS'!M40,0),IF(AND(32&gt;='EDT Y TAREAS'!AK42,32&lt;'EDT Y TAREAS'!AL42),'EDT Y TAREAS'!AF42/'EDT Y TAREAS'!M42,0),IF(AND(32&gt;='EDT Y TAREAS'!AK45,32&lt;'EDT Y TAREAS'!AL45),'EDT Y TAREAS'!AF45/'EDT Y TAREAS'!M45,0),IF(AND(32&gt;='EDT Y TAREAS'!AK49,32&lt;'EDT Y TAREAS'!AL49),'EDT Y TAREAS'!AF49/'EDT Y TAREAS'!M49,0),IF(AND(32&gt;='EDT Y TAREAS'!AK52,32&lt;'EDT Y TAREAS'!AL52),'EDT Y TAREAS'!AF52/'EDT Y TAREAS'!M52,0))</x:f>
        <x:v>7.6</x:v>
      </x:c>
      <x:c r="E72" s="35" t="n">
        <x:f>SUM(IF(AND(32&gt;='EDT Y TAREAS'!AK29,32&lt;'EDT Y TAREAS'!AL29),'EDT Y TAREAS'!AG29/'EDT Y TAREAS'!M29,0),IF(AND(32&gt;='EDT Y TAREAS'!AK30,32&lt;'EDT Y TAREAS'!AL30),'EDT Y TAREAS'!AG30/'EDT Y TAREAS'!M30,0),IF(AND(32&gt;='EDT Y TAREAS'!AK31,32&lt;'EDT Y TAREAS'!AL31),'EDT Y TAREAS'!AG31/'EDT Y TAREAS'!M31,0),IF(AND(32&gt;='EDT Y TAREAS'!AK32,32&lt;'EDT Y TAREAS'!AL32),'EDT Y TAREAS'!AG32/'EDT Y TAREAS'!M32,0),IF(AND(32&gt;='EDT Y TAREAS'!AK41,32&lt;'EDT Y TAREAS'!AL41),'EDT Y TAREAS'!AG41/'EDT Y TAREAS'!M41,0),IF(AND(32&gt;='EDT Y TAREAS'!AK45,32&lt;'EDT Y TAREAS'!AL45),'EDT Y TAREAS'!AG45/'EDT Y TAREAS'!M45,0),IF(AND(32&gt;='EDT Y TAREAS'!AK48,32&lt;'EDT Y TAREAS'!AL48),'EDT Y TAREAS'!AG48/'EDT Y TAREAS'!M48,0))</x:f>
        <x:v>0</x:v>
      </x:c>
      <x:c r="F72" s="35" t="n">
        <x:f>SUM(IF(AND(32&gt;='EDT Y TAREAS'!AK10,32&lt;'EDT Y TAREAS'!AL10),'EDT Y TAREAS'!AH10/'EDT Y TAREAS'!M10,0),IF(AND(32&gt;='EDT Y TAREAS'!AK12,32&lt;'EDT Y TAREAS'!AL12),'EDT Y TAREAS'!AH12/'EDT Y TAREAS'!M12,0),IF(AND(32&gt;='EDT Y TAREAS'!AK22,32&lt;'EDT Y TAREAS'!AL22),'EDT Y TAREAS'!AH22/'EDT Y TAREAS'!M22,0),IF(AND(32&gt;='EDT Y TAREAS'!AK23,32&lt;'EDT Y TAREAS'!AL23),'EDT Y TAREAS'!AH23/'EDT Y TAREAS'!M23,0),IF(AND(32&gt;='EDT Y TAREAS'!AK29,32&lt;'EDT Y TAREAS'!AL29),'EDT Y TAREAS'!AH29/'EDT Y TAREAS'!M29,0),IF(AND(32&gt;='EDT Y TAREAS'!AK30,32&lt;'EDT Y TAREAS'!AL30),'EDT Y TAREAS'!AH30/'EDT Y TAREAS'!M30,0),IF(AND(32&gt;='EDT Y TAREAS'!AK32,32&lt;'EDT Y TAREAS'!AL32),'EDT Y TAREAS'!AH32/'EDT Y TAREAS'!M32,0),IF(AND(32&gt;='EDT Y TAREAS'!AK41,32&lt;'EDT Y TAREAS'!AL41),'EDT Y TAREAS'!AH41/'EDT Y TAREAS'!M41,0),IF(AND(32&gt;='EDT Y TAREAS'!AK44,32&lt;'EDT Y TAREAS'!AL44),'EDT Y TAREAS'!AH44/'EDT Y TAREAS'!M44,0),IF(AND(32&gt;='EDT Y TAREAS'!AK46,32&lt;'EDT Y TAREAS'!AL46),'EDT Y TAREAS'!AH46/'EDT Y TAREAS'!M46,0),IF(AND(32&gt;='EDT Y TAREAS'!AK48,32&lt;'EDT Y TAREAS'!AL48),'EDT Y TAREAS'!AH48/'EDT Y TAREAS'!M48,0))</x:f>
        <x:v>3.2</x:v>
      </x:c>
      <x:c r="G72" s="35" t="n">
        <x:f>SUM(IF(AND(32&gt;='EDT Y TAREAS'!AK20,32&lt;'EDT Y TAREAS'!AL20),'EDT Y TAREAS'!AI20/'EDT Y TAREAS'!M20,0),IF(AND(32&gt;='EDT Y TAREAS'!AK25,32&lt;'EDT Y TAREAS'!AL25),'EDT Y TAREAS'!AI25/'EDT Y TAREAS'!M25,0),IF(AND(32&gt;='EDT Y TAREAS'!AK33,32&lt;'EDT Y TAREAS'!AL33),'EDT Y TAREAS'!AI33/'EDT Y TAREAS'!M33,0),IF(AND(32&gt;='EDT Y TAREAS'!AK34,32&lt;'EDT Y TAREAS'!AL34),'EDT Y TAREAS'!AI34/'EDT Y TAREAS'!M34,0),IF(AND(32&gt;='EDT Y TAREAS'!AK36,32&lt;'EDT Y TAREAS'!AL36),'EDT Y TAREAS'!AI36/'EDT Y TAREAS'!M36,0),IF(AND(32&gt;='EDT Y TAREAS'!AK39,32&lt;'EDT Y TAREAS'!AL39),'EDT Y TAREAS'!AI39/'EDT Y TAREAS'!M39,0),IF(AND(32&gt;='EDT Y TAREAS'!AK40,32&lt;'EDT Y TAREAS'!AL40),'EDT Y TAREAS'!AI40/'EDT Y TAREAS'!M40,0),IF(AND(32&gt;='EDT Y TAREAS'!AK42,32&lt;'EDT Y TAREAS'!AL42),'EDT Y TAREAS'!AI42/'EDT Y TAREAS'!M42,0),IF(AND(32&gt;='EDT Y TAREAS'!AK43,32&lt;'EDT Y TAREAS'!AL43),'EDT Y TAREAS'!AI43/'EDT Y TAREAS'!M43,0),IF(AND(32&gt;='EDT Y TAREAS'!AK44,32&lt;'EDT Y TAREAS'!AL44),'EDT Y TAREAS'!AI44/'EDT Y TAREAS'!M44,0),IF(AND(32&gt;='EDT Y TAREAS'!AK45,32&lt;'EDT Y TAREAS'!AL45),'EDT Y TAREAS'!AI45/'EDT Y TAREAS'!M45,0),IF(AND(32&gt;='EDT Y TAREAS'!AK46,32&lt;'EDT Y TAREAS'!AL46),'EDT Y TAREAS'!AI46/'EDT Y TAREAS'!M46,0),IF(AND(32&gt;='EDT Y TAREAS'!AK48,32&lt;'EDT Y TAREAS'!AL48),'EDT Y TAREAS'!AI48/'EDT Y TAREAS'!M48,0),IF(AND(32&gt;='EDT Y TAREAS'!AK50,32&lt;'EDT Y TAREAS'!AL50),'EDT Y TAREAS'!AI50/'EDT Y TAREAS'!M50,0),IF(AND(32&gt;='EDT Y TAREAS'!AK52,32&lt;'EDT Y TAREAS'!AL52),'EDT Y TAREAS'!AI52/'EDT Y TAREAS'!M52,0))</x:f>
        <x:v>0.8</x:v>
      </x:c>
      <x:c r="H72" s="35" t="n">
        <x:f>SUM(IF(AND(32&gt;='EDT Y TAREAS'!AK11,32&lt;'EDT Y TAREAS'!AL11),'EDT Y TAREAS'!AJ11/'EDT Y TAREAS'!M11,0),IF(AND(32&gt;='EDT Y TAREAS'!AK24,32&lt;'EDT Y TAREAS'!AL24),'EDT Y TAREAS'!AJ24/'EDT Y TAREAS'!M24,0),IF(AND(32&gt;='EDT Y TAREAS'!AK27,32&lt;'EDT Y TAREAS'!AL27),'EDT Y TAREAS'!AJ27/'EDT Y TAREAS'!M27,0),IF(AND(32&gt;='EDT Y TAREAS'!AK28,32&lt;'EDT Y TAREAS'!AL28),'EDT Y TAREAS'!AJ28/'EDT Y TAREAS'!M28,0),IF(AND(32&gt;='EDT Y TAREAS'!AK33,32&lt;'EDT Y TAREAS'!AL33),'EDT Y TAREAS'!AJ33/'EDT Y TAREAS'!M33,0),IF(AND(32&gt;='EDT Y TAREAS'!AK35,32&lt;'EDT Y TAREAS'!AL35),'EDT Y TAREAS'!AJ35/'EDT Y TAREAS'!M35,0),IF(AND(32&gt;='EDT Y TAREAS'!AK36,32&lt;'EDT Y TAREAS'!AL36),'EDT Y TAREAS'!AJ36/'EDT Y TAREAS'!M36,0),IF(AND(32&gt;='EDT Y TAREAS'!AK37,32&lt;'EDT Y TAREAS'!AL37),'EDT Y TAREAS'!AJ37/'EDT Y TAREAS'!M37,0),IF(AND(32&gt;='EDT Y TAREAS'!AK40,32&lt;'EDT Y TAREAS'!AL40),'EDT Y TAREAS'!AJ40/'EDT Y TAREAS'!M40,0),IF(AND(32&gt;='EDT Y TAREAS'!AK42,32&lt;'EDT Y TAREAS'!AL42),'EDT Y TAREAS'!AJ42/'EDT Y TAREAS'!M42,0),IF(AND(32&gt;='EDT Y TAREAS'!AK49,32&lt;'EDT Y TAREAS'!AL49),'EDT Y TAREAS'!AJ49/'EDT Y TAREAS'!M49,0),IF(AND(32&gt;='EDT Y TAREAS'!AK50,32&lt;'EDT Y TAREAS'!AL50),'EDT Y TAREAS'!AJ50/'EDT Y TAREAS'!M50,0),IF(AND(32&gt;='EDT Y TAREAS'!AK51,32&lt;'EDT Y TAREAS'!AL51),'EDT Y TAREAS'!AJ51/'EDT Y TAREAS'!M51,0),IF(AND(32&gt;='EDT Y TAREAS'!AK52,32&lt;'EDT Y TAREAS'!AL52),'EDT Y TAREAS'!AJ52/'EDT Y TAREAS'!M52,0))</x:f>
        <x:v>4.4</x:v>
      </x:c>
      <x:c r="I72" s="10" t="n">
        <x:f>WORKDAY('RESUMEN'!$D$3-1,A72,'RESUMEN'!$J$6:$J$25)</x:f>
        <x:v>46372</x:v>
      </x:c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  <x:c r="AJ72" s="3"/>
      <x:c r="AK72" s="3"/>
      <x:c r="AL72" s="3"/>
      <x:c r="AM72" s="3"/>
      <x:c r="AN72" s="3"/>
      <x:c r="AO72" s="3"/>
    </x:row>
    <x:row r="73" ht="24" customHeight="1">
      <x:c r="A73" s="3" t="n">
        <x:v>34</x:v>
      </x:c>
      <x:c r="B73" s="35" t="n">
        <x:f>SUM(IF(AND(33&gt;='EDT Y TAREAS'!AK6,33&lt;'EDT Y TAREAS'!AL6),'EDT Y TAREAS'!AD6/'EDT Y TAREAS'!M6,0),IF(AND(33&gt;='EDT Y TAREAS'!AK7,33&lt;'EDT Y TAREAS'!AL7),'EDT Y TAREAS'!AD7/'EDT Y TAREAS'!M7,0),IF(AND(33&gt;='EDT Y TAREAS'!AK8,33&lt;'EDT Y TAREAS'!AL8),'EDT Y TAREAS'!AD8/'EDT Y TAREAS'!M8,0),IF(AND(33&gt;='EDT Y TAREAS'!AK9,33&lt;'EDT Y TAREAS'!AL9),'EDT Y TAREAS'!AD9/'EDT Y TAREAS'!M9,0),IF(AND(33&gt;='EDT Y TAREAS'!AK10,33&lt;'EDT Y TAREAS'!AL10),'EDT Y TAREAS'!AD10/'EDT Y TAREAS'!M10,0),IF(AND(33&gt;='EDT Y TAREAS'!AK11,33&lt;'EDT Y TAREAS'!AL11),'EDT Y TAREAS'!AD11/'EDT Y TAREAS'!M11,0),IF(AND(33&gt;='EDT Y TAREAS'!AK12,33&lt;'EDT Y TAREAS'!AL12),'EDT Y TAREAS'!AD12/'EDT Y TAREAS'!M12,0),IF(AND(33&gt;='EDT Y TAREAS'!AK13,33&lt;'EDT Y TAREAS'!AL13),'EDT Y TAREAS'!AD13/'EDT Y TAREAS'!M13,0),IF(AND(33&gt;='EDT Y TAREAS'!AK14,33&lt;'EDT Y TAREAS'!AL14),'EDT Y TAREAS'!AD14/'EDT Y TAREAS'!M14,0),IF(AND(33&gt;='EDT Y TAREAS'!AK15,33&lt;'EDT Y TAREAS'!AL15),'EDT Y TAREAS'!AD15/'EDT Y TAREAS'!M15,0),IF(AND(33&gt;='EDT Y TAREAS'!AK16,33&lt;'EDT Y TAREAS'!AL16),'EDT Y TAREAS'!AD16/'EDT Y TAREAS'!M16,0),IF(AND(33&gt;='EDT Y TAREAS'!AK17,33&lt;'EDT Y TAREAS'!AL17),'EDT Y TAREAS'!AD17/'EDT Y TAREAS'!M17,0),IF(AND(33&gt;='EDT Y TAREAS'!AK18,33&lt;'EDT Y TAREAS'!AL18),'EDT Y TAREAS'!AD18/'EDT Y TAREAS'!M18,0),IF(AND(33&gt;='EDT Y TAREAS'!AK19,33&lt;'EDT Y TAREAS'!AL19),'EDT Y TAREAS'!AD19/'EDT Y TAREAS'!M19,0),IF(AND(33&gt;='EDT Y TAREAS'!AK20,33&lt;'EDT Y TAREAS'!AL20),'EDT Y TAREAS'!AD20/'EDT Y TAREAS'!M20,0),IF(AND(33&gt;='EDT Y TAREAS'!AK21,33&lt;'EDT Y TAREAS'!AL21),'EDT Y TAREAS'!AD21/'EDT Y TAREAS'!M21,0),IF(AND(33&gt;='EDT Y TAREAS'!AK22,33&lt;'EDT Y TAREAS'!AL22),'EDT Y TAREAS'!AD22/'EDT Y TAREAS'!M22,0),IF(AND(33&gt;='EDT Y TAREAS'!AK23,33&lt;'EDT Y TAREAS'!AL23),'EDT Y TAREAS'!AD23/'EDT Y TAREAS'!M23,0),IF(AND(33&gt;='EDT Y TAREAS'!AK26,33&lt;'EDT Y TAREAS'!AL26),'EDT Y TAREAS'!AD26/'EDT Y TAREAS'!M26,0),IF(AND(33&gt;='EDT Y TAREAS'!AK28,33&lt;'EDT Y TAREAS'!AL28),'EDT Y TAREAS'!AD28/'EDT Y TAREAS'!M28,0),IF(AND(33&gt;='EDT Y TAREAS'!AK30,33&lt;'EDT Y TAREAS'!AL30),'EDT Y TAREAS'!AD30/'EDT Y TAREAS'!M30,0),IF(AND(33&gt;='EDT Y TAREAS'!AK32,33&lt;'EDT Y TAREAS'!AL32),'EDT Y TAREAS'!AD32/'EDT Y TAREAS'!M32,0),IF(AND(33&gt;='EDT Y TAREAS'!AK34,33&lt;'EDT Y TAREAS'!AL34),'EDT Y TAREAS'!AD34/'EDT Y TAREAS'!M34,0),IF(AND(33&gt;='EDT Y TAREAS'!AK38,33&lt;'EDT Y TAREAS'!AL38),'EDT Y TAREAS'!AD38/'EDT Y TAREAS'!M38,0),IF(AND(33&gt;='EDT Y TAREAS'!AK39,33&lt;'EDT Y TAREAS'!AL39),'EDT Y TAREAS'!AD39/'EDT Y TAREAS'!M39,0),IF(AND(33&gt;='EDT Y TAREAS'!AK43,33&lt;'EDT Y TAREAS'!AL43),'EDT Y TAREAS'!AD43/'EDT Y TAREAS'!M43,0),IF(AND(33&gt;='EDT Y TAREAS'!AK44,33&lt;'EDT Y TAREAS'!AL44),'EDT Y TAREAS'!AD44/'EDT Y TAREAS'!M44,0),IF(AND(33&gt;='EDT Y TAREAS'!AK45,33&lt;'EDT Y TAREAS'!AL45),'EDT Y TAREAS'!AD45/'EDT Y TAREAS'!M45,0),IF(AND(33&gt;='EDT Y TAREAS'!AK46,33&lt;'EDT Y TAREAS'!AL46),'EDT Y TAREAS'!AD46/'EDT Y TAREAS'!M46,0),IF(AND(33&gt;='EDT Y TAREAS'!AK47,33&lt;'EDT Y TAREAS'!AL47),'EDT Y TAREAS'!AD47/'EDT Y TAREAS'!M47,0),IF(AND(33&gt;='EDT Y TAREAS'!AK49,33&lt;'EDT Y TAREAS'!AL49),'EDT Y TAREAS'!AD49/'EDT Y TAREAS'!M49,0),IF(AND(33&gt;='EDT Y TAREAS'!AK50,33&lt;'EDT Y TAREAS'!AL50),'EDT Y TAREAS'!AD50/'EDT Y TAREAS'!M50,0),IF(AND(33&gt;='EDT Y TAREAS'!AK51,33&lt;'EDT Y TAREAS'!AL51),'EDT Y TAREAS'!AD51/'EDT Y TAREAS'!M51,0),IF(AND(33&gt;='EDT Y TAREAS'!AK52,33&lt;'EDT Y TAREAS'!AL52),'EDT Y TAREAS'!AD52/'EDT Y TAREAS'!M52,0))</x:f>
        <x:v>6</x:v>
      </x:c>
      <x:c r="C73" s="35" t="n">
        <x:f>SUM(IF(AND(33&gt;='EDT Y TAREAS'!AK6,33&lt;'EDT Y TAREAS'!AL6),'EDT Y TAREAS'!AE6/'EDT Y TAREAS'!M6,0),IF(AND(33&gt;='EDT Y TAREAS'!AK8,33&lt;'EDT Y TAREAS'!AL8),'EDT Y TAREAS'!AE8/'EDT Y TAREAS'!M8,0),IF(AND(33&gt;='EDT Y TAREAS'!AK9,33&lt;'EDT Y TAREAS'!AL9),'EDT Y TAREAS'!AE9/'EDT Y TAREAS'!M9,0),IF(AND(33&gt;='EDT Y TAREAS'!AK10,33&lt;'EDT Y TAREAS'!AL10),'EDT Y TAREAS'!AE10/'EDT Y TAREAS'!M10,0),IF(AND(33&gt;='EDT Y TAREAS'!AK12,33&lt;'EDT Y TAREAS'!AL12),'EDT Y TAREAS'!AE12/'EDT Y TAREAS'!M12,0),IF(AND(33&gt;='EDT Y TAREAS'!AK16,33&lt;'EDT Y TAREAS'!AL16),'EDT Y TAREAS'!AE16/'EDT Y TAREAS'!M16,0),IF(AND(33&gt;='EDT Y TAREAS'!AK21,33&lt;'EDT Y TAREAS'!AL21),'EDT Y TAREAS'!AE21/'EDT Y TAREAS'!M21,0),IF(AND(33&gt;='EDT Y TAREAS'!AK23,33&lt;'EDT Y TAREAS'!AL23),'EDT Y TAREAS'!AE23/'EDT Y TAREAS'!M23,0),IF(AND(33&gt;='EDT Y TAREAS'!AK37,33&lt;'EDT Y TAREAS'!AL37),'EDT Y TAREAS'!AE37/'EDT Y TAREAS'!M37,0),IF(AND(33&gt;='EDT Y TAREAS'!AK38,33&lt;'EDT Y TAREAS'!AL38),'EDT Y TAREAS'!AE38/'EDT Y TAREAS'!M38,0),IF(AND(33&gt;='EDT Y TAREAS'!AK41,33&lt;'EDT Y TAREAS'!AL41),'EDT Y TAREAS'!AE41/'EDT Y TAREAS'!M41,0),IF(AND(33&gt;='EDT Y TAREAS'!AK43,33&lt;'EDT Y TAREAS'!AL43),'EDT Y TAREAS'!AE43/'EDT Y TAREAS'!M43,0),IF(AND(33&gt;='EDT Y TAREAS'!AK44,33&lt;'EDT Y TAREAS'!AL44),'EDT Y TAREAS'!AE44/'EDT Y TAREAS'!M44,0),IF(AND(33&gt;='EDT Y TAREAS'!AK46,33&lt;'EDT Y TAREAS'!AL46),'EDT Y TAREAS'!AE46/'EDT Y TAREAS'!M46,0),IF(AND(33&gt;='EDT Y TAREAS'!AK47,33&lt;'EDT Y TAREAS'!AL47),'EDT Y TAREAS'!AE47/'EDT Y TAREAS'!M47,0),IF(AND(33&gt;='EDT Y TAREAS'!AK51,33&lt;'EDT Y TAREAS'!AL51),'EDT Y TAREAS'!AE51/'EDT Y TAREAS'!M51,0),IF(AND(33&gt;='EDT Y TAREAS'!AK52,33&lt;'EDT Y TAREAS'!AL52),'EDT Y TAREAS'!AE52/'EDT Y TAREAS'!M52,0))</x:f>
        <x:v>2</x:v>
      </x:c>
      <x:c r="D73" s="35" t="n">
        <x:f>SUM(IF(AND(33&gt;='EDT Y TAREAS'!AK11,33&lt;'EDT Y TAREAS'!AL11),'EDT Y TAREAS'!AF11/'EDT Y TAREAS'!M11,0),IF(AND(33&gt;='EDT Y TAREAS'!AK24,33&lt;'EDT Y TAREAS'!AL24),'EDT Y TAREAS'!AF24/'EDT Y TAREAS'!M24,0),IF(AND(33&gt;='EDT Y TAREAS'!AK25,33&lt;'EDT Y TAREAS'!AL25),'EDT Y TAREAS'!AF25/'EDT Y TAREAS'!M25,0),IF(AND(33&gt;='EDT Y TAREAS'!AK26,33&lt;'EDT Y TAREAS'!AL26),'EDT Y TAREAS'!AF26/'EDT Y TAREAS'!M26,0),IF(AND(33&gt;='EDT Y TAREAS'!AK27,33&lt;'EDT Y TAREAS'!AL27),'EDT Y TAREAS'!AF27/'EDT Y TAREAS'!M27,0),IF(AND(33&gt;='EDT Y TAREAS'!AK28,33&lt;'EDT Y TAREAS'!AL28),'EDT Y TAREAS'!AF28/'EDT Y TAREAS'!M28,0),IF(AND(33&gt;='EDT Y TAREAS'!AK31,33&lt;'EDT Y TAREAS'!AL31),'EDT Y TAREAS'!AF31/'EDT Y TAREAS'!M31,0),IF(AND(33&gt;='EDT Y TAREAS'!AK33,33&lt;'EDT Y TAREAS'!AL33),'EDT Y TAREAS'!AF33/'EDT Y TAREAS'!M33,0),IF(AND(33&gt;='EDT Y TAREAS'!AK34,33&lt;'EDT Y TAREAS'!AL34),'EDT Y TAREAS'!AF34/'EDT Y TAREAS'!M34,0),IF(AND(33&gt;='EDT Y TAREAS'!AK35,33&lt;'EDT Y TAREAS'!AL35),'EDT Y TAREAS'!AF35/'EDT Y TAREAS'!M35,0),IF(AND(33&gt;='EDT Y TAREAS'!AK37,33&lt;'EDT Y TAREAS'!AL37),'EDT Y TAREAS'!AF37/'EDT Y TAREAS'!M37,0),IF(AND(33&gt;='EDT Y TAREAS'!AK39,33&lt;'EDT Y TAREAS'!AL39),'EDT Y TAREAS'!AF39/'EDT Y TAREAS'!M39,0),IF(AND(33&gt;='EDT Y TAREAS'!AK40,33&lt;'EDT Y TAREAS'!AL40),'EDT Y TAREAS'!AF40/'EDT Y TAREAS'!M40,0),IF(AND(33&gt;='EDT Y TAREAS'!AK42,33&lt;'EDT Y TAREAS'!AL42),'EDT Y TAREAS'!AF42/'EDT Y TAREAS'!M42,0),IF(AND(33&gt;='EDT Y TAREAS'!AK45,33&lt;'EDT Y TAREAS'!AL45),'EDT Y TAREAS'!AF45/'EDT Y TAREAS'!M45,0),IF(AND(33&gt;='EDT Y TAREAS'!AK49,33&lt;'EDT Y TAREAS'!AL49),'EDT Y TAREAS'!AF49/'EDT Y TAREAS'!M49,0),IF(AND(33&gt;='EDT Y TAREAS'!AK52,33&lt;'EDT Y TAREAS'!AL52),'EDT Y TAREAS'!AF52/'EDT Y TAREAS'!M52,0))</x:f>
        <x:v>6.3999999999999995</x:v>
      </x:c>
      <x:c r="E73" s="35" t="n">
        <x:f>SUM(IF(AND(33&gt;='EDT Y TAREAS'!AK29,33&lt;'EDT Y TAREAS'!AL29),'EDT Y TAREAS'!AG29/'EDT Y TAREAS'!M29,0),IF(AND(33&gt;='EDT Y TAREAS'!AK30,33&lt;'EDT Y TAREAS'!AL30),'EDT Y TAREAS'!AG30/'EDT Y TAREAS'!M30,0),IF(AND(33&gt;='EDT Y TAREAS'!AK31,33&lt;'EDT Y TAREAS'!AL31),'EDT Y TAREAS'!AG31/'EDT Y TAREAS'!M31,0),IF(AND(33&gt;='EDT Y TAREAS'!AK32,33&lt;'EDT Y TAREAS'!AL32),'EDT Y TAREAS'!AG32/'EDT Y TAREAS'!M32,0),IF(AND(33&gt;='EDT Y TAREAS'!AK41,33&lt;'EDT Y TAREAS'!AL41),'EDT Y TAREAS'!AG41/'EDT Y TAREAS'!M41,0),IF(AND(33&gt;='EDT Y TAREAS'!AK45,33&lt;'EDT Y TAREAS'!AL45),'EDT Y TAREAS'!AG45/'EDT Y TAREAS'!M45,0),IF(AND(33&gt;='EDT Y TAREAS'!AK48,33&lt;'EDT Y TAREAS'!AL48),'EDT Y TAREAS'!AG48/'EDT Y TAREAS'!M48,0))</x:f>
        <x:v>0</x:v>
      </x:c>
      <x:c r="F73" s="35" t="n">
        <x:f>SUM(IF(AND(33&gt;='EDT Y TAREAS'!AK10,33&lt;'EDT Y TAREAS'!AL10),'EDT Y TAREAS'!AH10/'EDT Y TAREAS'!M10,0),IF(AND(33&gt;='EDT Y TAREAS'!AK12,33&lt;'EDT Y TAREAS'!AL12),'EDT Y TAREAS'!AH12/'EDT Y TAREAS'!M12,0),IF(AND(33&gt;='EDT Y TAREAS'!AK22,33&lt;'EDT Y TAREAS'!AL22),'EDT Y TAREAS'!AH22/'EDT Y TAREAS'!M22,0),IF(AND(33&gt;='EDT Y TAREAS'!AK23,33&lt;'EDT Y TAREAS'!AL23),'EDT Y TAREAS'!AH23/'EDT Y TAREAS'!M23,0),IF(AND(33&gt;='EDT Y TAREAS'!AK29,33&lt;'EDT Y TAREAS'!AL29),'EDT Y TAREAS'!AH29/'EDT Y TAREAS'!M29,0),IF(AND(33&gt;='EDT Y TAREAS'!AK30,33&lt;'EDT Y TAREAS'!AL30),'EDT Y TAREAS'!AH30/'EDT Y TAREAS'!M30,0),IF(AND(33&gt;='EDT Y TAREAS'!AK32,33&lt;'EDT Y TAREAS'!AL32),'EDT Y TAREAS'!AH32/'EDT Y TAREAS'!M32,0),IF(AND(33&gt;='EDT Y TAREAS'!AK41,33&lt;'EDT Y TAREAS'!AL41),'EDT Y TAREAS'!AH41/'EDT Y TAREAS'!M41,0),IF(AND(33&gt;='EDT Y TAREAS'!AK44,33&lt;'EDT Y TAREAS'!AL44),'EDT Y TAREAS'!AH44/'EDT Y TAREAS'!M44,0),IF(AND(33&gt;='EDT Y TAREAS'!AK46,33&lt;'EDT Y TAREAS'!AL46),'EDT Y TAREAS'!AH46/'EDT Y TAREAS'!M46,0),IF(AND(33&gt;='EDT Y TAREAS'!AK48,33&lt;'EDT Y TAREAS'!AL48),'EDT Y TAREAS'!AH48/'EDT Y TAREAS'!M48,0))</x:f>
        <x:v>3.2</x:v>
      </x:c>
      <x:c r="G73" s="35" t="n">
        <x:f>SUM(IF(AND(33&gt;='EDT Y TAREAS'!AK20,33&lt;'EDT Y TAREAS'!AL20),'EDT Y TAREAS'!AI20/'EDT Y TAREAS'!M20,0),IF(AND(33&gt;='EDT Y TAREAS'!AK25,33&lt;'EDT Y TAREAS'!AL25),'EDT Y TAREAS'!AI25/'EDT Y TAREAS'!M25,0),IF(AND(33&gt;='EDT Y TAREAS'!AK33,33&lt;'EDT Y TAREAS'!AL33),'EDT Y TAREAS'!AI33/'EDT Y TAREAS'!M33,0),IF(AND(33&gt;='EDT Y TAREAS'!AK34,33&lt;'EDT Y TAREAS'!AL34),'EDT Y TAREAS'!AI34/'EDT Y TAREAS'!M34,0),IF(AND(33&gt;='EDT Y TAREAS'!AK36,33&lt;'EDT Y TAREAS'!AL36),'EDT Y TAREAS'!AI36/'EDT Y TAREAS'!M36,0),IF(AND(33&gt;='EDT Y TAREAS'!AK39,33&lt;'EDT Y TAREAS'!AL39),'EDT Y TAREAS'!AI39/'EDT Y TAREAS'!M39,0),IF(AND(33&gt;='EDT Y TAREAS'!AK40,33&lt;'EDT Y TAREAS'!AL40),'EDT Y TAREAS'!AI40/'EDT Y TAREAS'!M40,0),IF(AND(33&gt;='EDT Y TAREAS'!AK42,33&lt;'EDT Y TAREAS'!AL42),'EDT Y TAREAS'!AI42/'EDT Y TAREAS'!M42,0),IF(AND(33&gt;='EDT Y TAREAS'!AK43,33&lt;'EDT Y TAREAS'!AL43),'EDT Y TAREAS'!AI43/'EDT Y TAREAS'!M43,0),IF(AND(33&gt;='EDT Y TAREAS'!AK44,33&lt;'EDT Y TAREAS'!AL44),'EDT Y TAREAS'!AI44/'EDT Y TAREAS'!M44,0),IF(AND(33&gt;='EDT Y TAREAS'!AK45,33&lt;'EDT Y TAREAS'!AL45),'EDT Y TAREAS'!AI45/'EDT Y TAREAS'!M45,0),IF(AND(33&gt;='EDT Y TAREAS'!AK46,33&lt;'EDT Y TAREAS'!AL46),'EDT Y TAREAS'!AI46/'EDT Y TAREAS'!M46,0),IF(AND(33&gt;='EDT Y TAREAS'!AK48,33&lt;'EDT Y TAREAS'!AL48),'EDT Y TAREAS'!AI48/'EDT Y TAREAS'!M48,0),IF(AND(33&gt;='EDT Y TAREAS'!AK50,33&lt;'EDT Y TAREAS'!AL50),'EDT Y TAREAS'!AI50/'EDT Y TAREAS'!M50,0),IF(AND(33&gt;='EDT Y TAREAS'!AK52,33&lt;'EDT Y TAREAS'!AL52),'EDT Y TAREAS'!AI52/'EDT Y TAREAS'!M52,0))</x:f>
        <x:v>0.8</x:v>
      </x:c>
      <x:c r="H73" s="35" t="n">
        <x:f>SUM(IF(AND(33&gt;='EDT Y TAREAS'!AK11,33&lt;'EDT Y TAREAS'!AL11),'EDT Y TAREAS'!AJ11/'EDT Y TAREAS'!M11,0),IF(AND(33&gt;='EDT Y TAREAS'!AK24,33&lt;'EDT Y TAREAS'!AL24),'EDT Y TAREAS'!AJ24/'EDT Y TAREAS'!M24,0),IF(AND(33&gt;='EDT Y TAREAS'!AK27,33&lt;'EDT Y TAREAS'!AL27),'EDT Y TAREAS'!AJ27/'EDT Y TAREAS'!M27,0),IF(AND(33&gt;='EDT Y TAREAS'!AK28,33&lt;'EDT Y TAREAS'!AL28),'EDT Y TAREAS'!AJ28/'EDT Y TAREAS'!M28,0),IF(AND(33&gt;='EDT Y TAREAS'!AK33,33&lt;'EDT Y TAREAS'!AL33),'EDT Y TAREAS'!AJ33/'EDT Y TAREAS'!M33,0),IF(AND(33&gt;='EDT Y TAREAS'!AK35,33&lt;'EDT Y TAREAS'!AL35),'EDT Y TAREAS'!AJ35/'EDT Y TAREAS'!M35,0),IF(AND(33&gt;='EDT Y TAREAS'!AK36,33&lt;'EDT Y TAREAS'!AL36),'EDT Y TAREAS'!AJ36/'EDT Y TAREAS'!M36,0),IF(AND(33&gt;='EDT Y TAREAS'!AK37,33&lt;'EDT Y TAREAS'!AL37),'EDT Y TAREAS'!AJ37/'EDT Y TAREAS'!M37,0),IF(AND(33&gt;='EDT Y TAREAS'!AK40,33&lt;'EDT Y TAREAS'!AL40),'EDT Y TAREAS'!AJ40/'EDT Y TAREAS'!M40,0),IF(AND(33&gt;='EDT Y TAREAS'!AK42,33&lt;'EDT Y TAREAS'!AL42),'EDT Y TAREAS'!AJ42/'EDT Y TAREAS'!M42,0),IF(AND(33&gt;='EDT Y TAREAS'!AK49,33&lt;'EDT Y TAREAS'!AL49),'EDT Y TAREAS'!AJ49/'EDT Y TAREAS'!M49,0),IF(AND(33&gt;='EDT Y TAREAS'!AK50,33&lt;'EDT Y TAREAS'!AL50),'EDT Y TAREAS'!AJ50/'EDT Y TAREAS'!M50,0),IF(AND(33&gt;='EDT Y TAREAS'!AK51,33&lt;'EDT Y TAREAS'!AL51),'EDT Y TAREAS'!AJ51/'EDT Y TAREAS'!M51,0),IF(AND(33&gt;='EDT Y TAREAS'!AK52,33&lt;'EDT Y TAREAS'!AL52),'EDT Y TAREAS'!AJ52/'EDT Y TAREAS'!M52,0))</x:f>
        <x:v>1.6</x:v>
      </x:c>
      <x:c r="I73" s="10" t="n">
        <x:f>WORKDAY('RESUMEN'!$D$3-1,A73,'RESUMEN'!$J$6:$J$25)</x:f>
        <x:v>46373</x:v>
      </x:c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  <x:c r="AJ73" s="3"/>
      <x:c r="AK73" s="3"/>
      <x:c r="AL73" s="3"/>
      <x:c r="AM73" s="3"/>
      <x:c r="AN73" s="3"/>
      <x:c r="AO73" s="3"/>
    </x:row>
    <x:row r="74" ht="24" customHeight="1">
      <x:c r="A74" s="3" t="n">
        <x:v>35</x:v>
      </x:c>
      <x:c r="B74" s="35" t="n">
        <x:f>SUM(IF(AND(34&gt;='EDT Y TAREAS'!AK6,34&lt;'EDT Y TAREAS'!AL6),'EDT Y TAREAS'!AD6/'EDT Y TAREAS'!M6,0),IF(AND(34&gt;='EDT Y TAREAS'!AK7,34&lt;'EDT Y TAREAS'!AL7),'EDT Y TAREAS'!AD7/'EDT Y TAREAS'!M7,0),IF(AND(34&gt;='EDT Y TAREAS'!AK8,34&lt;'EDT Y TAREAS'!AL8),'EDT Y TAREAS'!AD8/'EDT Y TAREAS'!M8,0),IF(AND(34&gt;='EDT Y TAREAS'!AK9,34&lt;'EDT Y TAREAS'!AL9),'EDT Y TAREAS'!AD9/'EDT Y TAREAS'!M9,0),IF(AND(34&gt;='EDT Y TAREAS'!AK10,34&lt;'EDT Y TAREAS'!AL10),'EDT Y TAREAS'!AD10/'EDT Y TAREAS'!M10,0),IF(AND(34&gt;='EDT Y TAREAS'!AK11,34&lt;'EDT Y TAREAS'!AL11),'EDT Y TAREAS'!AD11/'EDT Y TAREAS'!M11,0),IF(AND(34&gt;='EDT Y TAREAS'!AK12,34&lt;'EDT Y TAREAS'!AL12),'EDT Y TAREAS'!AD12/'EDT Y TAREAS'!M12,0),IF(AND(34&gt;='EDT Y TAREAS'!AK13,34&lt;'EDT Y TAREAS'!AL13),'EDT Y TAREAS'!AD13/'EDT Y TAREAS'!M13,0),IF(AND(34&gt;='EDT Y TAREAS'!AK14,34&lt;'EDT Y TAREAS'!AL14),'EDT Y TAREAS'!AD14/'EDT Y TAREAS'!M14,0),IF(AND(34&gt;='EDT Y TAREAS'!AK15,34&lt;'EDT Y TAREAS'!AL15),'EDT Y TAREAS'!AD15/'EDT Y TAREAS'!M15,0),IF(AND(34&gt;='EDT Y TAREAS'!AK16,34&lt;'EDT Y TAREAS'!AL16),'EDT Y TAREAS'!AD16/'EDT Y TAREAS'!M16,0),IF(AND(34&gt;='EDT Y TAREAS'!AK17,34&lt;'EDT Y TAREAS'!AL17),'EDT Y TAREAS'!AD17/'EDT Y TAREAS'!M17,0),IF(AND(34&gt;='EDT Y TAREAS'!AK18,34&lt;'EDT Y TAREAS'!AL18),'EDT Y TAREAS'!AD18/'EDT Y TAREAS'!M18,0),IF(AND(34&gt;='EDT Y TAREAS'!AK19,34&lt;'EDT Y TAREAS'!AL19),'EDT Y TAREAS'!AD19/'EDT Y TAREAS'!M19,0),IF(AND(34&gt;='EDT Y TAREAS'!AK20,34&lt;'EDT Y TAREAS'!AL20),'EDT Y TAREAS'!AD20/'EDT Y TAREAS'!M20,0),IF(AND(34&gt;='EDT Y TAREAS'!AK21,34&lt;'EDT Y TAREAS'!AL21),'EDT Y TAREAS'!AD21/'EDT Y TAREAS'!M21,0),IF(AND(34&gt;='EDT Y TAREAS'!AK22,34&lt;'EDT Y TAREAS'!AL22),'EDT Y TAREAS'!AD22/'EDT Y TAREAS'!M22,0),IF(AND(34&gt;='EDT Y TAREAS'!AK23,34&lt;'EDT Y TAREAS'!AL23),'EDT Y TAREAS'!AD23/'EDT Y TAREAS'!M23,0),IF(AND(34&gt;='EDT Y TAREAS'!AK26,34&lt;'EDT Y TAREAS'!AL26),'EDT Y TAREAS'!AD26/'EDT Y TAREAS'!M26,0),IF(AND(34&gt;='EDT Y TAREAS'!AK28,34&lt;'EDT Y TAREAS'!AL28),'EDT Y TAREAS'!AD28/'EDT Y TAREAS'!M28,0),IF(AND(34&gt;='EDT Y TAREAS'!AK30,34&lt;'EDT Y TAREAS'!AL30),'EDT Y TAREAS'!AD30/'EDT Y TAREAS'!M30,0),IF(AND(34&gt;='EDT Y TAREAS'!AK32,34&lt;'EDT Y TAREAS'!AL32),'EDT Y TAREAS'!AD32/'EDT Y TAREAS'!M32,0),IF(AND(34&gt;='EDT Y TAREAS'!AK34,34&lt;'EDT Y TAREAS'!AL34),'EDT Y TAREAS'!AD34/'EDT Y TAREAS'!M34,0),IF(AND(34&gt;='EDT Y TAREAS'!AK38,34&lt;'EDT Y TAREAS'!AL38),'EDT Y TAREAS'!AD38/'EDT Y TAREAS'!M38,0),IF(AND(34&gt;='EDT Y TAREAS'!AK39,34&lt;'EDT Y TAREAS'!AL39),'EDT Y TAREAS'!AD39/'EDT Y TAREAS'!M39,0),IF(AND(34&gt;='EDT Y TAREAS'!AK43,34&lt;'EDT Y TAREAS'!AL43),'EDT Y TAREAS'!AD43/'EDT Y TAREAS'!M43,0),IF(AND(34&gt;='EDT Y TAREAS'!AK44,34&lt;'EDT Y TAREAS'!AL44),'EDT Y TAREAS'!AD44/'EDT Y TAREAS'!M44,0),IF(AND(34&gt;='EDT Y TAREAS'!AK45,34&lt;'EDT Y TAREAS'!AL45),'EDT Y TAREAS'!AD45/'EDT Y TAREAS'!M45,0),IF(AND(34&gt;='EDT Y TAREAS'!AK46,34&lt;'EDT Y TAREAS'!AL46),'EDT Y TAREAS'!AD46/'EDT Y TAREAS'!M46,0),IF(AND(34&gt;='EDT Y TAREAS'!AK47,34&lt;'EDT Y TAREAS'!AL47),'EDT Y TAREAS'!AD47/'EDT Y TAREAS'!M47,0),IF(AND(34&gt;='EDT Y TAREAS'!AK49,34&lt;'EDT Y TAREAS'!AL49),'EDT Y TAREAS'!AD49/'EDT Y TAREAS'!M49,0),IF(AND(34&gt;='EDT Y TAREAS'!AK50,34&lt;'EDT Y TAREAS'!AL50),'EDT Y TAREAS'!AD50/'EDT Y TAREAS'!M50,0),IF(AND(34&gt;='EDT Y TAREAS'!AK51,34&lt;'EDT Y TAREAS'!AL51),'EDT Y TAREAS'!AD51/'EDT Y TAREAS'!M51,0),IF(AND(34&gt;='EDT Y TAREAS'!AK52,34&lt;'EDT Y TAREAS'!AL52),'EDT Y TAREAS'!AD52/'EDT Y TAREAS'!M52,0))</x:f>
        <x:v>6</x:v>
      </x:c>
      <x:c r="C74" s="35" t="n">
        <x:f>SUM(IF(AND(34&gt;='EDT Y TAREAS'!AK6,34&lt;'EDT Y TAREAS'!AL6),'EDT Y TAREAS'!AE6/'EDT Y TAREAS'!M6,0),IF(AND(34&gt;='EDT Y TAREAS'!AK8,34&lt;'EDT Y TAREAS'!AL8),'EDT Y TAREAS'!AE8/'EDT Y TAREAS'!M8,0),IF(AND(34&gt;='EDT Y TAREAS'!AK9,34&lt;'EDT Y TAREAS'!AL9),'EDT Y TAREAS'!AE9/'EDT Y TAREAS'!M9,0),IF(AND(34&gt;='EDT Y TAREAS'!AK10,34&lt;'EDT Y TAREAS'!AL10),'EDT Y TAREAS'!AE10/'EDT Y TAREAS'!M10,0),IF(AND(34&gt;='EDT Y TAREAS'!AK12,34&lt;'EDT Y TAREAS'!AL12),'EDT Y TAREAS'!AE12/'EDT Y TAREAS'!M12,0),IF(AND(34&gt;='EDT Y TAREAS'!AK16,34&lt;'EDT Y TAREAS'!AL16),'EDT Y TAREAS'!AE16/'EDT Y TAREAS'!M16,0),IF(AND(34&gt;='EDT Y TAREAS'!AK21,34&lt;'EDT Y TAREAS'!AL21),'EDT Y TAREAS'!AE21/'EDT Y TAREAS'!M21,0),IF(AND(34&gt;='EDT Y TAREAS'!AK23,34&lt;'EDT Y TAREAS'!AL23),'EDT Y TAREAS'!AE23/'EDT Y TAREAS'!M23,0),IF(AND(34&gt;='EDT Y TAREAS'!AK37,34&lt;'EDT Y TAREAS'!AL37),'EDT Y TAREAS'!AE37/'EDT Y TAREAS'!M37,0),IF(AND(34&gt;='EDT Y TAREAS'!AK38,34&lt;'EDT Y TAREAS'!AL38),'EDT Y TAREAS'!AE38/'EDT Y TAREAS'!M38,0),IF(AND(34&gt;='EDT Y TAREAS'!AK41,34&lt;'EDT Y TAREAS'!AL41),'EDT Y TAREAS'!AE41/'EDT Y TAREAS'!M41,0),IF(AND(34&gt;='EDT Y TAREAS'!AK43,34&lt;'EDT Y TAREAS'!AL43),'EDT Y TAREAS'!AE43/'EDT Y TAREAS'!M43,0),IF(AND(34&gt;='EDT Y TAREAS'!AK44,34&lt;'EDT Y TAREAS'!AL44),'EDT Y TAREAS'!AE44/'EDT Y TAREAS'!M44,0),IF(AND(34&gt;='EDT Y TAREAS'!AK46,34&lt;'EDT Y TAREAS'!AL46),'EDT Y TAREAS'!AE46/'EDT Y TAREAS'!M46,0),IF(AND(34&gt;='EDT Y TAREAS'!AK47,34&lt;'EDT Y TAREAS'!AL47),'EDT Y TAREAS'!AE47/'EDT Y TAREAS'!M47,0),IF(AND(34&gt;='EDT Y TAREAS'!AK51,34&lt;'EDT Y TAREAS'!AL51),'EDT Y TAREAS'!AE51/'EDT Y TAREAS'!M51,0),IF(AND(34&gt;='EDT Y TAREAS'!AK52,34&lt;'EDT Y TAREAS'!AL52),'EDT Y TAREAS'!AE52/'EDT Y TAREAS'!M52,0))</x:f>
        <x:v>2</x:v>
      </x:c>
      <x:c r="D74" s="35" t="n">
        <x:f>SUM(IF(AND(34&gt;='EDT Y TAREAS'!AK11,34&lt;'EDT Y TAREAS'!AL11),'EDT Y TAREAS'!AF11/'EDT Y TAREAS'!M11,0),IF(AND(34&gt;='EDT Y TAREAS'!AK24,34&lt;'EDT Y TAREAS'!AL24),'EDT Y TAREAS'!AF24/'EDT Y TAREAS'!M24,0),IF(AND(34&gt;='EDT Y TAREAS'!AK25,34&lt;'EDT Y TAREAS'!AL25),'EDT Y TAREAS'!AF25/'EDT Y TAREAS'!M25,0),IF(AND(34&gt;='EDT Y TAREAS'!AK26,34&lt;'EDT Y TAREAS'!AL26),'EDT Y TAREAS'!AF26/'EDT Y TAREAS'!M26,0),IF(AND(34&gt;='EDT Y TAREAS'!AK27,34&lt;'EDT Y TAREAS'!AL27),'EDT Y TAREAS'!AF27/'EDT Y TAREAS'!M27,0),IF(AND(34&gt;='EDT Y TAREAS'!AK28,34&lt;'EDT Y TAREAS'!AL28),'EDT Y TAREAS'!AF28/'EDT Y TAREAS'!M28,0),IF(AND(34&gt;='EDT Y TAREAS'!AK31,34&lt;'EDT Y TAREAS'!AL31),'EDT Y TAREAS'!AF31/'EDT Y TAREAS'!M31,0),IF(AND(34&gt;='EDT Y TAREAS'!AK33,34&lt;'EDT Y TAREAS'!AL33),'EDT Y TAREAS'!AF33/'EDT Y TAREAS'!M33,0),IF(AND(34&gt;='EDT Y TAREAS'!AK34,34&lt;'EDT Y TAREAS'!AL34),'EDT Y TAREAS'!AF34/'EDT Y TAREAS'!M34,0),IF(AND(34&gt;='EDT Y TAREAS'!AK35,34&lt;'EDT Y TAREAS'!AL35),'EDT Y TAREAS'!AF35/'EDT Y TAREAS'!M35,0),IF(AND(34&gt;='EDT Y TAREAS'!AK37,34&lt;'EDT Y TAREAS'!AL37),'EDT Y TAREAS'!AF37/'EDT Y TAREAS'!M37,0),IF(AND(34&gt;='EDT Y TAREAS'!AK39,34&lt;'EDT Y TAREAS'!AL39),'EDT Y TAREAS'!AF39/'EDT Y TAREAS'!M39,0),IF(AND(34&gt;='EDT Y TAREAS'!AK40,34&lt;'EDT Y TAREAS'!AL40),'EDT Y TAREAS'!AF40/'EDT Y TAREAS'!M40,0),IF(AND(34&gt;='EDT Y TAREAS'!AK42,34&lt;'EDT Y TAREAS'!AL42),'EDT Y TAREAS'!AF42/'EDT Y TAREAS'!M42,0),IF(AND(34&gt;='EDT Y TAREAS'!AK45,34&lt;'EDT Y TAREAS'!AL45),'EDT Y TAREAS'!AF45/'EDT Y TAREAS'!M45,0),IF(AND(34&gt;='EDT Y TAREAS'!AK49,34&lt;'EDT Y TAREAS'!AL49),'EDT Y TAREAS'!AF49/'EDT Y TAREAS'!M49,0),IF(AND(34&gt;='EDT Y TAREAS'!AK52,34&lt;'EDT Y TAREAS'!AL52),'EDT Y TAREAS'!AF52/'EDT Y TAREAS'!M52,0))</x:f>
        <x:v>6.3999999999999995</x:v>
      </x:c>
      <x:c r="E74" s="35" t="n">
        <x:f>SUM(IF(AND(34&gt;='EDT Y TAREAS'!AK29,34&lt;'EDT Y TAREAS'!AL29),'EDT Y TAREAS'!AG29/'EDT Y TAREAS'!M29,0),IF(AND(34&gt;='EDT Y TAREAS'!AK30,34&lt;'EDT Y TAREAS'!AL30),'EDT Y TAREAS'!AG30/'EDT Y TAREAS'!M30,0),IF(AND(34&gt;='EDT Y TAREAS'!AK31,34&lt;'EDT Y TAREAS'!AL31),'EDT Y TAREAS'!AG31/'EDT Y TAREAS'!M31,0),IF(AND(34&gt;='EDT Y TAREAS'!AK32,34&lt;'EDT Y TAREAS'!AL32),'EDT Y TAREAS'!AG32/'EDT Y TAREAS'!M32,0),IF(AND(34&gt;='EDT Y TAREAS'!AK41,34&lt;'EDT Y TAREAS'!AL41),'EDT Y TAREAS'!AG41/'EDT Y TAREAS'!M41,0),IF(AND(34&gt;='EDT Y TAREAS'!AK45,34&lt;'EDT Y TAREAS'!AL45),'EDT Y TAREAS'!AG45/'EDT Y TAREAS'!M45,0),IF(AND(34&gt;='EDT Y TAREAS'!AK48,34&lt;'EDT Y TAREAS'!AL48),'EDT Y TAREAS'!AG48/'EDT Y TAREAS'!M48,0))</x:f>
        <x:v>0</x:v>
      </x:c>
      <x:c r="F74" s="35" t="n">
        <x:f>SUM(IF(AND(34&gt;='EDT Y TAREAS'!AK10,34&lt;'EDT Y TAREAS'!AL10),'EDT Y TAREAS'!AH10/'EDT Y TAREAS'!M10,0),IF(AND(34&gt;='EDT Y TAREAS'!AK12,34&lt;'EDT Y TAREAS'!AL12),'EDT Y TAREAS'!AH12/'EDT Y TAREAS'!M12,0),IF(AND(34&gt;='EDT Y TAREAS'!AK22,34&lt;'EDT Y TAREAS'!AL22),'EDT Y TAREAS'!AH22/'EDT Y TAREAS'!M22,0),IF(AND(34&gt;='EDT Y TAREAS'!AK23,34&lt;'EDT Y TAREAS'!AL23),'EDT Y TAREAS'!AH23/'EDT Y TAREAS'!M23,0),IF(AND(34&gt;='EDT Y TAREAS'!AK29,34&lt;'EDT Y TAREAS'!AL29),'EDT Y TAREAS'!AH29/'EDT Y TAREAS'!M29,0),IF(AND(34&gt;='EDT Y TAREAS'!AK30,34&lt;'EDT Y TAREAS'!AL30),'EDT Y TAREAS'!AH30/'EDT Y TAREAS'!M30,0),IF(AND(34&gt;='EDT Y TAREAS'!AK32,34&lt;'EDT Y TAREAS'!AL32),'EDT Y TAREAS'!AH32/'EDT Y TAREAS'!M32,0),IF(AND(34&gt;='EDT Y TAREAS'!AK41,34&lt;'EDT Y TAREAS'!AL41),'EDT Y TAREAS'!AH41/'EDT Y TAREAS'!M41,0),IF(AND(34&gt;='EDT Y TAREAS'!AK44,34&lt;'EDT Y TAREAS'!AL44),'EDT Y TAREAS'!AH44/'EDT Y TAREAS'!M44,0),IF(AND(34&gt;='EDT Y TAREAS'!AK46,34&lt;'EDT Y TAREAS'!AL46),'EDT Y TAREAS'!AH46/'EDT Y TAREAS'!M46,0),IF(AND(34&gt;='EDT Y TAREAS'!AK48,34&lt;'EDT Y TAREAS'!AL48),'EDT Y TAREAS'!AH48/'EDT Y TAREAS'!M48,0))</x:f>
        <x:v>3.2</x:v>
      </x:c>
      <x:c r="G74" s="35" t="n">
        <x:f>SUM(IF(AND(34&gt;='EDT Y TAREAS'!AK20,34&lt;'EDT Y TAREAS'!AL20),'EDT Y TAREAS'!AI20/'EDT Y TAREAS'!M20,0),IF(AND(34&gt;='EDT Y TAREAS'!AK25,34&lt;'EDT Y TAREAS'!AL25),'EDT Y TAREAS'!AI25/'EDT Y TAREAS'!M25,0),IF(AND(34&gt;='EDT Y TAREAS'!AK33,34&lt;'EDT Y TAREAS'!AL33),'EDT Y TAREAS'!AI33/'EDT Y TAREAS'!M33,0),IF(AND(34&gt;='EDT Y TAREAS'!AK34,34&lt;'EDT Y TAREAS'!AL34),'EDT Y TAREAS'!AI34/'EDT Y TAREAS'!M34,0),IF(AND(34&gt;='EDT Y TAREAS'!AK36,34&lt;'EDT Y TAREAS'!AL36),'EDT Y TAREAS'!AI36/'EDT Y TAREAS'!M36,0),IF(AND(34&gt;='EDT Y TAREAS'!AK39,34&lt;'EDT Y TAREAS'!AL39),'EDT Y TAREAS'!AI39/'EDT Y TAREAS'!M39,0),IF(AND(34&gt;='EDT Y TAREAS'!AK40,34&lt;'EDT Y TAREAS'!AL40),'EDT Y TAREAS'!AI40/'EDT Y TAREAS'!M40,0),IF(AND(34&gt;='EDT Y TAREAS'!AK42,34&lt;'EDT Y TAREAS'!AL42),'EDT Y TAREAS'!AI42/'EDT Y TAREAS'!M42,0),IF(AND(34&gt;='EDT Y TAREAS'!AK43,34&lt;'EDT Y TAREAS'!AL43),'EDT Y TAREAS'!AI43/'EDT Y TAREAS'!M43,0),IF(AND(34&gt;='EDT Y TAREAS'!AK44,34&lt;'EDT Y TAREAS'!AL44),'EDT Y TAREAS'!AI44/'EDT Y TAREAS'!M44,0),IF(AND(34&gt;='EDT Y TAREAS'!AK45,34&lt;'EDT Y TAREAS'!AL45),'EDT Y TAREAS'!AI45/'EDT Y TAREAS'!M45,0),IF(AND(34&gt;='EDT Y TAREAS'!AK46,34&lt;'EDT Y TAREAS'!AL46),'EDT Y TAREAS'!AI46/'EDT Y TAREAS'!M46,0),IF(AND(34&gt;='EDT Y TAREAS'!AK48,34&lt;'EDT Y TAREAS'!AL48),'EDT Y TAREAS'!AI48/'EDT Y TAREAS'!M48,0),IF(AND(34&gt;='EDT Y TAREAS'!AK50,34&lt;'EDT Y TAREAS'!AL50),'EDT Y TAREAS'!AI50/'EDT Y TAREAS'!M50,0),IF(AND(34&gt;='EDT Y TAREAS'!AK52,34&lt;'EDT Y TAREAS'!AL52),'EDT Y TAREAS'!AI52/'EDT Y TAREAS'!M52,0))</x:f>
        <x:v>0.8</x:v>
      </x:c>
      <x:c r="H74" s="35" t="n">
        <x:f>SUM(IF(AND(34&gt;='EDT Y TAREAS'!AK11,34&lt;'EDT Y TAREAS'!AL11),'EDT Y TAREAS'!AJ11/'EDT Y TAREAS'!M11,0),IF(AND(34&gt;='EDT Y TAREAS'!AK24,34&lt;'EDT Y TAREAS'!AL24),'EDT Y TAREAS'!AJ24/'EDT Y TAREAS'!M24,0),IF(AND(34&gt;='EDT Y TAREAS'!AK27,34&lt;'EDT Y TAREAS'!AL27),'EDT Y TAREAS'!AJ27/'EDT Y TAREAS'!M27,0),IF(AND(34&gt;='EDT Y TAREAS'!AK28,34&lt;'EDT Y TAREAS'!AL28),'EDT Y TAREAS'!AJ28/'EDT Y TAREAS'!M28,0),IF(AND(34&gt;='EDT Y TAREAS'!AK33,34&lt;'EDT Y TAREAS'!AL33),'EDT Y TAREAS'!AJ33/'EDT Y TAREAS'!M33,0),IF(AND(34&gt;='EDT Y TAREAS'!AK35,34&lt;'EDT Y TAREAS'!AL35),'EDT Y TAREAS'!AJ35/'EDT Y TAREAS'!M35,0),IF(AND(34&gt;='EDT Y TAREAS'!AK36,34&lt;'EDT Y TAREAS'!AL36),'EDT Y TAREAS'!AJ36/'EDT Y TAREAS'!M36,0),IF(AND(34&gt;='EDT Y TAREAS'!AK37,34&lt;'EDT Y TAREAS'!AL37),'EDT Y TAREAS'!AJ37/'EDT Y TAREAS'!M37,0),IF(AND(34&gt;='EDT Y TAREAS'!AK40,34&lt;'EDT Y TAREAS'!AL40),'EDT Y TAREAS'!AJ40/'EDT Y TAREAS'!M40,0),IF(AND(34&gt;='EDT Y TAREAS'!AK42,34&lt;'EDT Y TAREAS'!AL42),'EDT Y TAREAS'!AJ42/'EDT Y TAREAS'!M42,0),IF(AND(34&gt;='EDT Y TAREAS'!AK49,34&lt;'EDT Y TAREAS'!AL49),'EDT Y TAREAS'!AJ49/'EDT Y TAREAS'!M49,0),IF(AND(34&gt;='EDT Y TAREAS'!AK50,34&lt;'EDT Y TAREAS'!AL50),'EDT Y TAREAS'!AJ50/'EDT Y TAREAS'!M50,0),IF(AND(34&gt;='EDT Y TAREAS'!AK51,34&lt;'EDT Y TAREAS'!AL51),'EDT Y TAREAS'!AJ51/'EDT Y TAREAS'!M51,0),IF(AND(34&gt;='EDT Y TAREAS'!AK52,34&lt;'EDT Y TAREAS'!AL52),'EDT Y TAREAS'!AJ52/'EDT Y TAREAS'!M52,0))</x:f>
        <x:v>1.6</x:v>
      </x:c>
      <x:c r="I74" s="10" t="n">
        <x:f>WORKDAY('RESUMEN'!$D$3-1,A74,'RESUMEN'!$J$6:$J$25)</x:f>
        <x:v>46374</x:v>
      </x:c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  <x:c r="AJ74" s="3"/>
      <x:c r="AK74" s="3"/>
      <x:c r="AL74" s="3"/>
      <x:c r="AM74" s="3"/>
      <x:c r="AN74" s="3"/>
      <x:c r="AO74" s="3"/>
    </x:row>
    <x:row r="75" ht="24" customHeight="1">
      <x:c r="A75" s="3" t="n">
        <x:v>36</x:v>
      </x:c>
      <x:c r="B75" s="35" t="n">
        <x:f>SUM(IF(AND(35&gt;='EDT Y TAREAS'!AK6,35&lt;'EDT Y TAREAS'!AL6),'EDT Y TAREAS'!AD6/'EDT Y TAREAS'!M6,0),IF(AND(35&gt;='EDT Y TAREAS'!AK7,35&lt;'EDT Y TAREAS'!AL7),'EDT Y TAREAS'!AD7/'EDT Y TAREAS'!M7,0),IF(AND(35&gt;='EDT Y TAREAS'!AK8,35&lt;'EDT Y TAREAS'!AL8),'EDT Y TAREAS'!AD8/'EDT Y TAREAS'!M8,0),IF(AND(35&gt;='EDT Y TAREAS'!AK9,35&lt;'EDT Y TAREAS'!AL9),'EDT Y TAREAS'!AD9/'EDT Y TAREAS'!M9,0),IF(AND(35&gt;='EDT Y TAREAS'!AK10,35&lt;'EDT Y TAREAS'!AL10),'EDT Y TAREAS'!AD10/'EDT Y TAREAS'!M10,0),IF(AND(35&gt;='EDT Y TAREAS'!AK11,35&lt;'EDT Y TAREAS'!AL11),'EDT Y TAREAS'!AD11/'EDT Y TAREAS'!M11,0),IF(AND(35&gt;='EDT Y TAREAS'!AK12,35&lt;'EDT Y TAREAS'!AL12),'EDT Y TAREAS'!AD12/'EDT Y TAREAS'!M12,0),IF(AND(35&gt;='EDT Y TAREAS'!AK13,35&lt;'EDT Y TAREAS'!AL13),'EDT Y TAREAS'!AD13/'EDT Y TAREAS'!M13,0),IF(AND(35&gt;='EDT Y TAREAS'!AK14,35&lt;'EDT Y TAREAS'!AL14),'EDT Y TAREAS'!AD14/'EDT Y TAREAS'!M14,0),IF(AND(35&gt;='EDT Y TAREAS'!AK15,35&lt;'EDT Y TAREAS'!AL15),'EDT Y TAREAS'!AD15/'EDT Y TAREAS'!M15,0),IF(AND(35&gt;='EDT Y TAREAS'!AK16,35&lt;'EDT Y TAREAS'!AL16),'EDT Y TAREAS'!AD16/'EDT Y TAREAS'!M16,0),IF(AND(35&gt;='EDT Y TAREAS'!AK17,35&lt;'EDT Y TAREAS'!AL17),'EDT Y TAREAS'!AD17/'EDT Y TAREAS'!M17,0),IF(AND(35&gt;='EDT Y TAREAS'!AK18,35&lt;'EDT Y TAREAS'!AL18),'EDT Y TAREAS'!AD18/'EDT Y TAREAS'!M18,0),IF(AND(35&gt;='EDT Y TAREAS'!AK19,35&lt;'EDT Y TAREAS'!AL19),'EDT Y TAREAS'!AD19/'EDT Y TAREAS'!M19,0),IF(AND(35&gt;='EDT Y TAREAS'!AK20,35&lt;'EDT Y TAREAS'!AL20),'EDT Y TAREAS'!AD20/'EDT Y TAREAS'!M20,0),IF(AND(35&gt;='EDT Y TAREAS'!AK21,35&lt;'EDT Y TAREAS'!AL21),'EDT Y TAREAS'!AD21/'EDT Y TAREAS'!M21,0),IF(AND(35&gt;='EDT Y TAREAS'!AK22,35&lt;'EDT Y TAREAS'!AL22),'EDT Y TAREAS'!AD22/'EDT Y TAREAS'!M22,0),IF(AND(35&gt;='EDT Y TAREAS'!AK23,35&lt;'EDT Y TAREAS'!AL23),'EDT Y TAREAS'!AD23/'EDT Y TAREAS'!M23,0),IF(AND(35&gt;='EDT Y TAREAS'!AK26,35&lt;'EDT Y TAREAS'!AL26),'EDT Y TAREAS'!AD26/'EDT Y TAREAS'!M26,0),IF(AND(35&gt;='EDT Y TAREAS'!AK28,35&lt;'EDT Y TAREAS'!AL28),'EDT Y TAREAS'!AD28/'EDT Y TAREAS'!M28,0),IF(AND(35&gt;='EDT Y TAREAS'!AK30,35&lt;'EDT Y TAREAS'!AL30),'EDT Y TAREAS'!AD30/'EDT Y TAREAS'!M30,0),IF(AND(35&gt;='EDT Y TAREAS'!AK32,35&lt;'EDT Y TAREAS'!AL32),'EDT Y TAREAS'!AD32/'EDT Y TAREAS'!M32,0),IF(AND(35&gt;='EDT Y TAREAS'!AK34,35&lt;'EDT Y TAREAS'!AL34),'EDT Y TAREAS'!AD34/'EDT Y TAREAS'!M34,0),IF(AND(35&gt;='EDT Y TAREAS'!AK38,35&lt;'EDT Y TAREAS'!AL38),'EDT Y TAREAS'!AD38/'EDT Y TAREAS'!M38,0),IF(AND(35&gt;='EDT Y TAREAS'!AK39,35&lt;'EDT Y TAREAS'!AL39),'EDT Y TAREAS'!AD39/'EDT Y TAREAS'!M39,0),IF(AND(35&gt;='EDT Y TAREAS'!AK43,35&lt;'EDT Y TAREAS'!AL43),'EDT Y TAREAS'!AD43/'EDT Y TAREAS'!M43,0),IF(AND(35&gt;='EDT Y TAREAS'!AK44,35&lt;'EDT Y TAREAS'!AL44),'EDT Y TAREAS'!AD44/'EDT Y TAREAS'!M44,0),IF(AND(35&gt;='EDT Y TAREAS'!AK45,35&lt;'EDT Y TAREAS'!AL45),'EDT Y TAREAS'!AD45/'EDT Y TAREAS'!M45,0),IF(AND(35&gt;='EDT Y TAREAS'!AK46,35&lt;'EDT Y TAREAS'!AL46),'EDT Y TAREAS'!AD46/'EDT Y TAREAS'!M46,0),IF(AND(35&gt;='EDT Y TAREAS'!AK47,35&lt;'EDT Y TAREAS'!AL47),'EDT Y TAREAS'!AD47/'EDT Y TAREAS'!M47,0),IF(AND(35&gt;='EDT Y TAREAS'!AK49,35&lt;'EDT Y TAREAS'!AL49),'EDT Y TAREAS'!AD49/'EDT Y TAREAS'!M49,0),IF(AND(35&gt;='EDT Y TAREAS'!AK50,35&lt;'EDT Y TAREAS'!AL50),'EDT Y TAREAS'!AD50/'EDT Y TAREAS'!M50,0),IF(AND(35&gt;='EDT Y TAREAS'!AK51,35&lt;'EDT Y TAREAS'!AL51),'EDT Y TAREAS'!AD51/'EDT Y TAREAS'!M51,0),IF(AND(35&gt;='EDT Y TAREAS'!AK52,35&lt;'EDT Y TAREAS'!AL52),'EDT Y TAREAS'!AD52/'EDT Y TAREAS'!M52,0))</x:f>
        <x:v>6</x:v>
      </x:c>
      <x:c r="C75" s="35" t="n">
        <x:f>SUM(IF(AND(35&gt;='EDT Y TAREAS'!AK6,35&lt;'EDT Y TAREAS'!AL6),'EDT Y TAREAS'!AE6/'EDT Y TAREAS'!M6,0),IF(AND(35&gt;='EDT Y TAREAS'!AK8,35&lt;'EDT Y TAREAS'!AL8),'EDT Y TAREAS'!AE8/'EDT Y TAREAS'!M8,0),IF(AND(35&gt;='EDT Y TAREAS'!AK9,35&lt;'EDT Y TAREAS'!AL9),'EDT Y TAREAS'!AE9/'EDT Y TAREAS'!M9,0),IF(AND(35&gt;='EDT Y TAREAS'!AK10,35&lt;'EDT Y TAREAS'!AL10),'EDT Y TAREAS'!AE10/'EDT Y TAREAS'!M10,0),IF(AND(35&gt;='EDT Y TAREAS'!AK12,35&lt;'EDT Y TAREAS'!AL12),'EDT Y TAREAS'!AE12/'EDT Y TAREAS'!M12,0),IF(AND(35&gt;='EDT Y TAREAS'!AK16,35&lt;'EDT Y TAREAS'!AL16),'EDT Y TAREAS'!AE16/'EDT Y TAREAS'!M16,0),IF(AND(35&gt;='EDT Y TAREAS'!AK21,35&lt;'EDT Y TAREAS'!AL21),'EDT Y TAREAS'!AE21/'EDT Y TAREAS'!M21,0),IF(AND(35&gt;='EDT Y TAREAS'!AK23,35&lt;'EDT Y TAREAS'!AL23),'EDT Y TAREAS'!AE23/'EDT Y TAREAS'!M23,0),IF(AND(35&gt;='EDT Y TAREAS'!AK37,35&lt;'EDT Y TAREAS'!AL37),'EDT Y TAREAS'!AE37/'EDT Y TAREAS'!M37,0),IF(AND(35&gt;='EDT Y TAREAS'!AK38,35&lt;'EDT Y TAREAS'!AL38),'EDT Y TAREAS'!AE38/'EDT Y TAREAS'!M38,0),IF(AND(35&gt;='EDT Y TAREAS'!AK41,35&lt;'EDT Y TAREAS'!AL41),'EDT Y TAREAS'!AE41/'EDT Y TAREAS'!M41,0),IF(AND(35&gt;='EDT Y TAREAS'!AK43,35&lt;'EDT Y TAREAS'!AL43),'EDT Y TAREAS'!AE43/'EDT Y TAREAS'!M43,0),IF(AND(35&gt;='EDT Y TAREAS'!AK44,35&lt;'EDT Y TAREAS'!AL44),'EDT Y TAREAS'!AE44/'EDT Y TAREAS'!M44,0),IF(AND(35&gt;='EDT Y TAREAS'!AK46,35&lt;'EDT Y TAREAS'!AL46),'EDT Y TAREAS'!AE46/'EDT Y TAREAS'!M46,0),IF(AND(35&gt;='EDT Y TAREAS'!AK47,35&lt;'EDT Y TAREAS'!AL47),'EDT Y TAREAS'!AE47/'EDT Y TAREAS'!M47,0),IF(AND(35&gt;='EDT Y TAREAS'!AK51,35&lt;'EDT Y TAREAS'!AL51),'EDT Y TAREAS'!AE51/'EDT Y TAREAS'!M51,0),IF(AND(35&gt;='EDT Y TAREAS'!AK52,35&lt;'EDT Y TAREAS'!AL52),'EDT Y TAREAS'!AE52/'EDT Y TAREAS'!M52,0))</x:f>
        <x:v>2</x:v>
      </x:c>
      <x:c r="D75" s="35" t="n">
        <x:f>SUM(IF(AND(35&gt;='EDT Y TAREAS'!AK11,35&lt;'EDT Y TAREAS'!AL11),'EDT Y TAREAS'!AF11/'EDT Y TAREAS'!M11,0),IF(AND(35&gt;='EDT Y TAREAS'!AK24,35&lt;'EDT Y TAREAS'!AL24),'EDT Y TAREAS'!AF24/'EDT Y TAREAS'!M24,0),IF(AND(35&gt;='EDT Y TAREAS'!AK25,35&lt;'EDT Y TAREAS'!AL25),'EDT Y TAREAS'!AF25/'EDT Y TAREAS'!M25,0),IF(AND(35&gt;='EDT Y TAREAS'!AK26,35&lt;'EDT Y TAREAS'!AL26),'EDT Y TAREAS'!AF26/'EDT Y TAREAS'!M26,0),IF(AND(35&gt;='EDT Y TAREAS'!AK27,35&lt;'EDT Y TAREAS'!AL27),'EDT Y TAREAS'!AF27/'EDT Y TAREAS'!M27,0),IF(AND(35&gt;='EDT Y TAREAS'!AK28,35&lt;'EDT Y TAREAS'!AL28),'EDT Y TAREAS'!AF28/'EDT Y TAREAS'!M28,0),IF(AND(35&gt;='EDT Y TAREAS'!AK31,35&lt;'EDT Y TAREAS'!AL31),'EDT Y TAREAS'!AF31/'EDT Y TAREAS'!M31,0),IF(AND(35&gt;='EDT Y TAREAS'!AK33,35&lt;'EDT Y TAREAS'!AL33),'EDT Y TAREAS'!AF33/'EDT Y TAREAS'!M33,0),IF(AND(35&gt;='EDT Y TAREAS'!AK34,35&lt;'EDT Y TAREAS'!AL34),'EDT Y TAREAS'!AF34/'EDT Y TAREAS'!M34,0),IF(AND(35&gt;='EDT Y TAREAS'!AK35,35&lt;'EDT Y TAREAS'!AL35),'EDT Y TAREAS'!AF35/'EDT Y TAREAS'!M35,0),IF(AND(35&gt;='EDT Y TAREAS'!AK37,35&lt;'EDT Y TAREAS'!AL37),'EDT Y TAREAS'!AF37/'EDT Y TAREAS'!M37,0),IF(AND(35&gt;='EDT Y TAREAS'!AK39,35&lt;'EDT Y TAREAS'!AL39),'EDT Y TAREAS'!AF39/'EDT Y TAREAS'!M39,0),IF(AND(35&gt;='EDT Y TAREAS'!AK40,35&lt;'EDT Y TAREAS'!AL40),'EDT Y TAREAS'!AF40/'EDT Y TAREAS'!M40,0),IF(AND(35&gt;='EDT Y TAREAS'!AK42,35&lt;'EDT Y TAREAS'!AL42),'EDT Y TAREAS'!AF42/'EDT Y TAREAS'!M42,0),IF(AND(35&gt;='EDT Y TAREAS'!AK45,35&lt;'EDT Y TAREAS'!AL45),'EDT Y TAREAS'!AF45/'EDT Y TAREAS'!M45,0),IF(AND(35&gt;='EDT Y TAREAS'!AK49,35&lt;'EDT Y TAREAS'!AL49),'EDT Y TAREAS'!AF49/'EDT Y TAREAS'!M49,0),IF(AND(35&gt;='EDT Y TAREAS'!AK52,35&lt;'EDT Y TAREAS'!AL52),'EDT Y TAREAS'!AF52/'EDT Y TAREAS'!M52,0))</x:f>
        <x:v>6.3999999999999995</x:v>
      </x:c>
      <x:c r="E75" s="35" t="n">
        <x:f>SUM(IF(AND(35&gt;='EDT Y TAREAS'!AK29,35&lt;'EDT Y TAREAS'!AL29),'EDT Y TAREAS'!AG29/'EDT Y TAREAS'!M29,0),IF(AND(35&gt;='EDT Y TAREAS'!AK30,35&lt;'EDT Y TAREAS'!AL30),'EDT Y TAREAS'!AG30/'EDT Y TAREAS'!M30,0),IF(AND(35&gt;='EDT Y TAREAS'!AK31,35&lt;'EDT Y TAREAS'!AL31),'EDT Y TAREAS'!AG31/'EDT Y TAREAS'!M31,0),IF(AND(35&gt;='EDT Y TAREAS'!AK32,35&lt;'EDT Y TAREAS'!AL32),'EDT Y TAREAS'!AG32/'EDT Y TAREAS'!M32,0),IF(AND(35&gt;='EDT Y TAREAS'!AK41,35&lt;'EDT Y TAREAS'!AL41),'EDT Y TAREAS'!AG41/'EDT Y TAREAS'!M41,0),IF(AND(35&gt;='EDT Y TAREAS'!AK45,35&lt;'EDT Y TAREAS'!AL45),'EDT Y TAREAS'!AG45/'EDT Y TAREAS'!M45,0),IF(AND(35&gt;='EDT Y TAREAS'!AK48,35&lt;'EDT Y TAREAS'!AL48),'EDT Y TAREAS'!AG48/'EDT Y TAREAS'!M48,0))</x:f>
        <x:v>0</x:v>
      </x:c>
      <x:c r="F75" s="35" t="n">
        <x:f>SUM(IF(AND(35&gt;='EDT Y TAREAS'!AK10,35&lt;'EDT Y TAREAS'!AL10),'EDT Y TAREAS'!AH10/'EDT Y TAREAS'!M10,0),IF(AND(35&gt;='EDT Y TAREAS'!AK12,35&lt;'EDT Y TAREAS'!AL12),'EDT Y TAREAS'!AH12/'EDT Y TAREAS'!M12,0),IF(AND(35&gt;='EDT Y TAREAS'!AK22,35&lt;'EDT Y TAREAS'!AL22),'EDT Y TAREAS'!AH22/'EDT Y TAREAS'!M22,0),IF(AND(35&gt;='EDT Y TAREAS'!AK23,35&lt;'EDT Y TAREAS'!AL23),'EDT Y TAREAS'!AH23/'EDT Y TAREAS'!M23,0),IF(AND(35&gt;='EDT Y TAREAS'!AK29,35&lt;'EDT Y TAREAS'!AL29),'EDT Y TAREAS'!AH29/'EDT Y TAREAS'!M29,0),IF(AND(35&gt;='EDT Y TAREAS'!AK30,35&lt;'EDT Y TAREAS'!AL30),'EDT Y TAREAS'!AH30/'EDT Y TAREAS'!M30,0),IF(AND(35&gt;='EDT Y TAREAS'!AK32,35&lt;'EDT Y TAREAS'!AL32),'EDT Y TAREAS'!AH32/'EDT Y TAREAS'!M32,0),IF(AND(35&gt;='EDT Y TAREAS'!AK41,35&lt;'EDT Y TAREAS'!AL41),'EDT Y TAREAS'!AH41/'EDT Y TAREAS'!M41,0),IF(AND(35&gt;='EDT Y TAREAS'!AK44,35&lt;'EDT Y TAREAS'!AL44),'EDT Y TAREAS'!AH44/'EDT Y TAREAS'!M44,0),IF(AND(35&gt;='EDT Y TAREAS'!AK46,35&lt;'EDT Y TAREAS'!AL46),'EDT Y TAREAS'!AH46/'EDT Y TAREAS'!M46,0),IF(AND(35&gt;='EDT Y TAREAS'!AK48,35&lt;'EDT Y TAREAS'!AL48),'EDT Y TAREAS'!AH48/'EDT Y TAREAS'!M48,0))</x:f>
        <x:v>3.2</x:v>
      </x:c>
      <x:c r="G75" s="35" t="n">
        <x:f>SUM(IF(AND(35&gt;='EDT Y TAREAS'!AK20,35&lt;'EDT Y TAREAS'!AL20),'EDT Y TAREAS'!AI20/'EDT Y TAREAS'!M20,0),IF(AND(35&gt;='EDT Y TAREAS'!AK25,35&lt;'EDT Y TAREAS'!AL25),'EDT Y TAREAS'!AI25/'EDT Y TAREAS'!M25,0),IF(AND(35&gt;='EDT Y TAREAS'!AK33,35&lt;'EDT Y TAREAS'!AL33),'EDT Y TAREAS'!AI33/'EDT Y TAREAS'!M33,0),IF(AND(35&gt;='EDT Y TAREAS'!AK34,35&lt;'EDT Y TAREAS'!AL34),'EDT Y TAREAS'!AI34/'EDT Y TAREAS'!M34,0),IF(AND(35&gt;='EDT Y TAREAS'!AK36,35&lt;'EDT Y TAREAS'!AL36),'EDT Y TAREAS'!AI36/'EDT Y TAREAS'!M36,0),IF(AND(35&gt;='EDT Y TAREAS'!AK39,35&lt;'EDT Y TAREAS'!AL39),'EDT Y TAREAS'!AI39/'EDT Y TAREAS'!M39,0),IF(AND(35&gt;='EDT Y TAREAS'!AK40,35&lt;'EDT Y TAREAS'!AL40),'EDT Y TAREAS'!AI40/'EDT Y TAREAS'!M40,0),IF(AND(35&gt;='EDT Y TAREAS'!AK42,35&lt;'EDT Y TAREAS'!AL42),'EDT Y TAREAS'!AI42/'EDT Y TAREAS'!M42,0),IF(AND(35&gt;='EDT Y TAREAS'!AK43,35&lt;'EDT Y TAREAS'!AL43),'EDT Y TAREAS'!AI43/'EDT Y TAREAS'!M43,0),IF(AND(35&gt;='EDT Y TAREAS'!AK44,35&lt;'EDT Y TAREAS'!AL44),'EDT Y TAREAS'!AI44/'EDT Y TAREAS'!M44,0),IF(AND(35&gt;='EDT Y TAREAS'!AK45,35&lt;'EDT Y TAREAS'!AL45),'EDT Y TAREAS'!AI45/'EDT Y TAREAS'!M45,0),IF(AND(35&gt;='EDT Y TAREAS'!AK46,35&lt;'EDT Y TAREAS'!AL46),'EDT Y TAREAS'!AI46/'EDT Y TAREAS'!M46,0),IF(AND(35&gt;='EDT Y TAREAS'!AK48,35&lt;'EDT Y TAREAS'!AL48),'EDT Y TAREAS'!AI48/'EDT Y TAREAS'!M48,0),IF(AND(35&gt;='EDT Y TAREAS'!AK50,35&lt;'EDT Y TAREAS'!AL50),'EDT Y TAREAS'!AI50/'EDT Y TAREAS'!M50,0),IF(AND(35&gt;='EDT Y TAREAS'!AK52,35&lt;'EDT Y TAREAS'!AL52),'EDT Y TAREAS'!AI52/'EDT Y TAREAS'!M52,0))</x:f>
        <x:v>0.8</x:v>
      </x:c>
      <x:c r="H75" s="35" t="n">
        <x:f>SUM(IF(AND(35&gt;='EDT Y TAREAS'!AK11,35&lt;'EDT Y TAREAS'!AL11),'EDT Y TAREAS'!AJ11/'EDT Y TAREAS'!M11,0),IF(AND(35&gt;='EDT Y TAREAS'!AK24,35&lt;'EDT Y TAREAS'!AL24),'EDT Y TAREAS'!AJ24/'EDT Y TAREAS'!M24,0),IF(AND(35&gt;='EDT Y TAREAS'!AK27,35&lt;'EDT Y TAREAS'!AL27),'EDT Y TAREAS'!AJ27/'EDT Y TAREAS'!M27,0),IF(AND(35&gt;='EDT Y TAREAS'!AK28,35&lt;'EDT Y TAREAS'!AL28),'EDT Y TAREAS'!AJ28/'EDT Y TAREAS'!M28,0),IF(AND(35&gt;='EDT Y TAREAS'!AK33,35&lt;'EDT Y TAREAS'!AL33),'EDT Y TAREAS'!AJ33/'EDT Y TAREAS'!M33,0),IF(AND(35&gt;='EDT Y TAREAS'!AK35,35&lt;'EDT Y TAREAS'!AL35),'EDT Y TAREAS'!AJ35/'EDT Y TAREAS'!M35,0),IF(AND(35&gt;='EDT Y TAREAS'!AK36,35&lt;'EDT Y TAREAS'!AL36),'EDT Y TAREAS'!AJ36/'EDT Y TAREAS'!M36,0),IF(AND(35&gt;='EDT Y TAREAS'!AK37,35&lt;'EDT Y TAREAS'!AL37),'EDT Y TAREAS'!AJ37/'EDT Y TAREAS'!M37,0),IF(AND(35&gt;='EDT Y TAREAS'!AK40,35&lt;'EDT Y TAREAS'!AL40),'EDT Y TAREAS'!AJ40/'EDT Y TAREAS'!M40,0),IF(AND(35&gt;='EDT Y TAREAS'!AK42,35&lt;'EDT Y TAREAS'!AL42),'EDT Y TAREAS'!AJ42/'EDT Y TAREAS'!M42,0),IF(AND(35&gt;='EDT Y TAREAS'!AK49,35&lt;'EDT Y TAREAS'!AL49),'EDT Y TAREAS'!AJ49/'EDT Y TAREAS'!M49,0),IF(AND(35&gt;='EDT Y TAREAS'!AK50,35&lt;'EDT Y TAREAS'!AL50),'EDT Y TAREAS'!AJ50/'EDT Y TAREAS'!M50,0),IF(AND(35&gt;='EDT Y TAREAS'!AK51,35&lt;'EDT Y TAREAS'!AL51),'EDT Y TAREAS'!AJ51/'EDT Y TAREAS'!M51,0),IF(AND(35&gt;='EDT Y TAREAS'!AK52,35&lt;'EDT Y TAREAS'!AL52),'EDT Y TAREAS'!AJ52/'EDT Y TAREAS'!M52,0))</x:f>
        <x:v>1.6</x:v>
      </x:c>
      <x:c r="I75" s="10" t="n">
        <x:f>WORKDAY('RESUMEN'!$D$3-1,A75,'RESUMEN'!$J$6:$J$25)</x:f>
        <x:v>46377</x:v>
      </x:c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  <x:c r="AH75" s="3"/>
      <x:c r="AI75" s="3"/>
      <x:c r="AJ75" s="3"/>
      <x:c r="AK75" s="3"/>
      <x:c r="AL75" s="3"/>
      <x:c r="AM75" s="3"/>
      <x:c r="AN75" s="3"/>
      <x:c r="AO75" s="3"/>
    </x:row>
    <x:row r="76" ht="24" customHeight="1">
      <x:c r="A76" s="3" t="n">
        <x:v>37</x:v>
      </x:c>
      <x:c r="B76" s="35" t="n">
        <x:f>SUM(IF(AND(36&gt;='EDT Y TAREAS'!AK6,36&lt;'EDT Y TAREAS'!AL6),'EDT Y TAREAS'!AD6/'EDT Y TAREAS'!M6,0),IF(AND(36&gt;='EDT Y TAREAS'!AK7,36&lt;'EDT Y TAREAS'!AL7),'EDT Y TAREAS'!AD7/'EDT Y TAREAS'!M7,0),IF(AND(36&gt;='EDT Y TAREAS'!AK8,36&lt;'EDT Y TAREAS'!AL8),'EDT Y TAREAS'!AD8/'EDT Y TAREAS'!M8,0),IF(AND(36&gt;='EDT Y TAREAS'!AK9,36&lt;'EDT Y TAREAS'!AL9),'EDT Y TAREAS'!AD9/'EDT Y TAREAS'!M9,0),IF(AND(36&gt;='EDT Y TAREAS'!AK10,36&lt;'EDT Y TAREAS'!AL10),'EDT Y TAREAS'!AD10/'EDT Y TAREAS'!M10,0),IF(AND(36&gt;='EDT Y TAREAS'!AK11,36&lt;'EDT Y TAREAS'!AL11),'EDT Y TAREAS'!AD11/'EDT Y TAREAS'!M11,0),IF(AND(36&gt;='EDT Y TAREAS'!AK12,36&lt;'EDT Y TAREAS'!AL12),'EDT Y TAREAS'!AD12/'EDT Y TAREAS'!M12,0),IF(AND(36&gt;='EDT Y TAREAS'!AK13,36&lt;'EDT Y TAREAS'!AL13),'EDT Y TAREAS'!AD13/'EDT Y TAREAS'!M13,0),IF(AND(36&gt;='EDT Y TAREAS'!AK14,36&lt;'EDT Y TAREAS'!AL14),'EDT Y TAREAS'!AD14/'EDT Y TAREAS'!M14,0),IF(AND(36&gt;='EDT Y TAREAS'!AK15,36&lt;'EDT Y TAREAS'!AL15),'EDT Y TAREAS'!AD15/'EDT Y TAREAS'!M15,0),IF(AND(36&gt;='EDT Y TAREAS'!AK16,36&lt;'EDT Y TAREAS'!AL16),'EDT Y TAREAS'!AD16/'EDT Y TAREAS'!M16,0),IF(AND(36&gt;='EDT Y TAREAS'!AK17,36&lt;'EDT Y TAREAS'!AL17),'EDT Y TAREAS'!AD17/'EDT Y TAREAS'!M17,0),IF(AND(36&gt;='EDT Y TAREAS'!AK18,36&lt;'EDT Y TAREAS'!AL18),'EDT Y TAREAS'!AD18/'EDT Y TAREAS'!M18,0),IF(AND(36&gt;='EDT Y TAREAS'!AK19,36&lt;'EDT Y TAREAS'!AL19),'EDT Y TAREAS'!AD19/'EDT Y TAREAS'!M19,0),IF(AND(36&gt;='EDT Y TAREAS'!AK20,36&lt;'EDT Y TAREAS'!AL20),'EDT Y TAREAS'!AD20/'EDT Y TAREAS'!M20,0),IF(AND(36&gt;='EDT Y TAREAS'!AK21,36&lt;'EDT Y TAREAS'!AL21),'EDT Y TAREAS'!AD21/'EDT Y TAREAS'!M21,0),IF(AND(36&gt;='EDT Y TAREAS'!AK22,36&lt;'EDT Y TAREAS'!AL22),'EDT Y TAREAS'!AD22/'EDT Y TAREAS'!M22,0),IF(AND(36&gt;='EDT Y TAREAS'!AK23,36&lt;'EDT Y TAREAS'!AL23),'EDT Y TAREAS'!AD23/'EDT Y TAREAS'!M23,0),IF(AND(36&gt;='EDT Y TAREAS'!AK26,36&lt;'EDT Y TAREAS'!AL26),'EDT Y TAREAS'!AD26/'EDT Y TAREAS'!M26,0),IF(AND(36&gt;='EDT Y TAREAS'!AK28,36&lt;'EDT Y TAREAS'!AL28),'EDT Y TAREAS'!AD28/'EDT Y TAREAS'!M28,0),IF(AND(36&gt;='EDT Y TAREAS'!AK30,36&lt;'EDT Y TAREAS'!AL30),'EDT Y TAREAS'!AD30/'EDT Y TAREAS'!M30,0),IF(AND(36&gt;='EDT Y TAREAS'!AK32,36&lt;'EDT Y TAREAS'!AL32),'EDT Y TAREAS'!AD32/'EDT Y TAREAS'!M32,0),IF(AND(36&gt;='EDT Y TAREAS'!AK34,36&lt;'EDT Y TAREAS'!AL34),'EDT Y TAREAS'!AD34/'EDT Y TAREAS'!M34,0),IF(AND(36&gt;='EDT Y TAREAS'!AK38,36&lt;'EDT Y TAREAS'!AL38),'EDT Y TAREAS'!AD38/'EDT Y TAREAS'!M38,0),IF(AND(36&gt;='EDT Y TAREAS'!AK39,36&lt;'EDT Y TAREAS'!AL39),'EDT Y TAREAS'!AD39/'EDT Y TAREAS'!M39,0),IF(AND(36&gt;='EDT Y TAREAS'!AK43,36&lt;'EDT Y TAREAS'!AL43),'EDT Y TAREAS'!AD43/'EDT Y TAREAS'!M43,0),IF(AND(36&gt;='EDT Y TAREAS'!AK44,36&lt;'EDT Y TAREAS'!AL44),'EDT Y TAREAS'!AD44/'EDT Y TAREAS'!M44,0),IF(AND(36&gt;='EDT Y TAREAS'!AK45,36&lt;'EDT Y TAREAS'!AL45),'EDT Y TAREAS'!AD45/'EDT Y TAREAS'!M45,0),IF(AND(36&gt;='EDT Y TAREAS'!AK46,36&lt;'EDT Y TAREAS'!AL46),'EDT Y TAREAS'!AD46/'EDT Y TAREAS'!M46,0),IF(AND(36&gt;='EDT Y TAREAS'!AK47,36&lt;'EDT Y TAREAS'!AL47),'EDT Y TAREAS'!AD47/'EDT Y TAREAS'!M47,0),IF(AND(36&gt;='EDT Y TAREAS'!AK49,36&lt;'EDT Y TAREAS'!AL49),'EDT Y TAREAS'!AD49/'EDT Y TAREAS'!M49,0),IF(AND(36&gt;='EDT Y TAREAS'!AK50,36&lt;'EDT Y TAREAS'!AL50),'EDT Y TAREAS'!AD50/'EDT Y TAREAS'!M50,0),IF(AND(36&gt;='EDT Y TAREAS'!AK51,36&lt;'EDT Y TAREAS'!AL51),'EDT Y TAREAS'!AD51/'EDT Y TAREAS'!M51,0),IF(AND(36&gt;='EDT Y TAREAS'!AK52,36&lt;'EDT Y TAREAS'!AL52),'EDT Y TAREAS'!AD52/'EDT Y TAREAS'!M52,0))</x:f>
        <x:v>6.8</x:v>
      </x:c>
      <x:c r="C76" s="35" t="n">
        <x:f>SUM(IF(AND(36&gt;='EDT Y TAREAS'!AK6,36&lt;'EDT Y TAREAS'!AL6),'EDT Y TAREAS'!AE6/'EDT Y TAREAS'!M6,0),IF(AND(36&gt;='EDT Y TAREAS'!AK8,36&lt;'EDT Y TAREAS'!AL8),'EDT Y TAREAS'!AE8/'EDT Y TAREAS'!M8,0),IF(AND(36&gt;='EDT Y TAREAS'!AK9,36&lt;'EDT Y TAREAS'!AL9),'EDT Y TAREAS'!AE9/'EDT Y TAREAS'!M9,0),IF(AND(36&gt;='EDT Y TAREAS'!AK10,36&lt;'EDT Y TAREAS'!AL10),'EDT Y TAREAS'!AE10/'EDT Y TAREAS'!M10,0),IF(AND(36&gt;='EDT Y TAREAS'!AK12,36&lt;'EDT Y TAREAS'!AL12),'EDT Y TAREAS'!AE12/'EDT Y TAREAS'!M12,0),IF(AND(36&gt;='EDT Y TAREAS'!AK16,36&lt;'EDT Y TAREAS'!AL16),'EDT Y TAREAS'!AE16/'EDT Y TAREAS'!M16,0),IF(AND(36&gt;='EDT Y TAREAS'!AK21,36&lt;'EDT Y TAREAS'!AL21),'EDT Y TAREAS'!AE21/'EDT Y TAREAS'!M21,0),IF(AND(36&gt;='EDT Y TAREAS'!AK23,36&lt;'EDT Y TAREAS'!AL23),'EDT Y TAREAS'!AE23/'EDT Y TAREAS'!M23,0),IF(AND(36&gt;='EDT Y TAREAS'!AK37,36&lt;'EDT Y TAREAS'!AL37),'EDT Y TAREAS'!AE37/'EDT Y TAREAS'!M37,0),IF(AND(36&gt;='EDT Y TAREAS'!AK38,36&lt;'EDT Y TAREAS'!AL38),'EDT Y TAREAS'!AE38/'EDT Y TAREAS'!M38,0),IF(AND(36&gt;='EDT Y TAREAS'!AK41,36&lt;'EDT Y TAREAS'!AL41),'EDT Y TAREAS'!AE41/'EDT Y TAREAS'!M41,0),IF(AND(36&gt;='EDT Y TAREAS'!AK43,36&lt;'EDT Y TAREAS'!AL43),'EDT Y TAREAS'!AE43/'EDT Y TAREAS'!M43,0),IF(AND(36&gt;='EDT Y TAREAS'!AK44,36&lt;'EDT Y TAREAS'!AL44),'EDT Y TAREAS'!AE44/'EDT Y TAREAS'!M44,0),IF(AND(36&gt;='EDT Y TAREAS'!AK46,36&lt;'EDT Y TAREAS'!AL46),'EDT Y TAREAS'!AE46/'EDT Y TAREAS'!M46,0),IF(AND(36&gt;='EDT Y TAREAS'!AK47,36&lt;'EDT Y TAREAS'!AL47),'EDT Y TAREAS'!AE47/'EDT Y TAREAS'!M47,0),IF(AND(36&gt;='EDT Y TAREAS'!AK51,36&lt;'EDT Y TAREAS'!AL51),'EDT Y TAREAS'!AE51/'EDT Y TAREAS'!M51,0),IF(AND(36&gt;='EDT Y TAREAS'!AK52,36&lt;'EDT Y TAREAS'!AL52),'EDT Y TAREAS'!AE52/'EDT Y TAREAS'!M52,0))</x:f>
        <x:v>2</x:v>
      </x:c>
      <x:c r="D76" s="35" t="n">
        <x:f>SUM(IF(AND(36&gt;='EDT Y TAREAS'!AK11,36&lt;'EDT Y TAREAS'!AL11),'EDT Y TAREAS'!AF11/'EDT Y TAREAS'!M11,0),IF(AND(36&gt;='EDT Y TAREAS'!AK24,36&lt;'EDT Y TAREAS'!AL24),'EDT Y TAREAS'!AF24/'EDT Y TAREAS'!M24,0),IF(AND(36&gt;='EDT Y TAREAS'!AK25,36&lt;'EDT Y TAREAS'!AL25),'EDT Y TAREAS'!AF25/'EDT Y TAREAS'!M25,0),IF(AND(36&gt;='EDT Y TAREAS'!AK26,36&lt;'EDT Y TAREAS'!AL26),'EDT Y TAREAS'!AF26/'EDT Y TAREAS'!M26,0),IF(AND(36&gt;='EDT Y TAREAS'!AK27,36&lt;'EDT Y TAREAS'!AL27),'EDT Y TAREAS'!AF27/'EDT Y TAREAS'!M27,0),IF(AND(36&gt;='EDT Y TAREAS'!AK28,36&lt;'EDT Y TAREAS'!AL28),'EDT Y TAREAS'!AF28/'EDT Y TAREAS'!M28,0),IF(AND(36&gt;='EDT Y TAREAS'!AK31,36&lt;'EDT Y TAREAS'!AL31),'EDT Y TAREAS'!AF31/'EDT Y TAREAS'!M31,0),IF(AND(36&gt;='EDT Y TAREAS'!AK33,36&lt;'EDT Y TAREAS'!AL33),'EDT Y TAREAS'!AF33/'EDT Y TAREAS'!M33,0),IF(AND(36&gt;='EDT Y TAREAS'!AK34,36&lt;'EDT Y TAREAS'!AL34),'EDT Y TAREAS'!AF34/'EDT Y TAREAS'!M34,0),IF(AND(36&gt;='EDT Y TAREAS'!AK35,36&lt;'EDT Y TAREAS'!AL35),'EDT Y TAREAS'!AF35/'EDT Y TAREAS'!M35,0),IF(AND(36&gt;='EDT Y TAREAS'!AK37,36&lt;'EDT Y TAREAS'!AL37),'EDT Y TAREAS'!AF37/'EDT Y TAREAS'!M37,0),IF(AND(36&gt;='EDT Y TAREAS'!AK39,36&lt;'EDT Y TAREAS'!AL39),'EDT Y TAREAS'!AF39/'EDT Y TAREAS'!M39,0),IF(AND(36&gt;='EDT Y TAREAS'!AK40,36&lt;'EDT Y TAREAS'!AL40),'EDT Y TAREAS'!AF40/'EDT Y TAREAS'!M40,0),IF(AND(36&gt;='EDT Y TAREAS'!AK42,36&lt;'EDT Y TAREAS'!AL42),'EDT Y TAREAS'!AF42/'EDT Y TAREAS'!M42,0),IF(AND(36&gt;='EDT Y TAREAS'!AK45,36&lt;'EDT Y TAREAS'!AL45),'EDT Y TAREAS'!AF45/'EDT Y TAREAS'!M45,0),IF(AND(36&gt;='EDT Y TAREAS'!AK49,36&lt;'EDT Y TAREAS'!AL49),'EDT Y TAREAS'!AF49/'EDT Y TAREAS'!M49,0),IF(AND(36&gt;='EDT Y TAREAS'!AK52,36&lt;'EDT Y TAREAS'!AL52),'EDT Y TAREAS'!AF52/'EDT Y TAREAS'!M52,0))</x:f>
        <x:v>5.6</x:v>
      </x:c>
      <x:c r="E76" s="35" t="n">
        <x:f>SUM(IF(AND(36&gt;='EDT Y TAREAS'!AK29,36&lt;'EDT Y TAREAS'!AL29),'EDT Y TAREAS'!AG29/'EDT Y TAREAS'!M29,0),IF(AND(36&gt;='EDT Y TAREAS'!AK30,36&lt;'EDT Y TAREAS'!AL30),'EDT Y TAREAS'!AG30/'EDT Y TAREAS'!M30,0),IF(AND(36&gt;='EDT Y TAREAS'!AK31,36&lt;'EDT Y TAREAS'!AL31),'EDT Y TAREAS'!AG31/'EDT Y TAREAS'!M31,0),IF(AND(36&gt;='EDT Y TAREAS'!AK32,36&lt;'EDT Y TAREAS'!AL32),'EDT Y TAREAS'!AG32/'EDT Y TAREAS'!M32,0),IF(AND(36&gt;='EDT Y TAREAS'!AK41,36&lt;'EDT Y TAREAS'!AL41),'EDT Y TAREAS'!AG41/'EDT Y TAREAS'!M41,0),IF(AND(36&gt;='EDT Y TAREAS'!AK45,36&lt;'EDT Y TAREAS'!AL45),'EDT Y TAREAS'!AG45/'EDT Y TAREAS'!M45,0),IF(AND(36&gt;='EDT Y TAREAS'!AK48,36&lt;'EDT Y TAREAS'!AL48),'EDT Y TAREAS'!AG48/'EDT Y TAREAS'!M48,0))</x:f>
        <x:v>0</x:v>
      </x:c>
      <x:c r="F76" s="35" t="n">
        <x:f>SUM(IF(AND(36&gt;='EDT Y TAREAS'!AK10,36&lt;'EDT Y TAREAS'!AL10),'EDT Y TAREAS'!AH10/'EDT Y TAREAS'!M10,0),IF(AND(36&gt;='EDT Y TAREAS'!AK12,36&lt;'EDT Y TAREAS'!AL12),'EDT Y TAREAS'!AH12/'EDT Y TAREAS'!M12,0),IF(AND(36&gt;='EDT Y TAREAS'!AK22,36&lt;'EDT Y TAREAS'!AL22),'EDT Y TAREAS'!AH22/'EDT Y TAREAS'!M22,0),IF(AND(36&gt;='EDT Y TAREAS'!AK23,36&lt;'EDT Y TAREAS'!AL23),'EDT Y TAREAS'!AH23/'EDT Y TAREAS'!M23,0),IF(AND(36&gt;='EDT Y TAREAS'!AK29,36&lt;'EDT Y TAREAS'!AL29),'EDT Y TAREAS'!AH29/'EDT Y TAREAS'!M29,0),IF(AND(36&gt;='EDT Y TAREAS'!AK30,36&lt;'EDT Y TAREAS'!AL30),'EDT Y TAREAS'!AH30/'EDT Y TAREAS'!M30,0),IF(AND(36&gt;='EDT Y TAREAS'!AK32,36&lt;'EDT Y TAREAS'!AL32),'EDT Y TAREAS'!AH32/'EDT Y TAREAS'!M32,0),IF(AND(36&gt;='EDT Y TAREAS'!AK41,36&lt;'EDT Y TAREAS'!AL41),'EDT Y TAREAS'!AH41/'EDT Y TAREAS'!M41,0),IF(AND(36&gt;='EDT Y TAREAS'!AK44,36&lt;'EDT Y TAREAS'!AL44),'EDT Y TAREAS'!AH44/'EDT Y TAREAS'!M44,0),IF(AND(36&gt;='EDT Y TAREAS'!AK46,36&lt;'EDT Y TAREAS'!AL46),'EDT Y TAREAS'!AH46/'EDT Y TAREAS'!M46,0),IF(AND(36&gt;='EDT Y TAREAS'!AK48,36&lt;'EDT Y TAREAS'!AL48),'EDT Y TAREAS'!AH48/'EDT Y TAREAS'!M48,0))</x:f>
        <x:v>2.4</x:v>
      </x:c>
      <x:c r="G76" s="35" t="n">
        <x:f>SUM(IF(AND(36&gt;='EDT Y TAREAS'!AK20,36&lt;'EDT Y TAREAS'!AL20),'EDT Y TAREAS'!AI20/'EDT Y TAREAS'!M20,0),IF(AND(36&gt;='EDT Y TAREAS'!AK25,36&lt;'EDT Y TAREAS'!AL25),'EDT Y TAREAS'!AI25/'EDT Y TAREAS'!M25,0),IF(AND(36&gt;='EDT Y TAREAS'!AK33,36&lt;'EDT Y TAREAS'!AL33),'EDT Y TAREAS'!AI33/'EDT Y TAREAS'!M33,0),IF(AND(36&gt;='EDT Y TAREAS'!AK34,36&lt;'EDT Y TAREAS'!AL34),'EDT Y TAREAS'!AI34/'EDT Y TAREAS'!M34,0),IF(AND(36&gt;='EDT Y TAREAS'!AK36,36&lt;'EDT Y TAREAS'!AL36),'EDT Y TAREAS'!AI36/'EDT Y TAREAS'!M36,0),IF(AND(36&gt;='EDT Y TAREAS'!AK39,36&lt;'EDT Y TAREAS'!AL39),'EDT Y TAREAS'!AI39/'EDT Y TAREAS'!M39,0),IF(AND(36&gt;='EDT Y TAREAS'!AK40,36&lt;'EDT Y TAREAS'!AL40),'EDT Y TAREAS'!AI40/'EDT Y TAREAS'!M40,0),IF(AND(36&gt;='EDT Y TAREAS'!AK42,36&lt;'EDT Y TAREAS'!AL42),'EDT Y TAREAS'!AI42/'EDT Y TAREAS'!M42,0),IF(AND(36&gt;='EDT Y TAREAS'!AK43,36&lt;'EDT Y TAREAS'!AL43),'EDT Y TAREAS'!AI43/'EDT Y TAREAS'!M43,0),IF(AND(36&gt;='EDT Y TAREAS'!AK44,36&lt;'EDT Y TAREAS'!AL44),'EDT Y TAREAS'!AI44/'EDT Y TAREAS'!M44,0),IF(AND(36&gt;='EDT Y TAREAS'!AK45,36&lt;'EDT Y TAREAS'!AL45),'EDT Y TAREAS'!AI45/'EDT Y TAREAS'!M45,0),IF(AND(36&gt;='EDT Y TAREAS'!AK46,36&lt;'EDT Y TAREAS'!AL46),'EDT Y TAREAS'!AI46/'EDT Y TAREAS'!M46,0),IF(AND(36&gt;='EDT Y TAREAS'!AK48,36&lt;'EDT Y TAREAS'!AL48),'EDT Y TAREAS'!AI48/'EDT Y TAREAS'!M48,0),IF(AND(36&gt;='EDT Y TAREAS'!AK50,36&lt;'EDT Y TAREAS'!AL50),'EDT Y TAREAS'!AI50/'EDT Y TAREAS'!M50,0),IF(AND(36&gt;='EDT Y TAREAS'!AK52,36&lt;'EDT Y TAREAS'!AL52),'EDT Y TAREAS'!AI52/'EDT Y TAREAS'!M52,0))</x:f>
        <x:v>0</x:v>
      </x:c>
      <x:c r="H76" s="35" t="n">
        <x:f>SUM(IF(AND(36&gt;='EDT Y TAREAS'!AK11,36&lt;'EDT Y TAREAS'!AL11),'EDT Y TAREAS'!AJ11/'EDT Y TAREAS'!M11,0),IF(AND(36&gt;='EDT Y TAREAS'!AK24,36&lt;'EDT Y TAREAS'!AL24),'EDT Y TAREAS'!AJ24/'EDT Y TAREAS'!M24,0),IF(AND(36&gt;='EDT Y TAREAS'!AK27,36&lt;'EDT Y TAREAS'!AL27),'EDT Y TAREAS'!AJ27/'EDT Y TAREAS'!M27,0),IF(AND(36&gt;='EDT Y TAREAS'!AK28,36&lt;'EDT Y TAREAS'!AL28),'EDT Y TAREAS'!AJ28/'EDT Y TAREAS'!M28,0),IF(AND(36&gt;='EDT Y TAREAS'!AK33,36&lt;'EDT Y TAREAS'!AL33),'EDT Y TAREAS'!AJ33/'EDT Y TAREAS'!M33,0),IF(AND(36&gt;='EDT Y TAREAS'!AK35,36&lt;'EDT Y TAREAS'!AL35),'EDT Y TAREAS'!AJ35/'EDT Y TAREAS'!M35,0),IF(AND(36&gt;='EDT Y TAREAS'!AK36,36&lt;'EDT Y TAREAS'!AL36),'EDT Y TAREAS'!AJ36/'EDT Y TAREAS'!M36,0),IF(AND(36&gt;='EDT Y TAREAS'!AK37,36&lt;'EDT Y TAREAS'!AL37),'EDT Y TAREAS'!AJ37/'EDT Y TAREAS'!M37,0),IF(AND(36&gt;='EDT Y TAREAS'!AK40,36&lt;'EDT Y TAREAS'!AL40),'EDT Y TAREAS'!AJ40/'EDT Y TAREAS'!M40,0),IF(AND(36&gt;='EDT Y TAREAS'!AK42,36&lt;'EDT Y TAREAS'!AL42),'EDT Y TAREAS'!AJ42/'EDT Y TAREAS'!M42,0),IF(AND(36&gt;='EDT Y TAREAS'!AK49,36&lt;'EDT Y TAREAS'!AL49),'EDT Y TAREAS'!AJ49/'EDT Y TAREAS'!M49,0),IF(AND(36&gt;='EDT Y TAREAS'!AK50,36&lt;'EDT Y TAREAS'!AL50),'EDT Y TAREAS'!AJ50/'EDT Y TAREAS'!M50,0),IF(AND(36&gt;='EDT Y TAREAS'!AK51,36&lt;'EDT Y TAREAS'!AL51),'EDT Y TAREAS'!AJ51/'EDT Y TAREAS'!M51,0),IF(AND(36&gt;='EDT Y TAREAS'!AK52,36&lt;'EDT Y TAREAS'!AL52),'EDT Y TAREAS'!AJ52/'EDT Y TAREAS'!M52,0))</x:f>
        <x:v>0</x:v>
      </x:c>
      <x:c r="I76" s="10" t="n">
        <x:f>WORKDAY('RESUMEN'!$D$3-1,A76,'RESUMEN'!$J$6:$J$25)</x:f>
        <x:v>46378</x:v>
      </x:c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  <x:c r="AJ76" s="3"/>
      <x:c r="AK76" s="3"/>
      <x:c r="AL76" s="3"/>
      <x:c r="AM76" s="3"/>
      <x:c r="AN76" s="3"/>
      <x:c r="AO76" s="3"/>
    </x:row>
    <x:row r="77" ht="24" customHeight="1">
      <x:c r="A77" s="3" t="n">
        <x:v>38</x:v>
      </x:c>
      <x:c r="B77" s="35" t="n">
        <x:f>SUM(IF(AND(37&gt;='EDT Y TAREAS'!AK6,37&lt;'EDT Y TAREAS'!AL6),'EDT Y TAREAS'!AD6/'EDT Y TAREAS'!M6,0),IF(AND(37&gt;='EDT Y TAREAS'!AK7,37&lt;'EDT Y TAREAS'!AL7),'EDT Y TAREAS'!AD7/'EDT Y TAREAS'!M7,0),IF(AND(37&gt;='EDT Y TAREAS'!AK8,37&lt;'EDT Y TAREAS'!AL8),'EDT Y TAREAS'!AD8/'EDT Y TAREAS'!M8,0),IF(AND(37&gt;='EDT Y TAREAS'!AK9,37&lt;'EDT Y TAREAS'!AL9),'EDT Y TAREAS'!AD9/'EDT Y TAREAS'!M9,0),IF(AND(37&gt;='EDT Y TAREAS'!AK10,37&lt;'EDT Y TAREAS'!AL10),'EDT Y TAREAS'!AD10/'EDT Y TAREAS'!M10,0),IF(AND(37&gt;='EDT Y TAREAS'!AK11,37&lt;'EDT Y TAREAS'!AL11),'EDT Y TAREAS'!AD11/'EDT Y TAREAS'!M11,0),IF(AND(37&gt;='EDT Y TAREAS'!AK12,37&lt;'EDT Y TAREAS'!AL12),'EDT Y TAREAS'!AD12/'EDT Y TAREAS'!M12,0),IF(AND(37&gt;='EDT Y TAREAS'!AK13,37&lt;'EDT Y TAREAS'!AL13),'EDT Y TAREAS'!AD13/'EDT Y TAREAS'!M13,0),IF(AND(37&gt;='EDT Y TAREAS'!AK14,37&lt;'EDT Y TAREAS'!AL14),'EDT Y TAREAS'!AD14/'EDT Y TAREAS'!M14,0),IF(AND(37&gt;='EDT Y TAREAS'!AK15,37&lt;'EDT Y TAREAS'!AL15),'EDT Y TAREAS'!AD15/'EDT Y TAREAS'!M15,0),IF(AND(37&gt;='EDT Y TAREAS'!AK16,37&lt;'EDT Y TAREAS'!AL16),'EDT Y TAREAS'!AD16/'EDT Y TAREAS'!M16,0),IF(AND(37&gt;='EDT Y TAREAS'!AK17,37&lt;'EDT Y TAREAS'!AL17),'EDT Y TAREAS'!AD17/'EDT Y TAREAS'!M17,0),IF(AND(37&gt;='EDT Y TAREAS'!AK18,37&lt;'EDT Y TAREAS'!AL18),'EDT Y TAREAS'!AD18/'EDT Y TAREAS'!M18,0),IF(AND(37&gt;='EDT Y TAREAS'!AK19,37&lt;'EDT Y TAREAS'!AL19),'EDT Y TAREAS'!AD19/'EDT Y TAREAS'!M19,0),IF(AND(37&gt;='EDT Y TAREAS'!AK20,37&lt;'EDT Y TAREAS'!AL20),'EDT Y TAREAS'!AD20/'EDT Y TAREAS'!M20,0),IF(AND(37&gt;='EDT Y TAREAS'!AK21,37&lt;'EDT Y TAREAS'!AL21),'EDT Y TAREAS'!AD21/'EDT Y TAREAS'!M21,0),IF(AND(37&gt;='EDT Y TAREAS'!AK22,37&lt;'EDT Y TAREAS'!AL22),'EDT Y TAREAS'!AD22/'EDT Y TAREAS'!M22,0),IF(AND(37&gt;='EDT Y TAREAS'!AK23,37&lt;'EDT Y TAREAS'!AL23),'EDT Y TAREAS'!AD23/'EDT Y TAREAS'!M23,0),IF(AND(37&gt;='EDT Y TAREAS'!AK26,37&lt;'EDT Y TAREAS'!AL26),'EDT Y TAREAS'!AD26/'EDT Y TAREAS'!M26,0),IF(AND(37&gt;='EDT Y TAREAS'!AK28,37&lt;'EDT Y TAREAS'!AL28),'EDT Y TAREAS'!AD28/'EDT Y TAREAS'!M28,0),IF(AND(37&gt;='EDT Y TAREAS'!AK30,37&lt;'EDT Y TAREAS'!AL30),'EDT Y TAREAS'!AD30/'EDT Y TAREAS'!M30,0),IF(AND(37&gt;='EDT Y TAREAS'!AK32,37&lt;'EDT Y TAREAS'!AL32),'EDT Y TAREAS'!AD32/'EDT Y TAREAS'!M32,0),IF(AND(37&gt;='EDT Y TAREAS'!AK34,37&lt;'EDT Y TAREAS'!AL34),'EDT Y TAREAS'!AD34/'EDT Y TAREAS'!M34,0),IF(AND(37&gt;='EDT Y TAREAS'!AK38,37&lt;'EDT Y TAREAS'!AL38),'EDT Y TAREAS'!AD38/'EDT Y TAREAS'!M38,0),IF(AND(37&gt;='EDT Y TAREAS'!AK39,37&lt;'EDT Y TAREAS'!AL39),'EDT Y TAREAS'!AD39/'EDT Y TAREAS'!M39,0),IF(AND(37&gt;='EDT Y TAREAS'!AK43,37&lt;'EDT Y TAREAS'!AL43),'EDT Y TAREAS'!AD43/'EDT Y TAREAS'!M43,0),IF(AND(37&gt;='EDT Y TAREAS'!AK44,37&lt;'EDT Y TAREAS'!AL44),'EDT Y TAREAS'!AD44/'EDT Y TAREAS'!M44,0),IF(AND(37&gt;='EDT Y TAREAS'!AK45,37&lt;'EDT Y TAREAS'!AL45),'EDT Y TAREAS'!AD45/'EDT Y TAREAS'!M45,0),IF(AND(37&gt;='EDT Y TAREAS'!AK46,37&lt;'EDT Y TAREAS'!AL46),'EDT Y TAREAS'!AD46/'EDT Y TAREAS'!M46,0),IF(AND(37&gt;='EDT Y TAREAS'!AK47,37&lt;'EDT Y TAREAS'!AL47),'EDT Y TAREAS'!AD47/'EDT Y TAREAS'!M47,0),IF(AND(37&gt;='EDT Y TAREAS'!AK49,37&lt;'EDT Y TAREAS'!AL49),'EDT Y TAREAS'!AD49/'EDT Y TAREAS'!M49,0),IF(AND(37&gt;='EDT Y TAREAS'!AK50,37&lt;'EDT Y TAREAS'!AL50),'EDT Y TAREAS'!AD50/'EDT Y TAREAS'!M50,0),IF(AND(37&gt;='EDT Y TAREAS'!AK51,37&lt;'EDT Y TAREAS'!AL51),'EDT Y TAREAS'!AD51/'EDT Y TAREAS'!M51,0),IF(AND(37&gt;='EDT Y TAREAS'!AK52,37&lt;'EDT Y TAREAS'!AL52),'EDT Y TAREAS'!AD52/'EDT Y TAREAS'!M52,0))</x:f>
        <x:v>6.8</x:v>
      </x:c>
      <x:c r="C77" s="35" t="n">
        <x:f>SUM(IF(AND(37&gt;='EDT Y TAREAS'!AK6,37&lt;'EDT Y TAREAS'!AL6),'EDT Y TAREAS'!AE6/'EDT Y TAREAS'!M6,0),IF(AND(37&gt;='EDT Y TAREAS'!AK8,37&lt;'EDT Y TAREAS'!AL8),'EDT Y TAREAS'!AE8/'EDT Y TAREAS'!M8,0),IF(AND(37&gt;='EDT Y TAREAS'!AK9,37&lt;'EDT Y TAREAS'!AL9),'EDT Y TAREAS'!AE9/'EDT Y TAREAS'!M9,0),IF(AND(37&gt;='EDT Y TAREAS'!AK10,37&lt;'EDT Y TAREAS'!AL10),'EDT Y TAREAS'!AE10/'EDT Y TAREAS'!M10,0),IF(AND(37&gt;='EDT Y TAREAS'!AK12,37&lt;'EDT Y TAREAS'!AL12),'EDT Y TAREAS'!AE12/'EDT Y TAREAS'!M12,0),IF(AND(37&gt;='EDT Y TAREAS'!AK16,37&lt;'EDT Y TAREAS'!AL16),'EDT Y TAREAS'!AE16/'EDT Y TAREAS'!M16,0),IF(AND(37&gt;='EDT Y TAREAS'!AK21,37&lt;'EDT Y TAREAS'!AL21),'EDT Y TAREAS'!AE21/'EDT Y TAREAS'!M21,0),IF(AND(37&gt;='EDT Y TAREAS'!AK23,37&lt;'EDT Y TAREAS'!AL23),'EDT Y TAREAS'!AE23/'EDT Y TAREAS'!M23,0),IF(AND(37&gt;='EDT Y TAREAS'!AK37,37&lt;'EDT Y TAREAS'!AL37),'EDT Y TAREAS'!AE37/'EDT Y TAREAS'!M37,0),IF(AND(37&gt;='EDT Y TAREAS'!AK38,37&lt;'EDT Y TAREAS'!AL38),'EDT Y TAREAS'!AE38/'EDT Y TAREAS'!M38,0),IF(AND(37&gt;='EDT Y TAREAS'!AK41,37&lt;'EDT Y TAREAS'!AL41),'EDT Y TAREAS'!AE41/'EDT Y TAREAS'!M41,0),IF(AND(37&gt;='EDT Y TAREAS'!AK43,37&lt;'EDT Y TAREAS'!AL43),'EDT Y TAREAS'!AE43/'EDT Y TAREAS'!M43,0),IF(AND(37&gt;='EDT Y TAREAS'!AK44,37&lt;'EDT Y TAREAS'!AL44),'EDT Y TAREAS'!AE44/'EDT Y TAREAS'!M44,0),IF(AND(37&gt;='EDT Y TAREAS'!AK46,37&lt;'EDT Y TAREAS'!AL46),'EDT Y TAREAS'!AE46/'EDT Y TAREAS'!M46,0),IF(AND(37&gt;='EDT Y TAREAS'!AK47,37&lt;'EDT Y TAREAS'!AL47),'EDT Y TAREAS'!AE47/'EDT Y TAREAS'!M47,0),IF(AND(37&gt;='EDT Y TAREAS'!AK51,37&lt;'EDT Y TAREAS'!AL51),'EDT Y TAREAS'!AE51/'EDT Y TAREAS'!M51,0),IF(AND(37&gt;='EDT Y TAREAS'!AK52,37&lt;'EDT Y TAREAS'!AL52),'EDT Y TAREAS'!AE52/'EDT Y TAREAS'!M52,0))</x:f>
        <x:v>2</x:v>
      </x:c>
      <x:c r="D77" s="35" t="n">
        <x:f>SUM(IF(AND(37&gt;='EDT Y TAREAS'!AK11,37&lt;'EDT Y TAREAS'!AL11),'EDT Y TAREAS'!AF11/'EDT Y TAREAS'!M11,0),IF(AND(37&gt;='EDT Y TAREAS'!AK24,37&lt;'EDT Y TAREAS'!AL24),'EDT Y TAREAS'!AF24/'EDT Y TAREAS'!M24,0),IF(AND(37&gt;='EDT Y TAREAS'!AK25,37&lt;'EDT Y TAREAS'!AL25),'EDT Y TAREAS'!AF25/'EDT Y TAREAS'!M25,0),IF(AND(37&gt;='EDT Y TAREAS'!AK26,37&lt;'EDT Y TAREAS'!AL26),'EDT Y TAREAS'!AF26/'EDT Y TAREAS'!M26,0),IF(AND(37&gt;='EDT Y TAREAS'!AK27,37&lt;'EDT Y TAREAS'!AL27),'EDT Y TAREAS'!AF27/'EDT Y TAREAS'!M27,0),IF(AND(37&gt;='EDT Y TAREAS'!AK28,37&lt;'EDT Y TAREAS'!AL28),'EDT Y TAREAS'!AF28/'EDT Y TAREAS'!M28,0),IF(AND(37&gt;='EDT Y TAREAS'!AK31,37&lt;'EDT Y TAREAS'!AL31),'EDT Y TAREAS'!AF31/'EDT Y TAREAS'!M31,0),IF(AND(37&gt;='EDT Y TAREAS'!AK33,37&lt;'EDT Y TAREAS'!AL33),'EDT Y TAREAS'!AF33/'EDT Y TAREAS'!M33,0),IF(AND(37&gt;='EDT Y TAREAS'!AK34,37&lt;'EDT Y TAREAS'!AL34),'EDT Y TAREAS'!AF34/'EDT Y TAREAS'!M34,0),IF(AND(37&gt;='EDT Y TAREAS'!AK35,37&lt;'EDT Y TAREAS'!AL35),'EDT Y TAREAS'!AF35/'EDT Y TAREAS'!M35,0),IF(AND(37&gt;='EDT Y TAREAS'!AK37,37&lt;'EDT Y TAREAS'!AL37),'EDT Y TAREAS'!AF37/'EDT Y TAREAS'!M37,0),IF(AND(37&gt;='EDT Y TAREAS'!AK39,37&lt;'EDT Y TAREAS'!AL39),'EDT Y TAREAS'!AF39/'EDT Y TAREAS'!M39,0),IF(AND(37&gt;='EDT Y TAREAS'!AK40,37&lt;'EDT Y TAREAS'!AL40),'EDT Y TAREAS'!AF40/'EDT Y TAREAS'!M40,0),IF(AND(37&gt;='EDT Y TAREAS'!AK42,37&lt;'EDT Y TAREAS'!AL42),'EDT Y TAREAS'!AF42/'EDT Y TAREAS'!M42,0),IF(AND(37&gt;='EDT Y TAREAS'!AK45,37&lt;'EDT Y TAREAS'!AL45),'EDT Y TAREAS'!AF45/'EDT Y TAREAS'!M45,0),IF(AND(37&gt;='EDT Y TAREAS'!AK49,37&lt;'EDT Y TAREAS'!AL49),'EDT Y TAREAS'!AF49/'EDT Y TAREAS'!M49,0),IF(AND(37&gt;='EDT Y TAREAS'!AK52,37&lt;'EDT Y TAREAS'!AL52),'EDT Y TAREAS'!AF52/'EDT Y TAREAS'!M52,0))</x:f>
        <x:v>5.6</x:v>
      </x:c>
      <x:c r="E77" s="35" t="n">
        <x:f>SUM(IF(AND(37&gt;='EDT Y TAREAS'!AK29,37&lt;'EDT Y TAREAS'!AL29),'EDT Y TAREAS'!AG29/'EDT Y TAREAS'!M29,0),IF(AND(37&gt;='EDT Y TAREAS'!AK30,37&lt;'EDT Y TAREAS'!AL30),'EDT Y TAREAS'!AG30/'EDT Y TAREAS'!M30,0),IF(AND(37&gt;='EDT Y TAREAS'!AK31,37&lt;'EDT Y TAREAS'!AL31),'EDT Y TAREAS'!AG31/'EDT Y TAREAS'!M31,0),IF(AND(37&gt;='EDT Y TAREAS'!AK32,37&lt;'EDT Y TAREAS'!AL32),'EDT Y TAREAS'!AG32/'EDT Y TAREAS'!M32,0),IF(AND(37&gt;='EDT Y TAREAS'!AK41,37&lt;'EDT Y TAREAS'!AL41),'EDT Y TAREAS'!AG41/'EDT Y TAREAS'!M41,0),IF(AND(37&gt;='EDT Y TAREAS'!AK45,37&lt;'EDT Y TAREAS'!AL45),'EDT Y TAREAS'!AG45/'EDT Y TAREAS'!M45,0),IF(AND(37&gt;='EDT Y TAREAS'!AK48,37&lt;'EDT Y TAREAS'!AL48),'EDT Y TAREAS'!AG48/'EDT Y TAREAS'!M48,0))</x:f>
        <x:v>0</x:v>
      </x:c>
      <x:c r="F77" s="35" t="n">
        <x:f>SUM(IF(AND(37&gt;='EDT Y TAREAS'!AK10,37&lt;'EDT Y TAREAS'!AL10),'EDT Y TAREAS'!AH10/'EDT Y TAREAS'!M10,0),IF(AND(37&gt;='EDT Y TAREAS'!AK12,37&lt;'EDT Y TAREAS'!AL12),'EDT Y TAREAS'!AH12/'EDT Y TAREAS'!M12,0),IF(AND(37&gt;='EDT Y TAREAS'!AK22,37&lt;'EDT Y TAREAS'!AL22),'EDT Y TAREAS'!AH22/'EDT Y TAREAS'!M22,0),IF(AND(37&gt;='EDT Y TAREAS'!AK23,37&lt;'EDT Y TAREAS'!AL23),'EDT Y TAREAS'!AH23/'EDT Y TAREAS'!M23,0),IF(AND(37&gt;='EDT Y TAREAS'!AK29,37&lt;'EDT Y TAREAS'!AL29),'EDT Y TAREAS'!AH29/'EDT Y TAREAS'!M29,0),IF(AND(37&gt;='EDT Y TAREAS'!AK30,37&lt;'EDT Y TAREAS'!AL30),'EDT Y TAREAS'!AH30/'EDT Y TAREAS'!M30,0),IF(AND(37&gt;='EDT Y TAREAS'!AK32,37&lt;'EDT Y TAREAS'!AL32),'EDT Y TAREAS'!AH32/'EDT Y TAREAS'!M32,0),IF(AND(37&gt;='EDT Y TAREAS'!AK41,37&lt;'EDT Y TAREAS'!AL41),'EDT Y TAREAS'!AH41/'EDT Y TAREAS'!M41,0),IF(AND(37&gt;='EDT Y TAREAS'!AK44,37&lt;'EDT Y TAREAS'!AL44),'EDT Y TAREAS'!AH44/'EDT Y TAREAS'!M44,0),IF(AND(37&gt;='EDT Y TAREAS'!AK46,37&lt;'EDT Y TAREAS'!AL46),'EDT Y TAREAS'!AH46/'EDT Y TAREAS'!M46,0),IF(AND(37&gt;='EDT Y TAREAS'!AK48,37&lt;'EDT Y TAREAS'!AL48),'EDT Y TAREAS'!AH48/'EDT Y TAREAS'!M48,0))</x:f>
        <x:v>2.4</x:v>
      </x:c>
      <x:c r="G77" s="35" t="n">
        <x:f>SUM(IF(AND(37&gt;='EDT Y TAREAS'!AK20,37&lt;'EDT Y TAREAS'!AL20),'EDT Y TAREAS'!AI20/'EDT Y TAREAS'!M20,0),IF(AND(37&gt;='EDT Y TAREAS'!AK25,37&lt;'EDT Y TAREAS'!AL25),'EDT Y TAREAS'!AI25/'EDT Y TAREAS'!M25,0),IF(AND(37&gt;='EDT Y TAREAS'!AK33,37&lt;'EDT Y TAREAS'!AL33),'EDT Y TAREAS'!AI33/'EDT Y TAREAS'!M33,0),IF(AND(37&gt;='EDT Y TAREAS'!AK34,37&lt;'EDT Y TAREAS'!AL34),'EDT Y TAREAS'!AI34/'EDT Y TAREAS'!M34,0),IF(AND(37&gt;='EDT Y TAREAS'!AK36,37&lt;'EDT Y TAREAS'!AL36),'EDT Y TAREAS'!AI36/'EDT Y TAREAS'!M36,0),IF(AND(37&gt;='EDT Y TAREAS'!AK39,37&lt;'EDT Y TAREAS'!AL39),'EDT Y TAREAS'!AI39/'EDT Y TAREAS'!M39,0),IF(AND(37&gt;='EDT Y TAREAS'!AK40,37&lt;'EDT Y TAREAS'!AL40),'EDT Y TAREAS'!AI40/'EDT Y TAREAS'!M40,0),IF(AND(37&gt;='EDT Y TAREAS'!AK42,37&lt;'EDT Y TAREAS'!AL42),'EDT Y TAREAS'!AI42/'EDT Y TAREAS'!M42,0),IF(AND(37&gt;='EDT Y TAREAS'!AK43,37&lt;'EDT Y TAREAS'!AL43),'EDT Y TAREAS'!AI43/'EDT Y TAREAS'!M43,0),IF(AND(37&gt;='EDT Y TAREAS'!AK44,37&lt;'EDT Y TAREAS'!AL44),'EDT Y TAREAS'!AI44/'EDT Y TAREAS'!M44,0),IF(AND(37&gt;='EDT Y TAREAS'!AK45,37&lt;'EDT Y TAREAS'!AL45),'EDT Y TAREAS'!AI45/'EDT Y TAREAS'!M45,0),IF(AND(37&gt;='EDT Y TAREAS'!AK46,37&lt;'EDT Y TAREAS'!AL46),'EDT Y TAREAS'!AI46/'EDT Y TAREAS'!M46,0),IF(AND(37&gt;='EDT Y TAREAS'!AK48,37&lt;'EDT Y TAREAS'!AL48),'EDT Y TAREAS'!AI48/'EDT Y TAREAS'!M48,0),IF(AND(37&gt;='EDT Y TAREAS'!AK50,37&lt;'EDT Y TAREAS'!AL50),'EDT Y TAREAS'!AI50/'EDT Y TAREAS'!M50,0),IF(AND(37&gt;='EDT Y TAREAS'!AK52,37&lt;'EDT Y TAREAS'!AL52),'EDT Y TAREAS'!AI52/'EDT Y TAREAS'!M52,0))</x:f>
        <x:v>0</x:v>
      </x:c>
      <x:c r="H77" s="35" t="n">
        <x:f>SUM(IF(AND(37&gt;='EDT Y TAREAS'!AK11,37&lt;'EDT Y TAREAS'!AL11),'EDT Y TAREAS'!AJ11/'EDT Y TAREAS'!M11,0),IF(AND(37&gt;='EDT Y TAREAS'!AK24,37&lt;'EDT Y TAREAS'!AL24),'EDT Y TAREAS'!AJ24/'EDT Y TAREAS'!M24,0),IF(AND(37&gt;='EDT Y TAREAS'!AK27,37&lt;'EDT Y TAREAS'!AL27),'EDT Y TAREAS'!AJ27/'EDT Y TAREAS'!M27,0),IF(AND(37&gt;='EDT Y TAREAS'!AK28,37&lt;'EDT Y TAREAS'!AL28),'EDT Y TAREAS'!AJ28/'EDT Y TAREAS'!M28,0),IF(AND(37&gt;='EDT Y TAREAS'!AK33,37&lt;'EDT Y TAREAS'!AL33),'EDT Y TAREAS'!AJ33/'EDT Y TAREAS'!M33,0),IF(AND(37&gt;='EDT Y TAREAS'!AK35,37&lt;'EDT Y TAREAS'!AL35),'EDT Y TAREAS'!AJ35/'EDT Y TAREAS'!M35,0),IF(AND(37&gt;='EDT Y TAREAS'!AK36,37&lt;'EDT Y TAREAS'!AL36),'EDT Y TAREAS'!AJ36/'EDT Y TAREAS'!M36,0),IF(AND(37&gt;='EDT Y TAREAS'!AK37,37&lt;'EDT Y TAREAS'!AL37),'EDT Y TAREAS'!AJ37/'EDT Y TAREAS'!M37,0),IF(AND(37&gt;='EDT Y TAREAS'!AK40,37&lt;'EDT Y TAREAS'!AL40),'EDT Y TAREAS'!AJ40/'EDT Y TAREAS'!M40,0),IF(AND(37&gt;='EDT Y TAREAS'!AK42,37&lt;'EDT Y TAREAS'!AL42),'EDT Y TAREAS'!AJ42/'EDT Y TAREAS'!M42,0),IF(AND(37&gt;='EDT Y TAREAS'!AK49,37&lt;'EDT Y TAREAS'!AL49),'EDT Y TAREAS'!AJ49/'EDT Y TAREAS'!M49,0),IF(AND(37&gt;='EDT Y TAREAS'!AK50,37&lt;'EDT Y TAREAS'!AL50),'EDT Y TAREAS'!AJ50/'EDT Y TAREAS'!M50,0),IF(AND(37&gt;='EDT Y TAREAS'!AK51,37&lt;'EDT Y TAREAS'!AL51),'EDT Y TAREAS'!AJ51/'EDT Y TAREAS'!M51,0),IF(AND(37&gt;='EDT Y TAREAS'!AK52,37&lt;'EDT Y TAREAS'!AL52),'EDT Y TAREAS'!AJ52/'EDT Y TAREAS'!M52,0))</x:f>
        <x:v>0</x:v>
      </x:c>
      <x:c r="I77" s="10" t="n">
        <x:f>WORKDAY('RESUMEN'!$D$3-1,A77,'RESUMEN'!$J$6:$J$25)</x:f>
        <x:v>46379</x:v>
      </x:c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  <x:c r="AO77" s="3"/>
    </x:row>
    <x:row r="78" ht="24" customHeight="1">
      <x:c r="A78" s="3" t="n">
        <x:v>39</x:v>
      </x:c>
      <x:c r="B78" s="35" t="n">
        <x:f>SUM(IF(AND(38&gt;='EDT Y TAREAS'!AK6,38&lt;'EDT Y TAREAS'!AL6),'EDT Y TAREAS'!AD6/'EDT Y TAREAS'!M6,0),IF(AND(38&gt;='EDT Y TAREAS'!AK7,38&lt;'EDT Y TAREAS'!AL7),'EDT Y TAREAS'!AD7/'EDT Y TAREAS'!M7,0),IF(AND(38&gt;='EDT Y TAREAS'!AK8,38&lt;'EDT Y TAREAS'!AL8),'EDT Y TAREAS'!AD8/'EDT Y TAREAS'!M8,0),IF(AND(38&gt;='EDT Y TAREAS'!AK9,38&lt;'EDT Y TAREAS'!AL9),'EDT Y TAREAS'!AD9/'EDT Y TAREAS'!M9,0),IF(AND(38&gt;='EDT Y TAREAS'!AK10,38&lt;'EDT Y TAREAS'!AL10),'EDT Y TAREAS'!AD10/'EDT Y TAREAS'!M10,0),IF(AND(38&gt;='EDT Y TAREAS'!AK11,38&lt;'EDT Y TAREAS'!AL11),'EDT Y TAREAS'!AD11/'EDT Y TAREAS'!M11,0),IF(AND(38&gt;='EDT Y TAREAS'!AK12,38&lt;'EDT Y TAREAS'!AL12),'EDT Y TAREAS'!AD12/'EDT Y TAREAS'!M12,0),IF(AND(38&gt;='EDT Y TAREAS'!AK13,38&lt;'EDT Y TAREAS'!AL13),'EDT Y TAREAS'!AD13/'EDT Y TAREAS'!M13,0),IF(AND(38&gt;='EDT Y TAREAS'!AK14,38&lt;'EDT Y TAREAS'!AL14),'EDT Y TAREAS'!AD14/'EDT Y TAREAS'!M14,0),IF(AND(38&gt;='EDT Y TAREAS'!AK15,38&lt;'EDT Y TAREAS'!AL15),'EDT Y TAREAS'!AD15/'EDT Y TAREAS'!M15,0),IF(AND(38&gt;='EDT Y TAREAS'!AK16,38&lt;'EDT Y TAREAS'!AL16),'EDT Y TAREAS'!AD16/'EDT Y TAREAS'!M16,0),IF(AND(38&gt;='EDT Y TAREAS'!AK17,38&lt;'EDT Y TAREAS'!AL17),'EDT Y TAREAS'!AD17/'EDT Y TAREAS'!M17,0),IF(AND(38&gt;='EDT Y TAREAS'!AK18,38&lt;'EDT Y TAREAS'!AL18),'EDT Y TAREAS'!AD18/'EDT Y TAREAS'!M18,0),IF(AND(38&gt;='EDT Y TAREAS'!AK19,38&lt;'EDT Y TAREAS'!AL19),'EDT Y TAREAS'!AD19/'EDT Y TAREAS'!M19,0),IF(AND(38&gt;='EDT Y TAREAS'!AK20,38&lt;'EDT Y TAREAS'!AL20),'EDT Y TAREAS'!AD20/'EDT Y TAREAS'!M20,0),IF(AND(38&gt;='EDT Y TAREAS'!AK21,38&lt;'EDT Y TAREAS'!AL21),'EDT Y TAREAS'!AD21/'EDT Y TAREAS'!M21,0),IF(AND(38&gt;='EDT Y TAREAS'!AK22,38&lt;'EDT Y TAREAS'!AL22),'EDT Y TAREAS'!AD22/'EDT Y TAREAS'!M22,0),IF(AND(38&gt;='EDT Y TAREAS'!AK23,38&lt;'EDT Y TAREAS'!AL23),'EDT Y TAREAS'!AD23/'EDT Y TAREAS'!M23,0),IF(AND(38&gt;='EDT Y TAREAS'!AK26,38&lt;'EDT Y TAREAS'!AL26),'EDT Y TAREAS'!AD26/'EDT Y TAREAS'!M26,0),IF(AND(38&gt;='EDT Y TAREAS'!AK28,38&lt;'EDT Y TAREAS'!AL28),'EDT Y TAREAS'!AD28/'EDT Y TAREAS'!M28,0),IF(AND(38&gt;='EDT Y TAREAS'!AK30,38&lt;'EDT Y TAREAS'!AL30),'EDT Y TAREAS'!AD30/'EDT Y TAREAS'!M30,0),IF(AND(38&gt;='EDT Y TAREAS'!AK32,38&lt;'EDT Y TAREAS'!AL32),'EDT Y TAREAS'!AD32/'EDT Y TAREAS'!M32,0),IF(AND(38&gt;='EDT Y TAREAS'!AK34,38&lt;'EDT Y TAREAS'!AL34),'EDT Y TAREAS'!AD34/'EDT Y TAREAS'!M34,0),IF(AND(38&gt;='EDT Y TAREAS'!AK38,38&lt;'EDT Y TAREAS'!AL38),'EDT Y TAREAS'!AD38/'EDT Y TAREAS'!M38,0),IF(AND(38&gt;='EDT Y TAREAS'!AK39,38&lt;'EDT Y TAREAS'!AL39),'EDT Y TAREAS'!AD39/'EDT Y TAREAS'!M39,0),IF(AND(38&gt;='EDT Y TAREAS'!AK43,38&lt;'EDT Y TAREAS'!AL43),'EDT Y TAREAS'!AD43/'EDT Y TAREAS'!M43,0),IF(AND(38&gt;='EDT Y TAREAS'!AK44,38&lt;'EDT Y TAREAS'!AL44),'EDT Y TAREAS'!AD44/'EDT Y TAREAS'!M44,0),IF(AND(38&gt;='EDT Y TAREAS'!AK45,38&lt;'EDT Y TAREAS'!AL45),'EDT Y TAREAS'!AD45/'EDT Y TAREAS'!M45,0),IF(AND(38&gt;='EDT Y TAREAS'!AK46,38&lt;'EDT Y TAREAS'!AL46),'EDT Y TAREAS'!AD46/'EDT Y TAREAS'!M46,0),IF(AND(38&gt;='EDT Y TAREAS'!AK47,38&lt;'EDT Y TAREAS'!AL47),'EDT Y TAREAS'!AD47/'EDT Y TAREAS'!M47,0),IF(AND(38&gt;='EDT Y TAREAS'!AK49,38&lt;'EDT Y TAREAS'!AL49),'EDT Y TAREAS'!AD49/'EDT Y TAREAS'!M49,0),IF(AND(38&gt;='EDT Y TAREAS'!AK50,38&lt;'EDT Y TAREAS'!AL50),'EDT Y TAREAS'!AD50/'EDT Y TAREAS'!M50,0),IF(AND(38&gt;='EDT Y TAREAS'!AK51,38&lt;'EDT Y TAREAS'!AL51),'EDT Y TAREAS'!AD51/'EDT Y TAREAS'!M51,0),IF(AND(38&gt;='EDT Y TAREAS'!AK52,38&lt;'EDT Y TAREAS'!AL52),'EDT Y TAREAS'!AD52/'EDT Y TAREAS'!M52,0))</x:f>
        <x:v>6.8</x:v>
      </x:c>
      <x:c r="C78" s="35" t="n">
        <x:f>SUM(IF(AND(38&gt;='EDT Y TAREAS'!AK6,38&lt;'EDT Y TAREAS'!AL6),'EDT Y TAREAS'!AE6/'EDT Y TAREAS'!M6,0),IF(AND(38&gt;='EDT Y TAREAS'!AK8,38&lt;'EDT Y TAREAS'!AL8),'EDT Y TAREAS'!AE8/'EDT Y TAREAS'!M8,0),IF(AND(38&gt;='EDT Y TAREAS'!AK9,38&lt;'EDT Y TAREAS'!AL9),'EDT Y TAREAS'!AE9/'EDT Y TAREAS'!M9,0),IF(AND(38&gt;='EDT Y TAREAS'!AK10,38&lt;'EDT Y TAREAS'!AL10),'EDT Y TAREAS'!AE10/'EDT Y TAREAS'!M10,0),IF(AND(38&gt;='EDT Y TAREAS'!AK12,38&lt;'EDT Y TAREAS'!AL12),'EDT Y TAREAS'!AE12/'EDT Y TAREAS'!M12,0),IF(AND(38&gt;='EDT Y TAREAS'!AK16,38&lt;'EDT Y TAREAS'!AL16),'EDT Y TAREAS'!AE16/'EDT Y TAREAS'!M16,0),IF(AND(38&gt;='EDT Y TAREAS'!AK21,38&lt;'EDT Y TAREAS'!AL21),'EDT Y TAREAS'!AE21/'EDT Y TAREAS'!M21,0),IF(AND(38&gt;='EDT Y TAREAS'!AK23,38&lt;'EDT Y TAREAS'!AL23),'EDT Y TAREAS'!AE23/'EDT Y TAREAS'!M23,0),IF(AND(38&gt;='EDT Y TAREAS'!AK37,38&lt;'EDT Y TAREAS'!AL37),'EDT Y TAREAS'!AE37/'EDT Y TAREAS'!M37,0),IF(AND(38&gt;='EDT Y TAREAS'!AK38,38&lt;'EDT Y TAREAS'!AL38),'EDT Y TAREAS'!AE38/'EDT Y TAREAS'!M38,0),IF(AND(38&gt;='EDT Y TAREAS'!AK41,38&lt;'EDT Y TAREAS'!AL41),'EDT Y TAREAS'!AE41/'EDT Y TAREAS'!M41,0),IF(AND(38&gt;='EDT Y TAREAS'!AK43,38&lt;'EDT Y TAREAS'!AL43),'EDT Y TAREAS'!AE43/'EDT Y TAREAS'!M43,0),IF(AND(38&gt;='EDT Y TAREAS'!AK44,38&lt;'EDT Y TAREAS'!AL44),'EDT Y TAREAS'!AE44/'EDT Y TAREAS'!M44,0),IF(AND(38&gt;='EDT Y TAREAS'!AK46,38&lt;'EDT Y TAREAS'!AL46),'EDT Y TAREAS'!AE46/'EDT Y TAREAS'!M46,0),IF(AND(38&gt;='EDT Y TAREAS'!AK47,38&lt;'EDT Y TAREAS'!AL47),'EDT Y TAREAS'!AE47/'EDT Y TAREAS'!M47,0),IF(AND(38&gt;='EDT Y TAREAS'!AK51,38&lt;'EDT Y TAREAS'!AL51),'EDT Y TAREAS'!AE51/'EDT Y TAREAS'!M51,0),IF(AND(38&gt;='EDT Y TAREAS'!AK52,38&lt;'EDT Y TAREAS'!AL52),'EDT Y TAREAS'!AE52/'EDT Y TAREAS'!M52,0))</x:f>
        <x:v>2</x:v>
      </x:c>
      <x:c r="D78" s="35" t="n">
        <x:f>SUM(IF(AND(38&gt;='EDT Y TAREAS'!AK11,38&lt;'EDT Y TAREAS'!AL11),'EDT Y TAREAS'!AF11/'EDT Y TAREAS'!M11,0),IF(AND(38&gt;='EDT Y TAREAS'!AK24,38&lt;'EDT Y TAREAS'!AL24),'EDT Y TAREAS'!AF24/'EDT Y TAREAS'!M24,0),IF(AND(38&gt;='EDT Y TAREAS'!AK25,38&lt;'EDT Y TAREAS'!AL25),'EDT Y TAREAS'!AF25/'EDT Y TAREAS'!M25,0),IF(AND(38&gt;='EDT Y TAREAS'!AK26,38&lt;'EDT Y TAREAS'!AL26),'EDT Y TAREAS'!AF26/'EDT Y TAREAS'!M26,0),IF(AND(38&gt;='EDT Y TAREAS'!AK27,38&lt;'EDT Y TAREAS'!AL27),'EDT Y TAREAS'!AF27/'EDT Y TAREAS'!M27,0),IF(AND(38&gt;='EDT Y TAREAS'!AK28,38&lt;'EDT Y TAREAS'!AL28),'EDT Y TAREAS'!AF28/'EDT Y TAREAS'!M28,0),IF(AND(38&gt;='EDT Y TAREAS'!AK31,38&lt;'EDT Y TAREAS'!AL31),'EDT Y TAREAS'!AF31/'EDT Y TAREAS'!M31,0),IF(AND(38&gt;='EDT Y TAREAS'!AK33,38&lt;'EDT Y TAREAS'!AL33),'EDT Y TAREAS'!AF33/'EDT Y TAREAS'!M33,0),IF(AND(38&gt;='EDT Y TAREAS'!AK34,38&lt;'EDT Y TAREAS'!AL34),'EDT Y TAREAS'!AF34/'EDT Y TAREAS'!M34,0),IF(AND(38&gt;='EDT Y TAREAS'!AK35,38&lt;'EDT Y TAREAS'!AL35),'EDT Y TAREAS'!AF35/'EDT Y TAREAS'!M35,0),IF(AND(38&gt;='EDT Y TAREAS'!AK37,38&lt;'EDT Y TAREAS'!AL37),'EDT Y TAREAS'!AF37/'EDT Y TAREAS'!M37,0),IF(AND(38&gt;='EDT Y TAREAS'!AK39,38&lt;'EDT Y TAREAS'!AL39),'EDT Y TAREAS'!AF39/'EDT Y TAREAS'!M39,0),IF(AND(38&gt;='EDT Y TAREAS'!AK40,38&lt;'EDT Y TAREAS'!AL40),'EDT Y TAREAS'!AF40/'EDT Y TAREAS'!M40,0),IF(AND(38&gt;='EDT Y TAREAS'!AK42,38&lt;'EDT Y TAREAS'!AL42),'EDT Y TAREAS'!AF42/'EDT Y TAREAS'!M42,0),IF(AND(38&gt;='EDT Y TAREAS'!AK45,38&lt;'EDT Y TAREAS'!AL45),'EDT Y TAREAS'!AF45/'EDT Y TAREAS'!M45,0),IF(AND(38&gt;='EDT Y TAREAS'!AK49,38&lt;'EDT Y TAREAS'!AL49),'EDT Y TAREAS'!AF49/'EDT Y TAREAS'!M49,0),IF(AND(38&gt;='EDT Y TAREAS'!AK52,38&lt;'EDT Y TAREAS'!AL52),'EDT Y TAREAS'!AF52/'EDT Y TAREAS'!M52,0))</x:f>
        <x:v>5.6</x:v>
      </x:c>
      <x:c r="E78" s="35" t="n">
        <x:f>SUM(IF(AND(38&gt;='EDT Y TAREAS'!AK29,38&lt;'EDT Y TAREAS'!AL29),'EDT Y TAREAS'!AG29/'EDT Y TAREAS'!M29,0),IF(AND(38&gt;='EDT Y TAREAS'!AK30,38&lt;'EDT Y TAREAS'!AL30),'EDT Y TAREAS'!AG30/'EDT Y TAREAS'!M30,0),IF(AND(38&gt;='EDT Y TAREAS'!AK31,38&lt;'EDT Y TAREAS'!AL31),'EDT Y TAREAS'!AG31/'EDT Y TAREAS'!M31,0),IF(AND(38&gt;='EDT Y TAREAS'!AK32,38&lt;'EDT Y TAREAS'!AL32),'EDT Y TAREAS'!AG32/'EDT Y TAREAS'!M32,0),IF(AND(38&gt;='EDT Y TAREAS'!AK41,38&lt;'EDT Y TAREAS'!AL41),'EDT Y TAREAS'!AG41/'EDT Y TAREAS'!M41,0),IF(AND(38&gt;='EDT Y TAREAS'!AK45,38&lt;'EDT Y TAREAS'!AL45),'EDT Y TAREAS'!AG45/'EDT Y TAREAS'!M45,0),IF(AND(38&gt;='EDT Y TAREAS'!AK48,38&lt;'EDT Y TAREAS'!AL48),'EDT Y TAREAS'!AG48/'EDT Y TAREAS'!M48,0))</x:f>
        <x:v>0</x:v>
      </x:c>
      <x:c r="F78" s="35" t="n">
        <x:f>SUM(IF(AND(38&gt;='EDT Y TAREAS'!AK10,38&lt;'EDT Y TAREAS'!AL10),'EDT Y TAREAS'!AH10/'EDT Y TAREAS'!M10,0),IF(AND(38&gt;='EDT Y TAREAS'!AK12,38&lt;'EDT Y TAREAS'!AL12),'EDT Y TAREAS'!AH12/'EDT Y TAREAS'!M12,0),IF(AND(38&gt;='EDT Y TAREAS'!AK22,38&lt;'EDT Y TAREAS'!AL22),'EDT Y TAREAS'!AH22/'EDT Y TAREAS'!M22,0),IF(AND(38&gt;='EDT Y TAREAS'!AK23,38&lt;'EDT Y TAREAS'!AL23),'EDT Y TAREAS'!AH23/'EDT Y TAREAS'!M23,0),IF(AND(38&gt;='EDT Y TAREAS'!AK29,38&lt;'EDT Y TAREAS'!AL29),'EDT Y TAREAS'!AH29/'EDT Y TAREAS'!M29,0),IF(AND(38&gt;='EDT Y TAREAS'!AK30,38&lt;'EDT Y TAREAS'!AL30),'EDT Y TAREAS'!AH30/'EDT Y TAREAS'!M30,0),IF(AND(38&gt;='EDT Y TAREAS'!AK32,38&lt;'EDT Y TAREAS'!AL32),'EDT Y TAREAS'!AH32/'EDT Y TAREAS'!M32,0),IF(AND(38&gt;='EDT Y TAREAS'!AK41,38&lt;'EDT Y TAREAS'!AL41),'EDT Y TAREAS'!AH41/'EDT Y TAREAS'!M41,0),IF(AND(38&gt;='EDT Y TAREAS'!AK44,38&lt;'EDT Y TAREAS'!AL44),'EDT Y TAREAS'!AH44/'EDT Y TAREAS'!M44,0),IF(AND(38&gt;='EDT Y TAREAS'!AK46,38&lt;'EDT Y TAREAS'!AL46),'EDT Y TAREAS'!AH46/'EDT Y TAREAS'!M46,0),IF(AND(38&gt;='EDT Y TAREAS'!AK48,38&lt;'EDT Y TAREAS'!AL48),'EDT Y TAREAS'!AH48/'EDT Y TAREAS'!M48,0))</x:f>
        <x:v>2.4</x:v>
      </x:c>
      <x:c r="G78" s="35" t="n">
        <x:f>SUM(IF(AND(38&gt;='EDT Y TAREAS'!AK20,38&lt;'EDT Y TAREAS'!AL20),'EDT Y TAREAS'!AI20/'EDT Y TAREAS'!M20,0),IF(AND(38&gt;='EDT Y TAREAS'!AK25,38&lt;'EDT Y TAREAS'!AL25),'EDT Y TAREAS'!AI25/'EDT Y TAREAS'!M25,0),IF(AND(38&gt;='EDT Y TAREAS'!AK33,38&lt;'EDT Y TAREAS'!AL33),'EDT Y TAREAS'!AI33/'EDT Y TAREAS'!M33,0),IF(AND(38&gt;='EDT Y TAREAS'!AK34,38&lt;'EDT Y TAREAS'!AL34),'EDT Y TAREAS'!AI34/'EDT Y TAREAS'!M34,0),IF(AND(38&gt;='EDT Y TAREAS'!AK36,38&lt;'EDT Y TAREAS'!AL36),'EDT Y TAREAS'!AI36/'EDT Y TAREAS'!M36,0),IF(AND(38&gt;='EDT Y TAREAS'!AK39,38&lt;'EDT Y TAREAS'!AL39),'EDT Y TAREAS'!AI39/'EDT Y TAREAS'!M39,0),IF(AND(38&gt;='EDT Y TAREAS'!AK40,38&lt;'EDT Y TAREAS'!AL40),'EDT Y TAREAS'!AI40/'EDT Y TAREAS'!M40,0),IF(AND(38&gt;='EDT Y TAREAS'!AK42,38&lt;'EDT Y TAREAS'!AL42),'EDT Y TAREAS'!AI42/'EDT Y TAREAS'!M42,0),IF(AND(38&gt;='EDT Y TAREAS'!AK43,38&lt;'EDT Y TAREAS'!AL43),'EDT Y TAREAS'!AI43/'EDT Y TAREAS'!M43,0),IF(AND(38&gt;='EDT Y TAREAS'!AK44,38&lt;'EDT Y TAREAS'!AL44),'EDT Y TAREAS'!AI44/'EDT Y TAREAS'!M44,0),IF(AND(38&gt;='EDT Y TAREAS'!AK45,38&lt;'EDT Y TAREAS'!AL45),'EDT Y TAREAS'!AI45/'EDT Y TAREAS'!M45,0),IF(AND(38&gt;='EDT Y TAREAS'!AK46,38&lt;'EDT Y TAREAS'!AL46),'EDT Y TAREAS'!AI46/'EDT Y TAREAS'!M46,0),IF(AND(38&gt;='EDT Y TAREAS'!AK48,38&lt;'EDT Y TAREAS'!AL48),'EDT Y TAREAS'!AI48/'EDT Y TAREAS'!M48,0),IF(AND(38&gt;='EDT Y TAREAS'!AK50,38&lt;'EDT Y TAREAS'!AL50),'EDT Y TAREAS'!AI50/'EDT Y TAREAS'!M50,0),IF(AND(38&gt;='EDT Y TAREAS'!AK52,38&lt;'EDT Y TAREAS'!AL52),'EDT Y TAREAS'!AI52/'EDT Y TAREAS'!M52,0))</x:f>
        <x:v>0</x:v>
      </x:c>
      <x:c r="H78" s="35" t="n">
        <x:f>SUM(IF(AND(38&gt;='EDT Y TAREAS'!AK11,38&lt;'EDT Y TAREAS'!AL11),'EDT Y TAREAS'!AJ11/'EDT Y TAREAS'!M11,0),IF(AND(38&gt;='EDT Y TAREAS'!AK24,38&lt;'EDT Y TAREAS'!AL24),'EDT Y TAREAS'!AJ24/'EDT Y TAREAS'!M24,0),IF(AND(38&gt;='EDT Y TAREAS'!AK27,38&lt;'EDT Y TAREAS'!AL27),'EDT Y TAREAS'!AJ27/'EDT Y TAREAS'!M27,0),IF(AND(38&gt;='EDT Y TAREAS'!AK28,38&lt;'EDT Y TAREAS'!AL28),'EDT Y TAREAS'!AJ28/'EDT Y TAREAS'!M28,0),IF(AND(38&gt;='EDT Y TAREAS'!AK33,38&lt;'EDT Y TAREAS'!AL33),'EDT Y TAREAS'!AJ33/'EDT Y TAREAS'!M33,0),IF(AND(38&gt;='EDT Y TAREAS'!AK35,38&lt;'EDT Y TAREAS'!AL35),'EDT Y TAREAS'!AJ35/'EDT Y TAREAS'!M35,0),IF(AND(38&gt;='EDT Y TAREAS'!AK36,38&lt;'EDT Y TAREAS'!AL36),'EDT Y TAREAS'!AJ36/'EDT Y TAREAS'!M36,0),IF(AND(38&gt;='EDT Y TAREAS'!AK37,38&lt;'EDT Y TAREAS'!AL37),'EDT Y TAREAS'!AJ37/'EDT Y TAREAS'!M37,0),IF(AND(38&gt;='EDT Y TAREAS'!AK40,38&lt;'EDT Y TAREAS'!AL40),'EDT Y TAREAS'!AJ40/'EDT Y TAREAS'!M40,0),IF(AND(38&gt;='EDT Y TAREAS'!AK42,38&lt;'EDT Y TAREAS'!AL42),'EDT Y TAREAS'!AJ42/'EDT Y TAREAS'!M42,0),IF(AND(38&gt;='EDT Y TAREAS'!AK49,38&lt;'EDT Y TAREAS'!AL49),'EDT Y TAREAS'!AJ49/'EDT Y TAREAS'!M49,0),IF(AND(38&gt;='EDT Y TAREAS'!AK50,38&lt;'EDT Y TAREAS'!AL50),'EDT Y TAREAS'!AJ50/'EDT Y TAREAS'!M50,0),IF(AND(38&gt;='EDT Y TAREAS'!AK51,38&lt;'EDT Y TAREAS'!AL51),'EDT Y TAREAS'!AJ51/'EDT Y TAREAS'!M51,0),IF(AND(38&gt;='EDT Y TAREAS'!AK52,38&lt;'EDT Y TAREAS'!AL52),'EDT Y TAREAS'!AJ52/'EDT Y TAREAS'!M52,0))</x:f>
        <x:v>0</x:v>
      </x:c>
      <x:c r="I78" s="10" t="n">
        <x:f>WORKDAY('RESUMEN'!$D$3-1,A78,'RESUMEN'!$J$6:$J$25)</x:f>
        <x:v>46380</x:v>
      </x:c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  <x:c r="AJ78" s="3"/>
      <x:c r="AK78" s="3"/>
      <x:c r="AL78" s="3"/>
      <x:c r="AM78" s="3"/>
      <x:c r="AN78" s="3"/>
      <x:c r="AO78" s="3"/>
    </x:row>
    <x:row r="79" ht="24" customHeight="1">
      <x:c r="A79" s="3" t="n">
        <x:v>40</x:v>
      </x:c>
      <x:c r="B79" s="35" t="n">
        <x:f>SUM(IF(AND(39&gt;='EDT Y TAREAS'!AK6,39&lt;'EDT Y TAREAS'!AL6),'EDT Y TAREAS'!AD6/'EDT Y TAREAS'!M6,0),IF(AND(39&gt;='EDT Y TAREAS'!AK7,39&lt;'EDT Y TAREAS'!AL7),'EDT Y TAREAS'!AD7/'EDT Y TAREAS'!M7,0),IF(AND(39&gt;='EDT Y TAREAS'!AK8,39&lt;'EDT Y TAREAS'!AL8),'EDT Y TAREAS'!AD8/'EDT Y TAREAS'!M8,0),IF(AND(39&gt;='EDT Y TAREAS'!AK9,39&lt;'EDT Y TAREAS'!AL9),'EDT Y TAREAS'!AD9/'EDT Y TAREAS'!M9,0),IF(AND(39&gt;='EDT Y TAREAS'!AK10,39&lt;'EDT Y TAREAS'!AL10),'EDT Y TAREAS'!AD10/'EDT Y TAREAS'!M10,0),IF(AND(39&gt;='EDT Y TAREAS'!AK11,39&lt;'EDT Y TAREAS'!AL11),'EDT Y TAREAS'!AD11/'EDT Y TAREAS'!M11,0),IF(AND(39&gt;='EDT Y TAREAS'!AK12,39&lt;'EDT Y TAREAS'!AL12),'EDT Y TAREAS'!AD12/'EDT Y TAREAS'!M12,0),IF(AND(39&gt;='EDT Y TAREAS'!AK13,39&lt;'EDT Y TAREAS'!AL13),'EDT Y TAREAS'!AD13/'EDT Y TAREAS'!M13,0),IF(AND(39&gt;='EDT Y TAREAS'!AK14,39&lt;'EDT Y TAREAS'!AL14),'EDT Y TAREAS'!AD14/'EDT Y TAREAS'!M14,0),IF(AND(39&gt;='EDT Y TAREAS'!AK15,39&lt;'EDT Y TAREAS'!AL15),'EDT Y TAREAS'!AD15/'EDT Y TAREAS'!M15,0),IF(AND(39&gt;='EDT Y TAREAS'!AK16,39&lt;'EDT Y TAREAS'!AL16),'EDT Y TAREAS'!AD16/'EDT Y TAREAS'!M16,0),IF(AND(39&gt;='EDT Y TAREAS'!AK17,39&lt;'EDT Y TAREAS'!AL17),'EDT Y TAREAS'!AD17/'EDT Y TAREAS'!M17,0),IF(AND(39&gt;='EDT Y TAREAS'!AK18,39&lt;'EDT Y TAREAS'!AL18),'EDT Y TAREAS'!AD18/'EDT Y TAREAS'!M18,0),IF(AND(39&gt;='EDT Y TAREAS'!AK19,39&lt;'EDT Y TAREAS'!AL19),'EDT Y TAREAS'!AD19/'EDT Y TAREAS'!M19,0),IF(AND(39&gt;='EDT Y TAREAS'!AK20,39&lt;'EDT Y TAREAS'!AL20),'EDT Y TAREAS'!AD20/'EDT Y TAREAS'!M20,0),IF(AND(39&gt;='EDT Y TAREAS'!AK21,39&lt;'EDT Y TAREAS'!AL21),'EDT Y TAREAS'!AD21/'EDT Y TAREAS'!M21,0),IF(AND(39&gt;='EDT Y TAREAS'!AK22,39&lt;'EDT Y TAREAS'!AL22),'EDT Y TAREAS'!AD22/'EDT Y TAREAS'!M22,0),IF(AND(39&gt;='EDT Y TAREAS'!AK23,39&lt;'EDT Y TAREAS'!AL23),'EDT Y TAREAS'!AD23/'EDT Y TAREAS'!M23,0),IF(AND(39&gt;='EDT Y TAREAS'!AK26,39&lt;'EDT Y TAREAS'!AL26),'EDT Y TAREAS'!AD26/'EDT Y TAREAS'!M26,0),IF(AND(39&gt;='EDT Y TAREAS'!AK28,39&lt;'EDT Y TAREAS'!AL28),'EDT Y TAREAS'!AD28/'EDT Y TAREAS'!M28,0),IF(AND(39&gt;='EDT Y TAREAS'!AK30,39&lt;'EDT Y TAREAS'!AL30),'EDT Y TAREAS'!AD30/'EDT Y TAREAS'!M30,0),IF(AND(39&gt;='EDT Y TAREAS'!AK32,39&lt;'EDT Y TAREAS'!AL32),'EDT Y TAREAS'!AD32/'EDT Y TAREAS'!M32,0),IF(AND(39&gt;='EDT Y TAREAS'!AK34,39&lt;'EDT Y TAREAS'!AL34),'EDT Y TAREAS'!AD34/'EDT Y TAREAS'!M34,0),IF(AND(39&gt;='EDT Y TAREAS'!AK38,39&lt;'EDT Y TAREAS'!AL38),'EDT Y TAREAS'!AD38/'EDT Y TAREAS'!M38,0),IF(AND(39&gt;='EDT Y TAREAS'!AK39,39&lt;'EDT Y TAREAS'!AL39),'EDT Y TAREAS'!AD39/'EDT Y TAREAS'!M39,0),IF(AND(39&gt;='EDT Y TAREAS'!AK43,39&lt;'EDT Y TAREAS'!AL43),'EDT Y TAREAS'!AD43/'EDT Y TAREAS'!M43,0),IF(AND(39&gt;='EDT Y TAREAS'!AK44,39&lt;'EDT Y TAREAS'!AL44),'EDT Y TAREAS'!AD44/'EDT Y TAREAS'!M44,0),IF(AND(39&gt;='EDT Y TAREAS'!AK45,39&lt;'EDT Y TAREAS'!AL45),'EDT Y TAREAS'!AD45/'EDT Y TAREAS'!M45,0),IF(AND(39&gt;='EDT Y TAREAS'!AK46,39&lt;'EDT Y TAREAS'!AL46),'EDT Y TAREAS'!AD46/'EDT Y TAREAS'!M46,0),IF(AND(39&gt;='EDT Y TAREAS'!AK47,39&lt;'EDT Y TAREAS'!AL47),'EDT Y TAREAS'!AD47/'EDT Y TAREAS'!M47,0),IF(AND(39&gt;='EDT Y TAREAS'!AK49,39&lt;'EDT Y TAREAS'!AL49),'EDT Y TAREAS'!AD49/'EDT Y TAREAS'!M49,0),IF(AND(39&gt;='EDT Y TAREAS'!AK50,39&lt;'EDT Y TAREAS'!AL50),'EDT Y TAREAS'!AD50/'EDT Y TAREAS'!M50,0),IF(AND(39&gt;='EDT Y TAREAS'!AK51,39&lt;'EDT Y TAREAS'!AL51),'EDT Y TAREAS'!AD51/'EDT Y TAREAS'!M51,0),IF(AND(39&gt;='EDT Y TAREAS'!AK52,39&lt;'EDT Y TAREAS'!AL52),'EDT Y TAREAS'!AD52/'EDT Y TAREAS'!M52,0))</x:f>
        <x:v>6.8</x:v>
      </x:c>
      <x:c r="C79" s="35" t="n">
        <x:f>SUM(IF(AND(39&gt;='EDT Y TAREAS'!AK6,39&lt;'EDT Y TAREAS'!AL6),'EDT Y TAREAS'!AE6/'EDT Y TAREAS'!M6,0),IF(AND(39&gt;='EDT Y TAREAS'!AK8,39&lt;'EDT Y TAREAS'!AL8),'EDT Y TAREAS'!AE8/'EDT Y TAREAS'!M8,0),IF(AND(39&gt;='EDT Y TAREAS'!AK9,39&lt;'EDT Y TAREAS'!AL9),'EDT Y TAREAS'!AE9/'EDT Y TAREAS'!M9,0),IF(AND(39&gt;='EDT Y TAREAS'!AK10,39&lt;'EDT Y TAREAS'!AL10),'EDT Y TAREAS'!AE10/'EDT Y TAREAS'!M10,0),IF(AND(39&gt;='EDT Y TAREAS'!AK12,39&lt;'EDT Y TAREAS'!AL12),'EDT Y TAREAS'!AE12/'EDT Y TAREAS'!M12,0),IF(AND(39&gt;='EDT Y TAREAS'!AK16,39&lt;'EDT Y TAREAS'!AL16),'EDT Y TAREAS'!AE16/'EDT Y TAREAS'!M16,0),IF(AND(39&gt;='EDT Y TAREAS'!AK21,39&lt;'EDT Y TAREAS'!AL21),'EDT Y TAREAS'!AE21/'EDT Y TAREAS'!M21,0),IF(AND(39&gt;='EDT Y TAREAS'!AK23,39&lt;'EDT Y TAREAS'!AL23),'EDT Y TAREAS'!AE23/'EDT Y TAREAS'!M23,0),IF(AND(39&gt;='EDT Y TAREAS'!AK37,39&lt;'EDT Y TAREAS'!AL37),'EDT Y TAREAS'!AE37/'EDT Y TAREAS'!M37,0),IF(AND(39&gt;='EDT Y TAREAS'!AK38,39&lt;'EDT Y TAREAS'!AL38),'EDT Y TAREAS'!AE38/'EDT Y TAREAS'!M38,0),IF(AND(39&gt;='EDT Y TAREAS'!AK41,39&lt;'EDT Y TAREAS'!AL41),'EDT Y TAREAS'!AE41/'EDT Y TAREAS'!M41,0),IF(AND(39&gt;='EDT Y TAREAS'!AK43,39&lt;'EDT Y TAREAS'!AL43),'EDT Y TAREAS'!AE43/'EDT Y TAREAS'!M43,0),IF(AND(39&gt;='EDT Y TAREAS'!AK44,39&lt;'EDT Y TAREAS'!AL44),'EDT Y TAREAS'!AE44/'EDT Y TAREAS'!M44,0),IF(AND(39&gt;='EDT Y TAREAS'!AK46,39&lt;'EDT Y TAREAS'!AL46),'EDT Y TAREAS'!AE46/'EDT Y TAREAS'!M46,0),IF(AND(39&gt;='EDT Y TAREAS'!AK47,39&lt;'EDT Y TAREAS'!AL47),'EDT Y TAREAS'!AE47/'EDT Y TAREAS'!M47,0),IF(AND(39&gt;='EDT Y TAREAS'!AK51,39&lt;'EDT Y TAREAS'!AL51),'EDT Y TAREAS'!AE51/'EDT Y TAREAS'!M51,0),IF(AND(39&gt;='EDT Y TAREAS'!AK52,39&lt;'EDT Y TAREAS'!AL52),'EDT Y TAREAS'!AE52/'EDT Y TAREAS'!M52,0))</x:f>
        <x:v>2</x:v>
      </x:c>
      <x:c r="D79" s="35" t="n">
        <x:f>SUM(IF(AND(39&gt;='EDT Y TAREAS'!AK11,39&lt;'EDT Y TAREAS'!AL11),'EDT Y TAREAS'!AF11/'EDT Y TAREAS'!M11,0),IF(AND(39&gt;='EDT Y TAREAS'!AK24,39&lt;'EDT Y TAREAS'!AL24),'EDT Y TAREAS'!AF24/'EDT Y TAREAS'!M24,0),IF(AND(39&gt;='EDT Y TAREAS'!AK25,39&lt;'EDT Y TAREAS'!AL25),'EDT Y TAREAS'!AF25/'EDT Y TAREAS'!M25,0),IF(AND(39&gt;='EDT Y TAREAS'!AK26,39&lt;'EDT Y TAREAS'!AL26),'EDT Y TAREAS'!AF26/'EDT Y TAREAS'!M26,0),IF(AND(39&gt;='EDT Y TAREAS'!AK27,39&lt;'EDT Y TAREAS'!AL27),'EDT Y TAREAS'!AF27/'EDT Y TAREAS'!M27,0),IF(AND(39&gt;='EDT Y TAREAS'!AK28,39&lt;'EDT Y TAREAS'!AL28),'EDT Y TAREAS'!AF28/'EDT Y TAREAS'!M28,0),IF(AND(39&gt;='EDT Y TAREAS'!AK31,39&lt;'EDT Y TAREAS'!AL31),'EDT Y TAREAS'!AF31/'EDT Y TAREAS'!M31,0),IF(AND(39&gt;='EDT Y TAREAS'!AK33,39&lt;'EDT Y TAREAS'!AL33),'EDT Y TAREAS'!AF33/'EDT Y TAREAS'!M33,0),IF(AND(39&gt;='EDT Y TAREAS'!AK34,39&lt;'EDT Y TAREAS'!AL34),'EDT Y TAREAS'!AF34/'EDT Y TAREAS'!M34,0),IF(AND(39&gt;='EDT Y TAREAS'!AK35,39&lt;'EDT Y TAREAS'!AL35),'EDT Y TAREAS'!AF35/'EDT Y TAREAS'!M35,0),IF(AND(39&gt;='EDT Y TAREAS'!AK37,39&lt;'EDT Y TAREAS'!AL37),'EDT Y TAREAS'!AF37/'EDT Y TAREAS'!M37,0),IF(AND(39&gt;='EDT Y TAREAS'!AK39,39&lt;'EDT Y TAREAS'!AL39),'EDT Y TAREAS'!AF39/'EDT Y TAREAS'!M39,0),IF(AND(39&gt;='EDT Y TAREAS'!AK40,39&lt;'EDT Y TAREAS'!AL40),'EDT Y TAREAS'!AF40/'EDT Y TAREAS'!M40,0),IF(AND(39&gt;='EDT Y TAREAS'!AK42,39&lt;'EDT Y TAREAS'!AL42),'EDT Y TAREAS'!AF42/'EDT Y TAREAS'!M42,0),IF(AND(39&gt;='EDT Y TAREAS'!AK45,39&lt;'EDT Y TAREAS'!AL45),'EDT Y TAREAS'!AF45/'EDT Y TAREAS'!M45,0),IF(AND(39&gt;='EDT Y TAREAS'!AK49,39&lt;'EDT Y TAREAS'!AL49),'EDT Y TAREAS'!AF49/'EDT Y TAREAS'!M49,0),IF(AND(39&gt;='EDT Y TAREAS'!AK52,39&lt;'EDT Y TAREAS'!AL52),'EDT Y TAREAS'!AF52/'EDT Y TAREAS'!M52,0))</x:f>
        <x:v>5.6</x:v>
      </x:c>
      <x:c r="E79" s="35" t="n">
        <x:f>SUM(IF(AND(39&gt;='EDT Y TAREAS'!AK29,39&lt;'EDT Y TAREAS'!AL29),'EDT Y TAREAS'!AG29/'EDT Y TAREAS'!M29,0),IF(AND(39&gt;='EDT Y TAREAS'!AK30,39&lt;'EDT Y TAREAS'!AL30),'EDT Y TAREAS'!AG30/'EDT Y TAREAS'!M30,0),IF(AND(39&gt;='EDT Y TAREAS'!AK31,39&lt;'EDT Y TAREAS'!AL31),'EDT Y TAREAS'!AG31/'EDT Y TAREAS'!M31,0),IF(AND(39&gt;='EDT Y TAREAS'!AK32,39&lt;'EDT Y TAREAS'!AL32),'EDT Y TAREAS'!AG32/'EDT Y TAREAS'!M32,0),IF(AND(39&gt;='EDT Y TAREAS'!AK41,39&lt;'EDT Y TAREAS'!AL41),'EDT Y TAREAS'!AG41/'EDT Y TAREAS'!M41,0),IF(AND(39&gt;='EDT Y TAREAS'!AK45,39&lt;'EDT Y TAREAS'!AL45),'EDT Y TAREAS'!AG45/'EDT Y TAREAS'!M45,0),IF(AND(39&gt;='EDT Y TAREAS'!AK48,39&lt;'EDT Y TAREAS'!AL48),'EDT Y TAREAS'!AG48/'EDT Y TAREAS'!M48,0))</x:f>
        <x:v>0</x:v>
      </x:c>
      <x:c r="F79" s="35" t="n">
        <x:f>SUM(IF(AND(39&gt;='EDT Y TAREAS'!AK10,39&lt;'EDT Y TAREAS'!AL10),'EDT Y TAREAS'!AH10/'EDT Y TAREAS'!M10,0),IF(AND(39&gt;='EDT Y TAREAS'!AK12,39&lt;'EDT Y TAREAS'!AL12),'EDT Y TAREAS'!AH12/'EDT Y TAREAS'!M12,0),IF(AND(39&gt;='EDT Y TAREAS'!AK22,39&lt;'EDT Y TAREAS'!AL22),'EDT Y TAREAS'!AH22/'EDT Y TAREAS'!M22,0),IF(AND(39&gt;='EDT Y TAREAS'!AK23,39&lt;'EDT Y TAREAS'!AL23),'EDT Y TAREAS'!AH23/'EDT Y TAREAS'!M23,0),IF(AND(39&gt;='EDT Y TAREAS'!AK29,39&lt;'EDT Y TAREAS'!AL29),'EDT Y TAREAS'!AH29/'EDT Y TAREAS'!M29,0),IF(AND(39&gt;='EDT Y TAREAS'!AK30,39&lt;'EDT Y TAREAS'!AL30),'EDT Y TAREAS'!AH30/'EDT Y TAREAS'!M30,0),IF(AND(39&gt;='EDT Y TAREAS'!AK32,39&lt;'EDT Y TAREAS'!AL32),'EDT Y TAREAS'!AH32/'EDT Y TAREAS'!M32,0),IF(AND(39&gt;='EDT Y TAREAS'!AK41,39&lt;'EDT Y TAREAS'!AL41),'EDT Y TAREAS'!AH41/'EDT Y TAREAS'!M41,0),IF(AND(39&gt;='EDT Y TAREAS'!AK44,39&lt;'EDT Y TAREAS'!AL44),'EDT Y TAREAS'!AH44/'EDT Y TAREAS'!M44,0),IF(AND(39&gt;='EDT Y TAREAS'!AK46,39&lt;'EDT Y TAREAS'!AL46),'EDT Y TAREAS'!AH46/'EDT Y TAREAS'!M46,0),IF(AND(39&gt;='EDT Y TAREAS'!AK48,39&lt;'EDT Y TAREAS'!AL48),'EDT Y TAREAS'!AH48/'EDT Y TAREAS'!M48,0))</x:f>
        <x:v>2.4</x:v>
      </x:c>
      <x:c r="G79" s="35" t="n">
        <x:f>SUM(IF(AND(39&gt;='EDT Y TAREAS'!AK20,39&lt;'EDT Y TAREAS'!AL20),'EDT Y TAREAS'!AI20/'EDT Y TAREAS'!M20,0),IF(AND(39&gt;='EDT Y TAREAS'!AK25,39&lt;'EDT Y TAREAS'!AL25),'EDT Y TAREAS'!AI25/'EDT Y TAREAS'!M25,0),IF(AND(39&gt;='EDT Y TAREAS'!AK33,39&lt;'EDT Y TAREAS'!AL33),'EDT Y TAREAS'!AI33/'EDT Y TAREAS'!M33,0),IF(AND(39&gt;='EDT Y TAREAS'!AK34,39&lt;'EDT Y TAREAS'!AL34),'EDT Y TAREAS'!AI34/'EDT Y TAREAS'!M34,0),IF(AND(39&gt;='EDT Y TAREAS'!AK36,39&lt;'EDT Y TAREAS'!AL36),'EDT Y TAREAS'!AI36/'EDT Y TAREAS'!M36,0),IF(AND(39&gt;='EDT Y TAREAS'!AK39,39&lt;'EDT Y TAREAS'!AL39),'EDT Y TAREAS'!AI39/'EDT Y TAREAS'!M39,0),IF(AND(39&gt;='EDT Y TAREAS'!AK40,39&lt;'EDT Y TAREAS'!AL40),'EDT Y TAREAS'!AI40/'EDT Y TAREAS'!M40,0),IF(AND(39&gt;='EDT Y TAREAS'!AK42,39&lt;'EDT Y TAREAS'!AL42),'EDT Y TAREAS'!AI42/'EDT Y TAREAS'!M42,0),IF(AND(39&gt;='EDT Y TAREAS'!AK43,39&lt;'EDT Y TAREAS'!AL43),'EDT Y TAREAS'!AI43/'EDT Y TAREAS'!M43,0),IF(AND(39&gt;='EDT Y TAREAS'!AK44,39&lt;'EDT Y TAREAS'!AL44),'EDT Y TAREAS'!AI44/'EDT Y TAREAS'!M44,0),IF(AND(39&gt;='EDT Y TAREAS'!AK45,39&lt;'EDT Y TAREAS'!AL45),'EDT Y TAREAS'!AI45/'EDT Y TAREAS'!M45,0),IF(AND(39&gt;='EDT Y TAREAS'!AK46,39&lt;'EDT Y TAREAS'!AL46),'EDT Y TAREAS'!AI46/'EDT Y TAREAS'!M46,0),IF(AND(39&gt;='EDT Y TAREAS'!AK48,39&lt;'EDT Y TAREAS'!AL48),'EDT Y TAREAS'!AI48/'EDT Y TAREAS'!M48,0),IF(AND(39&gt;='EDT Y TAREAS'!AK50,39&lt;'EDT Y TAREAS'!AL50),'EDT Y TAREAS'!AI50/'EDT Y TAREAS'!M50,0),IF(AND(39&gt;='EDT Y TAREAS'!AK52,39&lt;'EDT Y TAREAS'!AL52),'EDT Y TAREAS'!AI52/'EDT Y TAREAS'!M52,0))</x:f>
        <x:v>0</x:v>
      </x:c>
      <x:c r="H79" s="35" t="n">
        <x:f>SUM(IF(AND(39&gt;='EDT Y TAREAS'!AK11,39&lt;'EDT Y TAREAS'!AL11),'EDT Y TAREAS'!AJ11/'EDT Y TAREAS'!M11,0),IF(AND(39&gt;='EDT Y TAREAS'!AK24,39&lt;'EDT Y TAREAS'!AL24),'EDT Y TAREAS'!AJ24/'EDT Y TAREAS'!M24,0),IF(AND(39&gt;='EDT Y TAREAS'!AK27,39&lt;'EDT Y TAREAS'!AL27),'EDT Y TAREAS'!AJ27/'EDT Y TAREAS'!M27,0),IF(AND(39&gt;='EDT Y TAREAS'!AK28,39&lt;'EDT Y TAREAS'!AL28),'EDT Y TAREAS'!AJ28/'EDT Y TAREAS'!M28,0),IF(AND(39&gt;='EDT Y TAREAS'!AK33,39&lt;'EDT Y TAREAS'!AL33),'EDT Y TAREAS'!AJ33/'EDT Y TAREAS'!M33,0),IF(AND(39&gt;='EDT Y TAREAS'!AK35,39&lt;'EDT Y TAREAS'!AL35),'EDT Y TAREAS'!AJ35/'EDT Y TAREAS'!M35,0),IF(AND(39&gt;='EDT Y TAREAS'!AK36,39&lt;'EDT Y TAREAS'!AL36),'EDT Y TAREAS'!AJ36/'EDT Y TAREAS'!M36,0),IF(AND(39&gt;='EDT Y TAREAS'!AK37,39&lt;'EDT Y TAREAS'!AL37),'EDT Y TAREAS'!AJ37/'EDT Y TAREAS'!M37,0),IF(AND(39&gt;='EDT Y TAREAS'!AK40,39&lt;'EDT Y TAREAS'!AL40),'EDT Y TAREAS'!AJ40/'EDT Y TAREAS'!M40,0),IF(AND(39&gt;='EDT Y TAREAS'!AK42,39&lt;'EDT Y TAREAS'!AL42),'EDT Y TAREAS'!AJ42/'EDT Y TAREAS'!M42,0),IF(AND(39&gt;='EDT Y TAREAS'!AK49,39&lt;'EDT Y TAREAS'!AL49),'EDT Y TAREAS'!AJ49/'EDT Y TAREAS'!M49,0),IF(AND(39&gt;='EDT Y TAREAS'!AK50,39&lt;'EDT Y TAREAS'!AL50),'EDT Y TAREAS'!AJ50/'EDT Y TAREAS'!M50,0),IF(AND(39&gt;='EDT Y TAREAS'!AK51,39&lt;'EDT Y TAREAS'!AL51),'EDT Y TAREAS'!AJ51/'EDT Y TAREAS'!M51,0),IF(AND(39&gt;='EDT Y TAREAS'!AK52,39&lt;'EDT Y TAREAS'!AL52),'EDT Y TAREAS'!AJ52/'EDT Y TAREAS'!M52,0))</x:f>
        <x:v>0</x:v>
      </x:c>
      <x:c r="I79" s="10" t="n">
        <x:f>WORKDAY('RESUMEN'!$D$3-1,A79,'RESUMEN'!$J$6:$J$25)</x:f>
        <x:v>46381</x:v>
      </x:c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  <x:c r="AH79" s="3"/>
      <x:c r="AI79" s="3"/>
      <x:c r="AJ79" s="3"/>
      <x:c r="AK79" s="3"/>
      <x:c r="AL79" s="3"/>
      <x:c r="AM79" s="3"/>
      <x:c r="AN79" s="3"/>
      <x:c r="AO79" s="3"/>
    </x:row>
    <x:row r="80" ht="24" customHeight="1">
      <x:c r="A80" s="3" t="n">
        <x:v>41</x:v>
      </x:c>
      <x:c r="B80" s="35" t="n">
        <x:f>SUM(IF(AND(40&gt;='EDT Y TAREAS'!AK6,40&lt;'EDT Y TAREAS'!AL6),'EDT Y TAREAS'!AD6/'EDT Y TAREAS'!M6,0),IF(AND(40&gt;='EDT Y TAREAS'!AK7,40&lt;'EDT Y TAREAS'!AL7),'EDT Y TAREAS'!AD7/'EDT Y TAREAS'!M7,0),IF(AND(40&gt;='EDT Y TAREAS'!AK8,40&lt;'EDT Y TAREAS'!AL8),'EDT Y TAREAS'!AD8/'EDT Y TAREAS'!M8,0),IF(AND(40&gt;='EDT Y TAREAS'!AK9,40&lt;'EDT Y TAREAS'!AL9),'EDT Y TAREAS'!AD9/'EDT Y TAREAS'!M9,0),IF(AND(40&gt;='EDT Y TAREAS'!AK10,40&lt;'EDT Y TAREAS'!AL10),'EDT Y TAREAS'!AD10/'EDT Y TAREAS'!M10,0),IF(AND(40&gt;='EDT Y TAREAS'!AK11,40&lt;'EDT Y TAREAS'!AL11),'EDT Y TAREAS'!AD11/'EDT Y TAREAS'!M11,0),IF(AND(40&gt;='EDT Y TAREAS'!AK12,40&lt;'EDT Y TAREAS'!AL12),'EDT Y TAREAS'!AD12/'EDT Y TAREAS'!M12,0),IF(AND(40&gt;='EDT Y TAREAS'!AK13,40&lt;'EDT Y TAREAS'!AL13),'EDT Y TAREAS'!AD13/'EDT Y TAREAS'!M13,0),IF(AND(40&gt;='EDT Y TAREAS'!AK14,40&lt;'EDT Y TAREAS'!AL14),'EDT Y TAREAS'!AD14/'EDT Y TAREAS'!M14,0),IF(AND(40&gt;='EDT Y TAREAS'!AK15,40&lt;'EDT Y TAREAS'!AL15),'EDT Y TAREAS'!AD15/'EDT Y TAREAS'!M15,0),IF(AND(40&gt;='EDT Y TAREAS'!AK16,40&lt;'EDT Y TAREAS'!AL16),'EDT Y TAREAS'!AD16/'EDT Y TAREAS'!M16,0),IF(AND(40&gt;='EDT Y TAREAS'!AK17,40&lt;'EDT Y TAREAS'!AL17),'EDT Y TAREAS'!AD17/'EDT Y TAREAS'!M17,0),IF(AND(40&gt;='EDT Y TAREAS'!AK18,40&lt;'EDT Y TAREAS'!AL18),'EDT Y TAREAS'!AD18/'EDT Y TAREAS'!M18,0),IF(AND(40&gt;='EDT Y TAREAS'!AK19,40&lt;'EDT Y TAREAS'!AL19),'EDT Y TAREAS'!AD19/'EDT Y TAREAS'!M19,0),IF(AND(40&gt;='EDT Y TAREAS'!AK20,40&lt;'EDT Y TAREAS'!AL20),'EDT Y TAREAS'!AD20/'EDT Y TAREAS'!M20,0),IF(AND(40&gt;='EDT Y TAREAS'!AK21,40&lt;'EDT Y TAREAS'!AL21),'EDT Y TAREAS'!AD21/'EDT Y TAREAS'!M21,0),IF(AND(40&gt;='EDT Y TAREAS'!AK22,40&lt;'EDT Y TAREAS'!AL22),'EDT Y TAREAS'!AD22/'EDT Y TAREAS'!M22,0),IF(AND(40&gt;='EDT Y TAREAS'!AK23,40&lt;'EDT Y TAREAS'!AL23),'EDT Y TAREAS'!AD23/'EDT Y TAREAS'!M23,0),IF(AND(40&gt;='EDT Y TAREAS'!AK26,40&lt;'EDT Y TAREAS'!AL26),'EDT Y TAREAS'!AD26/'EDT Y TAREAS'!M26,0),IF(AND(40&gt;='EDT Y TAREAS'!AK28,40&lt;'EDT Y TAREAS'!AL28),'EDT Y TAREAS'!AD28/'EDT Y TAREAS'!M28,0),IF(AND(40&gt;='EDT Y TAREAS'!AK30,40&lt;'EDT Y TAREAS'!AL30),'EDT Y TAREAS'!AD30/'EDT Y TAREAS'!M30,0),IF(AND(40&gt;='EDT Y TAREAS'!AK32,40&lt;'EDT Y TAREAS'!AL32),'EDT Y TAREAS'!AD32/'EDT Y TAREAS'!M32,0),IF(AND(40&gt;='EDT Y TAREAS'!AK34,40&lt;'EDT Y TAREAS'!AL34),'EDT Y TAREAS'!AD34/'EDT Y TAREAS'!M34,0),IF(AND(40&gt;='EDT Y TAREAS'!AK38,40&lt;'EDT Y TAREAS'!AL38),'EDT Y TAREAS'!AD38/'EDT Y TAREAS'!M38,0),IF(AND(40&gt;='EDT Y TAREAS'!AK39,40&lt;'EDT Y TAREAS'!AL39),'EDT Y TAREAS'!AD39/'EDT Y TAREAS'!M39,0),IF(AND(40&gt;='EDT Y TAREAS'!AK43,40&lt;'EDT Y TAREAS'!AL43),'EDT Y TAREAS'!AD43/'EDT Y TAREAS'!M43,0),IF(AND(40&gt;='EDT Y TAREAS'!AK44,40&lt;'EDT Y TAREAS'!AL44),'EDT Y TAREAS'!AD44/'EDT Y TAREAS'!M44,0),IF(AND(40&gt;='EDT Y TAREAS'!AK45,40&lt;'EDT Y TAREAS'!AL45),'EDT Y TAREAS'!AD45/'EDT Y TAREAS'!M45,0),IF(AND(40&gt;='EDT Y TAREAS'!AK46,40&lt;'EDT Y TAREAS'!AL46),'EDT Y TAREAS'!AD46/'EDT Y TAREAS'!M46,0),IF(AND(40&gt;='EDT Y TAREAS'!AK47,40&lt;'EDT Y TAREAS'!AL47),'EDT Y TAREAS'!AD47/'EDT Y TAREAS'!M47,0),IF(AND(40&gt;='EDT Y TAREAS'!AK49,40&lt;'EDT Y TAREAS'!AL49),'EDT Y TAREAS'!AD49/'EDT Y TAREAS'!M49,0),IF(AND(40&gt;='EDT Y TAREAS'!AK50,40&lt;'EDT Y TAREAS'!AL50),'EDT Y TAREAS'!AD50/'EDT Y TAREAS'!M50,0),IF(AND(40&gt;='EDT Y TAREAS'!AK51,40&lt;'EDT Y TAREAS'!AL51),'EDT Y TAREAS'!AD51/'EDT Y TAREAS'!M51,0),IF(AND(40&gt;='EDT Y TAREAS'!AK52,40&lt;'EDT Y TAREAS'!AL52),'EDT Y TAREAS'!AD52/'EDT Y TAREAS'!M52,0))</x:f>
        <x:v>6.8</x:v>
      </x:c>
      <x:c r="C80" s="35" t="n">
        <x:f>SUM(IF(AND(40&gt;='EDT Y TAREAS'!AK6,40&lt;'EDT Y TAREAS'!AL6),'EDT Y TAREAS'!AE6/'EDT Y TAREAS'!M6,0),IF(AND(40&gt;='EDT Y TAREAS'!AK8,40&lt;'EDT Y TAREAS'!AL8),'EDT Y TAREAS'!AE8/'EDT Y TAREAS'!M8,0),IF(AND(40&gt;='EDT Y TAREAS'!AK9,40&lt;'EDT Y TAREAS'!AL9),'EDT Y TAREAS'!AE9/'EDT Y TAREAS'!M9,0),IF(AND(40&gt;='EDT Y TAREAS'!AK10,40&lt;'EDT Y TAREAS'!AL10),'EDT Y TAREAS'!AE10/'EDT Y TAREAS'!M10,0),IF(AND(40&gt;='EDT Y TAREAS'!AK12,40&lt;'EDT Y TAREAS'!AL12),'EDT Y TAREAS'!AE12/'EDT Y TAREAS'!M12,0),IF(AND(40&gt;='EDT Y TAREAS'!AK16,40&lt;'EDT Y TAREAS'!AL16),'EDT Y TAREAS'!AE16/'EDT Y TAREAS'!M16,0),IF(AND(40&gt;='EDT Y TAREAS'!AK21,40&lt;'EDT Y TAREAS'!AL21),'EDT Y TAREAS'!AE21/'EDT Y TAREAS'!M21,0),IF(AND(40&gt;='EDT Y TAREAS'!AK23,40&lt;'EDT Y TAREAS'!AL23),'EDT Y TAREAS'!AE23/'EDT Y TAREAS'!M23,0),IF(AND(40&gt;='EDT Y TAREAS'!AK37,40&lt;'EDT Y TAREAS'!AL37),'EDT Y TAREAS'!AE37/'EDT Y TAREAS'!M37,0),IF(AND(40&gt;='EDT Y TAREAS'!AK38,40&lt;'EDT Y TAREAS'!AL38),'EDT Y TAREAS'!AE38/'EDT Y TAREAS'!M38,0),IF(AND(40&gt;='EDT Y TAREAS'!AK41,40&lt;'EDT Y TAREAS'!AL41),'EDT Y TAREAS'!AE41/'EDT Y TAREAS'!M41,0),IF(AND(40&gt;='EDT Y TAREAS'!AK43,40&lt;'EDT Y TAREAS'!AL43),'EDT Y TAREAS'!AE43/'EDT Y TAREAS'!M43,0),IF(AND(40&gt;='EDT Y TAREAS'!AK44,40&lt;'EDT Y TAREAS'!AL44),'EDT Y TAREAS'!AE44/'EDT Y TAREAS'!M44,0),IF(AND(40&gt;='EDT Y TAREAS'!AK46,40&lt;'EDT Y TAREAS'!AL46),'EDT Y TAREAS'!AE46/'EDT Y TAREAS'!M46,0),IF(AND(40&gt;='EDT Y TAREAS'!AK47,40&lt;'EDT Y TAREAS'!AL47),'EDT Y TAREAS'!AE47/'EDT Y TAREAS'!M47,0),IF(AND(40&gt;='EDT Y TAREAS'!AK51,40&lt;'EDT Y TAREAS'!AL51),'EDT Y TAREAS'!AE51/'EDT Y TAREAS'!M51,0),IF(AND(40&gt;='EDT Y TAREAS'!AK52,40&lt;'EDT Y TAREAS'!AL52),'EDT Y TAREAS'!AE52/'EDT Y TAREAS'!M52,0))</x:f>
        <x:v>2</x:v>
      </x:c>
      <x:c r="D80" s="35" t="n">
        <x:f>SUM(IF(AND(40&gt;='EDT Y TAREAS'!AK11,40&lt;'EDT Y TAREAS'!AL11),'EDT Y TAREAS'!AF11/'EDT Y TAREAS'!M11,0),IF(AND(40&gt;='EDT Y TAREAS'!AK24,40&lt;'EDT Y TAREAS'!AL24),'EDT Y TAREAS'!AF24/'EDT Y TAREAS'!M24,0),IF(AND(40&gt;='EDT Y TAREAS'!AK25,40&lt;'EDT Y TAREAS'!AL25),'EDT Y TAREAS'!AF25/'EDT Y TAREAS'!M25,0),IF(AND(40&gt;='EDT Y TAREAS'!AK26,40&lt;'EDT Y TAREAS'!AL26),'EDT Y TAREAS'!AF26/'EDT Y TAREAS'!M26,0),IF(AND(40&gt;='EDT Y TAREAS'!AK27,40&lt;'EDT Y TAREAS'!AL27),'EDT Y TAREAS'!AF27/'EDT Y TAREAS'!M27,0),IF(AND(40&gt;='EDT Y TAREAS'!AK28,40&lt;'EDT Y TAREAS'!AL28),'EDT Y TAREAS'!AF28/'EDT Y TAREAS'!M28,0),IF(AND(40&gt;='EDT Y TAREAS'!AK31,40&lt;'EDT Y TAREAS'!AL31),'EDT Y TAREAS'!AF31/'EDT Y TAREAS'!M31,0),IF(AND(40&gt;='EDT Y TAREAS'!AK33,40&lt;'EDT Y TAREAS'!AL33),'EDT Y TAREAS'!AF33/'EDT Y TAREAS'!M33,0),IF(AND(40&gt;='EDT Y TAREAS'!AK34,40&lt;'EDT Y TAREAS'!AL34),'EDT Y TAREAS'!AF34/'EDT Y TAREAS'!M34,0),IF(AND(40&gt;='EDT Y TAREAS'!AK35,40&lt;'EDT Y TAREAS'!AL35),'EDT Y TAREAS'!AF35/'EDT Y TAREAS'!M35,0),IF(AND(40&gt;='EDT Y TAREAS'!AK37,40&lt;'EDT Y TAREAS'!AL37),'EDT Y TAREAS'!AF37/'EDT Y TAREAS'!M37,0),IF(AND(40&gt;='EDT Y TAREAS'!AK39,40&lt;'EDT Y TAREAS'!AL39),'EDT Y TAREAS'!AF39/'EDT Y TAREAS'!M39,0),IF(AND(40&gt;='EDT Y TAREAS'!AK40,40&lt;'EDT Y TAREAS'!AL40),'EDT Y TAREAS'!AF40/'EDT Y TAREAS'!M40,0),IF(AND(40&gt;='EDT Y TAREAS'!AK42,40&lt;'EDT Y TAREAS'!AL42),'EDT Y TAREAS'!AF42/'EDT Y TAREAS'!M42,0),IF(AND(40&gt;='EDT Y TAREAS'!AK45,40&lt;'EDT Y TAREAS'!AL45),'EDT Y TAREAS'!AF45/'EDT Y TAREAS'!M45,0),IF(AND(40&gt;='EDT Y TAREAS'!AK49,40&lt;'EDT Y TAREAS'!AL49),'EDT Y TAREAS'!AF49/'EDT Y TAREAS'!M49,0),IF(AND(40&gt;='EDT Y TAREAS'!AK52,40&lt;'EDT Y TAREAS'!AL52),'EDT Y TAREAS'!AF52/'EDT Y TAREAS'!M52,0))</x:f>
        <x:v>5.6</x:v>
      </x:c>
      <x:c r="E80" s="35" t="n">
        <x:f>SUM(IF(AND(40&gt;='EDT Y TAREAS'!AK29,40&lt;'EDT Y TAREAS'!AL29),'EDT Y TAREAS'!AG29/'EDT Y TAREAS'!M29,0),IF(AND(40&gt;='EDT Y TAREAS'!AK30,40&lt;'EDT Y TAREAS'!AL30),'EDT Y TAREAS'!AG30/'EDT Y TAREAS'!M30,0),IF(AND(40&gt;='EDT Y TAREAS'!AK31,40&lt;'EDT Y TAREAS'!AL31),'EDT Y TAREAS'!AG31/'EDT Y TAREAS'!M31,0),IF(AND(40&gt;='EDT Y TAREAS'!AK32,40&lt;'EDT Y TAREAS'!AL32),'EDT Y TAREAS'!AG32/'EDT Y TAREAS'!M32,0),IF(AND(40&gt;='EDT Y TAREAS'!AK41,40&lt;'EDT Y TAREAS'!AL41),'EDT Y TAREAS'!AG41/'EDT Y TAREAS'!M41,0),IF(AND(40&gt;='EDT Y TAREAS'!AK45,40&lt;'EDT Y TAREAS'!AL45),'EDT Y TAREAS'!AG45/'EDT Y TAREAS'!M45,0),IF(AND(40&gt;='EDT Y TAREAS'!AK48,40&lt;'EDT Y TAREAS'!AL48),'EDT Y TAREAS'!AG48/'EDT Y TAREAS'!M48,0))</x:f>
        <x:v>0</x:v>
      </x:c>
      <x:c r="F80" s="35" t="n">
        <x:f>SUM(IF(AND(40&gt;='EDT Y TAREAS'!AK10,40&lt;'EDT Y TAREAS'!AL10),'EDT Y TAREAS'!AH10/'EDT Y TAREAS'!M10,0),IF(AND(40&gt;='EDT Y TAREAS'!AK12,40&lt;'EDT Y TAREAS'!AL12),'EDT Y TAREAS'!AH12/'EDT Y TAREAS'!M12,0),IF(AND(40&gt;='EDT Y TAREAS'!AK22,40&lt;'EDT Y TAREAS'!AL22),'EDT Y TAREAS'!AH22/'EDT Y TAREAS'!M22,0),IF(AND(40&gt;='EDT Y TAREAS'!AK23,40&lt;'EDT Y TAREAS'!AL23),'EDT Y TAREAS'!AH23/'EDT Y TAREAS'!M23,0),IF(AND(40&gt;='EDT Y TAREAS'!AK29,40&lt;'EDT Y TAREAS'!AL29),'EDT Y TAREAS'!AH29/'EDT Y TAREAS'!M29,0),IF(AND(40&gt;='EDT Y TAREAS'!AK30,40&lt;'EDT Y TAREAS'!AL30),'EDT Y TAREAS'!AH30/'EDT Y TAREAS'!M30,0),IF(AND(40&gt;='EDT Y TAREAS'!AK32,40&lt;'EDT Y TAREAS'!AL32),'EDT Y TAREAS'!AH32/'EDT Y TAREAS'!M32,0),IF(AND(40&gt;='EDT Y TAREAS'!AK41,40&lt;'EDT Y TAREAS'!AL41),'EDT Y TAREAS'!AH41/'EDT Y TAREAS'!M41,0),IF(AND(40&gt;='EDT Y TAREAS'!AK44,40&lt;'EDT Y TAREAS'!AL44),'EDT Y TAREAS'!AH44/'EDT Y TAREAS'!M44,0),IF(AND(40&gt;='EDT Y TAREAS'!AK46,40&lt;'EDT Y TAREAS'!AL46),'EDT Y TAREAS'!AH46/'EDT Y TAREAS'!M46,0),IF(AND(40&gt;='EDT Y TAREAS'!AK48,40&lt;'EDT Y TAREAS'!AL48),'EDT Y TAREAS'!AH48/'EDT Y TAREAS'!M48,0))</x:f>
        <x:v>2.4</x:v>
      </x:c>
      <x:c r="G80" s="35" t="n">
        <x:f>SUM(IF(AND(40&gt;='EDT Y TAREAS'!AK20,40&lt;'EDT Y TAREAS'!AL20),'EDT Y TAREAS'!AI20/'EDT Y TAREAS'!M20,0),IF(AND(40&gt;='EDT Y TAREAS'!AK25,40&lt;'EDT Y TAREAS'!AL25),'EDT Y TAREAS'!AI25/'EDT Y TAREAS'!M25,0),IF(AND(40&gt;='EDT Y TAREAS'!AK33,40&lt;'EDT Y TAREAS'!AL33),'EDT Y TAREAS'!AI33/'EDT Y TAREAS'!M33,0),IF(AND(40&gt;='EDT Y TAREAS'!AK34,40&lt;'EDT Y TAREAS'!AL34),'EDT Y TAREAS'!AI34/'EDT Y TAREAS'!M34,0),IF(AND(40&gt;='EDT Y TAREAS'!AK36,40&lt;'EDT Y TAREAS'!AL36),'EDT Y TAREAS'!AI36/'EDT Y TAREAS'!M36,0),IF(AND(40&gt;='EDT Y TAREAS'!AK39,40&lt;'EDT Y TAREAS'!AL39),'EDT Y TAREAS'!AI39/'EDT Y TAREAS'!M39,0),IF(AND(40&gt;='EDT Y TAREAS'!AK40,40&lt;'EDT Y TAREAS'!AL40),'EDT Y TAREAS'!AI40/'EDT Y TAREAS'!M40,0),IF(AND(40&gt;='EDT Y TAREAS'!AK42,40&lt;'EDT Y TAREAS'!AL42),'EDT Y TAREAS'!AI42/'EDT Y TAREAS'!M42,0),IF(AND(40&gt;='EDT Y TAREAS'!AK43,40&lt;'EDT Y TAREAS'!AL43),'EDT Y TAREAS'!AI43/'EDT Y TAREAS'!M43,0),IF(AND(40&gt;='EDT Y TAREAS'!AK44,40&lt;'EDT Y TAREAS'!AL44),'EDT Y TAREAS'!AI44/'EDT Y TAREAS'!M44,0),IF(AND(40&gt;='EDT Y TAREAS'!AK45,40&lt;'EDT Y TAREAS'!AL45),'EDT Y TAREAS'!AI45/'EDT Y TAREAS'!M45,0),IF(AND(40&gt;='EDT Y TAREAS'!AK46,40&lt;'EDT Y TAREAS'!AL46),'EDT Y TAREAS'!AI46/'EDT Y TAREAS'!M46,0),IF(AND(40&gt;='EDT Y TAREAS'!AK48,40&lt;'EDT Y TAREAS'!AL48),'EDT Y TAREAS'!AI48/'EDT Y TAREAS'!M48,0),IF(AND(40&gt;='EDT Y TAREAS'!AK50,40&lt;'EDT Y TAREAS'!AL50),'EDT Y TAREAS'!AI50/'EDT Y TAREAS'!M50,0),IF(AND(40&gt;='EDT Y TAREAS'!AK52,40&lt;'EDT Y TAREAS'!AL52),'EDT Y TAREAS'!AI52/'EDT Y TAREAS'!M52,0))</x:f>
        <x:v>0</x:v>
      </x:c>
      <x:c r="H80" s="35" t="n">
        <x:f>SUM(IF(AND(40&gt;='EDT Y TAREAS'!AK11,40&lt;'EDT Y TAREAS'!AL11),'EDT Y TAREAS'!AJ11/'EDT Y TAREAS'!M11,0),IF(AND(40&gt;='EDT Y TAREAS'!AK24,40&lt;'EDT Y TAREAS'!AL24),'EDT Y TAREAS'!AJ24/'EDT Y TAREAS'!M24,0),IF(AND(40&gt;='EDT Y TAREAS'!AK27,40&lt;'EDT Y TAREAS'!AL27),'EDT Y TAREAS'!AJ27/'EDT Y TAREAS'!M27,0),IF(AND(40&gt;='EDT Y TAREAS'!AK28,40&lt;'EDT Y TAREAS'!AL28),'EDT Y TAREAS'!AJ28/'EDT Y TAREAS'!M28,0),IF(AND(40&gt;='EDT Y TAREAS'!AK33,40&lt;'EDT Y TAREAS'!AL33),'EDT Y TAREAS'!AJ33/'EDT Y TAREAS'!M33,0),IF(AND(40&gt;='EDT Y TAREAS'!AK35,40&lt;'EDT Y TAREAS'!AL35),'EDT Y TAREAS'!AJ35/'EDT Y TAREAS'!M35,0),IF(AND(40&gt;='EDT Y TAREAS'!AK36,40&lt;'EDT Y TAREAS'!AL36),'EDT Y TAREAS'!AJ36/'EDT Y TAREAS'!M36,0),IF(AND(40&gt;='EDT Y TAREAS'!AK37,40&lt;'EDT Y TAREAS'!AL37),'EDT Y TAREAS'!AJ37/'EDT Y TAREAS'!M37,0),IF(AND(40&gt;='EDT Y TAREAS'!AK40,40&lt;'EDT Y TAREAS'!AL40),'EDT Y TAREAS'!AJ40/'EDT Y TAREAS'!M40,0),IF(AND(40&gt;='EDT Y TAREAS'!AK42,40&lt;'EDT Y TAREAS'!AL42),'EDT Y TAREAS'!AJ42/'EDT Y TAREAS'!M42,0),IF(AND(40&gt;='EDT Y TAREAS'!AK49,40&lt;'EDT Y TAREAS'!AL49),'EDT Y TAREAS'!AJ49/'EDT Y TAREAS'!M49,0),IF(AND(40&gt;='EDT Y TAREAS'!AK50,40&lt;'EDT Y TAREAS'!AL50),'EDT Y TAREAS'!AJ50/'EDT Y TAREAS'!M50,0),IF(AND(40&gt;='EDT Y TAREAS'!AK51,40&lt;'EDT Y TAREAS'!AL51),'EDT Y TAREAS'!AJ51/'EDT Y TAREAS'!M51,0),IF(AND(40&gt;='EDT Y TAREAS'!AK52,40&lt;'EDT Y TAREAS'!AL52),'EDT Y TAREAS'!AJ52/'EDT Y TAREAS'!M52,0))</x:f>
        <x:v>0</x:v>
      </x:c>
      <x:c r="I80" s="10" t="n">
        <x:f>WORKDAY('RESUMEN'!$D$3-1,A80,'RESUMEN'!$J$6:$J$25)</x:f>
        <x:v>46384</x:v>
      </x:c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  <x:c r="AH80" s="3"/>
      <x:c r="AI80" s="3"/>
      <x:c r="AJ80" s="3"/>
      <x:c r="AK80" s="3"/>
      <x:c r="AL80" s="3"/>
      <x:c r="AM80" s="3"/>
      <x:c r="AN80" s="3"/>
      <x:c r="AO80" s="3"/>
    </x:row>
    <x:row r="81" ht="24" customHeight="1">
      <x:c r="A81" s="3" t="n">
        <x:v>42</x:v>
      </x:c>
      <x:c r="B81" s="35" t="n">
        <x:f>SUM(IF(AND(41&gt;='EDT Y TAREAS'!AK6,41&lt;'EDT Y TAREAS'!AL6),'EDT Y TAREAS'!AD6/'EDT Y TAREAS'!M6,0),IF(AND(41&gt;='EDT Y TAREAS'!AK7,41&lt;'EDT Y TAREAS'!AL7),'EDT Y TAREAS'!AD7/'EDT Y TAREAS'!M7,0),IF(AND(41&gt;='EDT Y TAREAS'!AK8,41&lt;'EDT Y TAREAS'!AL8),'EDT Y TAREAS'!AD8/'EDT Y TAREAS'!M8,0),IF(AND(41&gt;='EDT Y TAREAS'!AK9,41&lt;'EDT Y TAREAS'!AL9),'EDT Y TAREAS'!AD9/'EDT Y TAREAS'!M9,0),IF(AND(41&gt;='EDT Y TAREAS'!AK10,41&lt;'EDT Y TAREAS'!AL10),'EDT Y TAREAS'!AD10/'EDT Y TAREAS'!M10,0),IF(AND(41&gt;='EDT Y TAREAS'!AK11,41&lt;'EDT Y TAREAS'!AL11),'EDT Y TAREAS'!AD11/'EDT Y TAREAS'!M11,0),IF(AND(41&gt;='EDT Y TAREAS'!AK12,41&lt;'EDT Y TAREAS'!AL12),'EDT Y TAREAS'!AD12/'EDT Y TAREAS'!M12,0),IF(AND(41&gt;='EDT Y TAREAS'!AK13,41&lt;'EDT Y TAREAS'!AL13),'EDT Y TAREAS'!AD13/'EDT Y TAREAS'!M13,0),IF(AND(41&gt;='EDT Y TAREAS'!AK14,41&lt;'EDT Y TAREAS'!AL14),'EDT Y TAREAS'!AD14/'EDT Y TAREAS'!M14,0),IF(AND(41&gt;='EDT Y TAREAS'!AK15,41&lt;'EDT Y TAREAS'!AL15),'EDT Y TAREAS'!AD15/'EDT Y TAREAS'!M15,0),IF(AND(41&gt;='EDT Y TAREAS'!AK16,41&lt;'EDT Y TAREAS'!AL16),'EDT Y TAREAS'!AD16/'EDT Y TAREAS'!M16,0),IF(AND(41&gt;='EDT Y TAREAS'!AK17,41&lt;'EDT Y TAREAS'!AL17),'EDT Y TAREAS'!AD17/'EDT Y TAREAS'!M17,0),IF(AND(41&gt;='EDT Y TAREAS'!AK18,41&lt;'EDT Y TAREAS'!AL18),'EDT Y TAREAS'!AD18/'EDT Y TAREAS'!M18,0),IF(AND(41&gt;='EDT Y TAREAS'!AK19,41&lt;'EDT Y TAREAS'!AL19),'EDT Y TAREAS'!AD19/'EDT Y TAREAS'!M19,0),IF(AND(41&gt;='EDT Y TAREAS'!AK20,41&lt;'EDT Y TAREAS'!AL20),'EDT Y TAREAS'!AD20/'EDT Y TAREAS'!M20,0),IF(AND(41&gt;='EDT Y TAREAS'!AK21,41&lt;'EDT Y TAREAS'!AL21),'EDT Y TAREAS'!AD21/'EDT Y TAREAS'!M21,0),IF(AND(41&gt;='EDT Y TAREAS'!AK22,41&lt;'EDT Y TAREAS'!AL22),'EDT Y TAREAS'!AD22/'EDT Y TAREAS'!M22,0),IF(AND(41&gt;='EDT Y TAREAS'!AK23,41&lt;'EDT Y TAREAS'!AL23),'EDT Y TAREAS'!AD23/'EDT Y TAREAS'!M23,0),IF(AND(41&gt;='EDT Y TAREAS'!AK26,41&lt;'EDT Y TAREAS'!AL26),'EDT Y TAREAS'!AD26/'EDT Y TAREAS'!M26,0),IF(AND(41&gt;='EDT Y TAREAS'!AK28,41&lt;'EDT Y TAREAS'!AL28),'EDT Y TAREAS'!AD28/'EDT Y TAREAS'!M28,0),IF(AND(41&gt;='EDT Y TAREAS'!AK30,41&lt;'EDT Y TAREAS'!AL30),'EDT Y TAREAS'!AD30/'EDT Y TAREAS'!M30,0),IF(AND(41&gt;='EDT Y TAREAS'!AK32,41&lt;'EDT Y TAREAS'!AL32),'EDT Y TAREAS'!AD32/'EDT Y TAREAS'!M32,0),IF(AND(41&gt;='EDT Y TAREAS'!AK34,41&lt;'EDT Y TAREAS'!AL34),'EDT Y TAREAS'!AD34/'EDT Y TAREAS'!M34,0),IF(AND(41&gt;='EDT Y TAREAS'!AK38,41&lt;'EDT Y TAREAS'!AL38),'EDT Y TAREAS'!AD38/'EDT Y TAREAS'!M38,0),IF(AND(41&gt;='EDT Y TAREAS'!AK39,41&lt;'EDT Y TAREAS'!AL39),'EDT Y TAREAS'!AD39/'EDT Y TAREAS'!M39,0),IF(AND(41&gt;='EDT Y TAREAS'!AK43,41&lt;'EDT Y TAREAS'!AL43),'EDT Y TAREAS'!AD43/'EDT Y TAREAS'!M43,0),IF(AND(41&gt;='EDT Y TAREAS'!AK44,41&lt;'EDT Y TAREAS'!AL44),'EDT Y TAREAS'!AD44/'EDT Y TAREAS'!M44,0),IF(AND(41&gt;='EDT Y TAREAS'!AK45,41&lt;'EDT Y TAREAS'!AL45),'EDT Y TAREAS'!AD45/'EDT Y TAREAS'!M45,0),IF(AND(41&gt;='EDT Y TAREAS'!AK46,41&lt;'EDT Y TAREAS'!AL46),'EDT Y TAREAS'!AD46/'EDT Y TAREAS'!M46,0),IF(AND(41&gt;='EDT Y TAREAS'!AK47,41&lt;'EDT Y TAREAS'!AL47),'EDT Y TAREAS'!AD47/'EDT Y TAREAS'!M47,0),IF(AND(41&gt;='EDT Y TAREAS'!AK49,41&lt;'EDT Y TAREAS'!AL49),'EDT Y TAREAS'!AD49/'EDT Y TAREAS'!M49,0),IF(AND(41&gt;='EDT Y TAREAS'!AK50,41&lt;'EDT Y TAREAS'!AL50),'EDT Y TAREAS'!AD50/'EDT Y TAREAS'!M50,0),IF(AND(41&gt;='EDT Y TAREAS'!AK51,41&lt;'EDT Y TAREAS'!AL51),'EDT Y TAREAS'!AD51/'EDT Y TAREAS'!M51,0),IF(AND(41&gt;='EDT Y TAREAS'!AK52,41&lt;'EDT Y TAREAS'!AL52),'EDT Y TAREAS'!AD52/'EDT Y TAREAS'!M52,0))</x:f>
        <x:v>5.6</x:v>
      </x:c>
      <x:c r="C81" s="35" t="n">
        <x:f>SUM(IF(AND(41&gt;='EDT Y TAREAS'!AK6,41&lt;'EDT Y TAREAS'!AL6),'EDT Y TAREAS'!AE6/'EDT Y TAREAS'!M6,0),IF(AND(41&gt;='EDT Y TAREAS'!AK8,41&lt;'EDT Y TAREAS'!AL8),'EDT Y TAREAS'!AE8/'EDT Y TAREAS'!M8,0),IF(AND(41&gt;='EDT Y TAREAS'!AK9,41&lt;'EDT Y TAREAS'!AL9),'EDT Y TAREAS'!AE9/'EDT Y TAREAS'!M9,0),IF(AND(41&gt;='EDT Y TAREAS'!AK10,41&lt;'EDT Y TAREAS'!AL10),'EDT Y TAREAS'!AE10/'EDT Y TAREAS'!M10,0),IF(AND(41&gt;='EDT Y TAREAS'!AK12,41&lt;'EDT Y TAREAS'!AL12),'EDT Y TAREAS'!AE12/'EDT Y TAREAS'!M12,0),IF(AND(41&gt;='EDT Y TAREAS'!AK16,41&lt;'EDT Y TAREAS'!AL16),'EDT Y TAREAS'!AE16/'EDT Y TAREAS'!M16,0),IF(AND(41&gt;='EDT Y TAREAS'!AK21,41&lt;'EDT Y TAREAS'!AL21),'EDT Y TAREAS'!AE21/'EDT Y TAREAS'!M21,0),IF(AND(41&gt;='EDT Y TAREAS'!AK23,41&lt;'EDT Y TAREAS'!AL23),'EDT Y TAREAS'!AE23/'EDT Y TAREAS'!M23,0),IF(AND(41&gt;='EDT Y TAREAS'!AK37,41&lt;'EDT Y TAREAS'!AL37),'EDT Y TAREAS'!AE37/'EDT Y TAREAS'!M37,0),IF(AND(41&gt;='EDT Y TAREAS'!AK38,41&lt;'EDT Y TAREAS'!AL38),'EDT Y TAREAS'!AE38/'EDT Y TAREAS'!M38,0),IF(AND(41&gt;='EDT Y TAREAS'!AK41,41&lt;'EDT Y TAREAS'!AL41),'EDT Y TAREAS'!AE41/'EDT Y TAREAS'!M41,0),IF(AND(41&gt;='EDT Y TAREAS'!AK43,41&lt;'EDT Y TAREAS'!AL43),'EDT Y TAREAS'!AE43/'EDT Y TAREAS'!M43,0),IF(AND(41&gt;='EDT Y TAREAS'!AK44,41&lt;'EDT Y TAREAS'!AL44),'EDT Y TAREAS'!AE44/'EDT Y TAREAS'!M44,0),IF(AND(41&gt;='EDT Y TAREAS'!AK46,41&lt;'EDT Y TAREAS'!AL46),'EDT Y TAREAS'!AE46/'EDT Y TAREAS'!M46,0),IF(AND(41&gt;='EDT Y TAREAS'!AK47,41&lt;'EDT Y TAREAS'!AL47),'EDT Y TAREAS'!AE47/'EDT Y TAREAS'!M47,0),IF(AND(41&gt;='EDT Y TAREAS'!AK51,41&lt;'EDT Y TAREAS'!AL51),'EDT Y TAREAS'!AE51/'EDT Y TAREAS'!M51,0),IF(AND(41&gt;='EDT Y TAREAS'!AK52,41&lt;'EDT Y TAREAS'!AL52),'EDT Y TAREAS'!AE52/'EDT Y TAREAS'!M52,0))</x:f>
        <x:v>0</x:v>
      </x:c>
      <x:c r="D81" s="35" t="n">
        <x:f>SUM(IF(AND(41&gt;='EDT Y TAREAS'!AK11,41&lt;'EDT Y TAREAS'!AL11),'EDT Y TAREAS'!AF11/'EDT Y TAREAS'!M11,0),IF(AND(41&gt;='EDT Y TAREAS'!AK24,41&lt;'EDT Y TAREAS'!AL24),'EDT Y TAREAS'!AF24/'EDT Y TAREAS'!M24,0),IF(AND(41&gt;='EDT Y TAREAS'!AK25,41&lt;'EDT Y TAREAS'!AL25),'EDT Y TAREAS'!AF25/'EDT Y TAREAS'!M25,0),IF(AND(41&gt;='EDT Y TAREAS'!AK26,41&lt;'EDT Y TAREAS'!AL26),'EDT Y TAREAS'!AF26/'EDT Y TAREAS'!M26,0),IF(AND(41&gt;='EDT Y TAREAS'!AK27,41&lt;'EDT Y TAREAS'!AL27),'EDT Y TAREAS'!AF27/'EDT Y TAREAS'!M27,0),IF(AND(41&gt;='EDT Y TAREAS'!AK28,41&lt;'EDT Y TAREAS'!AL28),'EDT Y TAREAS'!AF28/'EDT Y TAREAS'!M28,0),IF(AND(41&gt;='EDT Y TAREAS'!AK31,41&lt;'EDT Y TAREAS'!AL31),'EDT Y TAREAS'!AF31/'EDT Y TAREAS'!M31,0),IF(AND(41&gt;='EDT Y TAREAS'!AK33,41&lt;'EDT Y TAREAS'!AL33),'EDT Y TAREAS'!AF33/'EDT Y TAREAS'!M33,0),IF(AND(41&gt;='EDT Y TAREAS'!AK34,41&lt;'EDT Y TAREAS'!AL34),'EDT Y TAREAS'!AF34/'EDT Y TAREAS'!M34,0),IF(AND(41&gt;='EDT Y TAREAS'!AK35,41&lt;'EDT Y TAREAS'!AL35),'EDT Y TAREAS'!AF35/'EDT Y TAREAS'!M35,0),IF(AND(41&gt;='EDT Y TAREAS'!AK37,41&lt;'EDT Y TAREAS'!AL37),'EDT Y TAREAS'!AF37/'EDT Y TAREAS'!M37,0),IF(AND(41&gt;='EDT Y TAREAS'!AK39,41&lt;'EDT Y TAREAS'!AL39),'EDT Y TAREAS'!AF39/'EDT Y TAREAS'!M39,0),IF(AND(41&gt;='EDT Y TAREAS'!AK40,41&lt;'EDT Y TAREAS'!AL40),'EDT Y TAREAS'!AF40/'EDT Y TAREAS'!M40,0),IF(AND(41&gt;='EDT Y TAREAS'!AK42,41&lt;'EDT Y TAREAS'!AL42),'EDT Y TAREAS'!AF42/'EDT Y TAREAS'!M42,0),IF(AND(41&gt;='EDT Y TAREAS'!AK45,41&lt;'EDT Y TAREAS'!AL45),'EDT Y TAREAS'!AF45/'EDT Y TAREAS'!M45,0),IF(AND(41&gt;='EDT Y TAREAS'!AK49,41&lt;'EDT Y TAREAS'!AL49),'EDT Y TAREAS'!AF49/'EDT Y TAREAS'!M49,0),IF(AND(41&gt;='EDT Y TAREAS'!AK52,41&lt;'EDT Y TAREAS'!AL52),'EDT Y TAREAS'!AF52/'EDT Y TAREAS'!M52,0))</x:f>
        <x:v>5.6</x:v>
      </x:c>
      <x:c r="E81" s="35" t="n">
        <x:f>SUM(IF(AND(41&gt;='EDT Y TAREAS'!AK29,41&lt;'EDT Y TAREAS'!AL29),'EDT Y TAREAS'!AG29/'EDT Y TAREAS'!M29,0),IF(AND(41&gt;='EDT Y TAREAS'!AK30,41&lt;'EDT Y TAREAS'!AL30),'EDT Y TAREAS'!AG30/'EDT Y TAREAS'!M30,0),IF(AND(41&gt;='EDT Y TAREAS'!AK31,41&lt;'EDT Y TAREAS'!AL31),'EDT Y TAREAS'!AG31/'EDT Y TAREAS'!M31,0),IF(AND(41&gt;='EDT Y TAREAS'!AK32,41&lt;'EDT Y TAREAS'!AL32),'EDT Y TAREAS'!AG32/'EDT Y TAREAS'!M32,0),IF(AND(41&gt;='EDT Y TAREAS'!AK41,41&lt;'EDT Y TAREAS'!AL41),'EDT Y TAREAS'!AG41/'EDT Y TAREAS'!M41,0),IF(AND(41&gt;='EDT Y TAREAS'!AK45,41&lt;'EDT Y TAREAS'!AL45),'EDT Y TAREAS'!AG45/'EDT Y TAREAS'!M45,0),IF(AND(41&gt;='EDT Y TAREAS'!AK48,41&lt;'EDT Y TAREAS'!AL48),'EDT Y TAREAS'!AG48/'EDT Y TAREAS'!M48,0))</x:f>
        <x:v>4.8</x:v>
      </x:c>
      <x:c r="F81" s="35" t="n">
        <x:f>SUM(IF(AND(41&gt;='EDT Y TAREAS'!AK10,41&lt;'EDT Y TAREAS'!AL10),'EDT Y TAREAS'!AH10/'EDT Y TAREAS'!M10,0),IF(AND(41&gt;='EDT Y TAREAS'!AK12,41&lt;'EDT Y TAREAS'!AL12),'EDT Y TAREAS'!AH12/'EDT Y TAREAS'!M12,0),IF(AND(41&gt;='EDT Y TAREAS'!AK22,41&lt;'EDT Y TAREAS'!AL22),'EDT Y TAREAS'!AH22/'EDT Y TAREAS'!M22,0),IF(AND(41&gt;='EDT Y TAREAS'!AK23,41&lt;'EDT Y TAREAS'!AL23),'EDT Y TAREAS'!AH23/'EDT Y TAREAS'!M23,0),IF(AND(41&gt;='EDT Y TAREAS'!AK29,41&lt;'EDT Y TAREAS'!AL29),'EDT Y TAREAS'!AH29/'EDT Y TAREAS'!M29,0),IF(AND(41&gt;='EDT Y TAREAS'!AK30,41&lt;'EDT Y TAREAS'!AL30),'EDT Y TAREAS'!AH30/'EDT Y TAREAS'!M30,0),IF(AND(41&gt;='EDT Y TAREAS'!AK32,41&lt;'EDT Y TAREAS'!AL32),'EDT Y TAREAS'!AH32/'EDT Y TAREAS'!M32,0),IF(AND(41&gt;='EDT Y TAREAS'!AK41,41&lt;'EDT Y TAREAS'!AL41),'EDT Y TAREAS'!AH41/'EDT Y TAREAS'!M41,0),IF(AND(41&gt;='EDT Y TAREAS'!AK44,41&lt;'EDT Y TAREAS'!AL44),'EDT Y TAREAS'!AH44/'EDT Y TAREAS'!M44,0),IF(AND(41&gt;='EDT Y TAREAS'!AK46,41&lt;'EDT Y TAREAS'!AL46),'EDT Y TAREAS'!AH46/'EDT Y TAREAS'!M46,0),IF(AND(41&gt;='EDT Y TAREAS'!AK48,41&lt;'EDT Y TAREAS'!AL48),'EDT Y TAREAS'!AH48/'EDT Y TAREAS'!M48,0))</x:f>
        <x:v>0.8</x:v>
      </x:c>
      <x:c r="G81" s="35" t="n">
        <x:f>SUM(IF(AND(41&gt;='EDT Y TAREAS'!AK20,41&lt;'EDT Y TAREAS'!AL20),'EDT Y TAREAS'!AI20/'EDT Y TAREAS'!M20,0),IF(AND(41&gt;='EDT Y TAREAS'!AK25,41&lt;'EDT Y TAREAS'!AL25),'EDT Y TAREAS'!AI25/'EDT Y TAREAS'!M25,0),IF(AND(41&gt;='EDT Y TAREAS'!AK33,41&lt;'EDT Y TAREAS'!AL33),'EDT Y TAREAS'!AI33/'EDT Y TAREAS'!M33,0),IF(AND(41&gt;='EDT Y TAREAS'!AK34,41&lt;'EDT Y TAREAS'!AL34),'EDT Y TAREAS'!AI34/'EDT Y TAREAS'!M34,0),IF(AND(41&gt;='EDT Y TAREAS'!AK36,41&lt;'EDT Y TAREAS'!AL36),'EDT Y TAREAS'!AI36/'EDT Y TAREAS'!M36,0),IF(AND(41&gt;='EDT Y TAREAS'!AK39,41&lt;'EDT Y TAREAS'!AL39),'EDT Y TAREAS'!AI39/'EDT Y TAREAS'!M39,0),IF(AND(41&gt;='EDT Y TAREAS'!AK40,41&lt;'EDT Y TAREAS'!AL40),'EDT Y TAREAS'!AI40/'EDT Y TAREAS'!M40,0),IF(AND(41&gt;='EDT Y TAREAS'!AK42,41&lt;'EDT Y TAREAS'!AL42),'EDT Y TAREAS'!AI42/'EDT Y TAREAS'!M42,0),IF(AND(41&gt;='EDT Y TAREAS'!AK43,41&lt;'EDT Y TAREAS'!AL43),'EDT Y TAREAS'!AI43/'EDT Y TAREAS'!M43,0),IF(AND(41&gt;='EDT Y TAREAS'!AK44,41&lt;'EDT Y TAREAS'!AL44),'EDT Y TAREAS'!AI44/'EDT Y TAREAS'!M44,0),IF(AND(41&gt;='EDT Y TAREAS'!AK45,41&lt;'EDT Y TAREAS'!AL45),'EDT Y TAREAS'!AI45/'EDT Y TAREAS'!M45,0),IF(AND(41&gt;='EDT Y TAREAS'!AK46,41&lt;'EDT Y TAREAS'!AL46),'EDT Y TAREAS'!AI46/'EDT Y TAREAS'!M46,0),IF(AND(41&gt;='EDT Y TAREAS'!AK48,41&lt;'EDT Y TAREAS'!AL48),'EDT Y TAREAS'!AI48/'EDT Y TAREAS'!M48,0),IF(AND(41&gt;='EDT Y TAREAS'!AK50,41&lt;'EDT Y TAREAS'!AL50),'EDT Y TAREAS'!AI50/'EDT Y TAREAS'!M50,0),IF(AND(41&gt;='EDT Y TAREAS'!AK52,41&lt;'EDT Y TAREAS'!AL52),'EDT Y TAREAS'!AI52/'EDT Y TAREAS'!M52,0))</x:f>
        <x:v>0</x:v>
      </x:c>
      <x:c r="H81" s="35" t="n">
        <x:f>SUM(IF(AND(41&gt;='EDT Y TAREAS'!AK11,41&lt;'EDT Y TAREAS'!AL11),'EDT Y TAREAS'!AJ11/'EDT Y TAREAS'!M11,0),IF(AND(41&gt;='EDT Y TAREAS'!AK24,41&lt;'EDT Y TAREAS'!AL24),'EDT Y TAREAS'!AJ24/'EDT Y TAREAS'!M24,0),IF(AND(41&gt;='EDT Y TAREAS'!AK27,41&lt;'EDT Y TAREAS'!AL27),'EDT Y TAREAS'!AJ27/'EDT Y TAREAS'!M27,0),IF(AND(41&gt;='EDT Y TAREAS'!AK28,41&lt;'EDT Y TAREAS'!AL28),'EDT Y TAREAS'!AJ28/'EDT Y TAREAS'!M28,0),IF(AND(41&gt;='EDT Y TAREAS'!AK33,41&lt;'EDT Y TAREAS'!AL33),'EDT Y TAREAS'!AJ33/'EDT Y TAREAS'!M33,0),IF(AND(41&gt;='EDT Y TAREAS'!AK35,41&lt;'EDT Y TAREAS'!AL35),'EDT Y TAREAS'!AJ35/'EDT Y TAREAS'!M35,0),IF(AND(41&gt;='EDT Y TAREAS'!AK36,41&lt;'EDT Y TAREAS'!AL36),'EDT Y TAREAS'!AJ36/'EDT Y TAREAS'!M36,0),IF(AND(41&gt;='EDT Y TAREAS'!AK37,41&lt;'EDT Y TAREAS'!AL37),'EDT Y TAREAS'!AJ37/'EDT Y TAREAS'!M37,0),IF(AND(41&gt;='EDT Y TAREAS'!AK40,41&lt;'EDT Y TAREAS'!AL40),'EDT Y TAREAS'!AJ40/'EDT Y TAREAS'!M40,0),IF(AND(41&gt;='EDT Y TAREAS'!AK42,41&lt;'EDT Y TAREAS'!AL42),'EDT Y TAREAS'!AJ42/'EDT Y TAREAS'!M42,0),IF(AND(41&gt;='EDT Y TAREAS'!AK49,41&lt;'EDT Y TAREAS'!AL49),'EDT Y TAREAS'!AJ49/'EDT Y TAREAS'!M49,0),IF(AND(41&gt;='EDT Y TAREAS'!AK50,41&lt;'EDT Y TAREAS'!AL50),'EDT Y TAREAS'!AJ50/'EDT Y TAREAS'!M50,0),IF(AND(41&gt;='EDT Y TAREAS'!AK51,41&lt;'EDT Y TAREAS'!AL51),'EDT Y TAREAS'!AJ51/'EDT Y TAREAS'!M51,0),IF(AND(41&gt;='EDT Y TAREAS'!AK52,41&lt;'EDT Y TAREAS'!AL52),'EDT Y TAREAS'!AJ52/'EDT Y TAREAS'!M52,0))</x:f>
        <x:v>0</x:v>
      </x:c>
      <x:c r="I81" s="10" t="n">
        <x:f>WORKDAY('RESUMEN'!$D$3-1,A81,'RESUMEN'!$J$6:$J$25)</x:f>
        <x:v>46385</x:v>
      </x:c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  <x:c r="AO81" s="3"/>
    </x:row>
    <x:row r="82" ht="24" customHeight="1">
      <x:c r="A82" s="3" t="n">
        <x:v>43</x:v>
      </x:c>
      <x:c r="B82" s="35" t="n">
        <x:f>SUM(IF(AND(42&gt;='EDT Y TAREAS'!AK6,42&lt;'EDT Y TAREAS'!AL6),'EDT Y TAREAS'!AD6/'EDT Y TAREAS'!M6,0),IF(AND(42&gt;='EDT Y TAREAS'!AK7,42&lt;'EDT Y TAREAS'!AL7),'EDT Y TAREAS'!AD7/'EDT Y TAREAS'!M7,0),IF(AND(42&gt;='EDT Y TAREAS'!AK8,42&lt;'EDT Y TAREAS'!AL8),'EDT Y TAREAS'!AD8/'EDT Y TAREAS'!M8,0),IF(AND(42&gt;='EDT Y TAREAS'!AK9,42&lt;'EDT Y TAREAS'!AL9),'EDT Y TAREAS'!AD9/'EDT Y TAREAS'!M9,0),IF(AND(42&gt;='EDT Y TAREAS'!AK10,42&lt;'EDT Y TAREAS'!AL10),'EDT Y TAREAS'!AD10/'EDT Y TAREAS'!M10,0),IF(AND(42&gt;='EDT Y TAREAS'!AK11,42&lt;'EDT Y TAREAS'!AL11),'EDT Y TAREAS'!AD11/'EDT Y TAREAS'!M11,0),IF(AND(42&gt;='EDT Y TAREAS'!AK12,42&lt;'EDT Y TAREAS'!AL12),'EDT Y TAREAS'!AD12/'EDT Y TAREAS'!M12,0),IF(AND(42&gt;='EDT Y TAREAS'!AK13,42&lt;'EDT Y TAREAS'!AL13),'EDT Y TAREAS'!AD13/'EDT Y TAREAS'!M13,0),IF(AND(42&gt;='EDT Y TAREAS'!AK14,42&lt;'EDT Y TAREAS'!AL14),'EDT Y TAREAS'!AD14/'EDT Y TAREAS'!M14,0),IF(AND(42&gt;='EDT Y TAREAS'!AK15,42&lt;'EDT Y TAREAS'!AL15),'EDT Y TAREAS'!AD15/'EDT Y TAREAS'!M15,0),IF(AND(42&gt;='EDT Y TAREAS'!AK16,42&lt;'EDT Y TAREAS'!AL16),'EDT Y TAREAS'!AD16/'EDT Y TAREAS'!M16,0),IF(AND(42&gt;='EDT Y TAREAS'!AK17,42&lt;'EDT Y TAREAS'!AL17),'EDT Y TAREAS'!AD17/'EDT Y TAREAS'!M17,0),IF(AND(42&gt;='EDT Y TAREAS'!AK18,42&lt;'EDT Y TAREAS'!AL18),'EDT Y TAREAS'!AD18/'EDT Y TAREAS'!M18,0),IF(AND(42&gt;='EDT Y TAREAS'!AK19,42&lt;'EDT Y TAREAS'!AL19),'EDT Y TAREAS'!AD19/'EDT Y TAREAS'!M19,0),IF(AND(42&gt;='EDT Y TAREAS'!AK20,42&lt;'EDT Y TAREAS'!AL20),'EDT Y TAREAS'!AD20/'EDT Y TAREAS'!M20,0),IF(AND(42&gt;='EDT Y TAREAS'!AK21,42&lt;'EDT Y TAREAS'!AL21),'EDT Y TAREAS'!AD21/'EDT Y TAREAS'!M21,0),IF(AND(42&gt;='EDT Y TAREAS'!AK22,42&lt;'EDT Y TAREAS'!AL22),'EDT Y TAREAS'!AD22/'EDT Y TAREAS'!M22,0),IF(AND(42&gt;='EDT Y TAREAS'!AK23,42&lt;'EDT Y TAREAS'!AL23),'EDT Y TAREAS'!AD23/'EDT Y TAREAS'!M23,0),IF(AND(42&gt;='EDT Y TAREAS'!AK26,42&lt;'EDT Y TAREAS'!AL26),'EDT Y TAREAS'!AD26/'EDT Y TAREAS'!M26,0),IF(AND(42&gt;='EDT Y TAREAS'!AK28,42&lt;'EDT Y TAREAS'!AL28),'EDT Y TAREAS'!AD28/'EDT Y TAREAS'!M28,0),IF(AND(42&gt;='EDT Y TAREAS'!AK30,42&lt;'EDT Y TAREAS'!AL30),'EDT Y TAREAS'!AD30/'EDT Y TAREAS'!M30,0),IF(AND(42&gt;='EDT Y TAREAS'!AK32,42&lt;'EDT Y TAREAS'!AL32),'EDT Y TAREAS'!AD32/'EDT Y TAREAS'!M32,0),IF(AND(42&gt;='EDT Y TAREAS'!AK34,42&lt;'EDT Y TAREAS'!AL34),'EDT Y TAREAS'!AD34/'EDT Y TAREAS'!M34,0),IF(AND(42&gt;='EDT Y TAREAS'!AK38,42&lt;'EDT Y TAREAS'!AL38),'EDT Y TAREAS'!AD38/'EDT Y TAREAS'!M38,0),IF(AND(42&gt;='EDT Y TAREAS'!AK39,42&lt;'EDT Y TAREAS'!AL39),'EDT Y TAREAS'!AD39/'EDT Y TAREAS'!M39,0),IF(AND(42&gt;='EDT Y TAREAS'!AK43,42&lt;'EDT Y TAREAS'!AL43),'EDT Y TAREAS'!AD43/'EDT Y TAREAS'!M43,0),IF(AND(42&gt;='EDT Y TAREAS'!AK44,42&lt;'EDT Y TAREAS'!AL44),'EDT Y TAREAS'!AD44/'EDT Y TAREAS'!M44,0),IF(AND(42&gt;='EDT Y TAREAS'!AK45,42&lt;'EDT Y TAREAS'!AL45),'EDT Y TAREAS'!AD45/'EDT Y TAREAS'!M45,0),IF(AND(42&gt;='EDT Y TAREAS'!AK46,42&lt;'EDT Y TAREAS'!AL46),'EDT Y TAREAS'!AD46/'EDT Y TAREAS'!M46,0),IF(AND(42&gt;='EDT Y TAREAS'!AK47,42&lt;'EDT Y TAREAS'!AL47),'EDT Y TAREAS'!AD47/'EDT Y TAREAS'!M47,0),IF(AND(42&gt;='EDT Y TAREAS'!AK49,42&lt;'EDT Y TAREAS'!AL49),'EDT Y TAREAS'!AD49/'EDT Y TAREAS'!M49,0),IF(AND(42&gt;='EDT Y TAREAS'!AK50,42&lt;'EDT Y TAREAS'!AL50),'EDT Y TAREAS'!AD50/'EDT Y TAREAS'!M50,0),IF(AND(42&gt;='EDT Y TAREAS'!AK51,42&lt;'EDT Y TAREAS'!AL51),'EDT Y TAREAS'!AD51/'EDT Y TAREAS'!M51,0),IF(AND(42&gt;='EDT Y TAREAS'!AK52,42&lt;'EDT Y TAREAS'!AL52),'EDT Y TAREAS'!AD52/'EDT Y TAREAS'!M52,0))</x:f>
        <x:v>5.6</x:v>
      </x:c>
      <x:c r="C82" s="35" t="n">
        <x:f>SUM(IF(AND(42&gt;='EDT Y TAREAS'!AK6,42&lt;'EDT Y TAREAS'!AL6),'EDT Y TAREAS'!AE6/'EDT Y TAREAS'!M6,0),IF(AND(42&gt;='EDT Y TAREAS'!AK8,42&lt;'EDT Y TAREAS'!AL8),'EDT Y TAREAS'!AE8/'EDT Y TAREAS'!M8,0),IF(AND(42&gt;='EDT Y TAREAS'!AK9,42&lt;'EDT Y TAREAS'!AL9),'EDT Y TAREAS'!AE9/'EDT Y TAREAS'!M9,0),IF(AND(42&gt;='EDT Y TAREAS'!AK10,42&lt;'EDT Y TAREAS'!AL10),'EDT Y TAREAS'!AE10/'EDT Y TAREAS'!M10,0),IF(AND(42&gt;='EDT Y TAREAS'!AK12,42&lt;'EDT Y TAREAS'!AL12),'EDT Y TAREAS'!AE12/'EDT Y TAREAS'!M12,0),IF(AND(42&gt;='EDT Y TAREAS'!AK16,42&lt;'EDT Y TAREAS'!AL16),'EDT Y TAREAS'!AE16/'EDT Y TAREAS'!M16,0),IF(AND(42&gt;='EDT Y TAREAS'!AK21,42&lt;'EDT Y TAREAS'!AL21),'EDT Y TAREAS'!AE21/'EDT Y TAREAS'!M21,0),IF(AND(42&gt;='EDT Y TAREAS'!AK23,42&lt;'EDT Y TAREAS'!AL23),'EDT Y TAREAS'!AE23/'EDT Y TAREAS'!M23,0),IF(AND(42&gt;='EDT Y TAREAS'!AK37,42&lt;'EDT Y TAREAS'!AL37),'EDT Y TAREAS'!AE37/'EDT Y TAREAS'!M37,0),IF(AND(42&gt;='EDT Y TAREAS'!AK38,42&lt;'EDT Y TAREAS'!AL38),'EDT Y TAREAS'!AE38/'EDT Y TAREAS'!M38,0),IF(AND(42&gt;='EDT Y TAREAS'!AK41,42&lt;'EDT Y TAREAS'!AL41),'EDT Y TAREAS'!AE41/'EDT Y TAREAS'!M41,0),IF(AND(42&gt;='EDT Y TAREAS'!AK43,42&lt;'EDT Y TAREAS'!AL43),'EDT Y TAREAS'!AE43/'EDT Y TAREAS'!M43,0),IF(AND(42&gt;='EDT Y TAREAS'!AK44,42&lt;'EDT Y TAREAS'!AL44),'EDT Y TAREAS'!AE44/'EDT Y TAREAS'!M44,0),IF(AND(42&gt;='EDT Y TAREAS'!AK46,42&lt;'EDT Y TAREAS'!AL46),'EDT Y TAREAS'!AE46/'EDT Y TAREAS'!M46,0),IF(AND(42&gt;='EDT Y TAREAS'!AK47,42&lt;'EDT Y TAREAS'!AL47),'EDT Y TAREAS'!AE47/'EDT Y TAREAS'!M47,0),IF(AND(42&gt;='EDT Y TAREAS'!AK51,42&lt;'EDT Y TAREAS'!AL51),'EDT Y TAREAS'!AE51/'EDT Y TAREAS'!M51,0),IF(AND(42&gt;='EDT Y TAREAS'!AK52,42&lt;'EDT Y TAREAS'!AL52),'EDT Y TAREAS'!AE52/'EDT Y TAREAS'!M52,0))</x:f>
        <x:v>0</x:v>
      </x:c>
      <x:c r="D82" s="35" t="n">
        <x:f>SUM(IF(AND(42&gt;='EDT Y TAREAS'!AK11,42&lt;'EDT Y TAREAS'!AL11),'EDT Y TAREAS'!AF11/'EDT Y TAREAS'!M11,0),IF(AND(42&gt;='EDT Y TAREAS'!AK24,42&lt;'EDT Y TAREAS'!AL24),'EDT Y TAREAS'!AF24/'EDT Y TAREAS'!M24,0),IF(AND(42&gt;='EDT Y TAREAS'!AK25,42&lt;'EDT Y TAREAS'!AL25),'EDT Y TAREAS'!AF25/'EDT Y TAREAS'!M25,0),IF(AND(42&gt;='EDT Y TAREAS'!AK26,42&lt;'EDT Y TAREAS'!AL26),'EDT Y TAREAS'!AF26/'EDT Y TAREAS'!M26,0),IF(AND(42&gt;='EDT Y TAREAS'!AK27,42&lt;'EDT Y TAREAS'!AL27),'EDT Y TAREAS'!AF27/'EDT Y TAREAS'!M27,0),IF(AND(42&gt;='EDT Y TAREAS'!AK28,42&lt;'EDT Y TAREAS'!AL28),'EDT Y TAREAS'!AF28/'EDT Y TAREAS'!M28,0),IF(AND(42&gt;='EDT Y TAREAS'!AK31,42&lt;'EDT Y TAREAS'!AL31),'EDT Y TAREAS'!AF31/'EDT Y TAREAS'!M31,0),IF(AND(42&gt;='EDT Y TAREAS'!AK33,42&lt;'EDT Y TAREAS'!AL33),'EDT Y TAREAS'!AF33/'EDT Y TAREAS'!M33,0),IF(AND(42&gt;='EDT Y TAREAS'!AK34,42&lt;'EDT Y TAREAS'!AL34),'EDT Y TAREAS'!AF34/'EDT Y TAREAS'!M34,0),IF(AND(42&gt;='EDT Y TAREAS'!AK35,42&lt;'EDT Y TAREAS'!AL35),'EDT Y TAREAS'!AF35/'EDT Y TAREAS'!M35,0),IF(AND(42&gt;='EDT Y TAREAS'!AK37,42&lt;'EDT Y TAREAS'!AL37),'EDT Y TAREAS'!AF37/'EDT Y TAREAS'!M37,0),IF(AND(42&gt;='EDT Y TAREAS'!AK39,42&lt;'EDT Y TAREAS'!AL39),'EDT Y TAREAS'!AF39/'EDT Y TAREAS'!M39,0),IF(AND(42&gt;='EDT Y TAREAS'!AK40,42&lt;'EDT Y TAREAS'!AL40),'EDT Y TAREAS'!AF40/'EDT Y TAREAS'!M40,0),IF(AND(42&gt;='EDT Y TAREAS'!AK42,42&lt;'EDT Y TAREAS'!AL42),'EDT Y TAREAS'!AF42/'EDT Y TAREAS'!M42,0),IF(AND(42&gt;='EDT Y TAREAS'!AK45,42&lt;'EDT Y TAREAS'!AL45),'EDT Y TAREAS'!AF45/'EDT Y TAREAS'!M45,0),IF(AND(42&gt;='EDT Y TAREAS'!AK49,42&lt;'EDT Y TAREAS'!AL49),'EDT Y TAREAS'!AF49/'EDT Y TAREAS'!M49,0),IF(AND(42&gt;='EDT Y TAREAS'!AK52,42&lt;'EDT Y TAREAS'!AL52),'EDT Y TAREAS'!AF52/'EDT Y TAREAS'!M52,0))</x:f>
        <x:v>5.6</x:v>
      </x:c>
      <x:c r="E82" s="35" t="n">
        <x:f>SUM(IF(AND(42&gt;='EDT Y TAREAS'!AK29,42&lt;'EDT Y TAREAS'!AL29),'EDT Y TAREAS'!AG29/'EDT Y TAREAS'!M29,0),IF(AND(42&gt;='EDT Y TAREAS'!AK30,42&lt;'EDT Y TAREAS'!AL30),'EDT Y TAREAS'!AG30/'EDT Y TAREAS'!M30,0),IF(AND(42&gt;='EDT Y TAREAS'!AK31,42&lt;'EDT Y TAREAS'!AL31),'EDT Y TAREAS'!AG31/'EDT Y TAREAS'!M31,0),IF(AND(42&gt;='EDT Y TAREAS'!AK32,42&lt;'EDT Y TAREAS'!AL32),'EDT Y TAREAS'!AG32/'EDT Y TAREAS'!M32,0),IF(AND(42&gt;='EDT Y TAREAS'!AK41,42&lt;'EDT Y TAREAS'!AL41),'EDT Y TAREAS'!AG41/'EDT Y TAREAS'!M41,0),IF(AND(42&gt;='EDT Y TAREAS'!AK45,42&lt;'EDT Y TAREAS'!AL45),'EDT Y TAREAS'!AG45/'EDT Y TAREAS'!M45,0),IF(AND(42&gt;='EDT Y TAREAS'!AK48,42&lt;'EDT Y TAREAS'!AL48),'EDT Y TAREAS'!AG48/'EDT Y TAREAS'!M48,0))</x:f>
        <x:v>4.8</x:v>
      </x:c>
      <x:c r="F82" s="35" t="n">
        <x:f>SUM(IF(AND(42&gt;='EDT Y TAREAS'!AK10,42&lt;'EDT Y TAREAS'!AL10),'EDT Y TAREAS'!AH10/'EDT Y TAREAS'!M10,0),IF(AND(42&gt;='EDT Y TAREAS'!AK12,42&lt;'EDT Y TAREAS'!AL12),'EDT Y TAREAS'!AH12/'EDT Y TAREAS'!M12,0),IF(AND(42&gt;='EDT Y TAREAS'!AK22,42&lt;'EDT Y TAREAS'!AL22),'EDT Y TAREAS'!AH22/'EDT Y TAREAS'!M22,0),IF(AND(42&gt;='EDT Y TAREAS'!AK23,42&lt;'EDT Y TAREAS'!AL23),'EDT Y TAREAS'!AH23/'EDT Y TAREAS'!M23,0),IF(AND(42&gt;='EDT Y TAREAS'!AK29,42&lt;'EDT Y TAREAS'!AL29),'EDT Y TAREAS'!AH29/'EDT Y TAREAS'!M29,0),IF(AND(42&gt;='EDT Y TAREAS'!AK30,42&lt;'EDT Y TAREAS'!AL30),'EDT Y TAREAS'!AH30/'EDT Y TAREAS'!M30,0),IF(AND(42&gt;='EDT Y TAREAS'!AK32,42&lt;'EDT Y TAREAS'!AL32),'EDT Y TAREAS'!AH32/'EDT Y TAREAS'!M32,0),IF(AND(42&gt;='EDT Y TAREAS'!AK41,42&lt;'EDT Y TAREAS'!AL41),'EDT Y TAREAS'!AH41/'EDT Y TAREAS'!M41,0),IF(AND(42&gt;='EDT Y TAREAS'!AK44,42&lt;'EDT Y TAREAS'!AL44),'EDT Y TAREAS'!AH44/'EDT Y TAREAS'!M44,0),IF(AND(42&gt;='EDT Y TAREAS'!AK46,42&lt;'EDT Y TAREAS'!AL46),'EDT Y TAREAS'!AH46/'EDT Y TAREAS'!M46,0),IF(AND(42&gt;='EDT Y TAREAS'!AK48,42&lt;'EDT Y TAREAS'!AL48),'EDT Y TAREAS'!AH48/'EDT Y TAREAS'!M48,0))</x:f>
        <x:v>0.8</x:v>
      </x:c>
      <x:c r="G82" s="35" t="n">
        <x:f>SUM(IF(AND(42&gt;='EDT Y TAREAS'!AK20,42&lt;'EDT Y TAREAS'!AL20),'EDT Y TAREAS'!AI20/'EDT Y TAREAS'!M20,0),IF(AND(42&gt;='EDT Y TAREAS'!AK25,42&lt;'EDT Y TAREAS'!AL25),'EDT Y TAREAS'!AI25/'EDT Y TAREAS'!M25,0),IF(AND(42&gt;='EDT Y TAREAS'!AK33,42&lt;'EDT Y TAREAS'!AL33),'EDT Y TAREAS'!AI33/'EDT Y TAREAS'!M33,0),IF(AND(42&gt;='EDT Y TAREAS'!AK34,42&lt;'EDT Y TAREAS'!AL34),'EDT Y TAREAS'!AI34/'EDT Y TAREAS'!M34,0),IF(AND(42&gt;='EDT Y TAREAS'!AK36,42&lt;'EDT Y TAREAS'!AL36),'EDT Y TAREAS'!AI36/'EDT Y TAREAS'!M36,0),IF(AND(42&gt;='EDT Y TAREAS'!AK39,42&lt;'EDT Y TAREAS'!AL39),'EDT Y TAREAS'!AI39/'EDT Y TAREAS'!M39,0),IF(AND(42&gt;='EDT Y TAREAS'!AK40,42&lt;'EDT Y TAREAS'!AL40),'EDT Y TAREAS'!AI40/'EDT Y TAREAS'!M40,0),IF(AND(42&gt;='EDT Y TAREAS'!AK42,42&lt;'EDT Y TAREAS'!AL42),'EDT Y TAREAS'!AI42/'EDT Y TAREAS'!M42,0),IF(AND(42&gt;='EDT Y TAREAS'!AK43,42&lt;'EDT Y TAREAS'!AL43),'EDT Y TAREAS'!AI43/'EDT Y TAREAS'!M43,0),IF(AND(42&gt;='EDT Y TAREAS'!AK44,42&lt;'EDT Y TAREAS'!AL44),'EDT Y TAREAS'!AI44/'EDT Y TAREAS'!M44,0),IF(AND(42&gt;='EDT Y TAREAS'!AK45,42&lt;'EDT Y TAREAS'!AL45),'EDT Y TAREAS'!AI45/'EDT Y TAREAS'!M45,0),IF(AND(42&gt;='EDT Y TAREAS'!AK46,42&lt;'EDT Y TAREAS'!AL46),'EDT Y TAREAS'!AI46/'EDT Y TAREAS'!M46,0),IF(AND(42&gt;='EDT Y TAREAS'!AK48,42&lt;'EDT Y TAREAS'!AL48),'EDT Y TAREAS'!AI48/'EDT Y TAREAS'!M48,0),IF(AND(42&gt;='EDT Y TAREAS'!AK50,42&lt;'EDT Y TAREAS'!AL50),'EDT Y TAREAS'!AI50/'EDT Y TAREAS'!M50,0),IF(AND(42&gt;='EDT Y TAREAS'!AK52,42&lt;'EDT Y TAREAS'!AL52),'EDT Y TAREAS'!AI52/'EDT Y TAREAS'!M52,0))</x:f>
        <x:v>0</x:v>
      </x:c>
      <x:c r="H82" s="35" t="n">
        <x:f>SUM(IF(AND(42&gt;='EDT Y TAREAS'!AK11,42&lt;'EDT Y TAREAS'!AL11),'EDT Y TAREAS'!AJ11/'EDT Y TAREAS'!M11,0),IF(AND(42&gt;='EDT Y TAREAS'!AK24,42&lt;'EDT Y TAREAS'!AL24),'EDT Y TAREAS'!AJ24/'EDT Y TAREAS'!M24,0),IF(AND(42&gt;='EDT Y TAREAS'!AK27,42&lt;'EDT Y TAREAS'!AL27),'EDT Y TAREAS'!AJ27/'EDT Y TAREAS'!M27,0),IF(AND(42&gt;='EDT Y TAREAS'!AK28,42&lt;'EDT Y TAREAS'!AL28),'EDT Y TAREAS'!AJ28/'EDT Y TAREAS'!M28,0),IF(AND(42&gt;='EDT Y TAREAS'!AK33,42&lt;'EDT Y TAREAS'!AL33),'EDT Y TAREAS'!AJ33/'EDT Y TAREAS'!M33,0),IF(AND(42&gt;='EDT Y TAREAS'!AK35,42&lt;'EDT Y TAREAS'!AL35),'EDT Y TAREAS'!AJ35/'EDT Y TAREAS'!M35,0),IF(AND(42&gt;='EDT Y TAREAS'!AK36,42&lt;'EDT Y TAREAS'!AL36),'EDT Y TAREAS'!AJ36/'EDT Y TAREAS'!M36,0),IF(AND(42&gt;='EDT Y TAREAS'!AK37,42&lt;'EDT Y TAREAS'!AL37),'EDT Y TAREAS'!AJ37/'EDT Y TAREAS'!M37,0),IF(AND(42&gt;='EDT Y TAREAS'!AK40,42&lt;'EDT Y TAREAS'!AL40),'EDT Y TAREAS'!AJ40/'EDT Y TAREAS'!M40,0),IF(AND(42&gt;='EDT Y TAREAS'!AK42,42&lt;'EDT Y TAREAS'!AL42),'EDT Y TAREAS'!AJ42/'EDT Y TAREAS'!M42,0),IF(AND(42&gt;='EDT Y TAREAS'!AK49,42&lt;'EDT Y TAREAS'!AL49),'EDT Y TAREAS'!AJ49/'EDT Y TAREAS'!M49,0),IF(AND(42&gt;='EDT Y TAREAS'!AK50,42&lt;'EDT Y TAREAS'!AL50),'EDT Y TAREAS'!AJ50/'EDT Y TAREAS'!M50,0),IF(AND(42&gt;='EDT Y TAREAS'!AK51,42&lt;'EDT Y TAREAS'!AL51),'EDT Y TAREAS'!AJ51/'EDT Y TAREAS'!M51,0),IF(AND(42&gt;='EDT Y TAREAS'!AK52,42&lt;'EDT Y TAREAS'!AL52),'EDT Y TAREAS'!AJ52/'EDT Y TAREAS'!M52,0))</x:f>
        <x:v>0</x:v>
      </x:c>
      <x:c r="I82" s="10" t="n">
        <x:f>WORKDAY('RESUMEN'!$D$3-1,A82,'RESUMEN'!$J$6:$J$25)</x:f>
        <x:v>46386</x:v>
      </x:c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  <x:c r="AM82" s="3"/>
      <x:c r="AN82" s="3"/>
      <x:c r="AO82" s="3"/>
    </x:row>
    <x:row r="83" ht="24" customHeight="1">
      <x:c r="A83" s="3" t="n">
        <x:v>44</x:v>
      </x:c>
      <x:c r="B83" s="35" t="n">
        <x:f>SUM(IF(AND(43&gt;='EDT Y TAREAS'!AK6,43&lt;'EDT Y TAREAS'!AL6),'EDT Y TAREAS'!AD6/'EDT Y TAREAS'!M6,0),IF(AND(43&gt;='EDT Y TAREAS'!AK7,43&lt;'EDT Y TAREAS'!AL7),'EDT Y TAREAS'!AD7/'EDT Y TAREAS'!M7,0),IF(AND(43&gt;='EDT Y TAREAS'!AK8,43&lt;'EDT Y TAREAS'!AL8),'EDT Y TAREAS'!AD8/'EDT Y TAREAS'!M8,0),IF(AND(43&gt;='EDT Y TAREAS'!AK9,43&lt;'EDT Y TAREAS'!AL9),'EDT Y TAREAS'!AD9/'EDT Y TAREAS'!M9,0),IF(AND(43&gt;='EDT Y TAREAS'!AK10,43&lt;'EDT Y TAREAS'!AL10),'EDT Y TAREAS'!AD10/'EDT Y TAREAS'!M10,0),IF(AND(43&gt;='EDT Y TAREAS'!AK11,43&lt;'EDT Y TAREAS'!AL11),'EDT Y TAREAS'!AD11/'EDT Y TAREAS'!M11,0),IF(AND(43&gt;='EDT Y TAREAS'!AK12,43&lt;'EDT Y TAREAS'!AL12),'EDT Y TAREAS'!AD12/'EDT Y TAREAS'!M12,0),IF(AND(43&gt;='EDT Y TAREAS'!AK13,43&lt;'EDT Y TAREAS'!AL13),'EDT Y TAREAS'!AD13/'EDT Y TAREAS'!M13,0),IF(AND(43&gt;='EDT Y TAREAS'!AK14,43&lt;'EDT Y TAREAS'!AL14),'EDT Y TAREAS'!AD14/'EDT Y TAREAS'!M14,0),IF(AND(43&gt;='EDT Y TAREAS'!AK15,43&lt;'EDT Y TAREAS'!AL15),'EDT Y TAREAS'!AD15/'EDT Y TAREAS'!M15,0),IF(AND(43&gt;='EDT Y TAREAS'!AK16,43&lt;'EDT Y TAREAS'!AL16),'EDT Y TAREAS'!AD16/'EDT Y TAREAS'!M16,0),IF(AND(43&gt;='EDT Y TAREAS'!AK17,43&lt;'EDT Y TAREAS'!AL17),'EDT Y TAREAS'!AD17/'EDT Y TAREAS'!M17,0),IF(AND(43&gt;='EDT Y TAREAS'!AK18,43&lt;'EDT Y TAREAS'!AL18),'EDT Y TAREAS'!AD18/'EDT Y TAREAS'!M18,0),IF(AND(43&gt;='EDT Y TAREAS'!AK19,43&lt;'EDT Y TAREAS'!AL19),'EDT Y TAREAS'!AD19/'EDT Y TAREAS'!M19,0),IF(AND(43&gt;='EDT Y TAREAS'!AK20,43&lt;'EDT Y TAREAS'!AL20),'EDT Y TAREAS'!AD20/'EDT Y TAREAS'!M20,0),IF(AND(43&gt;='EDT Y TAREAS'!AK21,43&lt;'EDT Y TAREAS'!AL21),'EDT Y TAREAS'!AD21/'EDT Y TAREAS'!M21,0),IF(AND(43&gt;='EDT Y TAREAS'!AK22,43&lt;'EDT Y TAREAS'!AL22),'EDT Y TAREAS'!AD22/'EDT Y TAREAS'!M22,0),IF(AND(43&gt;='EDT Y TAREAS'!AK23,43&lt;'EDT Y TAREAS'!AL23),'EDT Y TAREAS'!AD23/'EDT Y TAREAS'!M23,0),IF(AND(43&gt;='EDT Y TAREAS'!AK26,43&lt;'EDT Y TAREAS'!AL26),'EDT Y TAREAS'!AD26/'EDT Y TAREAS'!M26,0),IF(AND(43&gt;='EDT Y TAREAS'!AK28,43&lt;'EDT Y TAREAS'!AL28),'EDT Y TAREAS'!AD28/'EDT Y TAREAS'!M28,0),IF(AND(43&gt;='EDT Y TAREAS'!AK30,43&lt;'EDT Y TAREAS'!AL30),'EDT Y TAREAS'!AD30/'EDT Y TAREAS'!M30,0),IF(AND(43&gt;='EDT Y TAREAS'!AK32,43&lt;'EDT Y TAREAS'!AL32),'EDT Y TAREAS'!AD32/'EDT Y TAREAS'!M32,0),IF(AND(43&gt;='EDT Y TAREAS'!AK34,43&lt;'EDT Y TAREAS'!AL34),'EDT Y TAREAS'!AD34/'EDT Y TAREAS'!M34,0),IF(AND(43&gt;='EDT Y TAREAS'!AK38,43&lt;'EDT Y TAREAS'!AL38),'EDT Y TAREAS'!AD38/'EDT Y TAREAS'!M38,0),IF(AND(43&gt;='EDT Y TAREAS'!AK39,43&lt;'EDT Y TAREAS'!AL39),'EDT Y TAREAS'!AD39/'EDT Y TAREAS'!M39,0),IF(AND(43&gt;='EDT Y TAREAS'!AK43,43&lt;'EDT Y TAREAS'!AL43),'EDT Y TAREAS'!AD43/'EDT Y TAREAS'!M43,0),IF(AND(43&gt;='EDT Y TAREAS'!AK44,43&lt;'EDT Y TAREAS'!AL44),'EDT Y TAREAS'!AD44/'EDT Y TAREAS'!M44,0),IF(AND(43&gt;='EDT Y TAREAS'!AK45,43&lt;'EDT Y TAREAS'!AL45),'EDT Y TAREAS'!AD45/'EDT Y TAREAS'!M45,0),IF(AND(43&gt;='EDT Y TAREAS'!AK46,43&lt;'EDT Y TAREAS'!AL46),'EDT Y TAREAS'!AD46/'EDT Y TAREAS'!M46,0),IF(AND(43&gt;='EDT Y TAREAS'!AK47,43&lt;'EDT Y TAREAS'!AL47),'EDT Y TAREAS'!AD47/'EDT Y TAREAS'!M47,0),IF(AND(43&gt;='EDT Y TAREAS'!AK49,43&lt;'EDT Y TAREAS'!AL49),'EDT Y TAREAS'!AD49/'EDT Y TAREAS'!M49,0),IF(AND(43&gt;='EDT Y TAREAS'!AK50,43&lt;'EDT Y TAREAS'!AL50),'EDT Y TAREAS'!AD50/'EDT Y TAREAS'!M50,0),IF(AND(43&gt;='EDT Y TAREAS'!AK51,43&lt;'EDT Y TAREAS'!AL51),'EDT Y TAREAS'!AD51/'EDT Y TAREAS'!M51,0),IF(AND(43&gt;='EDT Y TAREAS'!AK52,43&lt;'EDT Y TAREAS'!AL52),'EDT Y TAREAS'!AD52/'EDT Y TAREAS'!M52,0))</x:f>
        <x:v>5.6</x:v>
      </x:c>
      <x:c r="C83" s="35" t="n">
        <x:f>SUM(IF(AND(43&gt;='EDT Y TAREAS'!AK6,43&lt;'EDT Y TAREAS'!AL6),'EDT Y TAREAS'!AE6/'EDT Y TAREAS'!M6,0),IF(AND(43&gt;='EDT Y TAREAS'!AK8,43&lt;'EDT Y TAREAS'!AL8),'EDT Y TAREAS'!AE8/'EDT Y TAREAS'!M8,0),IF(AND(43&gt;='EDT Y TAREAS'!AK9,43&lt;'EDT Y TAREAS'!AL9),'EDT Y TAREAS'!AE9/'EDT Y TAREAS'!M9,0),IF(AND(43&gt;='EDT Y TAREAS'!AK10,43&lt;'EDT Y TAREAS'!AL10),'EDT Y TAREAS'!AE10/'EDT Y TAREAS'!M10,0),IF(AND(43&gt;='EDT Y TAREAS'!AK12,43&lt;'EDT Y TAREAS'!AL12),'EDT Y TAREAS'!AE12/'EDT Y TAREAS'!M12,0),IF(AND(43&gt;='EDT Y TAREAS'!AK16,43&lt;'EDT Y TAREAS'!AL16),'EDT Y TAREAS'!AE16/'EDT Y TAREAS'!M16,0),IF(AND(43&gt;='EDT Y TAREAS'!AK21,43&lt;'EDT Y TAREAS'!AL21),'EDT Y TAREAS'!AE21/'EDT Y TAREAS'!M21,0),IF(AND(43&gt;='EDT Y TAREAS'!AK23,43&lt;'EDT Y TAREAS'!AL23),'EDT Y TAREAS'!AE23/'EDT Y TAREAS'!M23,0),IF(AND(43&gt;='EDT Y TAREAS'!AK37,43&lt;'EDT Y TAREAS'!AL37),'EDT Y TAREAS'!AE37/'EDT Y TAREAS'!M37,0),IF(AND(43&gt;='EDT Y TAREAS'!AK38,43&lt;'EDT Y TAREAS'!AL38),'EDT Y TAREAS'!AE38/'EDT Y TAREAS'!M38,0),IF(AND(43&gt;='EDT Y TAREAS'!AK41,43&lt;'EDT Y TAREAS'!AL41),'EDT Y TAREAS'!AE41/'EDT Y TAREAS'!M41,0),IF(AND(43&gt;='EDT Y TAREAS'!AK43,43&lt;'EDT Y TAREAS'!AL43),'EDT Y TAREAS'!AE43/'EDT Y TAREAS'!M43,0),IF(AND(43&gt;='EDT Y TAREAS'!AK44,43&lt;'EDT Y TAREAS'!AL44),'EDT Y TAREAS'!AE44/'EDT Y TAREAS'!M44,0),IF(AND(43&gt;='EDT Y TAREAS'!AK46,43&lt;'EDT Y TAREAS'!AL46),'EDT Y TAREAS'!AE46/'EDT Y TAREAS'!M46,0),IF(AND(43&gt;='EDT Y TAREAS'!AK47,43&lt;'EDT Y TAREAS'!AL47),'EDT Y TAREAS'!AE47/'EDT Y TAREAS'!M47,0),IF(AND(43&gt;='EDT Y TAREAS'!AK51,43&lt;'EDT Y TAREAS'!AL51),'EDT Y TAREAS'!AE51/'EDT Y TAREAS'!M51,0),IF(AND(43&gt;='EDT Y TAREAS'!AK52,43&lt;'EDT Y TAREAS'!AL52),'EDT Y TAREAS'!AE52/'EDT Y TAREAS'!M52,0))</x:f>
        <x:v>0</x:v>
      </x:c>
      <x:c r="D83" s="35" t="n">
        <x:f>SUM(IF(AND(43&gt;='EDT Y TAREAS'!AK11,43&lt;'EDT Y TAREAS'!AL11),'EDT Y TAREAS'!AF11/'EDT Y TAREAS'!M11,0),IF(AND(43&gt;='EDT Y TAREAS'!AK24,43&lt;'EDT Y TAREAS'!AL24),'EDT Y TAREAS'!AF24/'EDT Y TAREAS'!M24,0),IF(AND(43&gt;='EDT Y TAREAS'!AK25,43&lt;'EDT Y TAREAS'!AL25),'EDT Y TAREAS'!AF25/'EDT Y TAREAS'!M25,0),IF(AND(43&gt;='EDT Y TAREAS'!AK26,43&lt;'EDT Y TAREAS'!AL26),'EDT Y TAREAS'!AF26/'EDT Y TAREAS'!M26,0),IF(AND(43&gt;='EDT Y TAREAS'!AK27,43&lt;'EDT Y TAREAS'!AL27),'EDT Y TAREAS'!AF27/'EDT Y TAREAS'!M27,0),IF(AND(43&gt;='EDT Y TAREAS'!AK28,43&lt;'EDT Y TAREAS'!AL28),'EDT Y TAREAS'!AF28/'EDT Y TAREAS'!M28,0),IF(AND(43&gt;='EDT Y TAREAS'!AK31,43&lt;'EDT Y TAREAS'!AL31),'EDT Y TAREAS'!AF31/'EDT Y TAREAS'!M31,0),IF(AND(43&gt;='EDT Y TAREAS'!AK33,43&lt;'EDT Y TAREAS'!AL33),'EDT Y TAREAS'!AF33/'EDT Y TAREAS'!M33,0),IF(AND(43&gt;='EDT Y TAREAS'!AK34,43&lt;'EDT Y TAREAS'!AL34),'EDT Y TAREAS'!AF34/'EDT Y TAREAS'!M34,0),IF(AND(43&gt;='EDT Y TAREAS'!AK35,43&lt;'EDT Y TAREAS'!AL35),'EDT Y TAREAS'!AF35/'EDT Y TAREAS'!M35,0),IF(AND(43&gt;='EDT Y TAREAS'!AK37,43&lt;'EDT Y TAREAS'!AL37),'EDT Y TAREAS'!AF37/'EDT Y TAREAS'!M37,0),IF(AND(43&gt;='EDT Y TAREAS'!AK39,43&lt;'EDT Y TAREAS'!AL39),'EDT Y TAREAS'!AF39/'EDT Y TAREAS'!M39,0),IF(AND(43&gt;='EDT Y TAREAS'!AK40,43&lt;'EDT Y TAREAS'!AL40),'EDT Y TAREAS'!AF40/'EDT Y TAREAS'!M40,0),IF(AND(43&gt;='EDT Y TAREAS'!AK42,43&lt;'EDT Y TAREAS'!AL42),'EDT Y TAREAS'!AF42/'EDT Y TAREAS'!M42,0),IF(AND(43&gt;='EDT Y TAREAS'!AK45,43&lt;'EDT Y TAREAS'!AL45),'EDT Y TAREAS'!AF45/'EDT Y TAREAS'!M45,0),IF(AND(43&gt;='EDT Y TAREAS'!AK49,43&lt;'EDT Y TAREAS'!AL49),'EDT Y TAREAS'!AF49/'EDT Y TAREAS'!M49,0),IF(AND(43&gt;='EDT Y TAREAS'!AK52,43&lt;'EDT Y TAREAS'!AL52),'EDT Y TAREAS'!AF52/'EDT Y TAREAS'!M52,0))</x:f>
        <x:v>5.6</x:v>
      </x:c>
      <x:c r="E83" s="35" t="n">
        <x:f>SUM(IF(AND(43&gt;='EDT Y TAREAS'!AK29,43&lt;'EDT Y TAREAS'!AL29),'EDT Y TAREAS'!AG29/'EDT Y TAREAS'!M29,0),IF(AND(43&gt;='EDT Y TAREAS'!AK30,43&lt;'EDT Y TAREAS'!AL30),'EDT Y TAREAS'!AG30/'EDT Y TAREAS'!M30,0),IF(AND(43&gt;='EDT Y TAREAS'!AK31,43&lt;'EDT Y TAREAS'!AL31),'EDT Y TAREAS'!AG31/'EDT Y TAREAS'!M31,0),IF(AND(43&gt;='EDT Y TAREAS'!AK32,43&lt;'EDT Y TAREAS'!AL32),'EDT Y TAREAS'!AG32/'EDT Y TAREAS'!M32,0),IF(AND(43&gt;='EDT Y TAREAS'!AK41,43&lt;'EDT Y TAREAS'!AL41),'EDT Y TAREAS'!AG41/'EDT Y TAREAS'!M41,0),IF(AND(43&gt;='EDT Y TAREAS'!AK45,43&lt;'EDT Y TAREAS'!AL45),'EDT Y TAREAS'!AG45/'EDT Y TAREAS'!M45,0),IF(AND(43&gt;='EDT Y TAREAS'!AK48,43&lt;'EDT Y TAREAS'!AL48),'EDT Y TAREAS'!AG48/'EDT Y TAREAS'!M48,0))</x:f>
        <x:v>4.8</x:v>
      </x:c>
      <x:c r="F83" s="35" t="n">
        <x:f>SUM(IF(AND(43&gt;='EDT Y TAREAS'!AK10,43&lt;'EDT Y TAREAS'!AL10),'EDT Y TAREAS'!AH10/'EDT Y TAREAS'!M10,0),IF(AND(43&gt;='EDT Y TAREAS'!AK12,43&lt;'EDT Y TAREAS'!AL12),'EDT Y TAREAS'!AH12/'EDT Y TAREAS'!M12,0),IF(AND(43&gt;='EDT Y TAREAS'!AK22,43&lt;'EDT Y TAREAS'!AL22),'EDT Y TAREAS'!AH22/'EDT Y TAREAS'!M22,0),IF(AND(43&gt;='EDT Y TAREAS'!AK23,43&lt;'EDT Y TAREAS'!AL23),'EDT Y TAREAS'!AH23/'EDT Y TAREAS'!M23,0),IF(AND(43&gt;='EDT Y TAREAS'!AK29,43&lt;'EDT Y TAREAS'!AL29),'EDT Y TAREAS'!AH29/'EDT Y TAREAS'!M29,0),IF(AND(43&gt;='EDT Y TAREAS'!AK30,43&lt;'EDT Y TAREAS'!AL30),'EDT Y TAREAS'!AH30/'EDT Y TAREAS'!M30,0),IF(AND(43&gt;='EDT Y TAREAS'!AK32,43&lt;'EDT Y TAREAS'!AL32),'EDT Y TAREAS'!AH32/'EDT Y TAREAS'!M32,0),IF(AND(43&gt;='EDT Y TAREAS'!AK41,43&lt;'EDT Y TAREAS'!AL41),'EDT Y TAREAS'!AH41/'EDT Y TAREAS'!M41,0),IF(AND(43&gt;='EDT Y TAREAS'!AK44,43&lt;'EDT Y TAREAS'!AL44),'EDT Y TAREAS'!AH44/'EDT Y TAREAS'!M44,0),IF(AND(43&gt;='EDT Y TAREAS'!AK46,43&lt;'EDT Y TAREAS'!AL46),'EDT Y TAREAS'!AH46/'EDT Y TAREAS'!M46,0),IF(AND(43&gt;='EDT Y TAREAS'!AK48,43&lt;'EDT Y TAREAS'!AL48),'EDT Y TAREAS'!AH48/'EDT Y TAREAS'!M48,0))</x:f>
        <x:v>0.8</x:v>
      </x:c>
      <x:c r="G83" s="35" t="n">
        <x:f>SUM(IF(AND(43&gt;='EDT Y TAREAS'!AK20,43&lt;'EDT Y TAREAS'!AL20),'EDT Y TAREAS'!AI20/'EDT Y TAREAS'!M20,0),IF(AND(43&gt;='EDT Y TAREAS'!AK25,43&lt;'EDT Y TAREAS'!AL25),'EDT Y TAREAS'!AI25/'EDT Y TAREAS'!M25,0),IF(AND(43&gt;='EDT Y TAREAS'!AK33,43&lt;'EDT Y TAREAS'!AL33),'EDT Y TAREAS'!AI33/'EDT Y TAREAS'!M33,0),IF(AND(43&gt;='EDT Y TAREAS'!AK34,43&lt;'EDT Y TAREAS'!AL34),'EDT Y TAREAS'!AI34/'EDT Y TAREAS'!M34,0),IF(AND(43&gt;='EDT Y TAREAS'!AK36,43&lt;'EDT Y TAREAS'!AL36),'EDT Y TAREAS'!AI36/'EDT Y TAREAS'!M36,0),IF(AND(43&gt;='EDT Y TAREAS'!AK39,43&lt;'EDT Y TAREAS'!AL39),'EDT Y TAREAS'!AI39/'EDT Y TAREAS'!M39,0),IF(AND(43&gt;='EDT Y TAREAS'!AK40,43&lt;'EDT Y TAREAS'!AL40),'EDT Y TAREAS'!AI40/'EDT Y TAREAS'!M40,0),IF(AND(43&gt;='EDT Y TAREAS'!AK42,43&lt;'EDT Y TAREAS'!AL42),'EDT Y TAREAS'!AI42/'EDT Y TAREAS'!M42,0),IF(AND(43&gt;='EDT Y TAREAS'!AK43,43&lt;'EDT Y TAREAS'!AL43),'EDT Y TAREAS'!AI43/'EDT Y TAREAS'!M43,0),IF(AND(43&gt;='EDT Y TAREAS'!AK44,43&lt;'EDT Y TAREAS'!AL44),'EDT Y TAREAS'!AI44/'EDT Y TAREAS'!M44,0),IF(AND(43&gt;='EDT Y TAREAS'!AK45,43&lt;'EDT Y TAREAS'!AL45),'EDT Y TAREAS'!AI45/'EDT Y TAREAS'!M45,0),IF(AND(43&gt;='EDT Y TAREAS'!AK46,43&lt;'EDT Y TAREAS'!AL46),'EDT Y TAREAS'!AI46/'EDT Y TAREAS'!M46,0),IF(AND(43&gt;='EDT Y TAREAS'!AK48,43&lt;'EDT Y TAREAS'!AL48),'EDT Y TAREAS'!AI48/'EDT Y TAREAS'!M48,0),IF(AND(43&gt;='EDT Y TAREAS'!AK50,43&lt;'EDT Y TAREAS'!AL50),'EDT Y TAREAS'!AI50/'EDT Y TAREAS'!M50,0),IF(AND(43&gt;='EDT Y TAREAS'!AK52,43&lt;'EDT Y TAREAS'!AL52),'EDT Y TAREAS'!AI52/'EDT Y TAREAS'!M52,0))</x:f>
        <x:v>0</x:v>
      </x:c>
      <x:c r="H83" s="35" t="n">
        <x:f>SUM(IF(AND(43&gt;='EDT Y TAREAS'!AK11,43&lt;'EDT Y TAREAS'!AL11),'EDT Y TAREAS'!AJ11/'EDT Y TAREAS'!M11,0),IF(AND(43&gt;='EDT Y TAREAS'!AK24,43&lt;'EDT Y TAREAS'!AL24),'EDT Y TAREAS'!AJ24/'EDT Y TAREAS'!M24,0),IF(AND(43&gt;='EDT Y TAREAS'!AK27,43&lt;'EDT Y TAREAS'!AL27),'EDT Y TAREAS'!AJ27/'EDT Y TAREAS'!M27,0),IF(AND(43&gt;='EDT Y TAREAS'!AK28,43&lt;'EDT Y TAREAS'!AL28),'EDT Y TAREAS'!AJ28/'EDT Y TAREAS'!M28,0),IF(AND(43&gt;='EDT Y TAREAS'!AK33,43&lt;'EDT Y TAREAS'!AL33),'EDT Y TAREAS'!AJ33/'EDT Y TAREAS'!M33,0),IF(AND(43&gt;='EDT Y TAREAS'!AK35,43&lt;'EDT Y TAREAS'!AL35),'EDT Y TAREAS'!AJ35/'EDT Y TAREAS'!M35,0),IF(AND(43&gt;='EDT Y TAREAS'!AK36,43&lt;'EDT Y TAREAS'!AL36),'EDT Y TAREAS'!AJ36/'EDT Y TAREAS'!M36,0),IF(AND(43&gt;='EDT Y TAREAS'!AK37,43&lt;'EDT Y TAREAS'!AL37),'EDT Y TAREAS'!AJ37/'EDT Y TAREAS'!M37,0),IF(AND(43&gt;='EDT Y TAREAS'!AK40,43&lt;'EDT Y TAREAS'!AL40),'EDT Y TAREAS'!AJ40/'EDT Y TAREAS'!M40,0),IF(AND(43&gt;='EDT Y TAREAS'!AK42,43&lt;'EDT Y TAREAS'!AL42),'EDT Y TAREAS'!AJ42/'EDT Y TAREAS'!M42,0),IF(AND(43&gt;='EDT Y TAREAS'!AK49,43&lt;'EDT Y TAREAS'!AL49),'EDT Y TAREAS'!AJ49/'EDT Y TAREAS'!M49,0),IF(AND(43&gt;='EDT Y TAREAS'!AK50,43&lt;'EDT Y TAREAS'!AL50),'EDT Y TAREAS'!AJ50/'EDT Y TAREAS'!M50,0),IF(AND(43&gt;='EDT Y TAREAS'!AK51,43&lt;'EDT Y TAREAS'!AL51),'EDT Y TAREAS'!AJ51/'EDT Y TAREAS'!M51,0),IF(AND(43&gt;='EDT Y TAREAS'!AK52,43&lt;'EDT Y TAREAS'!AL52),'EDT Y TAREAS'!AJ52/'EDT Y TAREAS'!M52,0))</x:f>
        <x:v>0</x:v>
      </x:c>
      <x:c r="I83" s="10" t="n">
        <x:f>WORKDAY('RESUMEN'!$D$3-1,A83,'RESUMEN'!$J$6:$J$25)</x:f>
        <x:v>46387</x:v>
      </x:c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  <x:c r="AH83" s="3"/>
      <x:c r="AI83" s="3"/>
      <x:c r="AJ83" s="3"/>
      <x:c r="AK83" s="3"/>
      <x:c r="AL83" s="3"/>
      <x:c r="AM83" s="3"/>
      <x:c r="AN83" s="3"/>
      <x:c r="AO83" s="3"/>
    </x:row>
    <x:row r="84" ht="24" customHeight="1">
      <x:c r="A84" s="3" t="n">
        <x:v>45</x:v>
      </x:c>
      <x:c r="B84" s="35" t="n">
        <x:f>SUM(IF(AND(44&gt;='EDT Y TAREAS'!AK6,44&lt;'EDT Y TAREAS'!AL6),'EDT Y TAREAS'!AD6/'EDT Y TAREAS'!M6,0),IF(AND(44&gt;='EDT Y TAREAS'!AK7,44&lt;'EDT Y TAREAS'!AL7),'EDT Y TAREAS'!AD7/'EDT Y TAREAS'!M7,0),IF(AND(44&gt;='EDT Y TAREAS'!AK8,44&lt;'EDT Y TAREAS'!AL8),'EDT Y TAREAS'!AD8/'EDT Y TAREAS'!M8,0),IF(AND(44&gt;='EDT Y TAREAS'!AK9,44&lt;'EDT Y TAREAS'!AL9),'EDT Y TAREAS'!AD9/'EDT Y TAREAS'!M9,0),IF(AND(44&gt;='EDT Y TAREAS'!AK10,44&lt;'EDT Y TAREAS'!AL10),'EDT Y TAREAS'!AD10/'EDT Y TAREAS'!M10,0),IF(AND(44&gt;='EDT Y TAREAS'!AK11,44&lt;'EDT Y TAREAS'!AL11),'EDT Y TAREAS'!AD11/'EDT Y TAREAS'!M11,0),IF(AND(44&gt;='EDT Y TAREAS'!AK12,44&lt;'EDT Y TAREAS'!AL12),'EDT Y TAREAS'!AD12/'EDT Y TAREAS'!M12,0),IF(AND(44&gt;='EDT Y TAREAS'!AK13,44&lt;'EDT Y TAREAS'!AL13),'EDT Y TAREAS'!AD13/'EDT Y TAREAS'!M13,0),IF(AND(44&gt;='EDT Y TAREAS'!AK14,44&lt;'EDT Y TAREAS'!AL14),'EDT Y TAREAS'!AD14/'EDT Y TAREAS'!M14,0),IF(AND(44&gt;='EDT Y TAREAS'!AK15,44&lt;'EDT Y TAREAS'!AL15),'EDT Y TAREAS'!AD15/'EDT Y TAREAS'!M15,0),IF(AND(44&gt;='EDT Y TAREAS'!AK16,44&lt;'EDT Y TAREAS'!AL16),'EDT Y TAREAS'!AD16/'EDT Y TAREAS'!M16,0),IF(AND(44&gt;='EDT Y TAREAS'!AK17,44&lt;'EDT Y TAREAS'!AL17),'EDT Y TAREAS'!AD17/'EDT Y TAREAS'!M17,0),IF(AND(44&gt;='EDT Y TAREAS'!AK18,44&lt;'EDT Y TAREAS'!AL18),'EDT Y TAREAS'!AD18/'EDT Y TAREAS'!M18,0),IF(AND(44&gt;='EDT Y TAREAS'!AK19,44&lt;'EDT Y TAREAS'!AL19),'EDT Y TAREAS'!AD19/'EDT Y TAREAS'!M19,0),IF(AND(44&gt;='EDT Y TAREAS'!AK20,44&lt;'EDT Y TAREAS'!AL20),'EDT Y TAREAS'!AD20/'EDT Y TAREAS'!M20,0),IF(AND(44&gt;='EDT Y TAREAS'!AK21,44&lt;'EDT Y TAREAS'!AL21),'EDT Y TAREAS'!AD21/'EDT Y TAREAS'!M21,0),IF(AND(44&gt;='EDT Y TAREAS'!AK22,44&lt;'EDT Y TAREAS'!AL22),'EDT Y TAREAS'!AD22/'EDT Y TAREAS'!M22,0),IF(AND(44&gt;='EDT Y TAREAS'!AK23,44&lt;'EDT Y TAREAS'!AL23),'EDT Y TAREAS'!AD23/'EDT Y TAREAS'!M23,0),IF(AND(44&gt;='EDT Y TAREAS'!AK26,44&lt;'EDT Y TAREAS'!AL26),'EDT Y TAREAS'!AD26/'EDT Y TAREAS'!M26,0),IF(AND(44&gt;='EDT Y TAREAS'!AK28,44&lt;'EDT Y TAREAS'!AL28),'EDT Y TAREAS'!AD28/'EDT Y TAREAS'!M28,0),IF(AND(44&gt;='EDT Y TAREAS'!AK30,44&lt;'EDT Y TAREAS'!AL30),'EDT Y TAREAS'!AD30/'EDT Y TAREAS'!M30,0),IF(AND(44&gt;='EDT Y TAREAS'!AK32,44&lt;'EDT Y TAREAS'!AL32),'EDT Y TAREAS'!AD32/'EDT Y TAREAS'!M32,0),IF(AND(44&gt;='EDT Y TAREAS'!AK34,44&lt;'EDT Y TAREAS'!AL34),'EDT Y TAREAS'!AD34/'EDT Y TAREAS'!M34,0),IF(AND(44&gt;='EDT Y TAREAS'!AK38,44&lt;'EDT Y TAREAS'!AL38),'EDT Y TAREAS'!AD38/'EDT Y TAREAS'!M38,0),IF(AND(44&gt;='EDT Y TAREAS'!AK39,44&lt;'EDT Y TAREAS'!AL39),'EDT Y TAREAS'!AD39/'EDT Y TAREAS'!M39,0),IF(AND(44&gt;='EDT Y TAREAS'!AK43,44&lt;'EDT Y TAREAS'!AL43),'EDT Y TAREAS'!AD43/'EDT Y TAREAS'!M43,0),IF(AND(44&gt;='EDT Y TAREAS'!AK44,44&lt;'EDT Y TAREAS'!AL44),'EDT Y TAREAS'!AD44/'EDT Y TAREAS'!M44,0),IF(AND(44&gt;='EDT Y TAREAS'!AK45,44&lt;'EDT Y TAREAS'!AL45),'EDT Y TAREAS'!AD45/'EDT Y TAREAS'!M45,0),IF(AND(44&gt;='EDT Y TAREAS'!AK46,44&lt;'EDT Y TAREAS'!AL46),'EDT Y TAREAS'!AD46/'EDT Y TAREAS'!M46,0),IF(AND(44&gt;='EDT Y TAREAS'!AK47,44&lt;'EDT Y TAREAS'!AL47),'EDT Y TAREAS'!AD47/'EDT Y TAREAS'!M47,0),IF(AND(44&gt;='EDT Y TAREAS'!AK49,44&lt;'EDT Y TAREAS'!AL49),'EDT Y TAREAS'!AD49/'EDT Y TAREAS'!M49,0),IF(AND(44&gt;='EDT Y TAREAS'!AK50,44&lt;'EDT Y TAREAS'!AL50),'EDT Y TAREAS'!AD50/'EDT Y TAREAS'!M50,0),IF(AND(44&gt;='EDT Y TAREAS'!AK51,44&lt;'EDT Y TAREAS'!AL51),'EDT Y TAREAS'!AD51/'EDT Y TAREAS'!M51,0),IF(AND(44&gt;='EDT Y TAREAS'!AK52,44&lt;'EDT Y TAREAS'!AL52),'EDT Y TAREAS'!AD52/'EDT Y TAREAS'!M52,0))</x:f>
        <x:v>5.6</x:v>
      </x:c>
      <x:c r="C84" s="35" t="n">
        <x:f>SUM(IF(AND(44&gt;='EDT Y TAREAS'!AK6,44&lt;'EDT Y TAREAS'!AL6),'EDT Y TAREAS'!AE6/'EDT Y TAREAS'!M6,0),IF(AND(44&gt;='EDT Y TAREAS'!AK8,44&lt;'EDT Y TAREAS'!AL8),'EDT Y TAREAS'!AE8/'EDT Y TAREAS'!M8,0),IF(AND(44&gt;='EDT Y TAREAS'!AK9,44&lt;'EDT Y TAREAS'!AL9),'EDT Y TAREAS'!AE9/'EDT Y TAREAS'!M9,0),IF(AND(44&gt;='EDT Y TAREAS'!AK10,44&lt;'EDT Y TAREAS'!AL10),'EDT Y TAREAS'!AE10/'EDT Y TAREAS'!M10,0),IF(AND(44&gt;='EDT Y TAREAS'!AK12,44&lt;'EDT Y TAREAS'!AL12),'EDT Y TAREAS'!AE12/'EDT Y TAREAS'!M12,0),IF(AND(44&gt;='EDT Y TAREAS'!AK16,44&lt;'EDT Y TAREAS'!AL16),'EDT Y TAREAS'!AE16/'EDT Y TAREAS'!M16,0),IF(AND(44&gt;='EDT Y TAREAS'!AK21,44&lt;'EDT Y TAREAS'!AL21),'EDT Y TAREAS'!AE21/'EDT Y TAREAS'!M21,0),IF(AND(44&gt;='EDT Y TAREAS'!AK23,44&lt;'EDT Y TAREAS'!AL23),'EDT Y TAREAS'!AE23/'EDT Y TAREAS'!M23,0),IF(AND(44&gt;='EDT Y TAREAS'!AK37,44&lt;'EDT Y TAREAS'!AL37),'EDT Y TAREAS'!AE37/'EDT Y TAREAS'!M37,0),IF(AND(44&gt;='EDT Y TAREAS'!AK38,44&lt;'EDT Y TAREAS'!AL38),'EDT Y TAREAS'!AE38/'EDT Y TAREAS'!M38,0),IF(AND(44&gt;='EDT Y TAREAS'!AK41,44&lt;'EDT Y TAREAS'!AL41),'EDT Y TAREAS'!AE41/'EDT Y TAREAS'!M41,0),IF(AND(44&gt;='EDT Y TAREAS'!AK43,44&lt;'EDT Y TAREAS'!AL43),'EDT Y TAREAS'!AE43/'EDT Y TAREAS'!M43,0),IF(AND(44&gt;='EDT Y TAREAS'!AK44,44&lt;'EDT Y TAREAS'!AL44),'EDT Y TAREAS'!AE44/'EDT Y TAREAS'!M44,0),IF(AND(44&gt;='EDT Y TAREAS'!AK46,44&lt;'EDT Y TAREAS'!AL46),'EDT Y TAREAS'!AE46/'EDT Y TAREAS'!M46,0),IF(AND(44&gt;='EDT Y TAREAS'!AK47,44&lt;'EDT Y TAREAS'!AL47),'EDT Y TAREAS'!AE47/'EDT Y TAREAS'!M47,0),IF(AND(44&gt;='EDT Y TAREAS'!AK51,44&lt;'EDT Y TAREAS'!AL51),'EDT Y TAREAS'!AE51/'EDT Y TAREAS'!M51,0),IF(AND(44&gt;='EDT Y TAREAS'!AK52,44&lt;'EDT Y TAREAS'!AL52),'EDT Y TAREAS'!AE52/'EDT Y TAREAS'!M52,0))</x:f>
        <x:v>0</x:v>
      </x:c>
      <x:c r="D84" s="35" t="n">
        <x:f>SUM(IF(AND(44&gt;='EDT Y TAREAS'!AK11,44&lt;'EDT Y TAREAS'!AL11),'EDT Y TAREAS'!AF11/'EDT Y TAREAS'!M11,0),IF(AND(44&gt;='EDT Y TAREAS'!AK24,44&lt;'EDT Y TAREAS'!AL24),'EDT Y TAREAS'!AF24/'EDT Y TAREAS'!M24,0),IF(AND(44&gt;='EDT Y TAREAS'!AK25,44&lt;'EDT Y TAREAS'!AL25),'EDT Y TAREAS'!AF25/'EDT Y TAREAS'!M25,0),IF(AND(44&gt;='EDT Y TAREAS'!AK26,44&lt;'EDT Y TAREAS'!AL26),'EDT Y TAREAS'!AF26/'EDT Y TAREAS'!M26,0),IF(AND(44&gt;='EDT Y TAREAS'!AK27,44&lt;'EDT Y TAREAS'!AL27),'EDT Y TAREAS'!AF27/'EDT Y TAREAS'!M27,0),IF(AND(44&gt;='EDT Y TAREAS'!AK28,44&lt;'EDT Y TAREAS'!AL28),'EDT Y TAREAS'!AF28/'EDT Y TAREAS'!M28,0),IF(AND(44&gt;='EDT Y TAREAS'!AK31,44&lt;'EDT Y TAREAS'!AL31),'EDT Y TAREAS'!AF31/'EDT Y TAREAS'!M31,0),IF(AND(44&gt;='EDT Y TAREAS'!AK33,44&lt;'EDT Y TAREAS'!AL33),'EDT Y TAREAS'!AF33/'EDT Y TAREAS'!M33,0),IF(AND(44&gt;='EDT Y TAREAS'!AK34,44&lt;'EDT Y TAREAS'!AL34),'EDT Y TAREAS'!AF34/'EDT Y TAREAS'!M34,0),IF(AND(44&gt;='EDT Y TAREAS'!AK35,44&lt;'EDT Y TAREAS'!AL35),'EDT Y TAREAS'!AF35/'EDT Y TAREAS'!M35,0),IF(AND(44&gt;='EDT Y TAREAS'!AK37,44&lt;'EDT Y TAREAS'!AL37),'EDT Y TAREAS'!AF37/'EDT Y TAREAS'!M37,0),IF(AND(44&gt;='EDT Y TAREAS'!AK39,44&lt;'EDT Y TAREAS'!AL39),'EDT Y TAREAS'!AF39/'EDT Y TAREAS'!M39,0),IF(AND(44&gt;='EDT Y TAREAS'!AK40,44&lt;'EDT Y TAREAS'!AL40),'EDT Y TAREAS'!AF40/'EDT Y TAREAS'!M40,0),IF(AND(44&gt;='EDT Y TAREAS'!AK42,44&lt;'EDT Y TAREAS'!AL42),'EDT Y TAREAS'!AF42/'EDT Y TAREAS'!M42,0),IF(AND(44&gt;='EDT Y TAREAS'!AK45,44&lt;'EDT Y TAREAS'!AL45),'EDT Y TAREAS'!AF45/'EDT Y TAREAS'!M45,0),IF(AND(44&gt;='EDT Y TAREAS'!AK49,44&lt;'EDT Y TAREAS'!AL49),'EDT Y TAREAS'!AF49/'EDT Y TAREAS'!M49,0),IF(AND(44&gt;='EDT Y TAREAS'!AK52,44&lt;'EDT Y TAREAS'!AL52),'EDT Y TAREAS'!AF52/'EDT Y TAREAS'!M52,0))</x:f>
        <x:v>5.6</x:v>
      </x:c>
      <x:c r="E84" s="35" t="n">
        <x:f>SUM(IF(AND(44&gt;='EDT Y TAREAS'!AK29,44&lt;'EDT Y TAREAS'!AL29),'EDT Y TAREAS'!AG29/'EDT Y TAREAS'!M29,0),IF(AND(44&gt;='EDT Y TAREAS'!AK30,44&lt;'EDT Y TAREAS'!AL30),'EDT Y TAREAS'!AG30/'EDT Y TAREAS'!M30,0),IF(AND(44&gt;='EDT Y TAREAS'!AK31,44&lt;'EDT Y TAREAS'!AL31),'EDT Y TAREAS'!AG31/'EDT Y TAREAS'!M31,0),IF(AND(44&gt;='EDT Y TAREAS'!AK32,44&lt;'EDT Y TAREAS'!AL32),'EDT Y TAREAS'!AG32/'EDT Y TAREAS'!M32,0),IF(AND(44&gt;='EDT Y TAREAS'!AK41,44&lt;'EDT Y TAREAS'!AL41),'EDT Y TAREAS'!AG41/'EDT Y TAREAS'!M41,0),IF(AND(44&gt;='EDT Y TAREAS'!AK45,44&lt;'EDT Y TAREAS'!AL45),'EDT Y TAREAS'!AG45/'EDT Y TAREAS'!M45,0),IF(AND(44&gt;='EDT Y TAREAS'!AK48,44&lt;'EDT Y TAREAS'!AL48),'EDT Y TAREAS'!AG48/'EDT Y TAREAS'!M48,0))</x:f>
        <x:v>4.8</x:v>
      </x:c>
      <x:c r="F84" s="35" t="n">
        <x:f>SUM(IF(AND(44&gt;='EDT Y TAREAS'!AK10,44&lt;'EDT Y TAREAS'!AL10),'EDT Y TAREAS'!AH10/'EDT Y TAREAS'!M10,0),IF(AND(44&gt;='EDT Y TAREAS'!AK12,44&lt;'EDT Y TAREAS'!AL12),'EDT Y TAREAS'!AH12/'EDT Y TAREAS'!M12,0),IF(AND(44&gt;='EDT Y TAREAS'!AK22,44&lt;'EDT Y TAREAS'!AL22),'EDT Y TAREAS'!AH22/'EDT Y TAREAS'!M22,0),IF(AND(44&gt;='EDT Y TAREAS'!AK23,44&lt;'EDT Y TAREAS'!AL23),'EDT Y TAREAS'!AH23/'EDT Y TAREAS'!M23,0),IF(AND(44&gt;='EDT Y TAREAS'!AK29,44&lt;'EDT Y TAREAS'!AL29),'EDT Y TAREAS'!AH29/'EDT Y TAREAS'!M29,0),IF(AND(44&gt;='EDT Y TAREAS'!AK30,44&lt;'EDT Y TAREAS'!AL30),'EDT Y TAREAS'!AH30/'EDT Y TAREAS'!M30,0),IF(AND(44&gt;='EDT Y TAREAS'!AK32,44&lt;'EDT Y TAREAS'!AL32),'EDT Y TAREAS'!AH32/'EDT Y TAREAS'!M32,0),IF(AND(44&gt;='EDT Y TAREAS'!AK41,44&lt;'EDT Y TAREAS'!AL41),'EDT Y TAREAS'!AH41/'EDT Y TAREAS'!M41,0),IF(AND(44&gt;='EDT Y TAREAS'!AK44,44&lt;'EDT Y TAREAS'!AL44),'EDT Y TAREAS'!AH44/'EDT Y TAREAS'!M44,0),IF(AND(44&gt;='EDT Y TAREAS'!AK46,44&lt;'EDT Y TAREAS'!AL46),'EDT Y TAREAS'!AH46/'EDT Y TAREAS'!M46,0),IF(AND(44&gt;='EDT Y TAREAS'!AK48,44&lt;'EDT Y TAREAS'!AL48),'EDT Y TAREAS'!AH48/'EDT Y TAREAS'!M48,0))</x:f>
        <x:v>0.8</x:v>
      </x:c>
      <x:c r="G84" s="35" t="n">
        <x:f>SUM(IF(AND(44&gt;='EDT Y TAREAS'!AK20,44&lt;'EDT Y TAREAS'!AL20),'EDT Y TAREAS'!AI20/'EDT Y TAREAS'!M20,0),IF(AND(44&gt;='EDT Y TAREAS'!AK25,44&lt;'EDT Y TAREAS'!AL25),'EDT Y TAREAS'!AI25/'EDT Y TAREAS'!M25,0),IF(AND(44&gt;='EDT Y TAREAS'!AK33,44&lt;'EDT Y TAREAS'!AL33),'EDT Y TAREAS'!AI33/'EDT Y TAREAS'!M33,0),IF(AND(44&gt;='EDT Y TAREAS'!AK34,44&lt;'EDT Y TAREAS'!AL34),'EDT Y TAREAS'!AI34/'EDT Y TAREAS'!M34,0),IF(AND(44&gt;='EDT Y TAREAS'!AK36,44&lt;'EDT Y TAREAS'!AL36),'EDT Y TAREAS'!AI36/'EDT Y TAREAS'!M36,0),IF(AND(44&gt;='EDT Y TAREAS'!AK39,44&lt;'EDT Y TAREAS'!AL39),'EDT Y TAREAS'!AI39/'EDT Y TAREAS'!M39,0),IF(AND(44&gt;='EDT Y TAREAS'!AK40,44&lt;'EDT Y TAREAS'!AL40),'EDT Y TAREAS'!AI40/'EDT Y TAREAS'!M40,0),IF(AND(44&gt;='EDT Y TAREAS'!AK42,44&lt;'EDT Y TAREAS'!AL42),'EDT Y TAREAS'!AI42/'EDT Y TAREAS'!M42,0),IF(AND(44&gt;='EDT Y TAREAS'!AK43,44&lt;'EDT Y TAREAS'!AL43),'EDT Y TAREAS'!AI43/'EDT Y TAREAS'!M43,0),IF(AND(44&gt;='EDT Y TAREAS'!AK44,44&lt;'EDT Y TAREAS'!AL44),'EDT Y TAREAS'!AI44/'EDT Y TAREAS'!M44,0),IF(AND(44&gt;='EDT Y TAREAS'!AK45,44&lt;'EDT Y TAREAS'!AL45),'EDT Y TAREAS'!AI45/'EDT Y TAREAS'!M45,0),IF(AND(44&gt;='EDT Y TAREAS'!AK46,44&lt;'EDT Y TAREAS'!AL46),'EDT Y TAREAS'!AI46/'EDT Y TAREAS'!M46,0),IF(AND(44&gt;='EDT Y TAREAS'!AK48,44&lt;'EDT Y TAREAS'!AL48),'EDT Y TAREAS'!AI48/'EDT Y TAREAS'!M48,0),IF(AND(44&gt;='EDT Y TAREAS'!AK50,44&lt;'EDT Y TAREAS'!AL50),'EDT Y TAREAS'!AI50/'EDT Y TAREAS'!M50,0),IF(AND(44&gt;='EDT Y TAREAS'!AK52,44&lt;'EDT Y TAREAS'!AL52),'EDT Y TAREAS'!AI52/'EDT Y TAREAS'!M52,0))</x:f>
        <x:v>0</x:v>
      </x:c>
      <x:c r="H84" s="35" t="n">
        <x:f>SUM(IF(AND(44&gt;='EDT Y TAREAS'!AK11,44&lt;'EDT Y TAREAS'!AL11),'EDT Y TAREAS'!AJ11/'EDT Y TAREAS'!M11,0),IF(AND(44&gt;='EDT Y TAREAS'!AK24,44&lt;'EDT Y TAREAS'!AL24),'EDT Y TAREAS'!AJ24/'EDT Y TAREAS'!M24,0),IF(AND(44&gt;='EDT Y TAREAS'!AK27,44&lt;'EDT Y TAREAS'!AL27),'EDT Y TAREAS'!AJ27/'EDT Y TAREAS'!M27,0),IF(AND(44&gt;='EDT Y TAREAS'!AK28,44&lt;'EDT Y TAREAS'!AL28),'EDT Y TAREAS'!AJ28/'EDT Y TAREAS'!M28,0),IF(AND(44&gt;='EDT Y TAREAS'!AK33,44&lt;'EDT Y TAREAS'!AL33),'EDT Y TAREAS'!AJ33/'EDT Y TAREAS'!M33,0),IF(AND(44&gt;='EDT Y TAREAS'!AK35,44&lt;'EDT Y TAREAS'!AL35),'EDT Y TAREAS'!AJ35/'EDT Y TAREAS'!M35,0),IF(AND(44&gt;='EDT Y TAREAS'!AK36,44&lt;'EDT Y TAREAS'!AL36),'EDT Y TAREAS'!AJ36/'EDT Y TAREAS'!M36,0),IF(AND(44&gt;='EDT Y TAREAS'!AK37,44&lt;'EDT Y TAREAS'!AL37),'EDT Y TAREAS'!AJ37/'EDT Y TAREAS'!M37,0),IF(AND(44&gt;='EDT Y TAREAS'!AK40,44&lt;'EDT Y TAREAS'!AL40),'EDT Y TAREAS'!AJ40/'EDT Y TAREAS'!M40,0),IF(AND(44&gt;='EDT Y TAREAS'!AK42,44&lt;'EDT Y TAREAS'!AL42),'EDT Y TAREAS'!AJ42/'EDT Y TAREAS'!M42,0),IF(AND(44&gt;='EDT Y TAREAS'!AK49,44&lt;'EDT Y TAREAS'!AL49),'EDT Y TAREAS'!AJ49/'EDT Y TAREAS'!M49,0),IF(AND(44&gt;='EDT Y TAREAS'!AK50,44&lt;'EDT Y TAREAS'!AL50),'EDT Y TAREAS'!AJ50/'EDT Y TAREAS'!M50,0),IF(AND(44&gt;='EDT Y TAREAS'!AK51,44&lt;'EDT Y TAREAS'!AL51),'EDT Y TAREAS'!AJ51/'EDT Y TAREAS'!M51,0),IF(AND(44&gt;='EDT Y TAREAS'!AK52,44&lt;'EDT Y TAREAS'!AL52),'EDT Y TAREAS'!AJ52/'EDT Y TAREAS'!M52,0))</x:f>
        <x:v>0</x:v>
      </x:c>
      <x:c r="I84" s="10" t="n">
        <x:f>WORKDAY('RESUMEN'!$D$3-1,A84,'RESUMEN'!$J$6:$J$25)</x:f>
        <x:v>46388</x:v>
      </x:c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  <x:c r="AH84" s="3"/>
      <x:c r="AI84" s="3"/>
      <x:c r="AJ84" s="3"/>
      <x:c r="AK84" s="3"/>
      <x:c r="AL84" s="3"/>
      <x:c r="AM84" s="3"/>
      <x:c r="AN84" s="3"/>
      <x:c r="AO84" s="3"/>
    </x:row>
    <x:row r="85" ht="24" customHeight="1">
      <x:c r="A85" s="3" t="n">
        <x:v>46</x:v>
      </x:c>
      <x:c r="B85" s="35" t="n">
        <x:f>SUM(IF(AND(45&gt;='EDT Y TAREAS'!AK6,45&lt;'EDT Y TAREAS'!AL6),'EDT Y TAREAS'!AD6/'EDT Y TAREAS'!M6,0),IF(AND(45&gt;='EDT Y TAREAS'!AK7,45&lt;'EDT Y TAREAS'!AL7),'EDT Y TAREAS'!AD7/'EDT Y TAREAS'!M7,0),IF(AND(45&gt;='EDT Y TAREAS'!AK8,45&lt;'EDT Y TAREAS'!AL8),'EDT Y TAREAS'!AD8/'EDT Y TAREAS'!M8,0),IF(AND(45&gt;='EDT Y TAREAS'!AK9,45&lt;'EDT Y TAREAS'!AL9),'EDT Y TAREAS'!AD9/'EDT Y TAREAS'!M9,0),IF(AND(45&gt;='EDT Y TAREAS'!AK10,45&lt;'EDT Y TAREAS'!AL10),'EDT Y TAREAS'!AD10/'EDT Y TAREAS'!M10,0),IF(AND(45&gt;='EDT Y TAREAS'!AK11,45&lt;'EDT Y TAREAS'!AL11),'EDT Y TAREAS'!AD11/'EDT Y TAREAS'!M11,0),IF(AND(45&gt;='EDT Y TAREAS'!AK12,45&lt;'EDT Y TAREAS'!AL12),'EDT Y TAREAS'!AD12/'EDT Y TAREAS'!M12,0),IF(AND(45&gt;='EDT Y TAREAS'!AK13,45&lt;'EDT Y TAREAS'!AL13),'EDT Y TAREAS'!AD13/'EDT Y TAREAS'!M13,0),IF(AND(45&gt;='EDT Y TAREAS'!AK14,45&lt;'EDT Y TAREAS'!AL14),'EDT Y TAREAS'!AD14/'EDT Y TAREAS'!M14,0),IF(AND(45&gt;='EDT Y TAREAS'!AK15,45&lt;'EDT Y TAREAS'!AL15),'EDT Y TAREAS'!AD15/'EDT Y TAREAS'!M15,0),IF(AND(45&gt;='EDT Y TAREAS'!AK16,45&lt;'EDT Y TAREAS'!AL16),'EDT Y TAREAS'!AD16/'EDT Y TAREAS'!M16,0),IF(AND(45&gt;='EDT Y TAREAS'!AK17,45&lt;'EDT Y TAREAS'!AL17),'EDT Y TAREAS'!AD17/'EDT Y TAREAS'!M17,0),IF(AND(45&gt;='EDT Y TAREAS'!AK18,45&lt;'EDT Y TAREAS'!AL18),'EDT Y TAREAS'!AD18/'EDT Y TAREAS'!M18,0),IF(AND(45&gt;='EDT Y TAREAS'!AK19,45&lt;'EDT Y TAREAS'!AL19),'EDT Y TAREAS'!AD19/'EDT Y TAREAS'!M19,0),IF(AND(45&gt;='EDT Y TAREAS'!AK20,45&lt;'EDT Y TAREAS'!AL20),'EDT Y TAREAS'!AD20/'EDT Y TAREAS'!M20,0),IF(AND(45&gt;='EDT Y TAREAS'!AK21,45&lt;'EDT Y TAREAS'!AL21),'EDT Y TAREAS'!AD21/'EDT Y TAREAS'!M21,0),IF(AND(45&gt;='EDT Y TAREAS'!AK22,45&lt;'EDT Y TAREAS'!AL22),'EDT Y TAREAS'!AD22/'EDT Y TAREAS'!M22,0),IF(AND(45&gt;='EDT Y TAREAS'!AK23,45&lt;'EDT Y TAREAS'!AL23),'EDT Y TAREAS'!AD23/'EDT Y TAREAS'!M23,0),IF(AND(45&gt;='EDT Y TAREAS'!AK26,45&lt;'EDT Y TAREAS'!AL26),'EDT Y TAREAS'!AD26/'EDT Y TAREAS'!M26,0),IF(AND(45&gt;='EDT Y TAREAS'!AK28,45&lt;'EDT Y TAREAS'!AL28),'EDT Y TAREAS'!AD28/'EDT Y TAREAS'!M28,0),IF(AND(45&gt;='EDT Y TAREAS'!AK30,45&lt;'EDT Y TAREAS'!AL30),'EDT Y TAREAS'!AD30/'EDT Y TAREAS'!M30,0),IF(AND(45&gt;='EDT Y TAREAS'!AK32,45&lt;'EDT Y TAREAS'!AL32),'EDT Y TAREAS'!AD32/'EDT Y TAREAS'!M32,0),IF(AND(45&gt;='EDT Y TAREAS'!AK34,45&lt;'EDT Y TAREAS'!AL34),'EDT Y TAREAS'!AD34/'EDT Y TAREAS'!M34,0),IF(AND(45&gt;='EDT Y TAREAS'!AK38,45&lt;'EDT Y TAREAS'!AL38),'EDT Y TAREAS'!AD38/'EDT Y TAREAS'!M38,0),IF(AND(45&gt;='EDT Y TAREAS'!AK39,45&lt;'EDT Y TAREAS'!AL39),'EDT Y TAREAS'!AD39/'EDT Y TAREAS'!M39,0),IF(AND(45&gt;='EDT Y TAREAS'!AK43,45&lt;'EDT Y TAREAS'!AL43),'EDT Y TAREAS'!AD43/'EDT Y TAREAS'!M43,0),IF(AND(45&gt;='EDT Y TAREAS'!AK44,45&lt;'EDT Y TAREAS'!AL44),'EDT Y TAREAS'!AD44/'EDT Y TAREAS'!M44,0),IF(AND(45&gt;='EDT Y TAREAS'!AK45,45&lt;'EDT Y TAREAS'!AL45),'EDT Y TAREAS'!AD45/'EDT Y TAREAS'!M45,0),IF(AND(45&gt;='EDT Y TAREAS'!AK46,45&lt;'EDT Y TAREAS'!AL46),'EDT Y TAREAS'!AD46/'EDT Y TAREAS'!M46,0),IF(AND(45&gt;='EDT Y TAREAS'!AK47,45&lt;'EDT Y TAREAS'!AL47),'EDT Y TAREAS'!AD47/'EDT Y TAREAS'!M47,0),IF(AND(45&gt;='EDT Y TAREAS'!AK49,45&lt;'EDT Y TAREAS'!AL49),'EDT Y TAREAS'!AD49/'EDT Y TAREAS'!M49,0),IF(AND(45&gt;='EDT Y TAREAS'!AK50,45&lt;'EDT Y TAREAS'!AL50),'EDT Y TAREAS'!AD50/'EDT Y TAREAS'!M50,0),IF(AND(45&gt;='EDT Y TAREAS'!AK51,45&lt;'EDT Y TAREAS'!AL51),'EDT Y TAREAS'!AD51/'EDT Y TAREAS'!M51,0),IF(AND(45&gt;='EDT Y TAREAS'!AK52,45&lt;'EDT Y TAREAS'!AL52),'EDT Y TAREAS'!AD52/'EDT Y TAREAS'!M52,0))</x:f>
        <x:v>5.6</x:v>
      </x:c>
      <x:c r="C85" s="35" t="n">
        <x:f>SUM(IF(AND(45&gt;='EDT Y TAREAS'!AK6,45&lt;'EDT Y TAREAS'!AL6),'EDT Y TAREAS'!AE6/'EDT Y TAREAS'!M6,0),IF(AND(45&gt;='EDT Y TAREAS'!AK8,45&lt;'EDT Y TAREAS'!AL8),'EDT Y TAREAS'!AE8/'EDT Y TAREAS'!M8,0),IF(AND(45&gt;='EDT Y TAREAS'!AK9,45&lt;'EDT Y TAREAS'!AL9),'EDT Y TAREAS'!AE9/'EDT Y TAREAS'!M9,0),IF(AND(45&gt;='EDT Y TAREAS'!AK10,45&lt;'EDT Y TAREAS'!AL10),'EDT Y TAREAS'!AE10/'EDT Y TAREAS'!M10,0),IF(AND(45&gt;='EDT Y TAREAS'!AK12,45&lt;'EDT Y TAREAS'!AL12),'EDT Y TAREAS'!AE12/'EDT Y TAREAS'!M12,0),IF(AND(45&gt;='EDT Y TAREAS'!AK16,45&lt;'EDT Y TAREAS'!AL16),'EDT Y TAREAS'!AE16/'EDT Y TAREAS'!M16,0),IF(AND(45&gt;='EDT Y TAREAS'!AK21,45&lt;'EDT Y TAREAS'!AL21),'EDT Y TAREAS'!AE21/'EDT Y TAREAS'!M21,0),IF(AND(45&gt;='EDT Y TAREAS'!AK23,45&lt;'EDT Y TAREAS'!AL23),'EDT Y TAREAS'!AE23/'EDT Y TAREAS'!M23,0),IF(AND(45&gt;='EDT Y TAREAS'!AK37,45&lt;'EDT Y TAREAS'!AL37),'EDT Y TAREAS'!AE37/'EDT Y TAREAS'!M37,0),IF(AND(45&gt;='EDT Y TAREAS'!AK38,45&lt;'EDT Y TAREAS'!AL38),'EDT Y TAREAS'!AE38/'EDT Y TAREAS'!M38,0),IF(AND(45&gt;='EDT Y TAREAS'!AK41,45&lt;'EDT Y TAREAS'!AL41),'EDT Y TAREAS'!AE41/'EDT Y TAREAS'!M41,0),IF(AND(45&gt;='EDT Y TAREAS'!AK43,45&lt;'EDT Y TAREAS'!AL43),'EDT Y TAREAS'!AE43/'EDT Y TAREAS'!M43,0),IF(AND(45&gt;='EDT Y TAREAS'!AK44,45&lt;'EDT Y TAREAS'!AL44),'EDT Y TAREAS'!AE44/'EDT Y TAREAS'!M44,0),IF(AND(45&gt;='EDT Y TAREAS'!AK46,45&lt;'EDT Y TAREAS'!AL46),'EDT Y TAREAS'!AE46/'EDT Y TAREAS'!M46,0),IF(AND(45&gt;='EDT Y TAREAS'!AK47,45&lt;'EDT Y TAREAS'!AL47),'EDT Y TAREAS'!AE47/'EDT Y TAREAS'!M47,0),IF(AND(45&gt;='EDT Y TAREAS'!AK51,45&lt;'EDT Y TAREAS'!AL51),'EDT Y TAREAS'!AE51/'EDT Y TAREAS'!M51,0),IF(AND(45&gt;='EDT Y TAREAS'!AK52,45&lt;'EDT Y TAREAS'!AL52),'EDT Y TAREAS'!AE52/'EDT Y TAREAS'!M52,0))</x:f>
        <x:v>0</x:v>
      </x:c>
      <x:c r="D85" s="35" t="n">
        <x:f>SUM(IF(AND(45&gt;='EDT Y TAREAS'!AK11,45&lt;'EDT Y TAREAS'!AL11),'EDT Y TAREAS'!AF11/'EDT Y TAREAS'!M11,0),IF(AND(45&gt;='EDT Y TAREAS'!AK24,45&lt;'EDT Y TAREAS'!AL24),'EDT Y TAREAS'!AF24/'EDT Y TAREAS'!M24,0),IF(AND(45&gt;='EDT Y TAREAS'!AK25,45&lt;'EDT Y TAREAS'!AL25),'EDT Y TAREAS'!AF25/'EDT Y TAREAS'!M25,0),IF(AND(45&gt;='EDT Y TAREAS'!AK26,45&lt;'EDT Y TAREAS'!AL26),'EDT Y TAREAS'!AF26/'EDT Y TAREAS'!M26,0),IF(AND(45&gt;='EDT Y TAREAS'!AK27,45&lt;'EDT Y TAREAS'!AL27),'EDT Y TAREAS'!AF27/'EDT Y TAREAS'!M27,0),IF(AND(45&gt;='EDT Y TAREAS'!AK28,45&lt;'EDT Y TAREAS'!AL28),'EDT Y TAREAS'!AF28/'EDT Y TAREAS'!M28,0),IF(AND(45&gt;='EDT Y TAREAS'!AK31,45&lt;'EDT Y TAREAS'!AL31),'EDT Y TAREAS'!AF31/'EDT Y TAREAS'!M31,0),IF(AND(45&gt;='EDT Y TAREAS'!AK33,45&lt;'EDT Y TAREAS'!AL33),'EDT Y TAREAS'!AF33/'EDT Y TAREAS'!M33,0),IF(AND(45&gt;='EDT Y TAREAS'!AK34,45&lt;'EDT Y TAREAS'!AL34),'EDT Y TAREAS'!AF34/'EDT Y TAREAS'!M34,0),IF(AND(45&gt;='EDT Y TAREAS'!AK35,45&lt;'EDT Y TAREAS'!AL35),'EDT Y TAREAS'!AF35/'EDT Y TAREAS'!M35,0),IF(AND(45&gt;='EDT Y TAREAS'!AK37,45&lt;'EDT Y TAREAS'!AL37),'EDT Y TAREAS'!AF37/'EDT Y TAREAS'!M37,0),IF(AND(45&gt;='EDT Y TAREAS'!AK39,45&lt;'EDT Y TAREAS'!AL39),'EDT Y TAREAS'!AF39/'EDT Y TAREAS'!M39,0),IF(AND(45&gt;='EDT Y TAREAS'!AK40,45&lt;'EDT Y TAREAS'!AL40),'EDT Y TAREAS'!AF40/'EDT Y TAREAS'!M40,0),IF(AND(45&gt;='EDT Y TAREAS'!AK42,45&lt;'EDT Y TAREAS'!AL42),'EDT Y TAREAS'!AF42/'EDT Y TAREAS'!M42,0),IF(AND(45&gt;='EDT Y TAREAS'!AK45,45&lt;'EDT Y TAREAS'!AL45),'EDT Y TAREAS'!AF45/'EDT Y TAREAS'!M45,0),IF(AND(45&gt;='EDT Y TAREAS'!AK49,45&lt;'EDT Y TAREAS'!AL49),'EDT Y TAREAS'!AF49/'EDT Y TAREAS'!M49,0),IF(AND(45&gt;='EDT Y TAREAS'!AK52,45&lt;'EDT Y TAREAS'!AL52),'EDT Y TAREAS'!AF52/'EDT Y TAREAS'!M52,0))</x:f>
        <x:v>5.6</x:v>
      </x:c>
      <x:c r="E85" s="35" t="n">
        <x:f>SUM(IF(AND(45&gt;='EDT Y TAREAS'!AK29,45&lt;'EDT Y TAREAS'!AL29),'EDT Y TAREAS'!AG29/'EDT Y TAREAS'!M29,0),IF(AND(45&gt;='EDT Y TAREAS'!AK30,45&lt;'EDT Y TAREAS'!AL30),'EDT Y TAREAS'!AG30/'EDT Y TAREAS'!M30,0),IF(AND(45&gt;='EDT Y TAREAS'!AK31,45&lt;'EDT Y TAREAS'!AL31),'EDT Y TAREAS'!AG31/'EDT Y TAREAS'!M31,0),IF(AND(45&gt;='EDT Y TAREAS'!AK32,45&lt;'EDT Y TAREAS'!AL32),'EDT Y TAREAS'!AG32/'EDT Y TAREAS'!M32,0),IF(AND(45&gt;='EDT Y TAREAS'!AK41,45&lt;'EDT Y TAREAS'!AL41),'EDT Y TAREAS'!AG41/'EDT Y TAREAS'!M41,0),IF(AND(45&gt;='EDT Y TAREAS'!AK45,45&lt;'EDT Y TAREAS'!AL45),'EDT Y TAREAS'!AG45/'EDT Y TAREAS'!M45,0),IF(AND(45&gt;='EDT Y TAREAS'!AK48,45&lt;'EDT Y TAREAS'!AL48),'EDT Y TAREAS'!AG48/'EDT Y TAREAS'!M48,0))</x:f>
        <x:v>4.8</x:v>
      </x:c>
      <x:c r="F85" s="35" t="n">
        <x:f>SUM(IF(AND(45&gt;='EDT Y TAREAS'!AK10,45&lt;'EDT Y TAREAS'!AL10),'EDT Y TAREAS'!AH10/'EDT Y TAREAS'!M10,0),IF(AND(45&gt;='EDT Y TAREAS'!AK12,45&lt;'EDT Y TAREAS'!AL12),'EDT Y TAREAS'!AH12/'EDT Y TAREAS'!M12,0),IF(AND(45&gt;='EDT Y TAREAS'!AK22,45&lt;'EDT Y TAREAS'!AL22),'EDT Y TAREAS'!AH22/'EDT Y TAREAS'!M22,0),IF(AND(45&gt;='EDT Y TAREAS'!AK23,45&lt;'EDT Y TAREAS'!AL23),'EDT Y TAREAS'!AH23/'EDT Y TAREAS'!M23,0),IF(AND(45&gt;='EDT Y TAREAS'!AK29,45&lt;'EDT Y TAREAS'!AL29),'EDT Y TAREAS'!AH29/'EDT Y TAREAS'!M29,0),IF(AND(45&gt;='EDT Y TAREAS'!AK30,45&lt;'EDT Y TAREAS'!AL30),'EDT Y TAREAS'!AH30/'EDT Y TAREAS'!M30,0),IF(AND(45&gt;='EDT Y TAREAS'!AK32,45&lt;'EDT Y TAREAS'!AL32),'EDT Y TAREAS'!AH32/'EDT Y TAREAS'!M32,0),IF(AND(45&gt;='EDT Y TAREAS'!AK41,45&lt;'EDT Y TAREAS'!AL41),'EDT Y TAREAS'!AH41/'EDT Y TAREAS'!M41,0),IF(AND(45&gt;='EDT Y TAREAS'!AK44,45&lt;'EDT Y TAREAS'!AL44),'EDT Y TAREAS'!AH44/'EDT Y TAREAS'!M44,0),IF(AND(45&gt;='EDT Y TAREAS'!AK46,45&lt;'EDT Y TAREAS'!AL46),'EDT Y TAREAS'!AH46/'EDT Y TAREAS'!M46,0),IF(AND(45&gt;='EDT Y TAREAS'!AK48,45&lt;'EDT Y TAREAS'!AL48),'EDT Y TAREAS'!AH48/'EDT Y TAREAS'!M48,0))</x:f>
        <x:v>0.8</x:v>
      </x:c>
      <x:c r="G85" s="35" t="n">
        <x:f>SUM(IF(AND(45&gt;='EDT Y TAREAS'!AK20,45&lt;'EDT Y TAREAS'!AL20),'EDT Y TAREAS'!AI20/'EDT Y TAREAS'!M20,0),IF(AND(45&gt;='EDT Y TAREAS'!AK25,45&lt;'EDT Y TAREAS'!AL25),'EDT Y TAREAS'!AI25/'EDT Y TAREAS'!M25,0),IF(AND(45&gt;='EDT Y TAREAS'!AK33,45&lt;'EDT Y TAREAS'!AL33),'EDT Y TAREAS'!AI33/'EDT Y TAREAS'!M33,0),IF(AND(45&gt;='EDT Y TAREAS'!AK34,45&lt;'EDT Y TAREAS'!AL34),'EDT Y TAREAS'!AI34/'EDT Y TAREAS'!M34,0),IF(AND(45&gt;='EDT Y TAREAS'!AK36,45&lt;'EDT Y TAREAS'!AL36),'EDT Y TAREAS'!AI36/'EDT Y TAREAS'!M36,0),IF(AND(45&gt;='EDT Y TAREAS'!AK39,45&lt;'EDT Y TAREAS'!AL39),'EDT Y TAREAS'!AI39/'EDT Y TAREAS'!M39,0),IF(AND(45&gt;='EDT Y TAREAS'!AK40,45&lt;'EDT Y TAREAS'!AL40),'EDT Y TAREAS'!AI40/'EDT Y TAREAS'!M40,0),IF(AND(45&gt;='EDT Y TAREAS'!AK42,45&lt;'EDT Y TAREAS'!AL42),'EDT Y TAREAS'!AI42/'EDT Y TAREAS'!M42,0),IF(AND(45&gt;='EDT Y TAREAS'!AK43,45&lt;'EDT Y TAREAS'!AL43),'EDT Y TAREAS'!AI43/'EDT Y TAREAS'!M43,0),IF(AND(45&gt;='EDT Y TAREAS'!AK44,45&lt;'EDT Y TAREAS'!AL44),'EDT Y TAREAS'!AI44/'EDT Y TAREAS'!M44,0),IF(AND(45&gt;='EDT Y TAREAS'!AK45,45&lt;'EDT Y TAREAS'!AL45),'EDT Y TAREAS'!AI45/'EDT Y TAREAS'!M45,0),IF(AND(45&gt;='EDT Y TAREAS'!AK46,45&lt;'EDT Y TAREAS'!AL46),'EDT Y TAREAS'!AI46/'EDT Y TAREAS'!M46,0),IF(AND(45&gt;='EDT Y TAREAS'!AK48,45&lt;'EDT Y TAREAS'!AL48),'EDT Y TAREAS'!AI48/'EDT Y TAREAS'!M48,0),IF(AND(45&gt;='EDT Y TAREAS'!AK50,45&lt;'EDT Y TAREAS'!AL50),'EDT Y TAREAS'!AI50/'EDT Y TAREAS'!M50,0),IF(AND(45&gt;='EDT Y TAREAS'!AK52,45&lt;'EDT Y TAREAS'!AL52),'EDT Y TAREAS'!AI52/'EDT Y TAREAS'!M52,0))</x:f>
        <x:v>0</x:v>
      </x:c>
      <x:c r="H85" s="35" t="n">
        <x:f>SUM(IF(AND(45&gt;='EDT Y TAREAS'!AK11,45&lt;'EDT Y TAREAS'!AL11),'EDT Y TAREAS'!AJ11/'EDT Y TAREAS'!M11,0),IF(AND(45&gt;='EDT Y TAREAS'!AK24,45&lt;'EDT Y TAREAS'!AL24),'EDT Y TAREAS'!AJ24/'EDT Y TAREAS'!M24,0),IF(AND(45&gt;='EDT Y TAREAS'!AK27,45&lt;'EDT Y TAREAS'!AL27),'EDT Y TAREAS'!AJ27/'EDT Y TAREAS'!M27,0),IF(AND(45&gt;='EDT Y TAREAS'!AK28,45&lt;'EDT Y TAREAS'!AL28),'EDT Y TAREAS'!AJ28/'EDT Y TAREAS'!M28,0),IF(AND(45&gt;='EDT Y TAREAS'!AK33,45&lt;'EDT Y TAREAS'!AL33),'EDT Y TAREAS'!AJ33/'EDT Y TAREAS'!M33,0),IF(AND(45&gt;='EDT Y TAREAS'!AK35,45&lt;'EDT Y TAREAS'!AL35),'EDT Y TAREAS'!AJ35/'EDT Y TAREAS'!M35,0),IF(AND(45&gt;='EDT Y TAREAS'!AK36,45&lt;'EDT Y TAREAS'!AL36),'EDT Y TAREAS'!AJ36/'EDT Y TAREAS'!M36,0),IF(AND(45&gt;='EDT Y TAREAS'!AK37,45&lt;'EDT Y TAREAS'!AL37),'EDT Y TAREAS'!AJ37/'EDT Y TAREAS'!M37,0),IF(AND(45&gt;='EDT Y TAREAS'!AK40,45&lt;'EDT Y TAREAS'!AL40),'EDT Y TAREAS'!AJ40/'EDT Y TAREAS'!M40,0),IF(AND(45&gt;='EDT Y TAREAS'!AK42,45&lt;'EDT Y TAREAS'!AL42),'EDT Y TAREAS'!AJ42/'EDT Y TAREAS'!M42,0),IF(AND(45&gt;='EDT Y TAREAS'!AK49,45&lt;'EDT Y TAREAS'!AL49),'EDT Y TAREAS'!AJ49/'EDT Y TAREAS'!M49,0),IF(AND(45&gt;='EDT Y TAREAS'!AK50,45&lt;'EDT Y TAREAS'!AL50),'EDT Y TAREAS'!AJ50/'EDT Y TAREAS'!M50,0),IF(AND(45&gt;='EDT Y TAREAS'!AK51,45&lt;'EDT Y TAREAS'!AL51),'EDT Y TAREAS'!AJ51/'EDT Y TAREAS'!M51,0),IF(AND(45&gt;='EDT Y TAREAS'!AK52,45&lt;'EDT Y TAREAS'!AL52),'EDT Y TAREAS'!AJ52/'EDT Y TAREAS'!M52,0))</x:f>
        <x:v>0</x:v>
      </x:c>
      <x:c r="I85" s="10" t="n">
        <x:f>WORKDAY('RESUMEN'!$D$3-1,A85,'RESUMEN'!$J$6:$J$25)</x:f>
        <x:v>46391</x:v>
      </x:c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  <x:c r="AJ85" s="3"/>
      <x:c r="AK85" s="3"/>
      <x:c r="AL85" s="3"/>
      <x:c r="AM85" s="3"/>
      <x:c r="AN85" s="3"/>
      <x:c r="AO85" s="3"/>
    </x:row>
    <x:row r="86" ht="24" customHeight="1">
      <x:c r="A86" s="3" t="n">
        <x:v>47</x:v>
      </x:c>
      <x:c r="B86" s="35" t="n">
        <x:f>SUM(IF(AND(46&gt;='EDT Y TAREAS'!AK6,46&lt;'EDT Y TAREAS'!AL6),'EDT Y TAREAS'!AD6/'EDT Y TAREAS'!M6,0),IF(AND(46&gt;='EDT Y TAREAS'!AK7,46&lt;'EDT Y TAREAS'!AL7),'EDT Y TAREAS'!AD7/'EDT Y TAREAS'!M7,0),IF(AND(46&gt;='EDT Y TAREAS'!AK8,46&lt;'EDT Y TAREAS'!AL8),'EDT Y TAREAS'!AD8/'EDT Y TAREAS'!M8,0),IF(AND(46&gt;='EDT Y TAREAS'!AK9,46&lt;'EDT Y TAREAS'!AL9),'EDT Y TAREAS'!AD9/'EDT Y TAREAS'!M9,0),IF(AND(46&gt;='EDT Y TAREAS'!AK10,46&lt;'EDT Y TAREAS'!AL10),'EDT Y TAREAS'!AD10/'EDT Y TAREAS'!M10,0),IF(AND(46&gt;='EDT Y TAREAS'!AK11,46&lt;'EDT Y TAREAS'!AL11),'EDT Y TAREAS'!AD11/'EDT Y TAREAS'!M11,0),IF(AND(46&gt;='EDT Y TAREAS'!AK12,46&lt;'EDT Y TAREAS'!AL12),'EDT Y TAREAS'!AD12/'EDT Y TAREAS'!M12,0),IF(AND(46&gt;='EDT Y TAREAS'!AK13,46&lt;'EDT Y TAREAS'!AL13),'EDT Y TAREAS'!AD13/'EDT Y TAREAS'!M13,0),IF(AND(46&gt;='EDT Y TAREAS'!AK14,46&lt;'EDT Y TAREAS'!AL14),'EDT Y TAREAS'!AD14/'EDT Y TAREAS'!M14,0),IF(AND(46&gt;='EDT Y TAREAS'!AK15,46&lt;'EDT Y TAREAS'!AL15),'EDT Y TAREAS'!AD15/'EDT Y TAREAS'!M15,0),IF(AND(46&gt;='EDT Y TAREAS'!AK16,46&lt;'EDT Y TAREAS'!AL16),'EDT Y TAREAS'!AD16/'EDT Y TAREAS'!M16,0),IF(AND(46&gt;='EDT Y TAREAS'!AK17,46&lt;'EDT Y TAREAS'!AL17),'EDT Y TAREAS'!AD17/'EDT Y TAREAS'!M17,0),IF(AND(46&gt;='EDT Y TAREAS'!AK18,46&lt;'EDT Y TAREAS'!AL18),'EDT Y TAREAS'!AD18/'EDT Y TAREAS'!M18,0),IF(AND(46&gt;='EDT Y TAREAS'!AK19,46&lt;'EDT Y TAREAS'!AL19),'EDT Y TAREAS'!AD19/'EDT Y TAREAS'!M19,0),IF(AND(46&gt;='EDT Y TAREAS'!AK20,46&lt;'EDT Y TAREAS'!AL20),'EDT Y TAREAS'!AD20/'EDT Y TAREAS'!M20,0),IF(AND(46&gt;='EDT Y TAREAS'!AK21,46&lt;'EDT Y TAREAS'!AL21),'EDT Y TAREAS'!AD21/'EDT Y TAREAS'!M21,0),IF(AND(46&gt;='EDT Y TAREAS'!AK22,46&lt;'EDT Y TAREAS'!AL22),'EDT Y TAREAS'!AD22/'EDT Y TAREAS'!M22,0),IF(AND(46&gt;='EDT Y TAREAS'!AK23,46&lt;'EDT Y TAREAS'!AL23),'EDT Y TAREAS'!AD23/'EDT Y TAREAS'!M23,0),IF(AND(46&gt;='EDT Y TAREAS'!AK26,46&lt;'EDT Y TAREAS'!AL26),'EDT Y TAREAS'!AD26/'EDT Y TAREAS'!M26,0),IF(AND(46&gt;='EDT Y TAREAS'!AK28,46&lt;'EDT Y TAREAS'!AL28),'EDT Y TAREAS'!AD28/'EDT Y TAREAS'!M28,0),IF(AND(46&gt;='EDT Y TAREAS'!AK30,46&lt;'EDT Y TAREAS'!AL30),'EDT Y TAREAS'!AD30/'EDT Y TAREAS'!M30,0),IF(AND(46&gt;='EDT Y TAREAS'!AK32,46&lt;'EDT Y TAREAS'!AL32),'EDT Y TAREAS'!AD32/'EDT Y TAREAS'!M32,0),IF(AND(46&gt;='EDT Y TAREAS'!AK34,46&lt;'EDT Y TAREAS'!AL34),'EDT Y TAREAS'!AD34/'EDT Y TAREAS'!M34,0),IF(AND(46&gt;='EDT Y TAREAS'!AK38,46&lt;'EDT Y TAREAS'!AL38),'EDT Y TAREAS'!AD38/'EDT Y TAREAS'!M38,0),IF(AND(46&gt;='EDT Y TAREAS'!AK39,46&lt;'EDT Y TAREAS'!AL39),'EDT Y TAREAS'!AD39/'EDT Y TAREAS'!M39,0),IF(AND(46&gt;='EDT Y TAREAS'!AK43,46&lt;'EDT Y TAREAS'!AL43),'EDT Y TAREAS'!AD43/'EDT Y TAREAS'!M43,0),IF(AND(46&gt;='EDT Y TAREAS'!AK44,46&lt;'EDT Y TAREAS'!AL44),'EDT Y TAREAS'!AD44/'EDT Y TAREAS'!M44,0),IF(AND(46&gt;='EDT Y TAREAS'!AK45,46&lt;'EDT Y TAREAS'!AL45),'EDT Y TAREAS'!AD45/'EDT Y TAREAS'!M45,0),IF(AND(46&gt;='EDT Y TAREAS'!AK46,46&lt;'EDT Y TAREAS'!AL46),'EDT Y TAREAS'!AD46/'EDT Y TAREAS'!M46,0),IF(AND(46&gt;='EDT Y TAREAS'!AK47,46&lt;'EDT Y TAREAS'!AL47),'EDT Y TAREAS'!AD47/'EDT Y TAREAS'!M47,0),IF(AND(46&gt;='EDT Y TAREAS'!AK49,46&lt;'EDT Y TAREAS'!AL49),'EDT Y TAREAS'!AD49/'EDT Y TAREAS'!M49,0),IF(AND(46&gt;='EDT Y TAREAS'!AK50,46&lt;'EDT Y TAREAS'!AL50),'EDT Y TAREAS'!AD50/'EDT Y TAREAS'!M50,0),IF(AND(46&gt;='EDT Y TAREAS'!AK51,46&lt;'EDT Y TAREAS'!AL51),'EDT Y TAREAS'!AD51/'EDT Y TAREAS'!M51,0),IF(AND(46&gt;='EDT Y TAREAS'!AK52,46&lt;'EDT Y TAREAS'!AL52),'EDT Y TAREAS'!AD52/'EDT Y TAREAS'!M52,0))</x:f>
        <x:v>4.8</x:v>
      </x:c>
      <x:c r="C86" s="35" t="n">
        <x:f>SUM(IF(AND(46&gt;='EDT Y TAREAS'!AK6,46&lt;'EDT Y TAREAS'!AL6),'EDT Y TAREAS'!AE6/'EDT Y TAREAS'!M6,0),IF(AND(46&gt;='EDT Y TAREAS'!AK8,46&lt;'EDT Y TAREAS'!AL8),'EDT Y TAREAS'!AE8/'EDT Y TAREAS'!M8,0),IF(AND(46&gt;='EDT Y TAREAS'!AK9,46&lt;'EDT Y TAREAS'!AL9),'EDT Y TAREAS'!AE9/'EDT Y TAREAS'!M9,0),IF(AND(46&gt;='EDT Y TAREAS'!AK10,46&lt;'EDT Y TAREAS'!AL10),'EDT Y TAREAS'!AE10/'EDT Y TAREAS'!M10,0),IF(AND(46&gt;='EDT Y TAREAS'!AK12,46&lt;'EDT Y TAREAS'!AL12),'EDT Y TAREAS'!AE12/'EDT Y TAREAS'!M12,0),IF(AND(46&gt;='EDT Y TAREAS'!AK16,46&lt;'EDT Y TAREAS'!AL16),'EDT Y TAREAS'!AE16/'EDT Y TAREAS'!M16,0),IF(AND(46&gt;='EDT Y TAREAS'!AK21,46&lt;'EDT Y TAREAS'!AL21),'EDT Y TAREAS'!AE21/'EDT Y TAREAS'!M21,0),IF(AND(46&gt;='EDT Y TAREAS'!AK23,46&lt;'EDT Y TAREAS'!AL23),'EDT Y TAREAS'!AE23/'EDT Y TAREAS'!M23,0),IF(AND(46&gt;='EDT Y TAREAS'!AK37,46&lt;'EDT Y TAREAS'!AL37),'EDT Y TAREAS'!AE37/'EDT Y TAREAS'!M37,0),IF(AND(46&gt;='EDT Y TAREAS'!AK38,46&lt;'EDT Y TAREAS'!AL38),'EDT Y TAREAS'!AE38/'EDT Y TAREAS'!M38,0),IF(AND(46&gt;='EDT Y TAREAS'!AK41,46&lt;'EDT Y TAREAS'!AL41),'EDT Y TAREAS'!AE41/'EDT Y TAREAS'!M41,0),IF(AND(46&gt;='EDT Y TAREAS'!AK43,46&lt;'EDT Y TAREAS'!AL43),'EDT Y TAREAS'!AE43/'EDT Y TAREAS'!M43,0),IF(AND(46&gt;='EDT Y TAREAS'!AK44,46&lt;'EDT Y TAREAS'!AL44),'EDT Y TAREAS'!AE44/'EDT Y TAREAS'!M44,0),IF(AND(46&gt;='EDT Y TAREAS'!AK46,46&lt;'EDT Y TAREAS'!AL46),'EDT Y TAREAS'!AE46/'EDT Y TAREAS'!M46,0),IF(AND(46&gt;='EDT Y TAREAS'!AK47,46&lt;'EDT Y TAREAS'!AL47),'EDT Y TAREAS'!AE47/'EDT Y TAREAS'!M47,0),IF(AND(46&gt;='EDT Y TAREAS'!AK51,46&lt;'EDT Y TAREAS'!AL51),'EDT Y TAREAS'!AE51/'EDT Y TAREAS'!M51,0),IF(AND(46&gt;='EDT Y TAREAS'!AK52,46&lt;'EDT Y TAREAS'!AL52),'EDT Y TAREAS'!AE52/'EDT Y TAREAS'!M52,0))</x:f>
        <x:v>0</x:v>
      </x:c>
      <x:c r="D86" s="35" t="n">
        <x:f>SUM(IF(AND(46&gt;='EDT Y TAREAS'!AK11,46&lt;'EDT Y TAREAS'!AL11),'EDT Y TAREAS'!AF11/'EDT Y TAREAS'!M11,0),IF(AND(46&gt;='EDT Y TAREAS'!AK24,46&lt;'EDT Y TAREAS'!AL24),'EDT Y TAREAS'!AF24/'EDT Y TAREAS'!M24,0),IF(AND(46&gt;='EDT Y TAREAS'!AK25,46&lt;'EDT Y TAREAS'!AL25),'EDT Y TAREAS'!AF25/'EDT Y TAREAS'!M25,0),IF(AND(46&gt;='EDT Y TAREAS'!AK26,46&lt;'EDT Y TAREAS'!AL26),'EDT Y TAREAS'!AF26/'EDT Y TAREAS'!M26,0),IF(AND(46&gt;='EDT Y TAREAS'!AK27,46&lt;'EDT Y TAREAS'!AL27),'EDT Y TAREAS'!AF27/'EDT Y TAREAS'!M27,0),IF(AND(46&gt;='EDT Y TAREAS'!AK28,46&lt;'EDT Y TAREAS'!AL28),'EDT Y TAREAS'!AF28/'EDT Y TAREAS'!M28,0),IF(AND(46&gt;='EDT Y TAREAS'!AK31,46&lt;'EDT Y TAREAS'!AL31),'EDT Y TAREAS'!AF31/'EDT Y TAREAS'!M31,0),IF(AND(46&gt;='EDT Y TAREAS'!AK33,46&lt;'EDT Y TAREAS'!AL33),'EDT Y TAREAS'!AF33/'EDT Y TAREAS'!M33,0),IF(AND(46&gt;='EDT Y TAREAS'!AK34,46&lt;'EDT Y TAREAS'!AL34),'EDT Y TAREAS'!AF34/'EDT Y TAREAS'!M34,0),IF(AND(46&gt;='EDT Y TAREAS'!AK35,46&lt;'EDT Y TAREAS'!AL35),'EDT Y TAREAS'!AF35/'EDT Y TAREAS'!M35,0),IF(AND(46&gt;='EDT Y TAREAS'!AK37,46&lt;'EDT Y TAREAS'!AL37),'EDT Y TAREAS'!AF37/'EDT Y TAREAS'!M37,0),IF(AND(46&gt;='EDT Y TAREAS'!AK39,46&lt;'EDT Y TAREAS'!AL39),'EDT Y TAREAS'!AF39/'EDT Y TAREAS'!M39,0),IF(AND(46&gt;='EDT Y TAREAS'!AK40,46&lt;'EDT Y TAREAS'!AL40),'EDT Y TAREAS'!AF40/'EDT Y TAREAS'!M40,0),IF(AND(46&gt;='EDT Y TAREAS'!AK42,46&lt;'EDT Y TAREAS'!AL42),'EDT Y TAREAS'!AF42/'EDT Y TAREAS'!M42,0),IF(AND(46&gt;='EDT Y TAREAS'!AK45,46&lt;'EDT Y TAREAS'!AL45),'EDT Y TAREAS'!AF45/'EDT Y TAREAS'!M45,0),IF(AND(46&gt;='EDT Y TAREAS'!AK49,46&lt;'EDT Y TAREAS'!AL49),'EDT Y TAREAS'!AF49/'EDT Y TAREAS'!M49,0),IF(AND(46&gt;='EDT Y TAREAS'!AK52,46&lt;'EDT Y TAREAS'!AL52),'EDT Y TAREAS'!AF52/'EDT Y TAREAS'!M52,0))</x:f>
        <x:v>5.6</x:v>
      </x:c>
      <x:c r="E86" s="35" t="n">
        <x:f>SUM(IF(AND(46&gt;='EDT Y TAREAS'!AK29,46&lt;'EDT Y TAREAS'!AL29),'EDT Y TAREAS'!AG29/'EDT Y TAREAS'!M29,0),IF(AND(46&gt;='EDT Y TAREAS'!AK30,46&lt;'EDT Y TAREAS'!AL30),'EDT Y TAREAS'!AG30/'EDT Y TAREAS'!M30,0),IF(AND(46&gt;='EDT Y TAREAS'!AK31,46&lt;'EDT Y TAREAS'!AL31),'EDT Y TAREAS'!AG31/'EDT Y TAREAS'!M31,0),IF(AND(46&gt;='EDT Y TAREAS'!AK32,46&lt;'EDT Y TAREAS'!AL32),'EDT Y TAREAS'!AG32/'EDT Y TAREAS'!M32,0),IF(AND(46&gt;='EDT Y TAREAS'!AK41,46&lt;'EDT Y TAREAS'!AL41),'EDT Y TAREAS'!AG41/'EDT Y TAREAS'!M41,0),IF(AND(46&gt;='EDT Y TAREAS'!AK45,46&lt;'EDT Y TAREAS'!AL45),'EDT Y TAREAS'!AG45/'EDT Y TAREAS'!M45,0),IF(AND(46&gt;='EDT Y TAREAS'!AK48,46&lt;'EDT Y TAREAS'!AL48),'EDT Y TAREAS'!AG48/'EDT Y TAREAS'!M48,0))</x:f>
        <x:v>4.8</x:v>
      </x:c>
      <x:c r="F86" s="35" t="n">
        <x:f>SUM(IF(AND(46&gt;='EDT Y TAREAS'!AK10,46&lt;'EDT Y TAREAS'!AL10),'EDT Y TAREAS'!AH10/'EDT Y TAREAS'!M10,0),IF(AND(46&gt;='EDT Y TAREAS'!AK12,46&lt;'EDT Y TAREAS'!AL12),'EDT Y TAREAS'!AH12/'EDT Y TAREAS'!M12,0),IF(AND(46&gt;='EDT Y TAREAS'!AK22,46&lt;'EDT Y TAREAS'!AL22),'EDT Y TAREAS'!AH22/'EDT Y TAREAS'!M22,0),IF(AND(46&gt;='EDT Y TAREAS'!AK23,46&lt;'EDT Y TAREAS'!AL23),'EDT Y TAREAS'!AH23/'EDT Y TAREAS'!M23,0),IF(AND(46&gt;='EDT Y TAREAS'!AK29,46&lt;'EDT Y TAREAS'!AL29),'EDT Y TAREAS'!AH29/'EDT Y TAREAS'!M29,0),IF(AND(46&gt;='EDT Y TAREAS'!AK30,46&lt;'EDT Y TAREAS'!AL30),'EDT Y TAREAS'!AH30/'EDT Y TAREAS'!M30,0),IF(AND(46&gt;='EDT Y TAREAS'!AK32,46&lt;'EDT Y TAREAS'!AL32),'EDT Y TAREAS'!AH32/'EDT Y TAREAS'!M32,0),IF(AND(46&gt;='EDT Y TAREAS'!AK41,46&lt;'EDT Y TAREAS'!AL41),'EDT Y TAREAS'!AH41/'EDT Y TAREAS'!M41,0),IF(AND(46&gt;='EDT Y TAREAS'!AK44,46&lt;'EDT Y TAREAS'!AL44),'EDT Y TAREAS'!AH44/'EDT Y TAREAS'!M44,0),IF(AND(46&gt;='EDT Y TAREAS'!AK46,46&lt;'EDT Y TAREAS'!AL46),'EDT Y TAREAS'!AH46/'EDT Y TAREAS'!M46,0),IF(AND(46&gt;='EDT Y TAREAS'!AK48,46&lt;'EDT Y TAREAS'!AL48),'EDT Y TAREAS'!AH48/'EDT Y TAREAS'!M48,0))</x:f>
        <x:v>0.8</x:v>
      </x:c>
      <x:c r="G86" s="35" t="n">
        <x:f>SUM(IF(AND(46&gt;='EDT Y TAREAS'!AK20,46&lt;'EDT Y TAREAS'!AL20),'EDT Y TAREAS'!AI20/'EDT Y TAREAS'!M20,0),IF(AND(46&gt;='EDT Y TAREAS'!AK25,46&lt;'EDT Y TAREAS'!AL25),'EDT Y TAREAS'!AI25/'EDT Y TAREAS'!M25,0),IF(AND(46&gt;='EDT Y TAREAS'!AK33,46&lt;'EDT Y TAREAS'!AL33),'EDT Y TAREAS'!AI33/'EDT Y TAREAS'!M33,0),IF(AND(46&gt;='EDT Y TAREAS'!AK34,46&lt;'EDT Y TAREAS'!AL34),'EDT Y TAREAS'!AI34/'EDT Y TAREAS'!M34,0),IF(AND(46&gt;='EDT Y TAREAS'!AK36,46&lt;'EDT Y TAREAS'!AL36),'EDT Y TAREAS'!AI36/'EDT Y TAREAS'!M36,0),IF(AND(46&gt;='EDT Y TAREAS'!AK39,46&lt;'EDT Y TAREAS'!AL39),'EDT Y TAREAS'!AI39/'EDT Y TAREAS'!M39,0),IF(AND(46&gt;='EDT Y TAREAS'!AK40,46&lt;'EDT Y TAREAS'!AL40),'EDT Y TAREAS'!AI40/'EDT Y TAREAS'!M40,0),IF(AND(46&gt;='EDT Y TAREAS'!AK42,46&lt;'EDT Y TAREAS'!AL42),'EDT Y TAREAS'!AI42/'EDT Y TAREAS'!M42,0),IF(AND(46&gt;='EDT Y TAREAS'!AK43,46&lt;'EDT Y TAREAS'!AL43),'EDT Y TAREAS'!AI43/'EDT Y TAREAS'!M43,0),IF(AND(46&gt;='EDT Y TAREAS'!AK44,46&lt;'EDT Y TAREAS'!AL44),'EDT Y TAREAS'!AI44/'EDT Y TAREAS'!M44,0),IF(AND(46&gt;='EDT Y TAREAS'!AK45,46&lt;'EDT Y TAREAS'!AL45),'EDT Y TAREAS'!AI45/'EDT Y TAREAS'!M45,0),IF(AND(46&gt;='EDT Y TAREAS'!AK46,46&lt;'EDT Y TAREAS'!AL46),'EDT Y TAREAS'!AI46/'EDT Y TAREAS'!M46,0),IF(AND(46&gt;='EDT Y TAREAS'!AK48,46&lt;'EDT Y TAREAS'!AL48),'EDT Y TAREAS'!AI48/'EDT Y TAREAS'!M48,0),IF(AND(46&gt;='EDT Y TAREAS'!AK50,46&lt;'EDT Y TAREAS'!AL50),'EDT Y TAREAS'!AI50/'EDT Y TAREAS'!M50,0),IF(AND(46&gt;='EDT Y TAREAS'!AK52,46&lt;'EDT Y TAREAS'!AL52),'EDT Y TAREAS'!AI52/'EDT Y TAREAS'!M52,0))</x:f>
        <x:v>1.2</x:v>
      </x:c>
      <x:c r="H86" s="35" t="n">
        <x:f>SUM(IF(AND(46&gt;='EDT Y TAREAS'!AK11,46&lt;'EDT Y TAREAS'!AL11),'EDT Y TAREAS'!AJ11/'EDT Y TAREAS'!M11,0),IF(AND(46&gt;='EDT Y TAREAS'!AK24,46&lt;'EDT Y TAREAS'!AL24),'EDT Y TAREAS'!AJ24/'EDT Y TAREAS'!M24,0),IF(AND(46&gt;='EDT Y TAREAS'!AK27,46&lt;'EDT Y TAREAS'!AL27),'EDT Y TAREAS'!AJ27/'EDT Y TAREAS'!M27,0),IF(AND(46&gt;='EDT Y TAREAS'!AK28,46&lt;'EDT Y TAREAS'!AL28),'EDT Y TAREAS'!AJ28/'EDT Y TAREAS'!M28,0),IF(AND(46&gt;='EDT Y TAREAS'!AK33,46&lt;'EDT Y TAREAS'!AL33),'EDT Y TAREAS'!AJ33/'EDT Y TAREAS'!M33,0),IF(AND(46&gt;='EDT Y TAREAS'!AK35,46&lt;'EDT Y TAREAS'!AL35),'EDT Y TAREAS'!AJ35/'EDT Y TAREAS'!M35,0),IF(AND(46&gt;='EDT Y TAREAS'!AK36,46&lt;'EDT Y TAREAS'!AL36),'EDT Y TAREAS'!AJ36/'EDT Y TAREAS'!M36,0),IF(AND(46&gt;='EDT Y TAREAS'!AK37,46&lt;'EDT Y TAREAS'!AL37),'EDT Y TAREAS'!AJ37/'EDT Y TAREAS'!M37,0),IF(AND(46&gt;='EDT Y TAREAS'!AK40,46&lt;'EDT Y TAREAS'!AL40),'EDT Y TAREAS'!AJ40/'EDT Y TAREAS'!M40,0),IF(AND(46&gt;='EDT Y TAREAS'!AK42,46&lt;'EDT Y TAREAS'!AL42),'EDT Y TAREAS'!AJ42/'EDT Y TAREAS'!M42,0),IF(AND(46&gt;='EDT Y TAREAS'!AK49,46&lt;'EDT Y TAREAS'!AL49),'EDT Y TAREAS'!AJ49/'EDT Y TAREAS'!M49,0),IF(AND(46&gt;='EDT Y TAREAS'!AK50,46&lt;'EDT Y TAREAS'!AL50),'EDT Y TAREAS'!AJ50/'EDT Y TAREAS'!M50,0),IF(AND(46&gt;='EDT Y TAREAS'!AK51,46&lt;'EDT Y TAREAS'!AL51),'EDT Y TAREAS'!AJ51/'EDT Y TAREAS'!M51,0),IF(AND(46&gt;='EDT Y TAREAS'!AK52,46&lt;'EDT Y TAREAS'!AL52),'EDT Y TAREAS'!AJ52/'EDT Y TAREAS'!M52,0))</x:f>
        <x:v>4</x:v>
      </x:c>
      <x:c r="I86" s="10" t="n">
        <x:f>WORKDAY('RESUMEN'!$D$3-1,A86,'RESUMEN'!$J$6:$J$25)</x:f>
        <x:v>46392</x:v>
      </x:c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  <x:c r="AH86" s="3"/>
      <x:c r="AI86" s="3"/>
      <x:c r="AJ86" s="3"/>
      <x:c r="AK86" s="3"/>
      <x:c r="AL86" s="3"/>
      <x:c r="AM86" s="3"/>
      <x:c r="AN86" s="3"/>
      <x:c r="AO86" s="3"/>
    </x:row>
    <x:row r="87" ht="24" customHeight="1">
      <x:c r="A87" s="3" t="n">
        <x:v>48</x:v>
      </x:c>
      <x:c r="B87" s="35" t="n">
        <x:f>SUM(IF(AND(47&gt;='EDT Y TAREAS'!AK6,47&lt;'EDT Y TAREAS'!AL6),'EDT Y TAREAS'!AD6/'EDT Y TAREAS'!M6,0),IF(AND(47&gt;='EDT Y TAREAS'!AK7,47&lt;'EDT Y TAREAS'!AL7),'EDT Y TAREAS'!AD7/'EDT Y TAREAS'!M7,0),IF(AND(47&gt;='EDT Y TAREAS'!AK8,47&lt;'EDT Y TAREAS'!AL8),'EDT Y TAREAS'!AD8/'EDT Y TAREAS'!M8,0),IF(AND(47&gt;='EDT Y TAREAS'!AK9,47&lt;'EDT Y TAREAS'!AL9),'EDT Y TAREAS'!AD9/'EDT Y TAREAS'!M9,0),IF(AND(47&gt;='EDT Y TAREAS'!AK10,47&lt;'EDT Y TAREAS'!AL10),'EDT Y TAREAS'!AD10/'EDT Y TAREAS'!M10,0),IF(AND(47&gt;='EDT Y TAREAS'!AK11,47&lt;'EDT Y TAREAS'!AL11),'EDT Y TAREAS'!AD11/'EDT Y TAREAS'!M11,0),IF(AND(47&gt;='EDT Y TAREAS'!AK12,47&lt;'EDT Y TAREAS'!AL12),'EDT Y TAREAS'!AD12/'EDT Y TAREAS'!M12,0),IF(AND(47&gt;='EDT Y TAREAS'!AK13,47&lt;'EDT Y TAREAS'!AL13),'EDT Y TAREAS'!AD13/'EDT Y TAREAS'!M13,0),IF(AND(47&gt;='EDT Y TAREAS'!AK14,47&lt;'EDT Y TAREAS'!AL14),'EDT Y TAREAS'!AD14/'EDT Y TAREAS'!M14,0),IF(AND(47&gt;='EDT Y TAREAS'!AK15,47&lt;'EDT Y TAREAS'!AL15),'EDT Y TAREAS'!AD15/'EDT Y TAREAS'!M15,0),IF(AND(47&gt;='EDT Y TAREAS'!AK16,47&lt;'EDT Y TAREAS'!AL16),'EDT Y TAREAS'!AD16/'EDT Y TAREAS'!M16,0),IF(AND(47&gt;='EDT Y TAREAS'!AK17,47&lt;'EDT Y TAREAS'!AL17),'EDT Y TAREAS'!AD17/'EDT Y TAREAS'!M17,0),IF(AND(47&gt;='EDT Y TAREAS'!AK18,47&lt;'EDT Y TAREAS'!AL18),'EDT Y TAREAS'!AD18/'EDT Y TAREAS'!M18,0),IF(AND(47&gt;='EDT Y TAREAS'!AK19,47&lt;'EDT Y TAREAS'!AL19),'EDT Y TAREAS'!AD19/'EDT Y TAREAS'!M19,0),IF(AND(47&gt;='EDT Y TAREAS'!AK20,47&lt;'EDT Y TAREAS'!AL20),'EDT Y TAREAS'!AD20/'EDT Y TAREAS'!M20,0),IF(AND(47&gt;='EDT Y TAREAS'!AK21,47&lt;'EDT Y TAREAS'!AL21),'EDT Y TAREAS'!AD21/'EDT Y TAREAS'!M21,0),IF(AND(47&gt;='EDT Y TAREAS'!AK22,47&lt;'EDT Y TAREAS'!AL22),'EDT Y TAREAS'!AD22/'EDT Y TAREAS'!M22,0),IF(AND(47&gt;='EDT Y TAREAS'!AK23,47&lt;'EDT Y TAREAS'!AL23),'EDT Y TAREAS'!AD23/'EDT Y TAREAS'!M23,0),IF(AND(47&gt;='EDT Y TAREAS'!AK26,47&lt;'EDT Y TAREAS'!AL26),'EDT Y TAREAS'!AD26/'EDT Y TAREAS'!M26,0),IF(AND(47&gt;='EDT Y TAREAS'!AK28,47&lt;'EDT Y TAREAS'!AL28),'EDT Y TAREAS'!AD28/'EDT Y TAREAS'!M28,0),IF(AND(47&gt;='EDT Y TAREAS'!AK30,47&lt;'EDT Y TAREAS'!AL30),'EDT Y TAREAS'!AD30/'EDT Y TAREAS'!M30,0),IF(AND(47&gt;='EDT Y TAREAS'!AK32,47&lt;'EDT Y TAREAS'!AL32),'EDT Y TAREAS'!AD32/'EDT Y TAREAS'!M32,0),IF(AND(47&gt;='EDT Y TAREAS'!AK34,47&lt;'EDT Y TAREAS'!AL34),'EDT Y TAREAS'!AD34/'EDT Y TAREAS'!M34,0),IF(AND(47&gt;='EDT Y TAREAS'!AK38,47&lt;'EDT Y TAREAS'!AL38),'EDT Y TAREAS'!AD38/'EDT Y TAREAS'!M38,0),IF(AND(47&gt;='EDT Y TAREAS'!AK39,47&lt;'EDT Y TAREAS'!AL39),'EDT Y TAREAS'!AD39/'EDT Y TAREAS'!M39,0),IF(AND(47&gt;='EDT Y TAREAS'!AK43,47&lt;'EDT Y TAREAS'!AL43),'EDT Y TAREAS'!AD43/'EDT Y TAREAS'!M43,0),IF(AND(47&gt;='EDT Y TAREAS'!AK44,47&lt;'EDT Y TAREAS'!AL44),'EDT Y TAREAS'!AD44/'EDT Y TAREAS'!M44,0),IF(AND(47&gt;='EDT Y TAREAS'!AK45,47&lt;'EDT Y TAREAS'!AL45),'EDT Y TAREAS'!AD45/'EDT Y TAREAS'!M45,0),IF(AND(47&gt;='EDT Y TAREAS'!AK46,47&lt;'EDT Y TAREAS'!AL46),'EDT Y TAREAS'!AD46/'EDT Y TAREAS'!M46,0),IF(AND(47&gt;='EDT Y TAREAS'!AK47,47&lt;'EDT Y TAREAS'!AL47),'EDT Y TAREAS'!AD47/'EDT Y TAREAS'!M47,0),IF(AND(47&gt;='EDT Y TAREAS'!AK49,47&lt;'EDT Y TAREAS'!AL49),'EDT Y TAREAS'!AD49/'EDT Y TAREAS'!M49,0),IF(AND(47&gt;='EDT Y TAREAS'!AK50,47&lt;'EDT Y TAREAS'!AL50),'EDT Y TAREAS'!AD50/'EDT Y TAREAS'!M50,0),IF(AND(47&gt;='EDT Y TAREAS'!AK51,47&lt;'EDT Y TAREAS'!AL51),'EDT Y TAREAS'!AD51/'EDT Y TAREAS'!M51,0),IF(AND(47&gt;='EDT Y TAREAS'!AK52,47&lt;'EDT Y TAREAS'!AL52),'EDT Y TAREAS'!AD52/'EDT Y TAREAS'!M52,0))</x:f>
        <x:v>4.8</x:v>
      </x:c>
      <x:c r="C87" s="35" t="n">
        <x:f>SUM(IF(AND(47&gt;='EDT Y TAREAS'!AK6,47&lt;'EDT Y TAREAS'!AL6),'EDT Y TAREAS'!AE6/'EDT Y TAREAS'!M6,0),IF(AND(47&gt;='EDT Y TAREAS'!AK8,47&lt;'EDT Y TAREAS'!AL8),'EDT Y TAREAS'!AE8/'EDT Y TAREAS'!M8,0),IF(AND(47&gt;='EDT Y TAREAS'!AK9,47&lt;'EDT Y TAREAS'!AL9),'EDT Y TAREAS'!AE9/'EDT Y TAREAS'!M9,0),IF(AND(47&gt;='EDT Y TAREAS'!AK10,47&lt;'EDT Y TAREAS'!AL10),'EDT Y TAREAS'!AE10/'EDT Y TAREAS'!M10,0),IF(AND(47&gt;='EDT Y TAREAS'!AK12,47&lt;'EDT Y TAREAS'!AL12),'EDT Y TAREAS'!AE12/'EDT Y TAREAS'!M12,0),IF(AND(47&gt;='EDT Y TAREAS'!AK16,47&lt;'EDT Y TAREAS'!AL16),'EDT Y TAREAS'!AE16/'EDT Y TAREAS'!M16,0),IF(AND(47&gt;='EDT Y TAREAS'!AK21,47&lt;'EDT Y TAREAS'!AL21),'EDT Y TAREAS'!AE21/'EDT Y TAREAS'!M21,0),IF(AND(47&gt;='EDT Y TAREAS'!AK23,47&lt;'EDT Y TAREAS'!AL23),'EDT Y TAREAS'!AE23/'EDT Y TAREAS'!M23,0),IF(AND(47&gt;='EDT Y TAREAS'!AK37,47&lt;'EDT Y TAREAS'!AL37),'EDT Y TAREAS'!AE37/'EDT Y TAREAS'!M37,0),IF(AND(47&gt;='EDT Y TAREAS'!AK38,47&lt;'EDT Y TAREAS'!AL38),'EDT Y TAREAS'!AE38/'EDT Y TAREAS'!M38,0),IF(AND(47&gt;='EDT Y TAREAS'!AK41,47&lt;'EDT Y TAREAS'!AL41),'EDT Y TAREAS'!AE41/'EDT Y TAREAS'!M41,0),IF(AND(47&gt;='EDT Y TAREAS'!AK43,47&lt;'EDT Y TAREAS'!AL43),'EDT Y TAREAS'!AE43/'EDT Y TAREAS'!M43,0),IF(AND(47&gt;='EDT Y TAREAS'!AK44,47&lt;'EDT Y TAREAS'!AL44),'EDT Y TAREAS'!AE44/'EDT Y TAREAS'!M44,0),IF(AND(47&gt;='EDT Y TAREAS'!AK46,47&lt;'EDT Y TAREAS'!AL46),'EDT Y TAREAS'!AE46/'EDT Y TAREAS'!M46,0),IF(AND(47&gt;='EDT Y TAREAS'!AK47,47&lt;'EDT Y TAREAS'!AL47),'EDT Y TAREAS'!AE47/'EDT Y TAREAS'!M47,0),IF(AND(47&gt;='EDT Y TAREAS'!AK51,47&lt;'EDT Y TAREAS'!AL51),'EDT Y TAREAS'!AE51/'EDT Y TAREAS'!M51,0),IF(AND(47&gt;='EDT Y TAREAS'!AK52,47&lt;'EDT Y TAREAS'!AL52),'EDT Y TAREAS'!AE52/'EDT Y TAREAS'!M52,0))</x:f>
        <x:v>0</x:v>
      </x:c>
      <x:c r="D87" s="35" t="n">
        <x:f>SUM(IF(AND(47&gt;='EDT Y TAREAS'!AK11,47&lt;'EDT Y TAREAS'!AL11),'EDT Y TAREAS'!AF11/'EDT Y TAREAS'!M11,0),IF(AND(47&gt;='EDT Y TAREAS'!AK24,47&lt;'EDT Y TAREAS'!AL24),'EDT Y TAREAS'!AF24/'EDT Y TAREAS'!M24,0),IF(AND(47&gt;='EDT Y TAREAS'!AK25,47&lt;'EDT Y TAREAS'!AL25),'EDT Y TAREAS'!AF25/'EDT Y TAREAS'!M25,0),IF(AND(47&gt;='EDT Y TAREAS'!AK26,47&lt;'EDT Y TAREAS'!AL26),'EDT Y TAREAS'!AF26/'EDT Y TAREAS'!M26,0),IF(AND(47&gt;='EDT Y TAREAS'!AK27,47&lt;'EDT Y TAREAS'!AL27),'EDT Y TAREAS'!AF27/'EDT Y TAREAS'!M27,0),IF(AND(47&gt;='EDT Y TAREAS'!AK28,47&lt;'EDT Y TAREAS'!AL28),'EDT Y TAREAS'!AF28/'EDT Y TAREAS'!M28,0),IF(AND(47&gt;='EDT Y TAREAS'!AK31,47&lt;'EDT Y TAREAS'!AL31),'EDT Y TAREAS'!AF31/'EDT Y TAREAS'!M31,0),IF(AND(47&gt;='EDT Y TAREAS'!AK33,47&lt;'EDT Y TAREAS'!AL33),'EDT Y TAREAS'!AF33/'EDT Y TAREAS'!M33,0),IF(AND(47&gt;='EDT Y TAREAS'!AK34,47&lt;'EDT Y TAREAS'!AL34),'EDT Y TAREAS'!AF34/'EDT Y TAREAS'!M34,0),IF(AND(47&gt;='EDT Y TAREAS'!AK35,47&lt;'EDT Y TAREAS'!AL35),'EDT Y TAREAS'!AF35/'EDT Y TAREAS'!M35,0),IF(AND(47&gt;='EDT Y TAREAS'!AK37,47&lt;'EDT Y TAREAS'!AL37),'EDT Y TAREAS'!AF37/'EDT Y TAREAS'!M37,0),IF(AND(47&gt;='EDT Y TAREAS'!AK39,47&lt;'EDT Y TAREAS'!AL39),'EDT Y TAREAS'!AF39/'EDT Y TAREAS'!M39,0),IF(AND(47&gt;='EDT Y TAREAS'!AK40,47&lt;'EDT Y TAREAS'!AL40),'EDT Y TAREAS'!AF40/'EDT Y TAREAS'!M40,0),IF(AND(47&gt;='EDT Y TAREAS'!AK42,47&lt;'EDT Y TAREAS'!AL42),'EDT Y TAREAS'!AF42/'EDT Y TAREAS'!M42,0),IF(AND(47&gt;='EDT Y TAREAS'!AK45,47&lt;'EDT Y TAREAS'!AL45),'EDT Y TAREAS'!AF45/'EDT Y TAREAS'!M45,0),IF(AND(47&gt;='EDT Y TAREAS'!AK49,47&lt;'EDT Y TAREAS'!AL49),'EDT Y TAREAS'!AF49/'EDT Y TAREAS'!M49,0),IF(AND(47&gt;='EDT Y TAREAS'!AK52,47&lt;'EDT Y TAREAS'!AL52),'EDT Y TAREAS'!AF52/'EDT Y TAREAS'!M52,0))</x:f>
        <x:v>5.6</x:v>
      </x:c>
      <x:c r="E87" s="35" t="n">
        <x:f>SUM(IF(AND(47&gt;='EDT Y TAREAS'!AK29,47&lt;'EDT Y TAREAS'!AL29),'EDT Y TAREAS'!AG29/'EDT Y TAREAS'!M29,0),IF(AND(47&gt;='EDT Y TAREAS'!AK30,47&lt;'EDT Y TAREAS'!AL30),'EDT Y TAREAS'!AG30/'EDT Y TAREAS'!M30,0),IF(AND(47&gt;='EDT Y TAREAS'!AK31,47&lt;'EDT Y TAREAS'!AL31),'EDT Y TAREAS'!AG31/'EDT Y TAREAS'!M31,0),IF(AND(47&gt;='EDT Y TAREAS'!AK32,47&lt;'EDT Y TAREAS'!AL32),'EDT Y TAREAS'!AG32/'EDT Y TAREAS'!M32,0),IF(AND(47&gt;='EDT Y TAREAS'!AK41,47&lt;'EDT Y TAREAS'!AL41),'EDT Y TAREAS'!AG41/'EDT Y TAREAS'!M41,0),IF(AND(47&gt;='EDT Y TAREAS'!AK45,47&lt;'EDT Y TAREAS'!AL45),'EDT Y TAREAS'!AG45/'EDT Y TAREAS'!M45,0),IF(AND(47&gt;='EDT Y TAREAS'!AK48,47&lt;'EDT Y TAREAS'!AL48),'EDT Y TAREAS'!AG48/'EDT Y TAREAS'!M48,0))</x:f>
        <x:v>4.8</x:v>
      </x:c>
      <x:c r="F87" s="35" t="n">
        <x:f>SUM(IF(AND(47&gt;='EDT Y TAREAS'!AK10,47&lt;'EDT Y TAREAS'!AL10),'EDT Y TAREAS'!AH10/'EDT Y TAREAS'!M10,0),IF(AND(47&gt;='EDT Y TAREAS'!AK12,47&lt;'EDT Y TAREAS'!AL12),'EDT Y TAREAS'!AH12/'EDT Y TAREAS'!M12,0),IF(AND(47&gt;='EDT Y TAREAS'!AK22,47&lt;'EDT Y TAREAS'!AL22),'EDT Y TAREAS'!AH22/'EDT Y TAREAS'!M22,0),IF(AND(47&gt;='EDT Y TAREAS'!AK23,47&lt;'EDT Y TAREAS'!AL23),'EDT Y TAREAS'!AH23/'EDT Y TAREAS'!M23,0),IF(AND(47&gt;='EDT Y TAREAS'!AK29,47&lt;'EDT Y TAREAS'!AL29),'EDT Y TAREAS'!AH29/'EDT Y TAREAS'!M29,0),IF(AND(47&gt;='EDT Y TAREAS'!AK30,47&lt;'EDT Y TAREAS'!AL30),'EDT Y TAREAS'!AH30/'EDT Y TAREAS'!M30,0),IF(AND(47&gt;='EDT Y TAREAS'!AK32,47&lt;'EDT Y TAREAS'!AL32),'EDT Y TAREAS'!AH32/'EDT Y TAREAS'!M32,0),IF(AND(47&gt;='EDT Y TAREAS'!AK41,47&lt;'EDT Y TAREAS'!AL41),'EDT Y TAREAS'!AH41/'EDT Y TAREAS'!M41,0),IF(AND(47&gt;='EDT Y TAREAS'!AK44,47&lt;'EDT Y TAREAS'!AL44),'EDT Y TAREAS'!AH44/'EDT Y TAREAS'!M44,0),IF(AND(47&gt;='EDT Y TAREAS'!AK46,47&lt;'EDT Y TAREAS'!AL46),'EDT Y TAREAS'!AH46/'EDT Y TAREAS'!M46,0),IF(AND(47&gt;='EDT Y TAREAS'!AK48,47&lt;'EDT Y TAREAS'!AL48),'EDT Y TAREAS'!AH48/'EDT Y TAREAS'!M48,0))</x:f>
        <x:v>0.8</x:v>
      </x:c>
      <x:c r="G87" s="35" t="n">
        <x:f>SUM(IF(AND(47&gt;='EDT Y TAREAS'!AK20,47&lt;'EDT Y TAREAS'!AL20),'EDT Y TAREAS'!AI20/'EDT Y TAREAS'!M20,0),IF(AND(47&gt;='EDT Y TAREAS'!AK25,47&lt;'EDT Y TAREAS'!AL25),'EDT Y TAREAS'!AI25/'EDT Y TAREAS'!M25,0),IF(AND(47&gt;='EDT Y TAREAS'!AK33,47&lt;'EDT Y TAREAS'!AL33),'EDT Y TAREAS'!AI33/'EDT Y TAREAS'!M33,0),IF(AND(47&gt;='EDT Y TAREAS'!AK34,47&lt;'EDT Y TAREAS'!AL34),'EDT Y TAREAS'!AI34/'EDT Y TAREAS'!M34,0),IF(AND(47&gt;='EDT Y TAREAS'!AK36,47&lt;'EDT Y TAREAS'!AL36),'EDT Y TAREAS'!AI36/'EDT Y TAREAS'!M36,0),IF(AND(47&gt;='EDT Y TAREAS'!AK39,47&lt;'EDT Y TAREAS'!AL39),'EDT Y TAREAS'!AI39/'EDT Y TAREAS'!M39,0),IF(AND(47&gt;='EDT Y TAREAS'!AK40,47&lt;'EDT Y TAREAS'!AL40),'EDT Y TAREAS'!AI40/'EDT Y TAREAS'!M40,0),IF(AND(47&gt;='EDT Y TAREAS'!AK42,47&lt;'EDT Y TAREAS'!AL42),'EDT Y TAREAS'!AI42/'EDT Y TAREAS'!M42,0),IF(AND(47&gt;='EDT Y TAREAS'!AK43,47&lt;'EDT Y TAREAS'!AL43),'EDT Y TAREAS'!AI43/'EDT Y TAREAS'!M43,0),IF(AND(47&gt;='EDT Y TAREAS'!AK44,47&lt;'EDT Y TAREAS'!AL44),'EDT Y TAREAS'!AI44/'EDT Y TAREAS'!M44,0),IF(AND(47&gt;='EDT Y TAREAS'!AK45,47&lt;'EDT Y TAREAS'!AL45),'EDT Y TAREAS'!AI45/'EDT Y TAREAS'!M45,0),IF(AND(47&gt;='EDT Y TAREAS'!AK46,47&lt;'EDT Y TAREAS'!AL46),'EDT Y TAREAS'!AI46/'EDT Y TAREAS'!M46,0),IF(AND(47&gt;='EDT Y TAREAS'!AK48,47&lt;'EDT Y TAREAS'!AL48),'EDT Y TAREAS'!AI48/'EDT Y TAREAS'!M48,0),IF(AND(47&gt;='EDT Y TAREAS'!AK50,47&lt;'EDT Y TAREAS'!AL50),'EDT Y TAREAS'!AI50/'EDT Y TAREAS'!M50,0),IF(AND(47&gt;='EDT Y TAREAS'!AK52,47&lt;'EDT Y TAREAS'!AL52),'EDT Y TAREAS'!AI52/'EDT Y TAREAS'!M52,0))</x:f>
        <x:v>1.2</x:v>
      </x:c>
      <x:c r="H87" s="35" t="n">
        <x:f>SUM(IF(AND(47&gt;='EDT Y TAREAS'!AK11,47&lt;'EDT Y TAREAS'!AL11),'EDT Y TAREAS'!AJ11/'EDT Y TAREAS'!M11,0),IF(AND(47&gt;='EDT Y TAREAS'!AK24,47&lt;'EDT Y TAREAS'!AL24),'EDT Y TAREAS'!AJ24/'EDT Y TAREAS'!M24,0),IF(AND(47&gt;='EDT Y TAREAS'!AK27,47&lt;'EDT Y TAREAS'!AL27),'EDT Y TAREAS'!AJ27/'EDT Y TAREAS'!M27,0),IF(AND(47&gt;='EDT Y TAREAS'!AK28,47&lt;'EDT Y TAREAS'!AL28),'EDT Y TAREAS'!AJ28/'EDT Y TAREAS'!M28,0),IF(AND(47&gt;='EDT Y TAREAS'!AK33,47&lt;'EDT Y TAREAS'!AL33),'EDT Y TAREAS'!AJ33/'EDT Y TAREAS'!M33,0),IF(AND(47&gt;='EDT Y TAREAS'!AK35,47&lt;'EDT Y TAREAS'!AL35),'EDT Y TAREAS'!AJ35/'EDT Y TAREAS'!M35,0),IF(AND(47&gt;='EDT Y TAREAS'!AK36,47&lt;'EDT Y TAREAS'!AL36),'EDT Y TAREAS'!AJ36/'EDT Y TAREAS'!M36,0),IF(AND(47&gt;='EDT Y TAREAS'!AK37,47&lt;'EDT Y TAREAS'!AL37),'EDT Y TAREAS'!AJ37/'EDT Y TAREAS'!M37,0),IF(AND(47&gt;='EDT Y TAREAS'!AK40,47&lt;'EDT Y TAREAS'!AL40),'EDT Y TAREAS'!AJ40/'EDT Y TAREAS'!M40,0),IF(AND(47&gt;='EDT Y TAREAS'!AK42,47&lt;'EDT Y TAREAS'!AL42),'EDT Y TAREAS'!AJ42/'EDT Y TAREAS'!M42,0),IF(AND(47&gt;='EDT Y TAREAS'!AK49,47&lt;'EDT Y TAREAS'!AL49),'EDT Y TAREAS'!AJ49/'EDT Y TAREAS'!M49,0),IF(AND(47&gt;='EDT Y TAREAS'!AK50,47&lt;'EDT Y TAREAS'!AL50),'EDT Y TAREAS'!AJ50/'EDT Y TAREAS'!M50,0),IF(AND(47&gt;='EDT Y TAREAS'!AK51,47&lt;'EDT Y TAREAS'!AL51),'EDT Y TAREAS'!AJ51/'EDT Y TAREAS'!M51,0),IF(AND(47&gt;='EDT Y TAREAS'!AK52,47&lt;'EDT Y TAREAS'!AL52),'EDT Y TAREAS'!AJ52/'EDT Y TAREAS'!M52,0))</x:f>
        <x:v>4</x:v>
      </x:c>
      <x:c r="I87" s="10" t="n">
        <x:f>WORKDAY('RESUMEN'!$D$3-1,A87,'RESUMEN'!$J$6:$J$25)</x:f>
        <x:v>46393</x:v>
      </x:c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  <x:c r="AH87" s="3"/>
      <x:c r="AI87" s="3"/>
      <x:c r="AJ87" s="3"/>
      <x:c r="AK87" s="3"/>
      <x:c r="AL87" s="3"/>
      <x:c r="AM87" s="3"/>
      <x:c r="AN87" s="3"/>
      <x:c r="AO87" s="3"/>
    </x:row>
    <x:row r="88" ht="24" customHeight="1">
      <x:c r="A88" s="3" t="n">
        <x:v>49</x:v>
      </x:c>
      <x:c r="B88" s="35" t="n">
        <x:f>SUM(IF(AND(48&gt;='EDT Y TAREAS'!AK6,48&lt;'EDT Y TAREAS'!AL6),'EDT Y TAREAS'!AD6/'EDT Y TAREAS'!M6,0),IF(AND(48&gt;='EDT Y TAREAS'!AK7,48&lt;'EDT Y TAREAS'!AL7),'EDT Y TAREAS'!AD7/'EDT Y TAREAS'!M7,0),IF(AND(48&gt;='EDT Y TAREAS'!AK8,48&lt;'EDT Y TAREAS'!AL8),'EDT Y TAREAS'!AD8/'EDT Y TAREAS'!M8,0),IF(AND(48&gt;='EDT Y TAREAS'!AK9,48&lt;'EDT Y TAREAS'!AL9),'EDT Y TAREAS'!AD9/'EDT Y TAREAS'!M9,0),IF(AND(48&gt;='EDT Y TAREAS'!AK10,48&lt;'EDT Y TAREAS'!AL10),'EDT Y TAREAS'!AD10/'EDT Y TAREAS'!M10,0),IF(AND(48&gt;='EDT Y TAREAS'!AK11,48&lt;'EDT Y TAREAS'!AL11),'EDT Y TAREAS'!AD11/'EDT Y TAREAS'!M11,0),IF(AND(48&gt;='EDT Y TAREAS'!AK12,48&lt;'EDT Y TAREAS'!AL12),'EDT Y TAREAS'!AD12/'EDT Y TAREAS'!M12,0),IF(AND(48&gt;='EDT Y TAREAS'!AK13,48&lt;'EDT Y TAREAS'!AL13),'EDT Y TAREAS'!AD13/'EDT Y TAREAS'!M13,0),IF(AND(48&gt;='EDT Y TAREAS'!AK14,48&lt;'EDT Y TAREAS'!AL14),'EDT Y TAREAS'!AD14/'EDT Y TAREAS'!M14,0),IF(AND(48&gt;='EDT Y TAREAS'!AK15,48&lt;'EDT Y TAREAS'!AL15),'EDT Y TAREAS'!AD15/'EDT Y TAREAS'!M15,0),IF(AND(48&gt;='EDT Y TAREAS'!AK16,48&lt;'EDT Y TAREAS'!AL16),'EDT Y TAREAS'!AD16/'EDT Y TAREAS'!M16,0),IF(AND(48&gt;='EDT Y TAREAS'!AK17,48&lt;'EDT Y TAREAS'!AL17),'EDT Y TAREAS'!AD17/'EDT Y TAREAS'!M17,0),IF(AND(48&gt;='EDT Y TAREAS'!AK18,48&lt;'EDT Y TAREAS'!AL18),'EDT Y TAREAS'!AD18/'EDT Y TAREAS'!M18,0),IF(AND(48&gt;='EDT Y TAREAS'!AK19,48&lt;'EDT Y TAREAS'!AL19),'EDT Y TAREAS'!AD19/'EDT Y TAREAS'!M19,0),IF(AND(48&gt;='EDT Y TAREAS'!AK20,48&lt;'EDT Y TAREAS'!AL20),'EDT Y TAREAS'!AD20/'EDT Y TAREAS'!M20,0),IF(AND(48&gt;='EDT Y TAREAS'!AK21,48&lt;'EDT Y TAREAS'!AL21),'EDT Y TAREAS'!AD21/'EDT Y TAREAS'!M21,0),IF(AND(48&gt;='EDT Y TAREAS'!AK22,48&lt;'EDT Y TAREAS'!AL22),'EDT Y TAREAS'!AD22/'EDT Y TAREAS'!M22,0),IF(AND(48&gt;='EDT Y TAREAS'!AK23,48&lt;'EDT Y TAREAS'!AL23),'EDT Y TAREAS'!AD23/'EDT Y TAREAS'!M23,0),IF(AND(48&gt;='EDT Y TAREAS'!AK26,48&lt;'EDT Y TAREAS'!AL26),'EDT Y TAREAS'!AD26/'EDT Y TAREAS'!M26,0),IF(AND(48&gt;='EDT Y TAREAS'!AK28,48&lt;'EDT Y TAREAS'!AL28),'EDT Y TAREAS'!AD28/'EDT Y TAREAS'!M28,0),IF(AND(48&gt;='EDT Y TAREAS'!AK30,48&lt;'EDT Y TAREAS'!AL30),'EDT Y TAREAS'!AD30/'EDT Y TAREAS'!M30,0),IF(AND(48&gt;='EDT Y TAREAS'!AK32,48&lt;'EDT Y TAREAS'!AL32),'EDT Y TAREAS'!AD32/'EDT Y TAREAS'!M32,0),IF(AND(48&gt;='EDT Y TAREAS'!AK34,48&lt;'EDT Y TAREAS'!AL34),'EDT Y TAREAS'!AD34/'EDT Y TAREAS'!M34,0),IF(AND(48&gt;='EDT Y TAREAS'!AK38,48&lt;'EDT Y TAREAS'!AL38),'EDT Y TAREAS'!AD38/'EDT Y TAREAS'!M38,0),IF(AND(48&gt;='EDT Y TAREAS'!AK39,48&lt;'EDT Y TAREAS'!AL39),'EDT Y TAREAS'!AD39/'EDT Y TAREAS'!M39,0),IF(AND(48&gt;='EDT Y TAREAS'!AK43,48&lt;'EDT Y TAREAS'!AL43),'EDT Y TAREAS'!AD43/'EDT Y TAREAS'!M43,0),IF(AND(48&gt;='EDT Y TAREAS'!AK44,48&lt;'EDT Y TAREAS'!AL44),'EDT Y TAREAS'!AD44/'EDT Y TAREAS'!M44,0),IF(AND(48&gt;='EDT Y TAREAS'!AK45,48&lt;'EDT Y TAREAS'!AL45),'EDT Y TAREAS'!AD45/'EDT Y TAREAS'!M45,0),IF(AND(48&gt;='EDT Y TAREAS'!AK46,48&lt;'EDT Y TAREAS'!AL46),'EDT Y TAREAS'!AD46/'EDT Y TAREAS'!M46,0),IF(AND(48&gt;='EDT Y TAREAS'!AK47,48&lt;'EDT Y TAREAS'!AL47),'EDT Y TAREAS'!AD47/'EDT Y TAREAS'!M47,0),IF(AND(48&gt;='EDT Y TAREAS'!AK49,48&lt;'EDT Y TAREAS'!AL49),'EDT Y TAREAS'!AD49/'EDT Y TAREAS'!M49,0),IF(AND(48&gt;='EDT Y TAREAS'!AK50,48&lt;'EDT Y TAREAS'!AL50),'EDT Y TAREAS'!AD50/'EDT Y TAREAS'!M50,0),IF(AND(48&gt;='EDT Y TAREAS'!AK51,48&lt;'EDT Y TAREAS'!AL51),'EDT Y TAREAS'!AD51/'EDT Y TAREAS'!M51,0),IF(AND(48&gt;='EDT Y TAREAS'!AK52,48&lt;'EDT Y TAREAS'!AL52),'EDT Y TAREAS'!AD52/'EDT Y TAREAS'!M52,0))</x:f>
        <x:v>4.8</x:v>
      </x:c>
      <x:c r="C88" s="35" t="n">
        <x:f>SUM(IF(AND(48&gt;='EDT Y TAREAS'!AK6,48&lt;'EDT Y TAREAS'!AL6),'EDT Y TAREAS'!AE6/'EDT Y TAREAS'!M6,0),IF(AND(48&gt;='EDT Y TAREAS'!AK8,48&lt;'EDT Y TAREAS'!AL8),'EDT Y TAREAS'!AE8/'EDT Y TAREAS'!M8,0),IF(AND(48&gt;='EDT Y TAREAS'!AK9,48&lt;'EDT Y TAREAS'!AL9),'EDT Y TAREAS'!AE9/'EDT Y TAREAS'!M9,0),IF(AND(48&gt;='EDT Y TAREAS'!AK10,48&lt;'EDT Y TAREAS'!AL10),'EDT Y TAREAS'!AE10/'EDT Y TAREAS'!M10,0),IF(AND(48&gt;='EDT Y TAREAS'!AK12,48&lt;'EDT Y TAREAS'!AL12),'EDT Y TAREAS'!AE12/'EDT Y TAREAS'!M12,0),IF(AND(48&gt;='EDT Y TAREAS'!AK16,48&lt;'EDT Y TAREAS'!AL16),'EDT Y TAREAS'!AE16/'EDT Y TAREAS'!M16,0),IF(AND(48&gt;='EDT Y TAREAS'!AK21,48&lt;'EDT Y TAREAS'!AL21),'EDT Y TAREAS'!AE21/'EDT Y TAREAS'!M21,0),IF(AND(48&gt;='EDT Y TAREAS'!AK23,48&lt;'EDT Y TAREAS'!AL23),'EDT Y TAREAS'!AE23/'EDT Y TAREAS'!M23,0),IF(AND(48&gt;='EDT Y TAREAS'!AK37,48&lt;'EDT Y TAREAS'!AL37),'EDT Y TAREAS'!AE37/'EDT Y TAREAS'!M37,0),IF(AND(48&gt;='EDT Y TAREAS'!AK38,48&lt;'EDT Y TAREAS'!AL38),'EDT Y TAREAS'!AE38/'EDT Y TAREAS'!M38,0),IF(AND(48&gt;='EDT Y TAREAS'!AK41,48&lt;'EDT Y TAREAS'!AL41),'EDT Y TAREAS'!AE41/'EDT Y TAREAS'!M41,0),IF(AND(48&gt;='EDT Y TAREAS'!AK43,48&lt;'EDT Y TAREAS'!AL43),'EDT Y TAREAS'!AE43/'EDT Y TAREAS'!M43,0),IF(AND(48&gt;='EDT Y TAREAS'!AK44,48&lt;'EDT Y TAREAS'!AL44),'EDT Y TAREAS'!AE44/'EDT Y TAREAS'!M44,0),IF(AND(48&gt;='EDT Y TAREAS'!AK46,48&lt;'EDT Y TAREAS'!AL46),'EDT Y TAREAS'!AE46/'EDT Y TAREAS'!M46,0),IF(AND(48&gt;='EDT Y TAREAS'!AK47,48&lt;'EDT Y TAREAS'!AL47),'EDT Y TAREAS'!AE47/'EDT Y TAREAS'!M47,0),IF(AND(48&gt;='EDT Y TAREAS'!AK51,48&lt;'EDT Y TAREAS'!AL51),'EDT Y TAREAS'!AE51/'EDT Y TAREAS'!M51,0),IF(AND(48&gt;='EDT Y TAREAS'!AK52,48&lt;'EDT Y TAREAS'!AL52),'EDT Y TAREAS'!AE52/'EDT Y TAREAS'!M52,0))</x:f>
        <x:v>0</x:v>
      </x:c>
      <x:c r="D88" s="35" t="n">
        <x:f>SUM(IF(AND(48&gt;='EDT Y TAREAS'!AK11,48&lt;'EDT Y TAREAS'!AL11),'EDT Y TAREAS'!AF11/'EDT Y TAREAS'!M11,0),IF(AND(48&gt;='EDT Y TAREAS'!AK24,48&lt;'EDT Y TAREAS'!AL24),'EDT Y TAREAS'!AF24/'EDT Y TAREAS'!M24,0),IF(AND(48&gt;='EDT Y TAREAS'!AK25,48&lt;'EDT Y TAREAS'!AL25),'EDT Y TAREAS'!AF25/'EDT Y TAREAS'!M25,0),IF(AND(48&gt;='EDT Y TAREAS'!AK26,48&lt;'EDT Y TAREAS'!AL26),'EDT Y TAREAS'!AF26/'EDT Y TAREAS'!M26,0),IF(AND(48&gt;='EDT Y TAREAS'!AK27,48&lt;'EDT Y TAREAS'!AL27),'EDT Y TAREAS'!AF27/'EDT Y TAREAS'!M27,0),IF(AND(48&gt;='EDT Y TAREAS'!AK28,48&lt;'EDT Y TAREAS'!AL28),'EDT Y TAREAS'!AF28/'EDT Y TAREAS'!M28,0),IF(AND(48&gt;='EDT Y TAREAS'!AK31,48&lt;'EDT Y TAREAS'!AL31),'EDT Y TAREAS'!AF31/'EDT Y TAREAS'!M31,0),IF(AND(48&gt;='EDT Y TAREAS'!AK33,48&lt;'EDT Y TAREAS'!AL33),'EDT Y TAREAS'!AF33/'EDT Y TAREAS'!M33,0),IF(AND(48&gt;='EDT Y TAREAS'!AK34,48&lt;'EDT Y TAREAS'!AL34),'EDT Y TAREAS'!AF34/'EDT Y TAREAS'!M34,0),IF(AND(48&gt;='EDT Y TAREAS'!AK35,48&lt;'EDT Y TAREAS'!AL35),'EDT Y TAREAS'!AF35/'EDT Y TAREAS'!M35,0),IF(AND(48&gt;='EDT Y TAREAS'!AK37,48&lt;'EDT Y TAREAS'!AL37),'EDT Y TAREAS'!AF37/'EDT Y TAREAS'!M37,0),IF(AND(48&gt;='EDT Y TAREAS'!AK39,48&lt;'EDT Y TAREAS'!AL39),'EDT Y TAREAS'!AF39/'EDT Y TAREAS'!M39,0),IF(AND(48&gt;='EDT Y TAREAS'!AK40,48&lt;'EDT Y TAREAS'!AL40),'EDT Y TAREAS'!AF40/'EDT Y TAREAS'!M40,0),IF(AND(48&gt;='EDT Y TAREAS'!AK42,48&lt;'EDT Y TAREAS'!AL42),'EDT Y TAREAS'!AF42/'EDT Y TAREAS'!M42,0),IF(AND(48&gt;='EDT Y TAREAS'!AK45,48&lt;'EDT Y TAREAS'!AL45),'EDT Y TAREAS'!AF45/'EDT Y TAREAS'!M45,0),IF(AND(48&gt;='EDT Y TAREAS'!AK49,48&lt;'EDT Y TAREAS'!AL49),'EDT Y TAREAS'!AF49/'EDT Y TAREAS'!M49,0),IF(AND(48&gt;='EDT Y TAREAS'!AK52,48&lt;'EDT Y TAREAS'!AL52),'EDT Y TAREAS'!AF52/'EDT Y TAREAS'!M52,0))</x:f>
        <x:v>5.6</x:v>
      </x:c>
      <x:c r="E88" s="35" t="n">
        <x:f>SUM(IF(AND(48&gt;='EDT Y TAREAS'!AK29,48&lt;'EDT Y TAREAS'!AL29),'EDT Y TAREAS'!AG29/'EDT Y TAREAS'!M29,0),IF(AND(48&gt;='EDT Y TAREAS'!AK30,48&lt;'EDT Y TAREAS'!AL30),'EDT Y TAREAS'!AG30/'EDT Y TAREAS'!M30,0),IF(AND(48&gt;='EDT Y TAREAS'!AK31,48&lt;'EDT Y TAREAS'!AL31),'EDT Y TAREAS'!AG31/'EDT Y TAREAS'!M31,0),IF(AND(48&gt;='EDT Y TAREAS'!AK32,48&lt;'EDT Y TAREAS'!AL32),'EDT Y TAREAS'!AG32/'EDT Y TAREAS'!M32,0),IF(AND(48&gt;='EDT Y TAREAS'!AK41,48&lt;'EDT Y TAREAS'!AL41),'EDT Y TAREAS'!AG41/'EDT Y TAREAS'!M41,0),IF(AND(48&gt;='EDT Y TAREAS'!AK45,48&lt;'EDT Y TAREAS'!AL45),'EDT Y TAREAS'!AG45/'EDT Y TAREAS'!M45,0),IF(AND(48&gt;='EDT Y TAREAS'!AK48,48&lt;'EDT Y TAREAS'!AL48),'EDT Y TAREAS'!AG48/'EDT Y TAREAS'!M48,0))</x:f>
        <x:v>4.8</x:v>
      </x:c>
      <x:c r="F88" s="35" t="n">
        <x:f>SUM(IF(AND(48&gt;='EDT Y TAREAS'!AK10,48&lt;'EDT Y TAREAS'!AL10),'EDT Y TAREAS'!AH10/'EDT Y TAREAS'!M10,0),IF(AND(48&gt;='EDT Y TAREAS'!AK12,48&lt;'EDT Y TAREAS'!AL12),'EDT Y TAREAS'!AH12/'EDT Y TAREAS'!M12,0),IF(AND(48&gt;='EDT Y TAREAS'!AK22,48&lt;'EDT Y TAREAS'!AL22),'EDT Y TAREAS'!AH22/'EDT Y TAREAS'!M22,0),IF(AND(48&gt;='EDT Y TAREAS'!AK23,48&lt;'EDT Y TAREAS'!AL23),'EDT Y TAREAS'!AH23/'EDT Y TAREAS'!M23,0),IF(AND(48&gt;='EDT Y TAREAS'!AK29,48&lt;'EDT Y TAREAS'!AL29),'EDT Y TAREAS'!AH29/'EDT Y TAREAS'!M29,0),IF(AND(48&gt;='EDT Y TAREAS'!AK30,48&lt;'EDT Y TAREAS'!AL30),'EDT Y TAREAS'!AH30/'EDT Y TAREAS'!M30,0),IF(AND(48&gt;='EDT Y TAREAS'!AK32,48&lt;'EDT Y TAREAS'!AL32),'EDT Y TAREAS'!AH32/'EDT Y TAREAS'!M32,0),IF(AND(48&gt;='EDT Y TAREAS'!AK41,48&lt;'EDT Y TAREAS'!AL41),'EDT Y TAREAS'!AH41/'EDT Y TAREAS'!M41,0),IF(AND(48&gt;='EDT Y TAREAS'!AK44,48&lt;'EDT Y TAREAS'!AL44),'EDT Y TAREAS'!AH44/'EDT Y TAREAS'!M44,0),IF(AND(48&gt;='EDT Y TAREAS'!AK46,48&lt;'EDT Y TAREAS'!AL46),'EDT Y TAREAS'!AH46/'EDT Y TAREAS'!M46,0),IF(AND(48&gt;='EDT Y TAREAS'!AK48,48&lt;'EDT Y TAREAS'!AL48),'EDT Y TAREAS'!AH48/'EDT Y TAREAS'!M48,0))</x:f>
        <x:v>0.8</x:v>
      </x:c>
      <x:c r="G88" s="35" t="n">
        <x:f>SUM(IF(AND(48&gt;='EDT Y TAREAS'!AK20,48&lt;'EDT Y TAREAS'!AL20),'EDT Y TAREAS'!AI20/'EDT Y TAREAS'!M20,0),IF(AND(48&gt;='EDT Y TAREAS'!AK25,48&lt;'EDT Y TAREAS'!AL25),'EDT Y TAREAS'!AI25/'EDT Y TAREAS'!M25,0),IF(AND(48&gt;='EDT Y TAREAS'!AK33,48&lt;'EDT Y TAREAS'!AL33),'EDT Y TAREAS'!AI33/'EDT Y TAREAS'!M33,0),IF(AND(48&gt;='EDT Y TAREAS'!AK34,48&lt;'EDT Y TAREAS'!AL34),'EDT Y TAREAS'!AI34/'EDT Y TAREAS'!M34,0),IF(AND(48&gt;='EDT Y TAREAS'!AK36,48&lt;'EDT Y TAREAS'!AL36),'EDT Y TAREAS'!AI36/'EDT Y TAREAS'!M36,0),IF(AND(48&gt;='EDT Y TAREAS'!AK39,48&lt;'EDT Y TAREAS'!AL39),'EDT Y TAREAS'!AI39/'EDT Y TAREAS'!M39,0),IF(AND(48&gt;='EDT Y TAREAS'!AK40,48&lt;'EDT Y TAREAS'!AL40),'EDT Y TAREAS'!AI40/'EDT Y TAREAS'!M40,0),IF(AND(48&gt;='EDT Y TAREAS'!AK42,48&lt;'EDT Y TAREAS'!AL42),'EDT Y TAREAS'!AI42/'EDT Y TAREAS'!M42,0),IF(AND(48&gt;='EDT Y TAREAS'!AK43,48&lt;'EDT Y TAREAS'!AL43),'EDT Y TAREAS'!AI43/'EDT Y TAREAS'!M43,0),IF(AND(48&gt;='EDT Y TAREAS'!AK44,48&lt;'EDT Y TAREAS'!AL44),'EDT Y TAREAS'!AI44/'EDT Y TAREAS'!M44,0),IF(AND(48&gt;='EDT Y TAREAS'!AK45,48&lt;'EDT Y TAREAS'!AL45),'EDT Y TAREAS'!AI45/'EDT Y TAREAS'!M45,0),IF(AND(48&gt;='EDT Y TAREAS'!AK46,48&lt;'EDT Y TAREAS'!AL46),'EDT Y TAREAS'!AI46/'EDT Y TAREAS'!M46,0),IF(AND(48&gt;='EDT Y TAREAS'!AK48,48&lt;'EDT Y TAREAS'!AL48),'EDT Y TAREAS'!AI48/'EDT Y TAREAS'!M48,0),IF(AND(48&gt;='EDT Y TAREAS'!AK50,48&lt;'EDT Y TAREAS'!AL50),'EDT Y TAREAS'!AI50/'EDT Y TAREAS'!M50,0),IF(AND(48&gt;='EDT Y TAREAS'!AK52,48&lt;'EDT Y TAREAS'!AL52),'EDT Y TAREAS'!AI52/'EDT Y TAREAS'!M52,0))</x:f>
        <x:v>1.2</x:v>
      </x:c>
      <x:c r="H88" s="35" t="n">
        <x:f>SUM(IF(AND(48&gt;='EDT Y TAREAS'!AK11,48&lt;'EDT Y TAREAS'!AL11),'EDT Y TAREAS'!AJ11/'EDT Y TAREAS'!M11,0),IF(AND(48&gt;='EDT Y TAREAS'!AK24,48&lt;'EDT Y TAREAS'!AL24),'EDT Y TAREAS'!AJ24/'EDT Y TAREAS'!M24,0),IF(AND(48&gt;='EDT Y TAREAS'!AK27,48&lt;'EDT Y TAREAS'!AL27),'EDT Y TAREAS'!AJ27/'EDT Y TAREAS'!M27,0),IF(AND(48&gt;='EDT Y TAREAS'!AK28,48&lt;'EDT Y TAREAS'!AL28),'EDT Y TAREAS'!AJ28/'EDT Y TAREAS'!M28,0),IF(AND(48&gt;='EDT Y TAREAS'!AK33,48&lt;'EDT Y TAREAS'!AL33),'EDT Y TAREAS'!AJ33/'EDT Y TAREAS'!M33,0),IF(AND(48&gt;='EDT Y TAREAS'!AK35,48&lt;'EDT Y TAREAS'!AL35),'EDT Y TAREAS'!AJ35/'EDT Y TAREAS'!M35,0),IF(AND(48&gt;='EDT Y TAREAS'!AK36,48&lt;'EDT Y TAREAS'!AL36),'EDT Y TAREAS'!AJ36/'EDT Y TAREAS'!M36,0),IF(AND(48&gt;='EDT Y TAREAS'!AK37,48&lt;'EDT Y TAREAS'!AL37),'EDT Y TAREAS'!AJ37/'EDT Y TAREAS'!M37,0),IF(AND(48&gt;='EDT Y TAREAS'!AK40,48&lt;'EDT Y TAREAS'!AL40),'EDT Y TAREAS'!AJ40/'EDT Y TAREAS'!M40,0),IF(AND(48&gt;='EDT Y TAREAS'!AK42,48&lt;'EDT Y TAREAS'!AL42),'EDT Y TAREAS'!AJ42/'EDT Y TAREAS'!M42,0),IF(AND(48&gt;='EDT Y TAREAS'!AK49,48&lt;'EDT Y TAREAS'!AL49),'EDT Y TAREAS'!AJ49/'EDT Y TAREAS'!M49,0),IF(AND(48&gt;='EDT Y TAREAS'!AK50,48&lt;'EDT Y TAREAS'!AL50),'EDT Y TAREAS'!AJ50/'EDT Y TAREAS'!M50,0),IF(AND(48&gt;='EDT Y TAREAS'!AK51,48&lt;'EDT Y TAREAS'!AL51),'EDT Y TAREAS'!AJ51/'EDT Y TAREAS'!M51,0),IF(AND(48&gt;='EDT Y TAREAS'!AK52,48&lt;'EDT Y TAREAS'!AL52),'EDT Y TAREAS'!AJ52/'EDT Y TAREAS'!M52,0))</x:f>
        <x:v>4</x:v>
      </x:c>
      <x:c r="I88" s="10" t="n">
        <x:f>WORKDAY('RESUMEN'!$D$3-1,A88,'RESUMEN'!$J$6:$J$25)</x:f>
        <x:v>46394</x:v>
      </x:c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  <x:c r="AH88" s="3"/>
      <x:c r="AI88" s="3"/>
      <x:c r="AJ88" s="3"/>
      <x:c r="AK88" s="3"/>
      <x:c r="AL88" s="3"/>
      <x:c r="AM88" s="3"/>
      <x:c r="AN88" s="3"/>
      <x:c r="AO88" s="3"/>
    </x:row>
    <x:row r="89" ht="24" customHeight="1">
      <x:c r="A89" s="3" t="n">
        <x:v>50</x:v>
      </x:c>
      <x:c r="B89" s="35" t="n">
        <x:f>SUM(IF(AND(49&gt;='EDT Y TAREAS'!AK6,49&lt;'EDT Y TAREAS'!AL6),'EDT Y TAREAS'!AD6/'EDT Y TAREAS'!M6,0),IF(AND(49&gt;='EDT Y TAREAS'!AK7,49&lt;'EDT Y TAREAS'!AL7),'EDT Y TAREAS'!AD7/'EDT Y TAREAS'!M7,0),IF(AND(49&gt;='EDT Y TAREAS'!AK8,49&lt;'EDT Y TAREAS'!AL8),'EDT Y TAREAS'!AD8/'EDT Y TAREAS'!M8,0),IF(AND(49&gt;='EDT Y TAREAS'!AK9,49&lt;'EDT Y TAREAS'!AL9),'EDT Y TAREAS'!AD9/'EDT Y TAREAS'!M9,0),IF(AND(49&gt;='EDT Y TAREAS'!AK10,49&lt;'EDT Y TAREAS'!AL10),'EDT Y TAREAS'!AD10/'EDT Y TAREAS'!M10,0),IF(AND(49&gt;='EDT Y TAREAS'!AK11,49&lt;'EDT Y TAREAS'!AL11),'EDT Y TAREAS'!AD11/'EDT Y TAREAS'!M11,0),IF(AND(49&gt;='EDT Y TAREAS'!AK12,49&lt;'EDT Y TAREAS'!AL12),'EDT Y TAREAS'!AD12/'EDT Y TAREAS'!M12,0),IF(AND(49&gt;='EDT Y TAREAS'!AK13,49&lt;'EDT Y TAREAS'!AL13),'EDT Y TAREAS'!AD13/'EDT Y TAREAS'!M13,0),IF(AND(49&gt;='EDT Y TAREAS'!AK14,49&lt;'EDT Y TAREAS'!AL14),'EDT Y TAREAS'!AD14/'EDT Y TAREAS'!M14,0),IF(AND(49&gt;='EDT Y TAREAS'!AK15,49&lt;'EDT Y TAREAS'!AL15),'EDT Y TAREAS'!AD15/'EDT Y TAREAS'!M15,0),IF(AND(49&gt;='EDT Y TAREAS'!AK16,49&lt;'EDT Y TAREAS'!AL16),'EDT Y TAREAS'!AD16/'EDT Y TAREAS'!M16,0),IF(AND(49&gt;='EDT Y TAREAS'!AK17,49&lt;'EDT Y TAREAS'!AL17),'EDT Y TAREAS'!AD17/'EDT Y TAREAS'!M17,0),IF(AND(49&gt;='EDT Y TAREAS'!AK18,49&lt;'EDT Y TAREAS'!AL18),'EDT Y TAREAS'!AD18/'EDT Y TAREAS'!M18,0),IF(AND(49&gt;='EDT Y TAREAS'!AK19,49&lt;'EDT Y TAREAS'!AL19),'EDT Y TAREAS'!AD19/'EDT Y TAREAS'!M19,0),IF(AND(49&gt;='EDT Y TAREAS'!AK20,49&lt;'EDT Y TAREAS'!AL20),'EDT Y TAREAS'!AD20/'EDT Y TAREAS'!M20,0),IF(AND(49&gt;='EDT Y TAREAS'!AK21,49&lt;'EDT Y TAREAS'!AL21),'EDT Y TAREAS'!AD21/'EDT Y TAREAS'!M21,0),IF(AND(49&gt;='EDT Y TAREAS'!AK22,49&lt;'EDT Y TAREAS'!AL22),'EDT Y TAREAS'!AD22/'EDT Y TAREAS'!M22,0),IF(AND(49&gt;='EDT Y TAREAS'!AK23,49&lt;'EDT Y TAREAS'!AL23),'EDT Y TAREAS'!AD23/'EDT Y TAREAS'!M23,0),IF(AND(49&gt;='EDT Y TAREAS'!AK26,49&lt;'EDT Y TAREAS'!AL26),'EDT Y TAREAS'!AD26/'EDT Y TAREAS'!M26,0),IF(AND(49&gt;='EDT Y TAREAS'!AK28,49&lt;'EDT Y TAREAS'!AL28),'EDT Y TAREAS'!AD28/'EDT Y TAREAS'!M28,0),IF(AND(49&gt;='EDT Y TAREAS'!AK30,49&lt;'EDT Y TAREAS'!AL30),'EDT Y TAREAS'!AD30/'EDT Y TAREAS'!M30,0),IF(AND(49&gt;='EDT Y TAREAS'!AK32,49&lt;'EDT Y TAREAS'!AL32),'EDT Y TAREAS'!AD32/'EDT Y TAREAS'!M32,0),IF(AND(49&gt;='EDT Y TAREAS'!AK34,49&lt;'EDT Y TAREAS'!AL34),'EDT Y TAREAS'!AD34/'EDT Y TAREAS'!M34,0),IF(AND(49&gt;='EDT Y TAREAS'!AK38,49&lt;'EDT Y TAREAS'!AL38),'EDT Y TAREAS'!AD38/'EDT Y TAREAS'!M38,0),IF(AND(49&gt;='EDT Y TAREAS'!AK39,49&lt;'EDT Y TAREAS'!AL39),'EDT Y TAREAS'!AD39/'EDT Y TAREAS'!M39,0),IF(AND(49&gt;='EDT Y TAREAS'!AK43,49&lt;'EDT Y TAREAS'!AL43),'EDT Y TAREAS'!AD43/'EDT Y TAREAS'!M43,0),IF(AND(49&gt;='EDT Y TAREAS'!AK44,49&lt;'EDT Y TAREAS'!AL44),'EDT Y TAREAS'!AD44/'EDT Y TAREAS'!M44,0),IF(AND(49&gt;='EDT Y TAREAS'!AK45,49&lt;'EDT Y TAREAS'!AL45),'EDT Y TAREAS'!AD45/'EDT Y TAREAS'!M45,0),IF(AND(49&gt;='EDT Y TAREAS'!AK46,49&lt;'EDT Y TAREAS'!AL46),'EDT Y TAREAS'!AD46/'EDT Y TAREAS'!M46,0),IF(AND(49&gt;='EDT Y TAREAS'!AK47,49&lt;'EDT Y TAREAS'!AL47),'EDT Y TAREAS'!AD47/'EDT Y TAREAS'!M47,0),IF(AND(49&gt;='EDT Y TAREAS'!AK49,49&lt;'EDT Y TAREAS'!AL49),'EDT Y TAREAS'!AD49/'EDT Y TAREAS'!M49,0),IF(AND(49&gt;='EDT Y TAREAS'!AK50,49&lt;'EDT Y TAREAS'!AL50),'EDT Y TAREAS'!AD50/'EDT Y TAREAS'!M50,0),IF(AND(49&gt;='EDT Y TAREAS'!AK51,49&lt;'EDT Y TAREAS'!AL51),'EDT Y TAREAS'!AD51/'EDT Y TAREAS'!M51,0),IF(AND(49&gt;='EDT Y TAREAS'!AK52,49&lt;'EDT Y TAREAS'!AL52),'EDT Y TAREAS'!AD52/'EDT Y TAREAS'!M52,0))</x:f>
        <x:v>4.8</x:v>
      </x:c>
      <x:c r="C89" s="35" t="n">
        <x:f>SUM(IF(AND(49&gt;='EDT Y TAREAS'!AK6,49&lt;'EDT Y TAREAS'!AL6),'EDT Y TAREAS'!AE6/'EDT Y TAREAS'!M6,0),IF(AND(49&gt;='EDT Y TAREAS'!AK8,49&lt;'EDT Y TAREAS'!AL8),'EDT Y TAREAS'!AE8/'EDT Y TAREAS'!M8,0),IF(AND(49&gt;='EDT Y TAREAS'!AK9,49&lt;'EDT Y TAREAS'!AL9),'EDT Y TAREAS'!AE9/'EDT Y TAREAS'!M9,0),IF(AND(49&gt;='EDT Y TAREAS'!AK10,49&lt;'EDT Y TAREAS'!AL10),'EDT Y TAREAS'!AE10/'EDT Y TAREAS'!M10,0),IF(AND(49&gt;='EDT Y TAREAS'!AK12,49&lt;'EDT Y TAREAS'!AL12),'EDT Y TAREAS'!AE12/'EDT Y TAREAS'!M12,0),IF(AND(49&gt;='EDT Y TAREAS'!AK16,49&lt;'EDT Y TAREAS'!AL16),'EDT Y TAREAS'!AE16/'EDT Y TAREAS'!M16,0),IF(AND(49&gt;='EDT Y TAREAS'!AK21,49&lt;'EDT Y TAREAS'!AL21),'EDT Y TAREAS'!AE21/'EDT Y TAREAS'!M21,0),IF(AND(49&gt;='EDT Y TAREAS'!AK23,49&lt;'EDT Y TAREAS'!AL23),'EDT Y TAREAS'!AE23/'EDT Y TAREAS'!M23,0),IF(AND(49&gt;='EDT Y TAREAS'!AK37,49&lt;'EDT Y TAREAS'!AL37),'EDT Y TAREAS'!AE37/'EDT Y TAREAS'!M37,0),IF(AND(49&gt;='EDT Y TAREAS'!AK38,49&lt;'EDT Y TAREAS'!AL38),'EDT Y TAREAS'!AE38/'EDT Y TAREAS'!M38,0),IF(AND(49&gt;='EDT Y TAREAS'!AK41,49&lt;'EDT Y TAREAS'!AL41),'EDT Y TAREAS'!AE41/'EDT Y TAREAS'!M41,0),IF(AND(49&gt;='EDT Y TAREAS'!AK43,49&lt;'EDT Y TAREAS'!AL43),'EDT Y TAREAS'!AE43/'EDT Y TAREAS'!M43,0),IF(AND(49&gt;='EDT Y TAREAS'!AK44,49&lt;'EDT Y TAREAS'!AL44),'EDT Y TAREAS'!AE44/'EDT Y TAREAS'!M44,0),IF(AND(49&gt;='EDT Y TAREAS'!AK46,49&lt;'EDT Y TAREAS'!AL46),'EDT Y TAREAS'!AE46/'EDT Y TAREAS'!M46,0),IF(AND(49&gt;='EDT Y TAREAS'!AK47,49&lt;'EDT Y TAREAS'!AL47),'EDT Y TAREAS'!AE47/'EDT Y TAREAS'!M47,0),IF(AND(49&gt;='EDT Y TAREAS'!AK51,49&lt;'EDT Y TAREAS'!AL51),'EDT Y TAREAS'!AE51/'EDT Y TAREAS'!M51,0),IF(AND(49&gt;='EDT Y TAREAS'!AK52,49&lt;'EDT Y TAREAS'!AL52),'EDT Y TAREAS'!AE52/'EDT Y TAREAS'!M52,0))</x:f>
        <x:v>0</x:v>
      </x:c>
      <x:c r="D89" s="35" t="n">
        <x:f>SUM(IF(AND(49&gt;='EDT Y TAREAS'!AK11,49&lt;'EDT Y TAREAS'!AL11),'EDT Y TAREAS'!AF11/'EDT Y TAREAS'!M11,0),IF(AND(49&gt;='EDT Y TAREAS'!AK24,49&lt;'EDT Y TAREAS'!AL24),'EDT Y TAREAS'!AF24/'EDT Y TAREAS'!M24,0),IF(AND(49&gt;='EDT Y TAREAS'!AK25,49&lt;'EDT Y TAREAS'!AL25),'EDT Y TAREAS'!AF25/'EDT Y TAREAS'!M25,0),IF(AND(49&gt;='EDT Y TAREAS'!AK26,49&lt;'EDT Y TAREAS'!AL26),'EDT Y TAREAS'!AF26/'EDT Y TAREAS'!M26,0),IF(AND(49&gt;='EDT Y TAREAS'!AK27,49&lt;'EDT Y TAREAS'!AL27),'EDT Y TAREAS'!AF27/'EDT Y TAREAS'!M27,0),IF(AND(49&gt;='EDT Y TAREAS'!AK28,49&lt;'EDT Y TAREAS'!AL28),'EDT Y TAREAS'!AF28/'EDT Y TAREAS'!M28,0),IF(AND(49&gt;='EDT Y TAREAS'!AK31,49&lt;'EDT Y TAREAS'!AL31),'EDT Y TAREAS'!AF31/'EDT Y TAREAS'!M31,0),IF(AND(49&gt;='EDT Y TAREAS'!AK33,49&lt;'EDT Y TAREAS'!AL33),'EDT Y TAREAS'!AF33/'EDT Y TAREAS'!M33,0),IF(AND(49&gt;='EDT Y TAREAS'!AK34,49&lt;'EDT Y TAREAS'!AL34),'EDT Y TAREAS'!AF34/'EDT Y TAREAS'!M34,0),IF(AND(49&gt;='EDT Y TAREAS'!AK35,49&lt;'EDT Y TAREAS'!AL35),'EDT Y TAREAS'!AF35/'EDT Y TAREAS'!M35,0),IF(AND(49&gt;='EDT Y TAREAS'!AK37,49&lt;'EDT Y TAREAS'!AL37),'EDT Y TAREAS'!AF37/'EDT Y TAREAS'!M37,0),IF(AND(49&gt;='EDT Y TAREAS'!AK39,49&lt;'EDT Y TAREAS'!AL39),'EDT Y TAREAS'!AF39/'EDT Y TAREAS'!M39,0),IF(AND(49&gt;='EDT Y TAREAS'!AK40,49&lt;'EDT Y TAREAS'!AL40),'EDT Y TAREAS'!AF40/'EDT Y TAREAS'!M40,0),IF(AND(49&gt;='EDT Y TAREAS'!AK42,49&lt;'EDT Y TAREAS'!AL42),'EDT Y TAREAS'!AF42/'EDT Y TAREAS'!M42,0),IF(AND(49&gt;='EDT Y TAREAS'!AK45,49&lt;'EDT Y TAREAS'!AL45),'EDT Y TAREAS'!AF45/'EDT Y TAREAS'!M45,0),IF(AND(49&gt;='EDT Y TAREAS'!AK49,49&lt;'EDT Y TAREAS'!AL49),'EDT Y TAREAS'!AF49/'EDT Y TAREAS'!M49,0),IF(AND(49&gt;='EDT Y TAREAS'!AK52,49&lt;'EDT Y TAREAS'!AL52),'EDT Y TAREAS'!AF52/'EDT Y TAREAS'!M52,0))</x:f>
        <x:v>5.6</x:v>
      </x:c>
      <x:c r="E89" s="35" t="n">
        <x:f>SUM(IF(AND(49&gt;='EDT Y TAREAS'!AK29,49&lt;'EDT Y TAREAS'!AL29),'EDT Y TAREAS'!AG29/'EDT Y TAREAS'!M29,0),IF(AND(49&gt;='EDT Y TAREAS'!AK30,49&lt;'EDT Y TAREAS'!AL30),'EDT Y TAREAS'!AG30/'EDT Y TAREAS'!M30,0),IF(AND(49&gt;='EDT Y TAREAS'!AK31,49&lt;'EDT Y TAREAS'!AL31),'EDT Y TAREAS'!AG31/'EDT Y TAREAS'!M31,0),IF(AND(49&gt;='EDT Y TAREAS'!AK32,49&lt;'EDT Y TAREAS'!AL32),'EDT Y TAREAS'!AG32/'EDT Y TAREAS'!M32,0),IF(AND(49&gt;='EDT Y TAREAS'!AK41,49&lt;'EDT Y TAREAS'!AL41),'EDT Y TAREAS'!AG41/'EDT Y TAREAS'!M41,0),IF(AND(49&gt;='EDT Y TAREAS'!AK45,49&lt;'EDT Y TAREAS'!AL45),'EDT Y TAREAS'!AG45/'EDT Y TAREAS'!M45,0),IF(AND(49&gt;='EDT Y TAREAS'!AK48,49&lt;'EDT Y TAREAS'!AL48),'EDT Y TAREAS'!AG48/'EDT Y TAREAS'!M48,0))</x:f>
        <x:v>4.8</x:v>
      </x:c>
      <x:c r="F89" s="35" t="n">
        <x:f>SUM(IF(AND(49&gt;='EDT Y TAREAS'!AK10,49&lt;'EDT Y TAREAS'!AL10),'EDT Y TAREAS'!AH10/'EDT Y TAREAS'!M10,0),IF(AND(49&gt;='EDT Y TAREAS'!AK12,49&lt;'EDT Y TAREAS'!AL12),'EDT Y TAREAS'!AH12/'EDT Y TAREAS'!M12,0),IF(AND(49&gt;='EDT Y TAREAS'!AK22,49&lt;'EDT Y TAREAS'!AL22),'EDT Y TAREAS'!AH22/'EDT Y TAREAS'!M22,0),IF(AND(49&gt;='EDT Y TAREAS'!AK23,49&lt;'EDT Y TAREAS'!AL23),'EDT Y TAREAS'!AH23/'EDT Y TAREAS'!M23,0),IF(AND(49&gt;='EDT Y TAREAS'!AK29,49&lt;'EDT Y TAREAS'!AL29),'EDT Y TAREAS'!AH29/'EDT Y TAREAS'!M29,0),IF(AND(49&gt;='EDT Y TAREAS'!AK30,49&lt;'EDT Y TAREAS'!AL30),'EDT Y TAREAS'!AH30/'EDT Y TAREAS'!M30,0),IF(AND(49&gt;='EDT Y TAREAS'!AK32,49&lt;'EDT Y TAREAS'!AL32),'EDT Y TAREAS'!AH32/'EDT Y TAREAS'!M32,0),IF(AND(49&gt;='EDT Y TAREAS'!AK41,49&lt;'EDT Y TAREAS'!AL41),'EDT Y TAREAS'!AH41/'EDT Y TAREAS'!M41,0),IF(AND(49&gt;='EDT Y TAREAS'!AK44,49&lt;'EDT Y TAREAS'!AL44),'EDT Y TAREAS'!AH44/'EDT Y TAREAS'!M44,0),IF(AND(49&gt;='EDT Y TAREAS'!AK46,49&lt;'EDT Y TAREAS'!AL46),'EDT Y TAREAS'!AH46/'EDT Y TAREAS'!M46,0),IF(AND(49&gt;='EDT Y TAREAS'!AK48,49&lt;'EDT Y TAREAS'!AL48),'EDT Y TAREAS'!AH48/'EDT Y TAREAS'!M48,0))</x:f>
        <x:v>0.8</x:v>
      </x:c>
      <x:c r="G89" s="35" t="n">
        <x:f>SUM(IF(AND(49&gt;='EDT Y TAREAS'!AK20,49&lt;'EDT Y TAREAS'!AL20),'EDT Y TAREAS'!AI20/'EDT Y TAREAS'!M20,0),IF(AND(49&gt;='EDT Y TAREAS'!AK25,49&lt;'EDT Y TAREAS'!AL25),'EDT Y TAREAS'!AI25/'EDT Y TAREAS'!M25,0),IF(AND(49&gt;='EDT Y TAREAS'!AK33,49&lt;'EDT Y TAREAS'!AL33),'EDT Y TAREAS'!AI33/'EDT Y TAREAS'!M33,0),IF(AND(49&gt;='EDT Y TAREAS'!AK34,49&lt;'EDT Y TAREAS'!AL34),'EDT Y TAREAS'!AI34/'EDT Y TAREAS'!M34,0),IF(AND(49&gt;='EDT Y TAREAS'!AK36,49&lt;'EDT Y TAREAS'!AL36),'EDT Y TAREAS'!AI36/'EDT Y TAREAS'!M36,0),IF(AND(49&gt;='EDT Y TAREAS'!AK39,49&lt;'EDT Y TAREAS'!AL39),'EDT Y TAREAS'!AI39/'EDT Y TAREAS'!M39,0),IF(AND(49&gt;='EDT Y TAREAS'!AK40,49&lt;'EDT Y TAREAS'!AL40),'EDT Y TAREAS'!AI40/'EDT Y TAREAS'!M40,0),IF(AND(49&gt;='EDT Y TAREAS'!AK42,49&lt;'EDT Y TAREAS'!AL42),'EDT Y TAREAS'!AI42/'EDT Y TAREAS'!M42,0),IF(AND(49&gt;='EDT Y TAREAS'!AK43,49&lt;'EDT Y TAREAS'!AL43),'EDT Y TAREAS'!AI43/'EDT Y TAREAS'!M43,0),IF(AND(49&gt;='EDT Y TAREAS'!AK44,49&lt;'EDT Y TAREAS'!AL44),'EDT Y TAREAS'!AI44/'EDT Y TAREAS'!M44,0),IF(AND(49&gt;='EDT Y TAREAS'!AK45,49&lt;'EDT Y TAREAS'!AL45),'EDT Y TAREAS'!AI45/'EDT Y TAREAS'!M45,0),IF(AND(49&gt;='EDT Y TAREAS'!AK46,49&lt;'EDT Y TAREAS'!AL46),'EDT Y TAREAS'!AI46/'EDT Y TAREAS'!M46,0),IF(AND(49&gt;='EDT Y TAREAS'!AK48,49&lt;'EDT Y TAREAS'!AL48),'EDT Y TAREAS'!AI48/'EDT Y TAREAS'!M48,0),IF(AND(49&gt;='EDT Y TAREAS'!AK50,49&lt;'EDT Y TAREAS'!AL50),'EDT Y TAREAS'!AI50/'EDT Y TAREAS'!M50,0),IF(AND(49&gt;='EDT Y TAREAS'!AK52,49&lt;'EDT Y TAREAS'!AL52),'EDT Y TAREAS'!AI52/'EDT Y TAREAS'!M52,0))</x:f>
        <x:v>1.2</x:v>
      </x:c>
      <x:c r="H89" s="35" t="n">
        <x:f>SUM(IF(AND(49&gt;='EDT Y TAREAS'!AK11,49&lt;'EDT Y TAREAS'!AL11),'EDT Y TAREAS'!AJ11/'EDT Y TAREAS'!M11,0),IF(AND(49&gt;='EDT Y TAREAS'!AK24,49&lt;'EDT Y TAREAS'!AL24),'EDT Y TAREAS'!AJ24/'EDT Y TAREAS'!M24,0),IF(AND(49&gt;='EDT Y TAREAS'!AK27,49&lt;'EDT Y TAREAS'!AL27),'EDT Y TAREAS'!AJ27/'EDT Y TAREAS'!M27,0),IF(AND(49&gt;='EDT Y TAREAS'!AK28,49&lt;'EDT Y TAREAS'!AL28),'EDT Y TAREAS'!AJ28/'EDT Y TAREAS'!M28,0),IF(AND(49&gt;='EDT Y TAREAS'!AK33,49&lt;'EDT Y TAREAS'!AL33),'EDT Y TAREAS'!AJ33/'EDT Y TAREAS'!M33,0),IF(AND(49&gt;='EDT Y TAREAS'!AK35,49&lt;'EDT Y TAREAS'!AL35),'EDT Y TAREAS'!AJ35/'EDT Y TAREAS'!M35,0),IF(AND(49&gt;='EDT Y TAREAS'!AK36,49&lt;'EDT Y TAREAS'!AL36),'EDT Y TAREAS'!AJ36/'EDT Y TAREAS'!M36,0),IF(AND(49&gt;='EDT Y TAREAS'!AK37,49&lt;'EDT Y TAREAS'!AL37),'EDT Y TAREAS'!AJ37/'EDT Y TAREAS'!M37,0),IF(AND(49&gt;='EDT Y TAREAS'!AK40,49&lt;'EDT Y TAREAS'!AL40),'EDT Y TAREAS'!AJ40/'EDT Y TAREAS'!M40,0),IF(AND(49&gt;='EDT Y TAREAS'!AK42,49&lt;'EDT Y TAREAS'!AL42),'EDT Y TAREAS'!AJ42/'EDT Y TAREAS'!M42,0),IF(AND(49&gt;='EDT Y TAREAS'!AK49,49&lt;'EDT Y TAREAS'!AL49),'EDT Y TAREAS'!AJ49/'EDT Y TAREAS'!M49,0),IF(AND(49&gt;='EDT Y TAREAS'!AK50,49&lt;'EDT Y TAREAS'!AL50),'EDT Y TAREAS'!AJ50/'EDT Y TAREAS'!M50,0),IF(AND(49&gt;='EDT Y TAREAS'!AK51,49&lt;'EDT Y TAREAS'!AL51),'EDT Y TAREAS'!AJ51/'EDT Y TAREAS'!M51,0),IF(AND(49&gt;='EDT Y TAREAS'!AK52,49&lt;'EDT Y TAREAS'!AL52),'EDT Y TAREAS'!AJ52/'EDT Y TAREAS'!M52,0))</x:f>
        <x:v>4</x:v>
      </x:c>
      <x:c r="I89" s="10" t="n">
        <x:f>WORKDAY('RESUMEN'!$D$3-1,A89,'RESUMEN'!$J$6:$J$25)</x:f>
        <x:v>46395</x:v>
      </x:c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  <x:c r="AJ89" s="3"/>
      <x:c r="AK89" s="3"/>
      <x:c r="AL89" s="3"/>
      <x:c r="AM89" s="3"/>
      <x:c r="AN89" s="3"/>
      <x:c r="AO89" s="3"/>
    </x:row>
    <x:row r="90" ht="24" customHeight="1">
      <x:c r="A90" s="3" t="n">
        <x:v>51</x:v>
      </x:c>
      <x:c r="B90" s="35" t="n">
        <x:f>SUM(IF(AND(50&gt;='EDT Y TAREAS'!AK6,50&lt;'EDT Y TAREAS'!AL6),'EDT Y TAREAS'!AD6/'EDT Y TAREAS'!M6,0),IF(AND(50&gt;='EDT Y TAREAS'!AK7,50&lt;'EDT Y TAREAS'!AL7),'EDT Y TAREAS'!AD7/'EDT Y TAREAS'!M7,0),IF(AND(50&gt;='EDT Y TAREAS'!AK8,50&lt;'EDT Y TAREAS'!AL8),'EDT Y TAREAS'!AD8/'EDT Y TAREAS'!M8,0),IF(AND(50&gt;='EDT Y TAREAS'!AK9,50&lt;'EDT Y TAREAS'!AL9),'EDT Y TAREAS'!AD9/'EDT Y TAREAS'!M9,0),IF(AND(50&gt;='EDT Y TAREAS'!AK10,50&lt;'EDT Y TAREAS'!AL10),'EDT Y TAREAS'!AD10/'EDT Y TAREAS'!M10,0),IF(AND(50&gt;='EDT Y TAREAS'!AK11,50&lt;'EDT Y TAREAS'!AL11),'EDT Y TAREAS'!AD11/'EDT Y TAREAS'!M11,0),IF(AND(50&gt;='EDT Y TAREAS'!AK12,50&lt;'EDT Y TAREAS'!AL12),'EDT Y TAREAS'!AD12/'EDT Y TAREAS'!M12,0),IF(AND(50&gt;='EDT Y TAREAS'!AK13,50&lt;'EDT Y TAREAS'!AL13),'EDT Y TAREAS'!AD13/'EDT Y TAREAS'!M13,0),IF(AND(50&gt;='EDT Y TAREAS'!AK14,50&lt;'EDT Y TAREAS'!AL14),'EDT Y TAREAS'!AD14/'EDT Y TAREAS'!M14,0),IF(AND(50&gt;='EDT Y TAREAS'!AK15,50&lt;'EDT Y TAREAS'!AL15),'EDT Y TAREAS'!AD15/'EDT Y TAREAS'!M15,0),IF(AND(50&gt;='EDT Y TAREAS'!AK16,50&lt;'EDT Y TAREAS'!AL16),'EDT Y TAREAS'!AD16/'EDT Y TAREAS'!M16,0),IF(AND(50&gt;='EDT Y TAREAS'!AK17,50&lt;'EDT Y TAREAS'!AL17),'EDT Y TAREAS'!AD17/'EDT Y TAREAS'!M17,0),IF(AND(50&gt;='EDT Y TAREAS'!AK18,50&lt;'EDT Y TAREAS'!AL18),'EDT Y TAREAS'!AD18/'EDT Y TAREAS'!M18,0),IF(AND(50&gt;='EDT Y TAREAS'!AK19,50&lt;'EDT Y TAREAS'!AL19),'EDT Y TAREAS'!AD19/'EDT Y TAREAS'!M19,0),IF(AND(50&gt;='EDT Y TAREAS'!AK20,50&lt;'EDT Y TAREAS'!AL20),'EDT Y TAREAS'!AD20/'EDT Y TAREAS'!M20,0),IF(AND(50&gt;='EDT Y TAREAS'!AK21,50&lt;'EDT Y TAREAS'!AL21),'EDT Y TAREAS'!AD21/'EDT Y TAREAS'!M21,0),IF(AND(50&gt;='EDT Y TAREAS'!AK22,50&lt;'EDT Y TAREAS'!AL22),'EDT Y TAREAS'!AD22/'EDT Y TAREAS'!M22,0),IF(AND(50&gt;='EDT Y TAREAS'!AK23,50&lt;'EDT Y TAREAS'!AL23),'EDT Y TAREAS'!AD23/'EDT Y TAREAS'!M23,0),IF(AND(50&gt;='EDT Y TAREAS'!AK26,50&lt;'EDT Y TAREAS'!AL26),'EDT Y TAREAS'!AD26/'EDT Y TAREAS'!M26,0),IF(AND(50&gt;='EDT Y TAREAS'!AK28,50&lt;'EDT Y TAREAS'!AL28),'EDT Y TAREAS'!AD28/'EDT Y TAREAS'!M28,0),IF(AND(50&gt;='EDT Y TAREAS'!AK30,50&lt;'EDT Y TAREAS'!AL30),'EDT Y TAREAS'!AD30/'EDT Y TAREAS'!M30,0),IF(AND(50&gt;='EDT Y TAREAS'!AK32,50&lt;'EDT Y TAREAS'!AL32),'EDT Y TAREAS'!AD32/'EDT Y TAREAS'!M32,0),IF(AND(50&gt;='EDT Y TAREAS'!AK34,50&lt;'EDT Y TAREAS'!AL34),'EDT Y TAREAS'!AD34/'EDT Y TAREAS'!M34,0),IF(AND(50&gt;='EDT Y TAREAS'!AK38,50&lt;'EDT Y TAREAS'!AL38),'EDT Y TAREAS'!AD38/'EDT Y TAREAS'!M38,0),IF(AND(50&gt;='EDT Y TAREAS'!AK39,50&lt;'EDT Y TAREAS'!AL39),'EDT Y TAREAS'!AD39/'EDT Y TAREAS'!M39,0),IF(AND(50&gt;='EDT Y TAREAS'!AK43,50&lt;'EDT Y TAREAS'!AL43),'EDT Y TAREAS'!AD43/'EDT Y TAREAS'!M43,0),IF(AND(50&gt;='EDT Y TAREAS'!AK44,50&lt;'EDT Y TAREAS'!AL44),'EDT Y TAREAS'!AD44/'EDT Y TAREAS'!M44,0),IF(AND(50&gt;='EDT Y TAREAS'!AK45,50&lt;'EDT Y TAREAS'!AL45),'EDT Y TAREAS'!AD45/'EDT Y TAREAS'!M45,0),IF(AND(50&gt;='EDT Y TAREAS'!AK46,50&lt;'EDT Y TAREAS'!AL46),'EDT Y TAREAS'!AD46/'EDT Y TAREAS'!M46,0),IF(AND(50&gt;='EDT Y TAREAS'!AK47,50&lt;'EDT Y TAREAS'!AL47),'EDT Y TAREAS'!AD47/'EDT Y TAREAS'!M47,0),IF(AND(50&gt;='EDT Y TAREAS'!AK49,50&lt;'EDT Y TAREAS'!AL49),'EDT Y TAREAS'!AD49/'EDT Y TAREAS'!M49,0),IF(AND(50&gt;='EDT Y TAREAS'!AK50,50&lt;'EDT Y TAREAS'!AL50),'EDT Y TAREAS'!AD50/'EDT Y TAREAS'!M50,0),IF(AND(50&gt;='EDT Y TAREAS'!AK51,50&lt;'EDT Y TAREAS'!AL51),'EDT Y TAREAS'!AD51/'EDT Y TAREAS'!M51,0),IF(AND(50&gt;='EDT Y TAREAS'!AK52,50&lt;'EDT Y TAREAS'!AL52),'EDT Y TAREAS'!AD52/'EDT Y TAREAS'!M52,0))</x:f>
        <x:v>4.8</x:v>
      </x:c>
      <x:c r="C90" s="35" t="n">
        <x:f>SUM(IF(AND(50&gt;='EDT Y TAREAS'!AK6,50&lt;'EDT Y TAREAS'!AL6),'EDT Y TAREAS'!AE6/'EDT Y TAREAS'!M6,0),IF(AND(50&gt;='EDT Y TAREAS'!AK8,50&lt;'EDT Y TAREAS'!AL8),'EDT Y TAREAS'!AE8/'EDT Y TAREAS'!M8,0),IF(AND(50&gt;='EDT Y TAREAS'!AK9,50&lt;'EDT Y TAREAS'!AL9),'EDT Y TAREAS'!AE9/'EDT Y TAREAS'!M9,0),IF(AND(50&gt;='EDT Y TAREAS'!AK10,50&lt;'EDT Y TAREAS'!AL10),'EDT Y TAREAS'!AE10/'EDT Y TAREAS'!M10,0),IF(AND(50&gt;='EDT Y TAREAS'!AK12,50&lt;'EDT Y TAREAS'!AL12),'EDT Y TAREAS'!AE12/'EDT Y TAREAS'!M12,0),IF(AND(50&gt;='EDT Y TAREAS'!AK16,50&lt;'EDT Y TAREAS'!AL16),'EDT Y TAREAS'!AE16/'EDT Y TAREAS'!M16,0),IF(AND(50&gt;='EDT Y TAREAS'!AK21,50&lt;'EDT Y TAREAS'!AL21),'EDT Y TAREAS'!AE21/'EDT Y TAREAS'!M21,0),IF(AND(50&gt;='EDT Y TAREAS'!AK23,50&lt;'EDT Y TAREAS'!AL23),'EDT Y TAREAS'!AE23/'EDT Y TAREAS'!M23,0),IF(AND(50&gt;='EDT Y TAREAS'!AK37,50&lt;'EDT Y TAREAS'!AL37),'EDT Y TAREAS'!AE37/'EDT Y TAREAS'!M37,0),IF(AND(50&gt;='EDT Y TAREAS'!AK38,50&lt;'EDT Y TAREAS'!AL38),'EDT Y TAREAS'!AE38/'EDT Y TAREAS'!M38,0),IF(AND(50&gt;='EDT Y TAREAS'!AK41,50&lt;'EDT Y TAREAS'!AL41),'EDT Y TAREAS'!AE41/'EDT Y TAREAS'!M41,0),IF(AND(50&gt;='EDT Y TAREAS'!AK43,50&lt;'EDT Y TAREAS'!AL43),'EDT Y TAREAS'!AE43/'EDT Y TAREAS'!M43,0),IF(AND(50&gt;='EDT Y TAREAS'!AK44,50&lt;'EDT Y TAREAS'!AL44),'EDT Y TAREAS'!AE44/'EDT Y TAREAS'!M44,0),IF(AND(50&gt;='EDT Y TAREAS'!AK46,50&lt;'EDT Y TAREAS'!AL46),'EDT Y TAREAS'!AE46/'EDT Y TAREAS'!M46,0),IF(AND(50&gt;='EDT Y TAREAS'!AK47,50&lt;'EDT Y TAREAS'!AL47),'EDT Y TAREAS'!AE47/'EDT Y TAREAS'!M47,0),IF(AND(50&gt;='EDT Y TAREAS'!AK51,50&lt;'EDT Y TAREAS'!AL51),'EDT Y TAREAS'!AE51/'EDT Y TAREAS'!M51,0),IF(AND(50&gt;='EDT Y TAREAS'!AK52,50&lt;'EDT Y TAREAS'!AL52),'EDT Y TAREAS'!AE52/'EDT Y TAREAS'!M52,0))</x:f>
        <x:v>0</x:v>
      </x:c>
      <x:c r="D90" s="35" t="n">
        <x:f>SUM(IF(AND(50&gt;='EDT Y TAREAS'!AK11,50&lt;'EDT Y TAREAS'!AL11),'EDT Y TAREAS'!AF11/'EDT Y TAREAS'!M11,0),IF(AND(50&gt;='EDT Y TAREAS'!AK24,50&lt;'EDT Y TAREAS'!AL24),'EDT Y TAREAS'!AF24/'EDT Y TAREAS'!M24,0),IF(AND(50&gt;='EDT Y TAREAS'!AK25,50&lt;'EDT Y TAREAS'!AL25),'EDT Y TAREAS'!AF25/'EDT Y TAREAS'!M25,0),IF(AND(50&gt;='EDT Y TAREAS'!AK26,50&lt;'EDT Y TAREAS'!AL26),'EDT Y TAREAS'!AF26/'EDT Y TAREAS'!M26,0),IF(AND(50&gt;='EDT Y TAREAS'!AK27,50&lt;'EDT Y TAREAS'!AL27),'EDT Y TAREAS'!AF27/'EDT Y TAREAS'!M27,0),IF(AND(50&gt;='EDT Y TAREAS'!AK28,50&lt;'EDT Y TAREAS'!AL28),'EDT Y TAREAS'!AF28/'EDT Y TAREAS'!M28,0),IF(AND(50&gt;='EDT Y TAREAS'!AK31,50&lt;'EDT Y TAREAS'!AL31),'EDT Y TAREAS'!AF31/'EDT Y TAREAS'!M31,0),IF(AND(50&gt;='EDT Y TAREAS'!AK33,50&lt;'EDT Y TAREAS'!AL33),'EDT Y TAREAS'!AF33/'EDT Y TAREAS'!M33,0),IF(AND(50&gt;='EDT Y TAREAS'!AK34,50&lt;'EDT Y TAREAS'!AL34),'EDT Y TAREAS'!AF34/'EDT Y TAREAS'!M34,0),IF(AND(50&gt;='EDT Y TAREAS'!AK35,50&lt;'EDT Y TAREAS'!AL35),'EDT Y TAREAS'!AF35/'EDT Y TAREAS'!M35,0),IF(AND(50&gt;='EDT Y TAREAS'!AK37,50&lt;'EDT Y TAREAS'!AL37),'EDT Y TAREAS'!AF37/'EDT Y TAREAS'!M37,0),IF(AND(50&gt;='EDT Y TAREAS'!AK39,50&lt;'EDT Y TAREAS'!AL39),'EDT Y TAREAS'!AF39/'EDT Y TAREAS'!M39,0),IF(AND(50&gt;='EDT Y TAREAS'!AK40,50&lt;'EDT Y TAREAS'!AL40),'EDT Y TAREAS'!AF40/'EDT Y TAREAS'!M40,0),IF(AND(50&gt;='EDT Y TAREAS'!AK42,50&lt;'EDT Y TAREAS'!AL42),'EDT Y TAREAS'!AF42/'EDT Y TAREAS'!M42,0),IF(AND(50&gt;='EDT Y TAREAS'!AK45,50&lt;'EDT Y TAREAS'!AL45),'EDT Y TAREAS'!AF45/'EDT Y TAREAS'!M45,0),IF(AND(50&gt;='EDT Y TAREAS'!AK49,50&lt;'EDT Y TAREAS'!AL49),'EDT Y TAREAS'!AF49/'EDT Y TAREAS'!M49,0),IF(AND(50&gt;='EDT Y TAREAS'!AK52,50&lt;'EDT Y TAREAS'!AL52),'EDT Y TAREAS'!AF52/'EDT Y TAREAS'!M52,0))</x:f>
        <x:v>5.6</x:v>
      </x:c>
      <x:c r="E90" s="35" t="n">
        <x:f>SUM(IF(AND(50&gt;='EDT Y TAREAS'!AK29,50&lt;'EDT Y TAREAS'!AL29),'EDT Y TAREAS'!AG29/'EDT Y TAREAS'!M29,0),IF(AND(50&gt;='EDT Y TAREAS'!AK30,50&lt;'EDT Y TAREAS'!AL30),'EDT Y TAREAS'!AG30/'EDT Y TAREAS'!M30,0),IF(AND(50&gt;='EDT Y TAREAS'!AK31,50&lt;'EDT Y TAREAS'!AL31),'EDT Y TAREAS'!AG31/'EDT Y TAREAS'!M31,0),IF(AND(50&gt;='EDT Y TAREAS'!AK32,50&lt;'EDT Y TAREAS'!AL32),'EDT Y TAREAS'!AG32/'EDT Y TAREAS'!M32,0),IF(AND(50&gt;='EDT Y TAREAS'!AK41,50&lt;'EDT Y TAREAS'!AL41),'EDT Y TAREAS'!AG41/'EDT Y TAREAS'!M41,0),IF(AND(50&gt;='EDT Y TAREAS'!AK45,50&lt;'EDT Y TAREAS'!AL45),'EDT Y TAREAS'!AG45/'EDT Y TAREAS'!M45,0),IF(AND(50&gt;='EDT Y TAREAS'!AK48,50&lt;'EDT Y TAREAS'!AL48),'EDT Y TAREAS'!AG48/'EDT Y TAREAS'!M48,0))</x:f>
        <x:v>4.8</x:v>
      </x:c>
      <x:c r="F90" s="35" t="n">
        <x:f>SUM(IF(AND(50&gt;='EDT Y TAREAS'!AK10,50&lt;'EDT Y TAREAS'!AL10),'EDT Y TAREAS'!AH10/'EDT Y TAREAS'!M10,0),IF(AND(50&gt;='EDT Y TAREAS'!AK12,50&lt;'EDT Y TAREAS'!AL12),'EDT Y TAREAS'!AH12/'EDT Y TAREAS'!M12,0),IF(AND(50&gt;='EDT Y TAREAS'!AK22,50&lt;'EDT Y TAREAS'!AL22),'EDT Y TAREAS'!AH22/'EDT Y TAREAS'!M22,0),IF(AND(50&gt;='EDT Y TAREAS'!AK23,50&lt;'EDT Y TAREAS'!AL23),'EDT Y TAREAS'!AH23/'EDT Y TAREAS'!M23,0),IF(AND(50&gt;='EDT Y TAREAS'!AK29,50&lt;'EDT Y TAREAS'!AL29),'EDT Y TAREAS'!AH29/'EDT Y TAREAS'!M29,0),IF(AND(50&gt;='EDT Y TAREAS'!AK30,50&lt;'EDT Y TAREAS'!AL30),'EDT Y TAREAS'!AH30/'EDT Y TAREAS'!M30,0),IF(AND(50&gt;='EDT Y TAREAS'!AK32,50&lt;'EDT Y TAREAS'!AL32),'EDT Y TAREAS'!AH32/'EDT Y TAREAS'!M32,0),IF(AND(50&gt;='EDT Y TAREAS'!AK41,50&lt;'EDT Y TAREAS'!AL41),'EDT Y TAREAS'!AH41/'EDT Y TAREAS'!M41,0),IF(AND(50&gt;='EDT Y TAREAS'!AK44,50&lt;'EDT Y TAREAS'!AL44),'EDT Y TAREAS'!AH44/'EDT Y TAREAS'!M44,0),IF(AND(50&gt;='EDT Y TAREAS'!AK46,50&lt;'EDT Y TAREAS'!AL46),'EDT Y TAREAS'!AH46/'EDT Y TAREAS'!M46,0),IF(AND(50&gt;='EDT Y TAREAS'!AK48,50&lt;'EDT Y TAREAS'!AL48),'EDT Y TAREAS'!AH48/'EDT Y TAREAS'!M48,0))</x:f>
        <x:v>0.8</x:v>
      </x:c>
      <x:c r="G90" s="35" t="n">
        <x:f>SUM(IF(AND(50&gt;='EDT Y TAREAS'!AK20,50&lt;'EDT Y TAREAS'!AL20),'EDT Y TAREAS'!AI20/'EDT Y TAREAS'!M20,0),IF(AND(50&gt;='EDT Y TAREAS'!AK25,50&lt;'EDT Y TAREAS'!AL25),'EDT Y TAREAS'!AI25/'EDT Y TAREAS'!M25,0),IF(AND(50&gt;='EDT Y TAREAS'!AK33,50&lt;'EDT Y TAREAS'!AL33),'EDT Y TAREAS'!AI33/'EDT Y TAREAS'!M33,0),IF(AND(50&gt;='EDT Y TAREAS'!AK34,50&lt;'EDT Y TAREAS'!AL34),'EDT Y TAREAS'!AI34/'EDT Y TAREAS'!M34,0),IF(AND(50&gt;='EDT Y TAREAS'!AK36,50&lt;'EDT Y TAREAS'!AL36),'EDT Y TAREAS'!AI36/'EDT Y TAREAS'!M36,0),IF(AND(50&gt;='EDT Y TAREAS'!AK39,50&lt;'EDT Y TAREAS'!AL39),'EDT Y TAREAS'!AI39/'EDT Y TAREAS'!M39,0),IF(AND(50&gt;='EDT Y TAREAS'!AK40,50&lt;'EDT Y TAREAS'!AL40),'EDT Y TAREAS'!AI40/'EDT Y TAREAS'!M40,0),IF(AND(50&gt;='EDT Y TAREAS'!AK42,50&lt;'EDT Y TAREAS'!AL42),'EDT Y TAREAS'!AI42/'EDT Y TAREAS'!M42,0),IF(AND(50&gt;='EDT Y TAREAS'!AK43,50&lt;'EDT Y TAREAS'!AL43),'EDT Y TAREAS'!AI43/'EDT Y TAREAS'!M43,0),IF(AND(50&gt;='EDT Y TAREAS'!AK44,50&lt;'EDT Y TAREAS'!AL44),'EDT Y TAREAS'!AI44/'EDT Y TAREAS'!M44,0),IF(AND(50&gt;='EDT Y TAREAS'!AK45,50&lt;'EDT Y TAREAS'!AL45),'EDT Y TAREAS'!AI45/'EDT Y TAREAS'!M45,0),IF(AND(50&gt;='EDT Y TAREAS'!AK46,50&lt;'EDT Y TAREAS'!AL46),'EDT Y TAREAS'!AI46/'EDT Y TAREAS'!M46,0),IF(AND(50&gt;='EDT Y TAREAS'!AK48,50&lt;'EDT Y TAREAS'!AL48),'EDT Y TAREAS'!AI48/'EDT Y TAREAS'!M48,0),IF(AND(50&gt;='EDT Y TAREAS'!AK50,50&lt;'EDT Y TAREAS'!AL50),'EDT Y TAREAS'!AI50/'EDT Y TAREAS'!M50,0),IF(AND(50&gt;='EDT Y TAREAS'!AK52,50&lt;'EDT Y TAREAS'!AL52),'EDT Y TAREAS'!AI52/'EDT Y TAREAS'!M52,0))</x:f>
        <x:v>1.2</x:v>
      </x:c>
      <x:c r="H90" s="35" t="n">
        <x:f>SUM(IF(AND(50&gt;='EDT Y TAREAS'!AK11,50&lt;'EDT Y TAREAS'!AL11),'EDT Y TAREAS'!AJ11/'EDT Y TAREAS'!M11,0),IF(AND(50&gt;='EDT Y TAREAS'!AK24,50&lt;'EDT Y TAREAS'!AL24),'EDT Y TAREAS'!AJ24/'EDT Y TAREAS'!M24,0),IF(AND(50&gt;='EDT Y TAREAS'!AK27,50&lt;'EDT Y TAREAS'!AL27),'EDT Y TAREAS'!AJ27/'EDT Y TAREAS'!M27,0),IF(AND(50&gt;='EDT Y TAREAS'!AK28,50&lt;'EDT Y TAREAS'!AL28),'EDT Y TAREAS'!AJ28/'EDT Y TAREAS'!M28,0),IF(AND(50&gt;='EDT Y TAREAS'!AK33,50&lt;'EDT Y TAREAS'!AL33),'EDT Y TAREAS'!AJ33/'EDT Y TAREAS'!M33,0),IF(AND(50&gt;='EDT Y TAREAS'!AK35,50&lt;'EDT Y TAREAS'!AL35),'EDT Y TAREAS'!AJ35/'EDT Y TAREAS'!M35,0),IF(AND(50&gt;='EDT Y TAREAS'!AK36,50&lt;'EDT Y TAREAS'!AL36),'EDT Y TAREAS'!AJ36/'EDT Y TAREAS'!M36,0),IF(AND(50&gt;='EDT Y TAREAS'!AK37,50&lt;'EDT Y TAREAS'!AL37),'EDT Y TAREAS'!AJ37/'EDT Y TAREAS'!M37,0),IF(AND(50&gt;='EDT Y TAREAS'!AK40,50&lt;'EDT Y TAREAS'!AL40),'EDT Y TAREAS'!AJ40/'EDT Y TAREAS'!M40,0),IF(AND(50&gt;='EDT Y TAREAS'!AK42,50&lt;'EDT Y TAREAS'!AL42),'EDT Y TAREAS'!AJ42/'EDT Y TAREAS'!M42,0),IF(AND(50&gt;='EDT Y TAREAS'!AK49,50&lt;'EDT Y TAREAS'!AL49),'EDT Y TAREAS'!AJ49/'EDT Y TAREAS'!M49,0),IF(AND(50&gt;='EDT Y TAREAS'!AK50,50&lt;'EDT Y TAREAS'!AL50),'EDT Y TAREAS'!AJ50/'EDT Y TAREAS'!M50,0),IF(AND(50&gt;='EDT Y TAREAS'!AK51,50&lt;'EDT Y TAREAS'!AL51),'EDT Y TAREAS'!AJ51/'EDT Y TAREAS'!M51,0),IF(AND(50&gt;='EDT Y TAREAS'!AK52,50&lt;'EDT Y TAREAS'!AL52),'EDT Y TAREAS'!AJ52/'EDT Y TAREAS'!M52,0))</x:f>
        <x:v>4</x:v>
      </x:c>
      <x:c r="I90" s="10" t="n">
        <x:f>WORKDAY('RESUMEN'!$D$3-1,A90,'RESUMEN'!$J$6:$J$25)</x:f>
        <x:v>46398</x:v>
      </x:c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  <x:c r="AO90" s="3"/>
    </x:row>
    <x:row r="91" ht="24" customHeight="1">
      <x:c r="A91" s="3" t="n">
        <x:v>52</x:v>
      </x:c>
      <x:c r="B91" s="35" t="n">
        <x:f>SUM(IF(AND(51&gt;='EDT Y TAREAS'!AK6,51&lt;'EDT Y TAREAS'!AL6),'EDT Y TAREAS'!AD6/'EDT Y TAREAS'!M6,0),IF(AND(51&gt;='EDT Y TAREAS'!AK7,51&lt;'EDT Y TAREAS'!AL7),'EDT Y TAREAS'!AD7/'EDT Y TAREAS'!M7,0),IF(AND(51&gt;='EDT Y TAREAS'!AK8,51&lt;'EDT Y TAREAS'!AL8),'EDT Y TAREAS'!AD8/'EDT Y TAREAS'!M8,0),IF(AND(51&gt;='EDT Y TAREAS'!AK9,51&lt;'EDT Y TAREAS'!AL9),'EDT Y TAREAS'!AD9/'EDT Y TAREAS'!M9,0),IF(AND(51&gt;='EDT Y TAREAS'!AK10,51&lt;'EDT Y TAREAS'!AL10),'EDT Y TAREAS'!AD10/'EDT Y TAREAS'!M10,0),IF(AND(51&gt;='EDT Y TAREAS'!AK11,51&lt;'EDT Y TAREAS'!AL11),'EDT Y TAREAS'!AD11/'EDT Y TAREAS'!M11,0),IF(AND(51&gt;='EDT Y TAREAS'!AK12,51&lt;'EDT Y TAREAS'!AL12),'EDT Y TAREAS'!AD12/'EDT Y TAREAS'!M12,0),IF(AND(51&gt;='EDT Y TAREAS'!AK13,51&lt;'EDT Y TAREAS'!AL13),'EDT Y TAREAS'!AD13/'EDT Y TAREAS'!M13,0),IF(AND(51&gt;='EDT Y TAREAS'!AK14,51&lt;'EDT Y TAREAS'!AL14),'EDT Y TAREAS'!AD14/'EDT Y TAREAS'!M14,0),IF(AND(51&gt;='EDT Y TAREAS'!AK15,51&lt;'EDT Y TAREAS'!AL15),'EDT Y TAREAS'!AD15/'EDT Y TAREAS'!M15,0),IF(AND(51&gt;='EDT Y TAREAS'!AK16,51&lt;'EDT Y TAREAS'!AL16),'EDT Y TAREAS'!AD16/'EDT Y TAREAS'!M16,0),IF(AND(51&gt;='EDT Y TAREAS'!AK17,51&lt;'EDT Y TAREAS'!AL17),'EDT Y TAREAS'!AD17/'EDT Y TAREAS'!M17,0),IF(AND(51&gt;='EDT Y TAREAS'!AK18,51&lt;'EDT Y TAREAS'!AL18),'EDT Y TAREAS'!AD18/'EDT Y TAREAS'!M18,0),IF(AND(51&gt;='EDT Y TAREAS'!AK19,51&lt;'EDT Y TAREAS'!AL19),'EDT Y TAREAS'!AD19/'EDT Y TAREAS'!M19,0),IF(AND(51&gt;='EDT Y TAREAS'!AK20,51&lt;'EDT Y TAREAS'!AL20),'EDT Y TAREAS'!AD20/'EDT Y TAREAS'!M20,0),IF(AND(51&gt;='EDT Y TAREAS'!AK21,51&lt;'EDT Y TAREAS'!AL21),'EDT Y TAREAS'!AD21/'EDT Y TAREAS'!M21,0),IF(AND(51&gt;='EDT Y TAREAS'!AK22,51&lt;'EDT Y TAREAS'!AL22),'EDT Y TAREAS'!AD22/'EDT Y TAREAS'!M22,0),IF(AND(51&gt;='EDT Y TAREAS'!AK23,51&lt;'EDT Y TAREAS'!AL23),'EDT Y TAREAS'!AD23/'EDT Y TAREAS'!M23,0),IF(AND(51&gt;='EDT Y TAREAS'!AK26,51&lt;'EDT Y TAREAS'!AL26),'EDT Y TAREAS'!AD26/'EDT Y TAREAS'!M26,0),IF(AND(51&gt;='EDT Y TAREAS'!AK28,51&lt;'EDT Y TAREAS'!AL28),'EDT Y TAREAS'!AD28/'EDT Y TAREAS'!M28,0),IF(AND(51&gt;='EDT Y TAREAS'!AK30,51&lt;'EDT Y TAREAS'!AL30),'EDT Y TAREAS'!AD30/'EDT Y TAREAS'!M30,0),IF(AND(51&gt;='EDT Y TAREAS'!AK32,51&lt;'EDT Y TAREAS'!AL32),'EDT Y TAREAS'!AD32/'EDT Y TAREAS'!M32,0),IF(AND(51&gt;='EDT Y TAREAS'!AK34,51&lt;'EDT Y TAREAS'!AL34),'EDT Y TAREAS'!AD34/'EDT Y TAREAS'!M34,0),IF(AND(51&gt;='EDT Y TAREAS'!AK38,51&lt;'EDT Y TAREAS'!AL38),'EDT Y TAREAS'!AD38/'EDT Y TAREAS'!M38,0),IF(AND(51&gt;='EDT Y TAREAS'!AK39,51&lt;'EDT Y TAREAS'!AL39),'EDT Y TAREAS'!AD39/'EDT Y TAREAS'!M39,0),IF(AND(51&gt;='EDT Y TAREAS'!AK43,51&lt;'EDT Y TAREAS'!AL43),'EDT Y TAREAS'!AD43/'EDT Y TAREAS'!M43,0),IF(AND(51&gt;='EDT Y TAREAS'!AK44,51&lt;'EDT Y TAREAS'!AL44),'EDT Y TAREAS'!AD44/'EDT Y TAREAS'!M44,0),IF(AND(51&gt;='EDT Y TAREAS'!AK45,51&lt;'EDT Y TAREAS'!AL45),'EDT Y TAREAS'!AD45/'EDT Y TAREAS'!M45,0),IF(AND(51&gt;='EDT Y TAREAS'!AK46,51&lt;'EDT Y TAREAS'!AL46),'EDT Y TAREAS'!AD46/'EDT Y TAREAS'!M46,0),IF(AND(51&gt;='EDT Y TAREAS'!AK47,51&lt;'EDT Y TAREAS'!AL47),'EDT Y TAREAS'!AD47/'EDT Y TAREAS'!M47,0),IF(AND(51&gt;='EDT Y TAREAS'!AK49,51&lt;'EDT Y TAREAS'!AL49),'EDT Y TAREAS'!AD49/'EDT Y TAREAS'!M49,0),IF(AND(51&gt;='EDT Y TAREAS'!AK50,51&lt;'EDT Y TAREAS'!AL50),'EDT Y TAREAS'!AD50/'EDT Y TAREAS'!M50,0),IF(AND(51&gt;='EDT Y TAREAS'!AK51,51&lt;'EDT Y TAREAS'!AL51),'EDT Y TAREAS'!AD51/'EDT Y TAREAS'!M51,0),IF(AND(51&gt;='EDT Y TAREAS'!AK52,51&lt;'EDT Y TAREAS'!AL52),'EDT Y TAREAS'!AD52/'EDT Y TAREAS'!M52,0))</x:f>
        <x:v>4.8</x:v>
      </x:c>
      <x:c r="C91" s="35" t="n">
        <x:f>SUM(IF(AND(51&gt;='EDT Y TAREAS'!AK6,51&lt;'EDT Y TAREAS'!AL6),'EDT Y TAREAS'!AE6/'EDT Y TAREAS'!M6,0),IF(AND(51&gt;='EDT Y TAREAS'!AK8,51&lt;'EDT Y TAREAS'!AL8),'EDT Y TAREAS'!AE8/'EDT Y TAREAS'!M8,0),IF(AND(51&gt;='EDT Y TAREAS'!AK9,51&lt;'EDT Y TAREAS'!AL9),'EDT Y TAREAS'!AE9/'EDT Y TAREAS'!M9,0),IF(AND(51&gt;='EDT Y TAREAS'!AK10,51&lt;'EDT Y TAREAS'!AL10),'EDT Y TAREAS'!AE10/'EDT Y TAREAS'!M10,0),IF(AND(51&gt;='EDT Y TAREAS'!AK12,51&lt;'EDT Y TAREAS'!AL12),'EDT Y TAREAS'!AE12/'EDT Y TAREAS'!M12,0),IF(AND(51&gt;='EDT Y TAREAS'!AK16,51&lt;'EDT Y TAREAS'!AL16),'EDT Y TAREAS'!AE16/'EDT Y TAREAS'!M16,0),IF(AND(51&gt;='EDT Y TAREAS'!AK21,51&lt;'EDT Y TAREAS'!AL21),'EDT Y TAREAS'!AE21/'EDT Y TAREAS'!M21,0),IF(AND(51&gt;='EDT Y TAREAS'!AK23,51&lt;'EDT Y TAREAS'!AL23),'EDT Y TAREAS'!AE23/'EDT Y TAREAS'!M23,0),IF(AND(51&gt;='EDT Y TAREAS'!AK37,51&lt;'EDT Y TAREAS'!AL37),'EDT Y TAREAS'!AE37/'EDT Y TAREAS'!M37,0),IF(AND(51&gt;='EDT Y TAREAS'!AK38,51&lt;'EDT Y TAREAS'!AL38),'EDT Y TAREAS'!AE38/'EDT Y TAREAS'!M38,0),IF(AND(51&gt;='EDT Y TAREAS'!AK41,51&lt;'EDT Y TAREAS'!AL41),'EDT Y TAREAS'!AE41/'EDT Y TAREAS'!M41,0),IF(AND(51&gt;='EDT Y TAREAS'!AK43,51&lt;'EDT Y TAREAS'!AL43),'EDT Y TAREAS'!AE43/'EDT Y TAREAS'!M43,0),IF(AND(51&gt;='EDT Y TAREAS'!AK44,51&lt;'EDT Y TAREAS'!AL44),'EDT Y TAREAS'!AE44/'EDT Y TAREAS'!M44,0),IF(AND(51&gt;='EDT Y TAREAS'!AK46,51&lt;'EDT Y TAREAS'!AL46),'EDT Y TAREAS'!AE46/'EDT Y TAREAS'!M46,0),IF(AND(51&gt;='EDT Y TAREAS'!AK47,51&lt;'EDT Y TAREAS'!AL47),'EDT Y TAREAS'!AE47/'EDT Y TAREAS'!M47,0),IF(AND(51&gt;='EDT Y TAREAS'!AK51,51&lt;'EDT Y TAREAS'!AL51),'EDT Y TAREAS'!AE51/'EDT Y TAREAS'!M51,0),IF(AND(51&gt;='EDT Y TAREAS'!AK52,51&lt;'EDT Y TAREAS'!AL52),'EDT Y TAREAS'!AE52/'EDT Y TAREAS'!M52,0))</x:f>
        <x:v>0</x:v>
      </x:c>
      <x:c r="D91" s="35" t="n">
        <x:f>SUM(IF(AND(51&gt;='EDT Y TAREAS'!AK11,51&lt;'EDT Y TAREAS'!AL11),'EDT Y TAREAS'!AF11/'EDT Y TAREAS'!M11,0),IF(AND(51&gt;='EDT Y TAREAS'!AK24,51&lt;'EDT Y TAREAS'!AL24),'EDT Y TAREAS'!AF24/'EDT Y TAREAS'!M24,0),IF(AND(51&gt;='EDT Y TAREAS'!AK25,51&lt;'EDT Y TAREAS'!AL25),'EDT Y TAREAS'!AF25/'EDT Y TAREAS'!M25,0),IF(AND(51&gt;='EDT Y TAREAS'!AK26,51&lt;'EDT Y TAREAS'!AL26),'EDT Y TAREAS'!AF26/'EDT Y TAREAS'!M26,0),IF(AND(51&gt;='EDT Y TAREAS'!AK27,51&lt;'EDT Y TAREAS'!AL27),'EDT Y TAREAS'!AF27/'EDT Y TAREAS'!M27,0),IF(AND(51&gt;='EDT Y TAREAS'!AK28,51&lt;'EDT Y TAREAS'!AL28),'EDT Y TAREAS'!AF28/'EDT Y TAREAS'!M28,0),IF(AND(51&gt;='EDT Y TAREAS'!AK31,51&lt;'EDT Y TAREAS'!AL31),'EDT Y TAREAS'!AF31/'EDT Y TAREAS'!M31,0),IF(AND(51&gt;='EDT Y TAREAS'!AK33,51&lt;'EDT Y TAREAS'!AL33),'EDT Y TAREAS'!AF33/'EDT Y TAREAS'!M33,0),IF(AND(51&gt;='EDT Y TAREAS'!AK34,51&lt;'EDT Y TAREAS'!AL34),'EDT Y TAREAS'!AF34/'EDT Y TAREAS'!M34,0),IF(AND(51&gt;='EDT Y TAREAS'!AK35,51&lt;'EDT Y TAREAS'!AL35),'EDT Y TAREAS'!AF35/'EDT Y TAREAS'!M35,0),IF(AND(51&gt;='EDT Y TAREAS'!AK37,51&lt;'EDT Y TAREAS'!AL37),'EDT Y TAREAS'!AF37/'EDT Y TAREAS'!M37,0),IF(AND(51&gt;='EDT Y TAREAS'!AK39,51&lt;'EDT Y TAREAS'!AL39),'EDT Y TAREAS'!AF39/'EDT Y TAREAS'!M39,0),IF(AND(51&gt;='EDT Y TAREAS'!AK40,51&lt;'EDT Y TAREAS'!AL40),'EDT Y TAREAS'!AF40/'EDT Y TAREAS'!M40,0),IF(AND(51&gt;='EDT Y TAREAS'!AK42,51&lt;'EDT Y TAREAS'!AL42),'EDT Y TAREAS'!AF42/'EDT Y TAREAS'!M42,0),IF(AND(51&gt;='EDT Y TAREAS'!AK45,51&lt;'EDT Y TAREAS'!AL45),'EDT Y TAREAS'!AF45/'EDT Y TAREAS'!M45,0),IF(AND(51&gt;='EDT Y TAREAS'!AK49,51&lt;'EDT Y TAREAS'!AL49),'EDT Y TAREAS'!AF49/'EDT Y TAREAS'!M49,0),IF(AND(51&gt;='EDT Y TAREAS'!AK52,51&lt;'EDT Y TAREAS'!AL52),'EDT Y TAREAS'!AF52/'EDT Y TAREAS'!M52,0))</x:f>
        <x:v>5.6</x:v>
      </x:c>
      <x:c r="E91" s="35" t="n">
        <x:f>SUM(IF(AND(51&gt;='EDT Y TAREAS'!AK29,51&lt;'EDT Y TAREAS'!AL29),'EDT Y TAREAS'!AG29/'EDT Y TAREAS'!M29,0),IF(AND(51&gt;='EDT Y TAREAS'!AK30,51&lt;'EDT Y TAREAS'!AL30),'EDT Y TAREAS'!AG30/'EDT Y TAREAS'!M30,0),IF(AND(51&gt;='EDT Y TAREAS'!AK31,51&lt;'EDT Y TAREAS'!AL31),'EDT Y TAREAS'!AG31/'EDT Y TAREAS'!M31,0),IF(AND(51&gt;='EDT Y TAREAS'!AK32,51&lt;'EDT Y TAREAS'!AL32),'EDT Y TAREAS'!AG32/'EDT Y TAREAS'!M32,0),IF(AND(51&gt;='EDT Y TAREAS'!AK41,51&lt;'EDT Y TAREAS'!AL41),'EDT Y TAREAS'!AG41/'EDT Y TAREAS'!M41,0),IF(AND(51&gt;='EDT Y TAREAS'!AK45,51&lt;'EDT Y TAREAS'!AL45),'EDT Y TAREAS'!AG45/'EDT Y TAREAS'!M45,0),IF(AND(51&gt;='EDT Y TAREAS'!AK48,51&lt;'EDT Y TAREAS'!AL48),'EDT Y TAREAS'!AG48/'EDT Y TAREAS'!M48,0))</x:f>
        <x:v>0</x:v>
      </x:c>
      <x:c r="F91" s="35" t="n">
        <x:f>SUM(IF(AND(51&gt;='EDT Y TAREAS'!AK10,51&lt;'EDT Y TAREAS'!AL10),'EDT Y TAREAS'!AH10/'EDT Y TAREAS'!M10,0),IF(AND(51&gt;='EDT Y TAREAS'!AK12,51&lt;'EDT Y TAREAS'!AL12),'EDT Y TAREAS'!AH12/'EDT Y TAREAS'!M12,0),IF(AND(51&gt;='EDT Y TAREAS'!AK22,51&lt;'EDT Y TAREAS'!AL22),'EDT Y TAREAS'!AH22/'EDT Y TAREAS'!M22,0),IF(AND(51&gt;='EDT Y TAREAS'!AK23,51&lt;'EDT Y TAREAS'!AL23),'EDT Y TAREAS'!AH23/'EDT Y TAREAS'!M23,0),IF(AND(51&gt;='EDT Y TAREAS'!AK29,51&lt;'EDT Y TAREAS'!AL29),'EDT Y TAREAS'!AH29/'EDT Y TAREAS'!M29,0),IF(AND(51&gt;='EDT Y TAREAS'!AK30,51&lt;'EDT Y TAREAS'!AL30),'EDT Y TAREAS'!AH30/'EDT Y TAREAS'!M30,0),IF(AND(51&gt;='EDT Y TAREAS'!AK32,51&lt;'EDT Y TAREAS'!AL32),'EDT Y TAREAS'!AH32/'EDT Y TAREAS'!M32,0),IF(AND(51&gt;='EDT Y TAREAS'!AK41,51&lt;'EDT Y TAREAS'!AL41),'EDT Y TAREAS'!AH41/'EDT Y TAREAS'!M41,0),IF(AND(51&gt;='EDT Y TAREAS'!AK44,51&lt;'EDT Y TAREAS'!AL44),'EDT Y TAREAS'!AH44/'EDT Y TAREAS'!M44,0),IF(AND(51&gt;='EDT Y TAREAS'!AK46,51&lt;'EDT Y TAREAS'!AL46),'EDT Y TAREAS'!AH46/'EDT Y TAREAS'!M46,0),IF(AND(51&gt;='EDT Y TAREAS'!AK48,51&lt;'EDT Y TAREAS'!AL48),'EDT Y TAREAS'!AH48/'EDT Y TAREAS'!M48,0))</x:f>
        <x:v>0</x:v>
      </x:c>
      <x:c r="G91" s="35" t="n">
        <x:f>SUM(IF(AND(51&gt;='EDT Y TAREAS'!AK20,51&lt;'EDT Y TAREAS'!AL20),'EDT Y TAREAS'!AI20/'EDT Y TAREAS'!M20,0),IF(AND(51&gt;='EDT Y TAREAS'!AK25,51&lt;'EDT Y TAREAS'!AL25),'EDT Y TAREAS'!AI25/'EDT Y TAREAS'!M25,0),IF(AND(51&gt;='EDT Y TAREAS'!AK33,51&lt;'EDT Y TAREAS'!AL33),'EDT Y TAREAS'!AI33/'EDT Y TAREAS'!M33,0),IF(AND(51&gt;='EDT Y TAREAS'!AK34,51&lt;'EDT Y TAREAS'!AL34),'EDT Y TAREAS'!AI34/'EDT Y TAREAS'!M34,0),IF(AND(51&gt;='EDT Y TAREAS'!AK36,51&lt;'EDT Y TAREAS'!AL36),'EDT Y TAREAS'!AI36/'EDT Y TAREAS'!M36,0),IF(AND(51&gt;='EDT Y TAREAS'!AK39,51&lt;'EDT Y TAREAS'!AL39),'EDT Y TAREAS'!AI39/'EDT Y TAREAS'!M39,0),IF(AND(51&gt;='EDT Y TAREAS'!AK40,51&lt;'EDT Y TAREAS'!AL40),'EDT Y TAREAS'!AI40/'EDT Y TAREAS'!M40,0),IF(AND(51&gt;='EDT Y TAREAS'!AK42,51&lt;'EDT Y TAREAS'!AL42),'EDT Y TAREAS'!AI42/'EDT Y TAREAS'!M42,0),IF(AND(51&gt;='EDT Y TAREAS'!AK43,51&lt;'EDT Y TAREAS'!AL43),'EDT Y TAREAS'!AI43/'EDT Y TAREAS'!M43,0),IF(AND(51&gt;='EDT Y TAREAS'!AK44,51&lt;'EDT Y TAREAS'!AL44),'EDT Y TAREAS'!AI44/'EDT Y TAREAS'!M44,0),IF(AND(51&gt;='EDT Y TAREAS'!AK45,51&lt;'EDT Y TAREAS'!AL45),'EDT Y TAREAS'!AI45/'EDT Y TAREAS'!M45,0),IF(AND(51&gt;='EDT Y TAREAS'!AK46,51&lt;'EDT Y TAREAS'!AL46),'EDT Y TAREAS'!AI46/'EDT Y TAREAS'!M46,0),IF(AND(51&gt;='EDT Y TAREAS'!AK48,51&lt;'EDT Y TAREAS'!AL48),'EDT Y TAREAS'!AI48/'EDT Y TAREAS'!M48,0),IF(AND(51&gt;='EDT Y TAREAS'!AK50,51&lt;'EDT Y TAREAS'!AL50),'EDT Y TAREAS'!AI50/'EDT Y TAREAS'!M50,0),IF(AND(51&gt;='EDT Y TAREAS'!AK52,51&lt;'EDT Y TAREAS'!AL52),'EDT Y TAREAS'!AI52/'EDT Y TAREAS'!M52,0))</x:f>
        <x:v>1.2</x:v>
      </x:c>
      <x:c r="H91" s="35" t="n">
        <x:f>SUM(IF(AND(51&gt;='EDT Y TAREAS'!AK11,51&lt;'EDT Y TAREAS'!AL11),'EDT Y TAREAS'!AJ11/'EDT Y TAREAS'!M11,0),IF(AND(51&gt;='EDT Y TAREAS'!AK24,51&lt;'EDT Y TAREAS'!AL24),'EDT Y TAREAS'!AJ24/'EDT Y TAREAS'!M24,0),IF(AND(51&gt;='EDT Y TAREAS'!AK27,51&lt;'EDT Y TAREAS'!AL27),'EDT Y TAREAS'!AJ27/'EDT Y TAREAS'!M27,0),IF(AND(51&gt;='EDT Y TAREAS'!AK28,51&lt;'EDT Y TAREAS'!AL28),'EDT Y TAREAS'!AJ28/'EDT Y TAREAS'!M28,0),IF(AND(51&gt;='EDT Y TAREAS'!AK33,51&lt;'EDT Y TAREAS'!AL33),'EDT Y TAREAS'!AJ33/'EDT Y TAREAS'!M33,0),IF(AND(51&gt;='EDT Y TAREAS'!AK35,51&lt;'EDT Y TAREAS'!AL35),'EDT Y TAREAS'!AJ35/'EDT Y TAREAS'!M35,0),IF(AND(51&gt;='EDT Y TAREAS'!AK36,51&lt;'EDT Y TAREAS'!AL36),'EDT Y TAREAS'!AJ36/'EDT Y TAREAS'!M36,0),IF(AND(51&gt;='EDT Y TAREAS'!AK37,51&lt;'EDT Y TAREAS'!AL37),'EDT Y TAREAS'!AJ37/'EDT Y TAREAS'!M37,0),IF(AND(51&gt;='EDT Y TAREAS'!AK40,51&lt;'EDT Y TAREAS'!AL40),'EDT Y TAREAS'!AJ40/'EDT Y TAREAS'!M40,0),IF(AND(51&gt;='EDT Y TAREAS'!AK42,51&lt;'EDT Y TAREAS'!AL42),'EDT Y TAREAS'!AJ42/'EDT Y TAREAS'!M42,0),IF(AND(51&gt;='EDT Y TAREAS'!AK49,51&lt;'EDT Y TAREAS'!AL49),'EDT Y TAREAS'!AJ49/'EDT Y TAREAS'!M49,0),IF(AND(51&gt;='EDT Y TAREAS'!AK50,51&lt;'EDT Y TAREAS'!AL50),'EDT Y TAREAS'!AJ50/'EDT Y TAREAS'!M50,0),IF(AND(51&gt;='EDT Y TAREAS'!AK51,51&lt;'EDT Y TAREAS'!AL51),'EDT Y TAREAS'!AJ51/'EDT Y TAREAS'!M51,0),IF(AND(51&gt;='EDT Y TAREAS'!AK52,51&lt;'EDT Y TAREAS'!AL52),'EDT Y TAREAS'!AJ52/'EDT Y TAREAS'!M52,0))</x:f>
        <x:v>4</x:v>
      </x:c>
      <x:c r="I91" s="10" t="n">
        <x:f>WORKDAY('RESUMEN'!$D$3-1,A91,'RESUMEN'!$J$6:$J$25)</x:f>
        <x:v>46399</x:v>
      </x:c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  <x:c r="AL91" s="3"/>
      <x:c r="AM91" s="3"/>
      <x:c r="AN91" s="3"/>
      <x:c r="AO91" s="3"/>
    </x:row>
    <x:row r="92" ht="24" customHeight="1">
      <x:c r="A92" s="3" t="n">
        <x:v>53</x:v>
      </x:c>
      <x:c r="B92" s="35" t="n">
        <x:f>SUM(IF(AND(52&gt;='EDT Y TAREAS'!AK6,52&lt;'EDT Y TAREAS'!AL6),'EDT Y TAREAS'!AD6/'EDT Y TAREAS'!M6,0),IF(AND(52&gt;='EDT Y TAREAS'!AK7,52&lt;'EDT Y TAREAS'!AL7),'EDT Y TAREAS'!AD7/'EDT Y TAREAS'!M7,0),IF(AND(52&gt;='EDT Y TAREAS'!AK8,52&lt;'EDT Y TAREAS'!AL8),'EDT Y TAREAS'!AD8/'EDT Y TAREAS'!M8,0),IF(AND(52&gt;='EDT Y TAREAS'!AK9,52&lt;'EDT Y TAREAS'!AL9),'EDT Y TAREAS'!AD9/'EDT Y TAREAS'!M9,0),IF(AND(52&gt;='EDT Y TAREAS'!AK10,52&lt;'EDT Y TAREAS'!AL10),'EDT Y TAREAS'!AD10/'EDT Y TAREAS'!M10,0),IF(AND(52&gt;='EDT Y TAREAS'!AK11,52&lt;'EDT Y TAREAS'!AL11),'EDT Y TAREAS'!AD11/'EDT Y TAREAS'!M11,0),IF(AND(52&gt;='EDT Y TAREAS'!AK12,52&lt;'EDT Y TAREAS'!AL12),'EDT Y TAREAS'!AD12/'EDT Y TAREAS'!M12,0),IF(AND(52&gt;='EDT Y TAREAS'!AK13,52&lt;'EDT Y TAREAS'!AL13),'EDT Y TAREAS'!AD13/'EDT Y TAREAS'!M13,0),IF(AND(52&gt;='EDT Y TAREAS'!AK14,52&lt;'EDT Y TAREAS'!AL14),'EDT Y TAREAS'!AD14/'EDT Y TAREAS'!M14,0),IF(AND(52&gt;='EDT Y TAREAS'!AK15,52&lt;'EDT Y TAREAS'!AL15),'EDT Y TAREAS'!AD15/'EDT Y TAREAS'!M15,0),IF(AND(52&gt;='EDT Y TAREAS'!AK16,52&lt;'EDT Y TAREAS'!AL16),'EDT Y TAREAS'!AD16/'EDT Y TAREAS'!M16,0),IF(AND(52&gt;='EDT Y TAREAS'!AK17,52&lt;'EDT Y TAREAS'!AL17),'EDT Y TAREAS'!AD17/'EDT Y TAREAS'!M17,0),IF(AND(52&gt;='EDT Y TAREAS'!AK18,52&lt;'EDT Y TAREAS'!AL18),'EDT Y TAREAS'!AD18/'EDT Y TAREAS'!M18,0),IF(AND(52&gt;='EDT Y TAREAS'!AK19,52&lt;'EDT Y TAREAS'!AL19),'EDT Y TAREAS'!AD19/'EDT Y TAREAS'!M19,0),IF(AND(52&gt;='EDT Y TAREAS'!AK20,52&lt;'EDT Y TAREAS'!AL20),'EDT Y TAREAS'!AD20/'EDT Y TAREAS'!M20,0),IF(AND(52&gt;='EDT Y TAREAS'!AK21,52&lt;'EDT Y TAREAS'!AL21),'EDT Y TAREAS'!AD21/'EDT Y TAREAS'!M21,0),IF(AND(52&gt;='EDT Y TAREAS'!AK22,52&lt;'EDT Y TAREAS'!AL22),'EDT Y TAREAS'!AD22/'EDT Y TAREAS'!M22,0),IF(AND(52&gt;='EDT Y TAREAS'!AK23,52&lt;'EDT Y TAREAS'!AL23),'EDT Y TAREAS'!AD23/'EDT Y TAREAS'!M23,0),IF(AND(52&gt;='EDT Y TAREAS'!AK26,52&lt;'EDT Y TAREAS'!AL26),'EDT Y TAREAS'!AD26/'EDT Y TAREAS'!M26,0),IF(AND(52&gt;='EDT Y TAREAS'!AK28,52&lt;'EDT Y TAREAS'!AL28),'EDT Y TAREAS'!AD28/'EDT Y TAREAS'!M28,0),IF(AND(52&gt;='EDT Y TAREAS'!AK30,52&lt;'EDT Y TAREAS'!AL30),'EDT Y TAREAS'!AD30/'EDT Y TAREAS'!M30,0),IF(AND(52&gt;='EDT Y TAREAS'!AK32,52&lt;'EDT Y TAREAS'!AL32),'EDT Y TAREAS'!AD32/'EDT Y TAREAS'!M32,0),IF(AND(52&gt;='EDT Y TAREAS'!AK34,52&lt;'EDT Y TAREAS'!AL34),'EDT Y TAREAS'!AD34/'EDT Y TAREAS'!M34,0),IF(AND(52&gt;='EDT Y TAREAS'!AK38,52&lt;'EDT Y TAREAS'!AL38),'EDT Y TAREAS'!AD38/'EDT Y TAREAS'!M38,0),IF(AND(52&gt;='EDT Y TAREAS'!AK39,52&lt;'EDT Y TAREAS'!AL39),'EDT Y TAREAS'!AD39/'EDT Y TAREAS'!M39,0),IF(AND(52&gt;='EDT Y TAREAS'!AK43,52&lt;'EDT Y TAREAS'!AL43),'EDT Y TAREAS'!AD43/'EDT Y TAREAS'!M43,0),IF(AND(52&gt;='EDT Y TAREAS'!AK44,52&lt;'EDT Y TAREAS'!AL44),'EDT Y TAREAS'!AD44/'EDT Y TAREAS'!M44,0),IF(AND(52&gt;='EDT Y TAREAS'!AK45,52&lt;'EDT Y TAREAS'!AL45),'EDT Y TAREAS'!AD45/'EDT Y TAREAS'!M45,0),IF(AND(52&gt;='EDT Y TAREAS'!AK46,52&lt;'EDT Y TAREAS'!AL46),'EDT Y TAREAS'!AD46/'EDT Y TAREAS'!M46,0),IF(AND(52&gt;='EDT Y TAREAS'!AK47,52&lt;'EDT Y TAREAS'!AL47),'EDT Y TAREAS'!AD47/'EDT Y TAREAS'!M47,0),IF(AND(52&gt;='EDT Y TAREAS'!AK49,52&lt;'EDT Y TAREAS'!AL49),'EDT Y TAREAS'!AD49/'EDT Y TAREAS'!M49,0),IF(AND(52&gt;='EDT Y TAREAS'!AK50,52&lt;'EDT Y TAREAS'!AL50),'EDT Y TAREAS'!AD50/'EDT Y TAREAS'!M50,0),IF(AND(52&gt;='EDT Y TAREAS'!AK51,52&lt;'EDT Y TAREAS'!AL51),'EDT Y TAREAS'!AD51/'EDT Y TAREAS'!M51,0),IF(AND(52&gt;='EDT Y TAREAS'!AK52,52&lt;'EDT Y TAREAS'!AL52),'EDT Y TAREAS'!AD52/'EDT Y TAREAS'!M52,0))</x:f>
        <x:v>4.8</x:v>
      </x:c>
      <x:c r="C92" s="35" t="n">
        <x:f>SUM(IF(AND(52&gt;='EDT Y TAREAS'!AK6,52&lt;'EDT Y TAREAS'!AL6),'EDT Y TAREAS'!AE6/'EDT Y TAREAS'!M6,0),IF(AND(52&gt;='EDT Y TAREAS'!AK8,52&lt;'EDT Y TAREAS'!AL8),'EDT Y TAREAS'!AE8/'EDT Y TAREAS'!M8,0),IF(AND(52&gt;='EDT Y TAREAS'!AK9,52&lt;'EDT Y TAREAS'!AL9),'EDT Y TAREAS'!AE9/'EDT Y TAREAS'!M9,0),IF(AND(52&gt;='EDT Y TAREAS'!AK10,52&lt;'EDT Y TAREAS'!AL10),'EDT Y TAREAS'!AE10/'EDT Y TAREAS'!M10,0),IF(AND(52&gt;='EDT Y TAREAS'!AK12,52&lt;'EDT Y TAREAS'!AL12),'EDT Y TAREAS'!AE12/'EDT Y TAREAS'!M12,0),IF(AND(52&gt;='EDT Y TAREAS'!AK16,52&lt;'EDT Y TAREAS'!AL16),'EDT Y TAREAS'!AE16/'EDT Y TAREAS'!M16,0),IF(AND(52&gt;='EDT Y TAREAS'!AK21,52&lt;'EDT Y TAREAS'!AL21),'EDT Y TAREAS'!AE21/'EDT Y TAREAS'!M21,0),IF(AND(52&gt;='EDT Y TAREAS'!AK23,52&lt;'EDT Y TAREAS'!AL23),'EDT Y TAREAS'!AE23/'EDT Y TAREAS'!M23,0),IF(AND(52&gt;='EDT Y TAREAS'!AK37,52&lt;'EDT Y TAREAS'!AL37),'EDT Y TAREAS'!AE37/'EDT Y TAREAS'!M37,0),IF(AND(52&gt;='EDT Y TAREAS'!AK38,52&lt;'EDT Y TAREAS'!AL38),'EDT Y TAREAS'!AE38/'EDT Y TAREAS'!M38,0),IF(AND(52&gt;='EDT Y TAREAS'!AK41,52&lt;'EDT Y TAREAS'!AL41),'EDT Y TAREAS'!AE41/'EDT Y TAREAS'!M41,0),IF(AND(52&gt;='EDT Y TAREAS'!AK43,52&lt;'EDT Y TAREAS'!AL43),'EDT Y TAREAS'!AE43/'EDT Y TAREAS'!M43,0),IF(AND(52&gt;='EDT Y TAREAS'!AK44,52&lt;'EDT Y TAREAS'!AL44),'EDT Y TAREAS'!AE44/'EDT Y TAREAS'!M44,0),IF(AND(52&gt;='EDT Y TAREAS'!AK46,52&lt;'EDT Y TAREAS'!AL46),'EDT Y TAREAS'!AE46/'EDT Y TAREAS'!M46,0),IF(AND(52&gt;='EDT Y TAREAS'!AK47,52&lt;'EDT Y TAREAS'!AL47),'EDT Y TAREAS'!AE47/'EDT Y TAREAS'!M47,0),IF(AND(52&gt;='EDT Y TAREAS'!AK51,52&lt;'EDT Y TAREAS'!AL51),'EDT Y TAREAS'!AE51/'EDT Y TAREAS'!M51,0),IF(AND(52&gt;='EDT Y TAREAS'!AK52,52&lt;'EDT Y TAREAS'!AL52),'EDT Y TAREAS'!AE52/'EDT Y TAREAS'!M52,0))</x:f>
        <x:v>0</x:v>
      </x:c>
      <x:c r="D92" s="35" t="n">
        <x:f>SUM(IF(AND(52&gt;='EDT Y TAREAS'!AK11,52&lt;'EDT Y TAREAS'!AL11),'EDT Y TAREAS'!AF11/'EDT Y TAREAS'!M11,0),IF(AND(52&gt;='EDT Y TAREAS'!AK24,52&lt;'EDT Y TAREAS'!AL24),'EDT Y TAREAS'!AF24/'EDT Y TAREAS'!M24,0),IF(AND(52&gt;='EDT Y TAREAS'!AK25,52&lt;'EDT Y TAREAS'!AL25),'EDT Y TAREAS'!AF25/'EDT Y TAREAS'!M25,0),IF(AND(52&gt;='EDT Y TAREAS'!AK26,52&lt;'EDT Y TAREAS'!AL26),'EDT Y TAREAS'!AF26/'EDT Y TAREAS'!M26,0),IF(AND(52&gt;='EDT Y TAREAS'!AK27,52&lt;'EDT Y TAREAS'!AL27),'EDT Y TAREAS'!AF27/'EDT Y TAREAS'!M27,0),IF(AND(52&gt;='EDT Y TAREAS'!AK28,52&lt;'EDT Y TAREAS'!AL28),'EDT Y TAREAS'!AF28/'EDT Y TAREAS'!M28,0),IF(AND(52&gt;='EDT Y TAREAS'!AK31,52&lt;'EDT Y TAREAS'!AL31),'EDT Y TAREAS'!AF31/'EDT Y TAREAS'!M31,0),IF(AND(52&gt;='EDT Y TAREAS'!AK33,52&lt;'EDT Y TAREAS'!AL33),'EDT Y TAREAS'!AF33/'EDT Y TAREAS'!M33,0),IF(AND(52&gt;='EDT Y TAREAS'!AK34,52&lt;'EDT Y TAREAS'!AL34),'EDT Y TAREAS'!AF34/'EDT Y TAREAS'!M34,0),IF(AND(52&gt;='EDT Y TAREAS'!AK35,52&lt;'EDT Y TAREAS'!AL35),'EDT Y TAREAS'!AF35/'EDT Y TAREAS'!M35,0),IF(AND(52&gt;='EDT Y TAREAS'!AK37,52&lt;'EDT Y TAREAS'!AL37),'EDT Y TAREAS'!AF37/'EDT Y TAREAS'!M37,0),IF(AND(52&gt;='EDT Y TAREAS'!AK39,52&lt;'EDT Y TAREAS'!AL39),'EDT Y TAREAS'!AF39/'EDT Y TAREAS'!M39,0),IF(AND(52&gt;='EDT Y TAREAS'!AK40,52&lt;'EDT Y TAREAS'!AL40),'EDT Y TAREAS'!AF40/'EDT Y TAREAS'!M40,0),IF(AND(52&gt;='EDT Y TAREAS'!AK42,52&lt;'EDT Y TAREAS'!AL42),'EDT Y TAREAS'!AF42/'EDT Y TAREAS'!M42,0),IF(AND(52&gt;='EDT Y TAREAS'!AK45,52&lt;'EDT Y TAREAS'!AL45),'EDT Y TAREAS'!AF45/'EDT Y TAREAS'!M45,0),IF(AND(52&gt;='EDT Y TAREAS'!AK49,52&lt;'EDT Y TAREAS'!AL49),'EDT Y TAREAS'!AF49/'EDT Y TAREAS'!M49,0),IF(AND(52&gt;='EDT Y TAREAS'!AK52,52&lt;'EDT Y TAREAS'!AL52),'EDT Y TAREAS'!AF52/'EDT Y TAREAS'!M52,0))</x:f>
        <x:v>5.6</x:v>
      </x:c>
      <x:c r="E92" s="35" t="n">
        <x:f>SUM(IF(AND(52&gt;='EDT Y TAREAS'!AK29,52&lt;'EDT Y TAREAS'!AL29),'EDT Y TAREAS'!AG29/'EDT Y TAREAS'!M29,0),IF(AND(52&gt;='EDT Y TAREAS'!AK30,52&lt;'EDT Y TAREAS'!AL30),'EDT Y TAREAS'!AG30/'EDT Y TAREAS'!M30,0),IF(AND(52&gt;='EDT Y TAREAS'!AK31,52&lt;'EDT Y TAREAS'!AL31),'EDT Y TAREAS'!AG31/'EDT Y TAREAS'!M31,0),IF(AND(52&gt;='EDT Y TAREAS'!AK32,52&lt;'EDT Y TAREAS'!AL32),'EDT Y TAREAS'!AG32/'EDT Y TAREAS'!M32,0),IF(AND(52&gt;='EDT Y TAREAS'!AK41,52&lt;'EDT Y TAREAS'!AL41),'EDT Y TAREAS'!AG41/'EDT Y TAREAS'!M41,0),IF(AND(52&gt;='EDT Y TAREAS'!AK45,52&lt;'EDT Y TAREAS'!AL45),'EDT Y TAREAS'!AG45/'EDT Y TAREAS'!M45,0),IF(AND(52&gt;='EDT Y TAREAS'!AK48,52&lt;'EDT Y TAREAS'!AL48),'EDT Y TAREAS'!AG48/'EDT Y TAREAS'!M48,0))</x:f>
        <x:v>0</x:v>
      </x:c>
      <x:c r="F92" s="35" t="n">
        <x:f>SUM(IF(AND(52&gt;='EDT Y TAREAS'!AK10,52&lt;'EDT Y TAREAS'!AL10),'EDT Y TAREAS'!AH10/'EDT Y TAREAS'!M10,0),IF(AND(52&gt;='EDT Y TAREAS'!AK12,52&lt;'EDT Y TAREAS'!AL12),'EDT Y TAREAS'!AH12/'EDT Y TAREAS'!M12,0),IF(AND(52&gt;='EDT Y TAREAS'!AK22,52&lt;'EDT Y TAREAS'!AL22),'EDT Y TAREAS'!AH22/'EDT Y TAREAS'!M22,0),IF(AND(52&gt;='EDT Y TAREAS'!AK23,52&lt;'EDT Y TAREAS'!AL23),'EDT Y TAREAS'!AH23/'EDT Y TAREAS'!M23,0),IF(AND(52&gt;='EDT Y TAREAS'!AK29,52&lt;'EDT Y TAREAS'!AL29),'EDT Y TAREAS'!AH29/'EDT Y TAREAS'!M29,0),IF(AND(52&gt;='EDT Y TAREAS'!AK30,52&lt;'EDT Y TAREAS'!AL30),'EDT Y TAREAS'!AH30/'EDT Y TAREAS'!M30,0),IF(AND(52&gt;='EDT Y TAREAS'!AK32,52&lt;'EDT Y TAREAS'!AL32),'EDT Y TAREAS'!AH32/'EDT Y TAREAS'!M32,0),IF(AND(52&gt;='EDT Y TAREAS'!AK41,52&lt;'EDT Y TAREAS'!AL41),'EDT Y TAREAS'!AH41/'EDT Y TAREAS'!M41,0),IF(AND(52&gt;='EDT Y TAREAS'!AK44,52&lt;'EDT Y TAREAS'!AL44),'EDT Y TAREAS'!AH44/'EDT Y TAREAS'!M44,0),IF(AND(52&gt;='EDT Y TAREAS'!AK46,52&lt;'EDT Y TAREAS'!AL46),'EDT Y TAREAS'!AH46/'EDT Y TAREAS'!M46,0),IF(AND(52&gt;='EDT Y TAREAS'!AK48,52&lt;'EDT Y TAREAS'!AL48),'EDT Y TAREAS'!AH48/'EDT Y TAREAS'!M48,0))</x:f>
        <x:v>0</x:v>
      </x:c>
      <x:c r="G92" s="35" t="n">
        <x:f>SUM(IF(AND(52&gt;='EDT Y TAREAS'!AK20,52&lt;'EDT Y TAREAS'!AL20),'EDT Y TAREAS'!AI20/'EDT Y TAREAS'!M20,0),IF(AND(52&gt;='EDT Y TAREAS'!AK25,52&lt;'EDT Y TAREAS'!AL25),'EDT Y TAREAS'!AI25/'EDT Y TAREAS'!M25,0),IF(AND(52&gt;='EDT Y TAREAS'!AK33,52&lt;'EDT Y TAREAS'!AL33),'EDT Y TAREAS'!AI33/'EDT Y TAREAS'!M33,0),IF(AND(52&gt;='EDT Y TAREAS'!AK34,52&lt;'EDT Y TAREAS'!AL34),'EDT Y TAREAS'!AI34/'EDT Y TAREAS'!M34,0),IF(AND(52&gt;='EDT Y TAREAS'!AK36,52&lt;'EDT Y TAREAS'!AL36),'EDT Y TAREAS'!AI36/'EDT Y TAREAS'!M36,0),IF(AND(52&gt;='EDT Y TAREAS'!AK39,52&lt;'EDT Y TAREAS'!AL39),'EDT Y TAREAS'!AI39/'EDT Y TAREAS'!M39,0),IF(AND(52&gt;='EDT Y TAREAS'!AK40,52&lt;'EDT Y TAREAS'!AL40),'EDT Y TAREAS'!AI40/'EDT Y TAREAS'!M40,0),IF(AND(52&gt;='EDT Y TAREAS'!AK42,52&lt;'EDT Y TAREAS'!AL42),'EDT Y TAREAS'!AI42/'EDT Y TAREAS'!M42,0),IF(AND(52&gt;='EDT Y TAREAS'!AK43,52&lt;'EDT Y TAREAS'!AL43),'EDT Y TAREAS'!AI43/'EDT Y TAREAS'!M43,0),IF(AND(52&gt;='EDT Y TAREAS'!AK44,52&lt;'EDT Y TAREAS'!AL44),'EDT Y TAREAS'!AI44/'EDT Y TAREAS'!M44,0),IF(AND(52&gt;='EDT Y TAREAS'!AK45,52&lt;'EDT Y TAREAS'!AL45),'EDT Y TAREAS'!AI45/'EDT Y TAREAS'!M45,0),IF(AND(52&gt;='EDT Y TAREAS'!AK46,52&lt;'EDT Y TAREAS'!AL46),'EDT Y TAREAS'!AI46/'EDT Y TAREAS'!M46,0),IF(AND(52&gt;='EDT Y TAREAS'!AK48,52&lt;'EDT Y TAREAS'!AL48),'EDT Y TAREAS'!AI48/'EDT Y TAREAS'!M48,0),IF(AND(52&gt;='EDT Y TAREAS'!AK50,52&lt;'EDT Y TAREAS'!AL50),'EDT Y TAREAS'!AI50/'EDT Y TAREAS'!M50,0),IF(AND(52&gt;='EDT Y TAREAS'!AK52,52&lt;'EDT Y TAREAS'!AL52),'EDT Y TAREAS'!AI52/'EDT Y TAREAS'!M52,0))</x:f>
        <x:v>1.2</x:v>
      </x:c>
      <x:c r="H92" s="35" t="n">
        <x:f>SUM(IF(AND(52&gt;='EDT Y TAREAS'!AK11,52&lt;'EDT Y TAREAS'!AL11),'EDT Y TAREAS'!AJ11/'EDT Y TAREAS'!M11,0),IF(AND(52&gt;='EDT Y TAREAS'!AK24,52&lt;'EDT Y TAREAS'!AL24),'EDT Y TAREAS'!AJ24/'EDT Y TAREAS'!M24,0),IF(AND(52&gt;='EDT Y TAREAS'!AK27,52&lt;'EDT Y TAREAS'!AL27),'EDT Y TAREAS'!AJ27/'EDT Y TAREAS'!M27,0),IF(AND(52&gt;='EDT Y TAREAS'!AK28,52&lt;'EDT Y TAREAS'!AL28),'EDT Y TAREAS'!AJ28/'EDT Y TAREAS'!M28,0),IF(AND(52&gt;='EDT Y TAREAS'!AK33,52&lt;'EDT Y TAREAS'!AL33),'EDT Y TAREAS'!AJ33/'EDT Y TAREAS'!M33,0),IF(AND(52&gt;='EDT Y TAREAS'!AK35,52&lt;'EDT Y TAREAS'!AL35),'EDT Y TAREAS'!AJ35/'EDT Y TAREAS'!M35,0),IF(AND(52&gt;='EDT Y TAREAS'!AK36,52&lt;'EDT Y TAREAS'!AL36),'EDT Y TAREAS'!AJ36/'EDT Y TAREAS'!M36,0),IF(AND(52&gt;='EDT Y TAREAS'!AK37,52&lt;'EDT Y TAREAS'!AL37),'EDT Y TAREAS'!AJ37/'EDT Y TAREAS'!M37,0),IF(AND(52&gt;='EDT Y TAREAS'!AK40,52&lt;'EDT Y TAREAS'!AL40),'EDT Y TAREAS'!AJ40/'EDT Y TAREAS'!M40,0),IF(AND(52&gt;='EDT Y TAREAS'!AK42,52&lt;'EDT Y TAREAS'!AL42),'EDT Y TAREAS'!AJ42/'EDT Y TAREAS'!M42,0),IF(AND(52&gt;='EDT Y TAREAS'!AK49,52&lt;'EDT Y TAREAS'!AL49),'EDT Y TAREAS'!AJ49/'EDT Y TAREAS'!M49,0),IF(AND(52&gt;='EDT Y TAREAS'!AK50,52&lt;'EDT Y TAREAS'!AL50),'EDT Y TAREAS'!AJ50/'EDT Y TAREAS'!M50,0),IF(AND(52&gt;='EDT Y TAREAS'!AK51,52&lt;'EDT Y TAREAS'!AL51),'EDT Y TAREAS'!AJ51/'EDT Y TAREAS'!M51,0),IF(AND(52&gt;='EDT Y TAREAS'!AK52,52&lt;'EDT Y TAREAS'!AL52),'EDT Y TAREAS'!AJ52/'EDT Y TAREAS'!M52,0))</x:f>
        <x:v>4</x:v>
      </x:c>
      <x:c r="I92" s="10" t="n">
        <x:f>WORKDAY('RESUMEN'!$D$3-1,A92,'RESUMEN'!$J$6:$J$25)</x:f>
        <x:v>46400</x:v>
      </x:c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  <x:c r="AJ92" s="3"/>
      <x:c r="AK92" s="3"/>
      <x:c r="AL92" s="3"/>
      <x:c r="AM92" s="3"/>
      <x:c r="AN92" s="3"/>
      <x:c r="AO92" s="3"/>
    </x:row>
    <x:row r="93" ht="24" customHeight="1">
      <x:c r="A93" s="3" t="n">
        <x:v>54</x:v>
      </x:c>
      <x:c r="B93" s="35" t="n">
        <x:f>SUM(IF(AND(53&gt;='EDT Y TAREAS'!AK6,53&lt;'EDT Y TAREAS'!AL6),'EDT Y TAREAS'!AD6/'EDT Y TAREAS'!M6,0),IF(AND(53&gt;='EDT Y TAREAS'!AK7,53&lt;'EDT Y TAREAS'!AL7),'EDT Y TAREAS'!AD7/'EDT Y TAREAS'!M7,0),IF(AND(53&gt;='EDT Y TAREAS'!AK8,53&lt;'EDT Y TAREAS'!AL8),'EDT Y TAREAS'!AD8/'EDT Y TAREAS'!M8,0),IF(AND(53&gt;='EDT Y TAREAS'!AK9,53&lt;'EDT Y TAREAS'!AL9),'EDT Y TAREAS'!AD9/'EDT Y TAREAS'!M9,0),IF(AND(53&gt;='EDT Y TAREAS'!AK10,53&lt;'EDT Y TAREAS'!AL10),'EDT Y TAREAS'!AD10/'EDT Y TAREAS'!M10,0),IF(AND(53&gt;='EDT Y TAREAS'!AK11,53&lt;'EDT Y TAREAS'!AL11),'EDT Y TAREAS'!AD11/'EDT Y TAREAS'!M11,0),IF(AND(53&gt;='EDT Y TAREAS'!AK12,53&lt;'EDT Y TAREAS'!AL12),'EDT Y TAREAS'!AD12/'EDT Y TAREAS'!M12,0),IF(AND(53&gt;='EDT Y TAREAS'!AK13,53&lt;'EDT Y TAREAS'!AL13),'EDT Y TAREAS'!AD13/'EDT Y TAREAS'!M13,0),IF(AND(53&gt;='EDT Y TAREAS'!AK14,53&lt;'EDT Y TAREAS'!AL14),'EDT Y TAREAS'!AD14/'EDT Y TAREAS'!M14,0),IF(AND(53&gt;='EDT Y TAREAS'!AK15,53&lt;'EDT Y TAREAS'!AL15),'EDT Y TAREAS'!AD15/'EDT Y TAREAS'!M15,0),IF(AND(53&gt;='EDT Y TAREAS'!AK16,53&lt;'EDT Y TAREAS'!AL16),'EDT Y TAREAS'!AD16/'EDT Y TAREAS'!M16,0),IF(AND(53&gt;='EDT Y TAREAS'!AK17,53&lt;'EDT Y TAREAS'!AL17),'EDT Y TAREAS'!AD17/'EDT Y TAREAS'!M17,0),IF(AND(53&gt;='EDT Y TAREAS'!AK18,53&lt;'EDT Y TAREAS'!AL18),'EDT Y TAREAS'!AD18/'EDT Y TAREAS'!M18,0),IF(AND(53&gt;='EDT Y TAREAS'!AK19,53&lt;'EDT Y TAREAS'!AL19),'EDT Y TAREAS'!AD19/'EDT Y TAREAS'!M19,0),IF(AND(53&gt;='EDT Y TAREAS'!AK20,53&lt;'EDT Y TAREAS'!AL20),'EDT Y TAREAS'!AD20/'EDT Y TAREAS'!M20,0),IF(AND(53&gt;='EDT Y TAREAS'!AK21,53&lt;'EDT Y TAREAS'!AL21),'EDT Y TAREAS'!AD21/'EDT Y TAREAS'!M21,0),IF(AND(53&gt;='EDT Y TAREAS'!AK22,53&lt;'EDT Y TAREAS'!AL22),'EDT Y TAREAS'!AD22/'EDT Y TAREAS'!M22,0),IF(AND(53&gt;='EDT Y TAREAS'!AK23,53&lt;'EDT Y TAREAS'!AL23),'EDT Y TAREAS'!AD23/'EDT Y TAREAS'!M23,0),IF(AND(53&gt;='EDT Y TAREAS'!AK26,53&lt;'EDT Y TAREAS'!AL26),'EDT Y TAREAS'!AD26/'EDT Y TAREAS'!M26,0),IF(AND(53&gt;='EDT Y TAREAS'!AK28,53&lt;'EDT Y TAREAS'!AL28),'EDT Y TAREAS'!AD28/'EDT Y TAREAS'!M28,0),IF(AND(53&gt;='EDT Y TAREAS'!AK30,53&lt;'EDT Y TAREAS'!AL30),'EDT Y TAREAS'!AD30/'EDT Y TAREAS'!M30,0),IF(AND(53&gt;='EDT Y TAREAS'!AK32,53&lt;'EDT Y TAREAS'!AL32),'EDT Y TAREAS'!AD32/'EDT Y TAREAS'!M32,0),IF(AND(53&gt;='EDT Y TAREAS'!AK34,53&lt;'EDT Y TAREAS'!AL34),'EDT Y TAREAS'!AD34/'EDT Y TAREAS'!M34,0),IF(AND(53&gt;='EDT Y TAREAS'!AK38,53&lt;'EDT Y TAREAS'!AL38),'EDT Y TAREAS'!AD38/'EDT Y TAREAS'!M38,0),IF(AND(53&gt;='EDT Y TAREAS'!AK39,53&lt;'EDT Y TAREAS'!AL39),'EDT Y TAREAS'!AD39/'EDT Y TAREAS'!M39,0),IF(AND(53&gt;='EDT Y TAREAS'!AK43,53&lt;'EDT Y TAREAS'!AL43),'EDT Y TAREAS'!AD43/'EDT Y TAREAS'!M43,0),IF(AND(53&gt;='EDT Y TAREAS'!AK44,53&lt;'EDT Y TAREAS'!AL44),'EDT Y TAREAS'!AD44/'EDT Y TAREAS'!M44,0),IF(AND(53&gt;='EDT Y TAREAS'!AK45,53&lt;'EDT Y TAREAS'!AL45),'EDT Y TAREAS'!AD45/'EDT Y TAREAS'!M45,0),IF(AND(53&gt;='EDT Y TAREAS'!AK46,53&lt;'EDT Y TAREAS'!AL46),'EDT Y TAREAS'!AD46/'EDT Y TAREAS'!M46,0),IF(AND(53&gt;='EDT Y TAREAS'!AK47,53&lt;'EDT Y TAREAS'!AL47),'EDT Y TAREAS'!AD47/'EDT Y TAREAS'!M47,0),IF(AND(53&gt;='EDT Y TAREAS'!AK49,53&lt;'EDT Y TAREAS'!AL49),'EDT Y TAREAS'!AD49/'EDT Y TAREAS'!M49,0),IF(AND(53&gt;='EDT Y TAREAS'!AK50,53&lt;'EDT Y TAREAS'!AL50),'EDT Y TAREAS'!AD50/'EDT Y TAREAS'!M50,0),IF(AND(53&gt;='EDT Y TAREAS'!AK51,53&lt;'EDT Y TAREAS'!AL51),'EDT Y TAREAS'!AD51/'EDT Y TAREAS'!M51,0),IF(AND(53&gt;='EDT Y TAREAS'!AK52,53&lt;'EDT Y TAREAS'!AL52),'EDT Y TAREAS'!AD52/'EDT Y TAREAS'!M52,0))</x:f>
        <x:v>4.8</x:v>
      </x:c>
      <x:c r="C93" s="35" t="n">
        <x:f>SUM(IF(AND(53&gt;='EDT Y TAREAS'!AK6,53&lt;'EDT Y TAREAS'!AL6),'EDT Y TAREAS'!AE6/'EDT Y TAREAS'!M6,0),IF(AND(53&gt;='EDT Y TAREAS'!AK8,53&lt;'EDT Y TAREAS'!AL8),'EDT Y TAREAS'!AE8/'EDT Y TAREAS'!M8,0),IF(AND(53&gt;='EDT Y TAREAS'!AK9,53&lt;'EDT Y TAREAS'!AL9),'EDT Y TAREAS'!AE9/'EDT Y TAREAS'!M9,0),IF(AND(53&gt;='EDT Y TAREAS'!AK10,53&lt;'EDT Y TAREAS'!AL10),'EDT Y TAREAS'!AE10/'EDT Y TAREAS'!M10,0),IF(AND(53&gt;='EDT Y TAREAS'!AK12,53&lt;'EDT Y TAREAS'!AL12),'EDT Y TAREAS'!AE12/'EDT Y TAREAS'!M12,0),IF(AND(53&gt;='EDT Y TAREAS'!AK16,53&lt;'EDT Y TAREAS'!AL16),'EDT Y TAREAS'!AE16/'EDT Y TAREAS'!M16,0),IF(AND(53&gt;='EDT Y TAREAS'!AK21,53&lt;'EDT Y TAREAS'!AL21),'EDT Y TAREAS'!AE21/'EDT Y TAREAS'!M21,0),IF(AND(53&gt;='EDT Y TAREAS'!AK23,53&lt;'EDT Y TAREAS'!AL23),'EDT Y TAREAS'!AE23/'EDT Y TAREAS'!M23,0),IF(AND(53&gt;='EDT Y TAREAS'!AK37,53&lt;'EDT Y TAREAS'!AL37),'EDT Y TAREAS'!AE37/'EDT Y TAREAS'!M37,0),IF(AND(53&gt;='EDT Y TAREAS'!AK38,53&lt;'EDT Y TAREAS'!AL38),'EDT Y TAREAS'!AE38/'EDT Y TAREAS'!M38,0),IF(AND(53&gt;='EDT Y TAREAS'!AK41,53&lt;'EDT Y TAREAS'!AL41),'EDT Y TAREAS'!AE41/'EDT Y TAREAS'!M41,0),IF(AND(53&gt;='EDT Y TAREAS'!AK43,53&lt;'EDT Y TAREAS'!AL43),'EDT Y TAREAS'!AE43/'EDT Y TAREAS'!M43,0),IF(AND(53&gt;='EDT Y TAREAS'!AK44,53&lt;'EDT Y TAREAS'!AL44),'EDT Y TAREAS'!AE44/'EDT Y TAREAS'!M44,0),IF(AND(53&gt;='EDT Y TAREAS'!AK46,53&lt;'EDT Y TAREAS'!AL46),'EDT Y TAREAS'!AE46/'EDT Y TAREAS'!M46,0),IF(AND(53&gt;='EDT Y TAREAS'!AK47,53&lt;'EDT Y TAREAS'!AL47),'EDT Y TAREAS'!AE47/'EDT Y TAREAS'!M47,0),IF(AND(53&gt;='EDT Y TAREAS'!AK51,53&lt;'EDT Y TAREAS'!AL51),'EDT Y TAREAS'!AE51/'EDT Y TAREAS'!M51,0),IF(AND(53&gt;='EDT Y TAREAS'!AK52,53&lt;'EDT Y TAREAS'!AL52),'EDT Y TAREAS'!AE52/'EDT Y TAREAS'!M52,0))</x:f>
        <x:v>0</x:v>
      </x:c>
      <x:c r="D93" s="35" t="n">
        <x:f>SUM(IF(AND(53&gt;='EDT Y TAREAS'!AK11,53&lt;'EDT Y TAREAS'!AL11),'EDT Y TAREAS'!AF11/'EDT Y TAREAS'!M11,0),IF(AND(53&gt;='EDT Y TAREAS'!AK24,53&lt;'EDT Y TAREAS'!AL24),'EDT Y TAREAS'!AF24/'EDT Y TAREAS'!M24,0),IF(AND(53&gt;='EDT Y TAREAS'!AK25,53&lt;'EDT Y TAREAS'!AL25),'EDT Y TAREAS'!AF25/'EDT Y TAREAS'!M25,0),IF(AND(53&gt;='EDT Y TAREAS'!AK26,53&lt;'EDT Y TAREAS'!AL26),'EDT Y TAREAS'!AF26/'EDT Y TAREAS'!M26,0),IF(AND(53&gt;='EDT Y TAREAS'!AK27,53&lt;'EDT Y TAREAS'!AL27),'EDT Y TAREAS'!AF27/'EDT Y TAREAS'!M27,0),IF(AND(53&gt;='EDT Y TAREAS'!AK28,53&lt;'EDT Y TAREAS'!AL28),'EDT Y TAREAS'!AF28/'EDT Y TAREAS'!M28,0),IF(AND(53&gt;='EDT Y TAREAS'!AK31,53&lt;'EDT Y TAREAS'!AL31),'EDT Y TAREAS'!AF31/'EDT Y TAREAS'!M31,0),IF(AND(53&gt;='EDT Y TAREAS'!AK33,53&lt;'EDT Y TAREAS'!AL33),'EDT Y TAREAS'!AF33/'EDT Y TAREAS'!M33,0),IF(AND(53&gt;='EDT Y TAREAS'!AK34,53&lt;'EDT Y TAREAS'!AL34),'EDT Y TAREAS'!AF34/'EDT Y TAREAS'!M34,0),IF(AND(53&gt;='EDT Y TAREAS'!AK35,53&lt;'EDT Y TAREAS'!AL35),'EDT Y TAREAS'!AF35/'EDT Y TAREAS'!M35,0),IF(AND(53&gt;='EDT Y TAREAS'!AK37,53&lt;'EDT Y TAREAS'!AL37),'EDT Y TAREAS'!AF37/'EDT Y TAREAS'!M37,0),IF(AND(53&gt;='EDT Y TAREAS'!AK39,53&lt;'EDT Y TAREAS'!AL39),'EDT Y TAREAS'!AF39/'EDT Y TAREAS'!M39,0),IF(AND(53&gt;='EDT Y TAREAS'!AK40,53&lt;'EDT Y TAREAS'!AL40),'EDT Y TAREAS'!AF40/'EDT Y TAREAS'!M40,0),IF(AND(53&gt;='EDT Y TAREAS'!AK42,53&lt;'EDT Y TAREAS'!AL42),'EDT Y TAREAS'!AF42/'EDT Y TAREAS'!M42,0),IF(AND(53&gt;='EDT Y TAREAS'!AK45,53&lt;'EDT Y TAREAS'!AL45),'EDT Y TAREAS'!AF45/'EDT Y TAREAS'!M45,0),IF(AND(53&gt;='EDT Y TAREAS'!AK49,53&lt;'EDT Y TAREAS'!AL49),'EDT Y TAREAS'!AF49/'EDT Y TAREAS'!M49,0),IF(AND(53&gt;='EDT Y TAREAS'!AK52,53&lt;'EDT Y TAREAS'!AL52),'EDT Y TAREAS'!AF52/'EDT Y TAREAS'!M52,0))</x:f>
        <x:v>5.6</x:v>
      </x:c>
      <x:c r="E93" s="35" t="n">
        <x:f>SUM(IF(AND(53&gt;='EDT Y TAREAS'!AK29,53&lt;'EDT Y TAREAS'!AL29),'EDT Y TAREAS'!AG29/'EDT Y TAREAS'!M29,0),IF(AND(53&gt;='EDT Y TAREAS'!AK30,53&lt;'EDT Y TAREAS'!AL30),'EDT Y TAREAS'!AG30/'EDT Y TAREAS'!M30,0),IF(AND(53&gt;='EDT Y TAREAS'!AK31,53&lt;'EDT Y TAREAS'!AL31),'EDT Y TAREAS'!AG31/'EDT Y TAREAS'!M31,0),IF(AND(53&gt;='EDT Y TAREAS'!AK32,53&lt;'EDT Y TAREAS'!AL32),'EDT Y TAREAS'!AG32/'EDT Y TAREAS'!M32,0),IF(AND(53&gt;='EDT Y TAREAS'!AK41,53&lt;'EDT Y TAREAS'!AL41),'EDT Y TAREAS'!AG41/'EDT Y TAREAS'!M41,0),IF(AND(53&gt;='EDT Y TAREAS'!AK45,53&lt;'EDT Y TAREAS'!AL45),'EDT Y TAREAS'!AG45/'EDT Y TAREAS'!M45,0),IF(AND(53&gt;='EDT Y TAREAS'!AK48,53&lt;'EDT Y TAREAS'!AL48),'EDT Y TAREAS'!AG48/'EDT Y TAREAS'!M48,0))</x:f>
        <x:v>0</x:v>
      </x:c>
      <x:c r="F93" s="35" t="n">
        <x:f>SUM(IF(AND(53&gt;='EDT Y TAREAS'!AK10,53&lt;'EDT Y TAREAS'!AL10),'EDT Y TAREAS'!AH10/'EDT Y TAREAS'!M10,0),IF(AND(53&gt;='EDT Y TAREAS'!AK12,53&lt;'EDT Y TAREAS'!AL12),'EDT Y TAREAS'!AH12/'EDT Y TAREAS'!M12,0),IF(AND(53&gt;='EDT Y TAREAS'!AK22,53&lt;'EDT Y TAREAS'!AL22),'EDT Y TAREAS'!AH22/'EDT Y TAREAS'!M22,0),IF(AND(53&gt;='EDT Y TAREAS'!AK23,53&lt;'EDT Y TAREAS'!AL23),'EDT Y TAREAS'!AH23/'EDT Y TAREAS'!M23,0),IF(AND(53&gt;='EDT Y TAREAS'!AK29,53&lt;'EDT Y TAREAS'!AL29),'EDT Y TAREAS'!AH29/'EDT Y TAREAS'!M29,0),IF(AND(53&gt;='EDT Y TAREAS'!AK30,53&lt;'EDT Y TAREAS'!AL30),'EDT Y TAREAS'!AH30/'EDT Y TAREAS'!M30,0),IF(AND(53&gt;='EDT Y TAREAS'!AK32,53&lt;'EDT Y TAREAS'!AL32),'EDT Y TAREAS'!AH32/'EDT Y TAREAS'!M32,0),IF(AND(53&gt;='EDT Y TAREAS'!AK41,53&lt;'EDT Y TAREAS'!AL41),'EDT Y TAREAS'!AH41/'EDT Y TAREAS'!M41,0),IF(AND(53&gt;='EDT Y TAREAS'!AK44,53&lt;'EDT Y TAREAS'!AL44),'EDT Y TAREAS'!AH44/'EDT Y TAREAS'!M44,0),IF(AND(53&gt;='EDT Y TAREAS'!AK46,53&lt;'EDT Y TAREAS'!AL46),'EDT Y TAREAS'!AH46/'EDT Y TAREAS'!M46,0),IF(AND(53&gt;='EDT Y TAREAS'!AK48,53&lt;'EDT Y TAREAS'!AL48),'EDT Y TAREAS'!AH48/'EDT Y TAREAS'!M48,0))</x:f>
        <x:v>0</x:v>
      </x:c>
      <x:c r="G93" s="35" t="n">
        <x:f>SUM(IF(AND(53&gt;='EDT Y TAREAS'!AK20,53&lt;'EDT Y TAREAS'!AL20),'EDT Y TAREAS'!AI20/'EDT Y TAREAS'!M20,0),IF(AND(53&gt;='EDT Y TAREAS'!AK25,53&lt;'EDT Y TAREAS'!AL25),'EDT Y TAREAS'!AI25/'EDT Y TAREAS'!M25,0),IF(AND(53&gt;='EDT Y TAREAS'!AK33,53&lt;'EDT Y TAREAS'!AL33),'EDT Y TAREAS'!AI33/'EDT Y TAREAS'!M33,0),IF(AND(53&gt;='EDT Y TAREAS'!AK34,53&lt;'EDT Y TAREAS'!AL34),'EDT Y TAREAS'!AI34/'EDT Y TAREAS'!M34,0),IF(AND(53&gt;='EDT Y TAREAS'!AK36,53&lt;'EDT Y TAREAS'!AL36),'EDT Y TAREAS'!AI36/'EDT Y TAREAS'!M36,0),IF(AND(53&gt;='EDT Y TAREAS'!AK39,53&lt;'EDT Y TAREAS'!AL39),'EDT Y TAREAS'!AI39/'EDT Y TAREAS'!M39,0),IF(AND(53&gt;='EDT Y TAREAS'!AK40,53&lt;'EDT Y TAREAS'!AL40),'EDT Y TAREAS'!AI40/'EDT Y TAREAS'!M40,0),IF(AND(53&gt;='EDT Y TAREAS'!AK42,53&lt;'EDT Y TAREAS'!AL42),'EDT Y TAREAS'!AI42/'EDT Y TAREAS'!M42,0),IF(AND(53&gt;='EDT Y TAREAS'!AK43,53&lt;'EDT Y TAREAS'!AL43),'EDT Y TAREAS'!AI43/'EDT Y TAREAS'!M43,0),IF(AND(53&gt;='EDT Y TAREAS'!AK44,53&lt;'EDT Y TAREAS'!AL44),'EDT Y TAREAS'!AI44/'EDT Y TAREAS'!M44,0),IF(AND(53&gt;='EDT Y TAREAS'!AK45,53&lt;'EDT Y TAREAS'!AL45),'EDT Y TAREAS'!AI45/'EDT Y TAREAS'!M45,0),IF(AND(53&gt;='EDT Y TAREAS'!AK46,53&lt;'EDT Y TAREAS'!AL46),'EDT Y TAREAS'!AI46/'EDT Y TAREAS'!M46,0),IF(AND(53&gt;='EDT Y TAREAS'!AK48,53&lt;'EDT Y TAREAS'!AL48),'EDT Y TAREAS'!AI48/'EDT Y TAREAS'!M48,0),IF(AND(53&gt;='EDT Y TAREAS'!AK50,53&lt;'EDT Y TAREAS'!AL50),'EDT Y TAREAS'!AI50/'EDT Y TAREAS'!M50,0),IF(AND(53&gt;='EDT Y TAREAS'!AK52,53&lt;'EDT Y TAREAS'!AL52),'EDT Y TAREAS'!AI52/'EDT Y TAREAS'!M52,0))</x:f>
        <x:v>1.2</x:v>
      </x:c>
      <x:c r="H93" s="35" t="n">
        <x:f>SUM(IF(AND(53&gt;='EDT Y TAREAS'!AK11,53&lt;'EDT Y TAREAS'!AL11),'EDT Y TAREAS'!AJ11/'EDT Y TAREAS'!M11,0),IF(AND(53&gt;='EDT Y TAREAS'!AK24,53&lt;'EDT Y TAREAS'!AL24),'EDT Y TAREAS'!AJ24/'EDT Y TAREAS'!M24,0),IF(AND(53&gt;='EDT Y TAREAS'!AK27,53&lt;'EDT Y TAREAS'!AL27),'EDT Y TAREAS'!AJ27/'EDT Y TAREAS'!M27,0),IF(AND(53&gt;='EDT Y TAREAS'!AK28,53&lt;'EDT Y TAREAS'!AL28),'EDT Y TAREAS'!AJ28/'EDT Y TAREAS'!M28,0),IF(AND(53&gt;='EDT Y TAREAS'!AK33,53&lt;'EDT Y TAREAS'!AL33),'EDT Y TAREAS'!AJ33/'EDT Y TAREAS'!M33,0),IF(AND(53&gt;='EDT Y TAREAS'!AK35,53&lt;'EDT Y TAREAS'!AL35),'EDT Y TAREAS'!AJ35/'EDT Y TAREAS'!M35,0),IF(AND(53&gt;='EDT Y TAREAS'!AK36,53&lt;'EDT Y TAREAS'!AL36),'EDT Y TAREAS'!AJ36/'EDT Y TAREAS'!M36,0),IF(AND(53&gt;='EDT Y TAREAS'!AK37,53&lt;'EDT Y TAREAS'!AL37),'EDT Y TAREAS'!AJ37/'EDT Y TAREAS'!M37,0),IF(AND(53&gt;='EDT Y TAREAS'!AK40,53&lt;'EDT Y TAREAS'!AL40),'EDT Y TAREAS'!AJ40/'EDT Y TAREAS'!M40,0),IF(AND(53&gt;='EDT Y TAREAS'!AK42,53&lt;'EDT Y TAREAS'!AL42),'EDT Y TAREAS'!AJ42/'EDT Y TAREAS'!M42,0),IF(AND(53&gt;='EDT Y TAREAS'!AK49,53&lt;'EDT Y TAREAS'!AL49),'EDT Y TAREAS'!AJ49/'EDT Y TAREAS'!M49,0),IF(AND(53&gt;='EDT Y TAREAS'!AK50,53&lt;'EDT Y TAREAS'!AL50),'EDT Y TAREAS'!AJ50/'EDT Y TAREAS'!M50,0),IF(AND(53&gt;='EDT Y TAREAS'!AK51,53&lt;'EDT Y TAREAS'!AL51),'EDT Y TAREAS'!AJ51/'EDT Y TAREAS'!M51,0),IF(AND(53&gt;='EDT Y TAREAS'!AK52,53&lt;'EDT Y TAREAS'!AL52),'EDT Y TAREAS'!AJ52/'EDT Y TAREAS'!M52,0))</x:f>
        <x:v>4</x:v>
      </x:c>
      <x:c r="I93" s="10" t="n">
        <x:f>WORKDAY('RESUMEN'!$D$3-1,A93,'RESUMEN'!$J$6:$J$25)</x:f>
        <x:v>46401</x:v>
      </x:c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  <x:c r="AJ93" s="3"/>
      <x:c r="AK93" s="3"/>
      <x:c r="AL93" s="3"/>
      <x:c r="AM93" s="3"/>
      <x:c r="AN93" s="3"/>
      <x:c r="AO93" s="3"/>
    </x:row>
    <x:row r="94" ht="24" customHeight="1">
      <x:c r="A94" s="3" t="n">
        <x:v>55</x:v>
      </x:c>
      <x:c r="B94" s="35" t="n">
        <x:f>SUM(IF(AND(54&gt;='EDT Y TAREAS'!AK6,54&lt;'EDT Y TAREAS'!AL6),'EDT Y TAREAS'!AD6/'EDT Y TAREAS'!M6,0),IF(AND(54&gt;='EDT Y TAREAS'!AK7,54&lt;'EDT Y TAREAS'!AL7),'EDT Y TAREAS'!AD7/'EDT Y TAREAS'!M7,0),IF(AND(54&gt;='EDT Y TAREAS'!AK8,54&lt;'EDT Y TAREAS'!AL8),'EDT Y TAREAS'!AD8/'EDT Y TAREAS'!M8,0),IF(AND(54&gt;='EDT Y TAREAS'!AK9,54&lt;'EDT Y TAREAS'!AL9),'EDT Y TAREAS'!AD9/'EDT Y TAREAS'!M9,0),IF(AND(54&gt;='EDT Y TAREAS'!AK10,54&lt;'EDT Y TAREAS'!AL10),'EDT Y TAREAS'!AD10/'EDT Y TAREAS'!M10,0),IF(AND(54&gt;='EDT Y TAREAS'!AK11,54&lt;'EDT Y TAREAS'!AL11),'EDT Y TAREAS'!AD11/'EDT Y TAREAS'!M11,0),IF(AND(54&gt;='EDT Y TAREAS'!AK12,54&lt;'EDT Y TAREAS'!AL12),'EDT Y TAREAS'!AD12/'EDT Y TAREAS'!M12,0),IF(AND(54&gt;='EDT Y TAREAS'!AK13,54&lt;'EDT Y TAREAS'!AL13),'EDT Y TAREAS'!AD13/'EDT Y TAREAS'!M13,0),IF(AND(54&gt;='EDT Y TAREAS'!AK14,54&lt;'EDT Y TAREAS'!AL14),'EDT Y TAREAS'!AD14/'EDT Y TAREAS'!M14,0),IF(AND(54&gt;='EDT Y TAREAS'!AK15,54&lt;'EDT Y TAREAS'!AL15),'EDT Y TAREAS'!AD15/'EDT Y TAREAS'!M15,0),IF(AND(54&gt;='EDT Y TAREAS'!AK16,54&lt;'EDT Y TAREAS'!AL16),'EDT Y TAREAS'!AD16/'EDT Y TAREAS'!M16,0),IF(AND(54&gt;='EDT Y TAREAS'!AK17,54&lt;'EDT Y TAREAS'!AL17),'EDT Y TAREAS'!AD17/'EDT Y TAREAS'!M17,0),IF(AND(54&gt;='EDT Y TAREAS'!AK18,54&lt;'EDT Y TAREAS'!AL18),'EDT Y TAREAS'!AD18/'EDT Y TAREAS'!M18,0),IF(AND(54&gt;='EDT Y TAREAS'!AK19,54&lt;'EDT Y TAREAS'!AL19),'EDT Y TAREAS'!AD19/'EDT Y TAREAS'!M19,0),IF(AND(54&gt;='EDT Y TAREAS'!AK20,54&lt;'EDT Y TAREAS'!AL20),'EDT Y TAREAS'!AD20/'EDT Y TAREAS'!M20,0),IF(AND(54&gt;='EDT Y TAREAS'!AK21,54&lt;'EDT Y TAREAS'!AL21),'EDT Y TAREAS'!AD21/'EDT Y TAREAS'!M21,0),IF(AND(54&gt;='EDT Y TAREAS'!AK22,54&lt;'EDT Y TAREAS'!AL22),'EDT Y TAREAS'!AD22/'EDT Y TAREAS'!M22,0),IF(AND(54&gt;='EDT Y TAREAS'!AK23,54&lt;'EDT Y TAREAS'!AL23),'EDT Y TAREAS'!AD23/'EDT Y TAREAS'!M23,0),IF(AND(54&gt;='EDT Y TAREAS'!AK26,54&lt;'EDT Y TAREAS'!AL26),'EDT Y TAREAS'!AD26/'EDT Y TAREAS'!M26,0),IF(AND(54&gt;='EDT Y TAREAS'!AK28,54&lt;'EDT Y TAREAS'!AL28),'EDT Y TAREAS'!AD28/'EDT Y TAREAS'!M28,0),IF(AND(54&gt;='EDT Y TAREAS'!AK30,54&lt;'EDT Y TAREAS'!AL30),'EDT Y TAREAS'!AD30/'EDT Y TAREAS'!M30,0),IF(AND(54&gt;='EDT Y TAREAS'!AK32,54&lt;'EDT Y TAREAS'!AL32),'EDT Y TAREAS'!AD32/'EDT Y TAREAS'!M32,0),IF(AND(54&gt;='EDT Y TAREAS'!AK34,54&lt;'EDT Y TAREAS'!AL34),'EDT Y TAREAS'!AD34/'EDT Y TAREAS'!M34,0),IF(AND(54&gt;='EDT Y TAREAS'!AK38,54&lt;'EDT Y TAREAS'!AL38),'EDT Y TAREAS'!AD38/'EDT Y TAREAS'!M38,0),IF(AND(54&gt;='EDT Y TAREAS'!AK39,54&lt;'EDT Y TAREAS'!AL39),'EDT Y TAREAS'!AD39/'EDT Y TAREAS'!M39,0),IF(AND(54&gt;='EDT Y TAREAS'!AK43,54&lt;'EDT Y TAREAS'!AL43),'EDT Y TAREAS'!AD43/'EDT Y TAREAS'!M43,0),IF(AND(54&gt;='EDT Y TAREAS'!AK44,54&lt;'EDT Y TAREAS'!AL44),'EDT Y TAREAS'!AD44/'EDT Y TAREAS'!M44,0),IF(AND(54&gt;='EDT Y TAREAS'!AK45,54&lt;'EDT Y TAREAS'!AL45),'EDT Y TAREAS'!AD45/'EDT Y TAREAS'!M45,0),IF(AND(54&gt;='EDT Y TAREAS'!AK46,54&lt;'EDT Y TAREAS'!AL46),'EDT Y TAREAS'!AD46/'EDT Y TAREAS'!M46,0),IF(AND(54&gt;='EDT Y TAREAS'!AK47,54&lt;'EDT Y TAREAS'!AL47),'EDT Y TAREAS'!AD47/'EDT Y TAREAS'!M47,0),IF(AND(54&gt;='EDT Y TAREAS'!AK49,54&lt;'EDT Y TAREAS'!AL49),'EDT Y TAREAS'!AD49/'EDT Y TAREAS'!M49,0),IF(AND(54&gt;='EDT Y TAREAS'!AK50,54&lt;'EDT Y TAREAS'!AL50),'EDT Y TAREAS'!AD50/'EDT Y TAREAS'!M50,0),IF(AND(54&gt;='EDT Y TAREAS'!AK51,54&lt;'EDT Y TAREAS'!AL51),'EDT Y TAREAS'!AD51/'EDT Y TAREAS'!M51,0),IF(AND(54&gt;='EDT Y TAREAS'!AK52,54&lt;'EDT Y TAREAS'!AL52),'EDT Y TAREAS'!AD52/'EDT Y TAREAS'!M52,0))</x:f>
        <x:v>4.8</x:v>
      </x:c>
      <x:c r="C94" s="35" t="n">
        <x:f>SUM(IF(AND(54&gt;='EDT Y TAREAS'!AK6,54&lt;'EDT Y TAREAS'!AL6),'EDT Y TAREAS'!AE6/'EDT Y TAREAS'!M6,0),IF(AND(54&gt;='EDT Y TAREAS'!AK8,54&lt;'EDT Y TAREAS'!AL8),'EDT Y TAREAS'!AE8/'EDT Y TAREAS'!M8,0),IF(AND(54&gt;='EDT Y TAREAS'!AK9,54&lt;'EDT Y TAREAS'!AL9),'EDT Y TAREAS'!AE9/'EDT Y TAREAS'!M9,0),IF(AND(54&gt;='EDT Y TAREAS'!AK10,54&lt;'EDT Y TAREAS'!AL10),'EDT Y TAREAS'!AE10/'EDT Y TAREAS'!M10,0),IF(AND(54&gt;='EDT Y TAREAS'!AK12,54&lt;'EDT Y TAREAS'!AL12),'EDT Y TAREAS'!AE12/'EDT Y TAREAS'!M12,0),IF(AND(54&gt;='EDT Y TAREAS'!AK16,54&lt;'EDT Y TAREAS'!AL16),'EDT Y TAREAS'!AE16/'EDT Y TAREAS'!M16,0),IF(AND(54&gt;='EDT Y TAREAS'!AK21,54&lt;'EDT Y TAREAS'!AL21),'EDT Y TAREAS'!AE21/'EDT Y TAREAS'!M21,0),IF(AND(54&gt;='EDT Y TAREAS'!AK23,54&lt;'EDT Y TAREAS'!AL23),'EDT Y TAREAS'!AE23/'EDT Y TAREAS'!M23,0),IF(AND(54&gt;='EDT Y TAREAS'!AK37,54&lt;'EDT Y TAREAS'!AL37),'EDT Y TAREAS'!AE37/'EDT Y TAREAS'!M37,0),IF(AND(54&gt;='EDT Y TAREAS'!AK38,54&lt;'EDT Y TAREAS'!AL38),'EDT Y TAREAS'!AE38/'EDT Y TAREAS'!M38,0),IF(AND(54&gt;='EDT Y TAREAS'!AK41,54&lt;'EDT Y TAREAS'!AL41),'EDT Y TAREAS'!AE41/'EDT Y TAREAS'!M41,0),IF(AND(54&gt;='EDT Y TAREAS'!AK43,54&lt;'EDT Y TAREAS'!AL43),'EDT Y TAREAS'!AE43/'EDT Y TAREAS'!M43,0),IF(AND(54&gt;='EDT Y TAREAS'!AK44,54&lt;'EDT Y TAREAS'!AL44),'EDT Y TAREAS'!AE44/'EDT Y TAREAS'!M44,0),IF(AND(54&gt;='EDT Y TAREAS'!AK46,54&lt;'EDT Y TAREAS'!AL46),'EDT Y TAREAS'!AE46/'EDT Y TAREAS'!M46,0),IF(AND(54&gt;='EDT Y TAREAS'!AK47,54&lt;'EDT Y TAREAS'!AL47),'EDT Y TAREAS'!AE47/'EDT Y TAREAS'!M47,0),IF(AND(54&gt;='EDT Y TAREAS'!AK51,54&lt;'EDT Y TAREAS'!AL51),'EDT Y TAREAS'!AE51/'EDT Y TAREAS'!M51,0),IF(AND(54&gt;='EDT Y TAREAS'!AK52,54&lt;'EDT Y TAREAS'!AL52),'EDT Y TAREAS'!AE52/'EDT Y TAREAS'!M52,0))</x:f>
        <x:v>0</x:v>
      </x:c>
      <x:c r="D94" s="35" t="n">
        <x:f>SUM(IF(AND(54&gt;='EDT Y TAREAS'!AK11,54&lt;'EDT Y TAREAS'!AL11),'EDT Y TAREAS'!AF11/'EDT Y TAREAS'!M11,0),IF(AND(54&gt;='EDT Y TAREAS'!AK24,54&lt;'EDT Y TAREAS'!AL24),'EDT Y TAREAS'!AF24/'EDT Y TAREAS'!M24,0),IF(AND(54&gt;='EDT Y TAREAS'!AK25,54&lt;'EDT Y TAREAS'!AL25),'EDT Y TAREAS'!AF25/'EDT Y TAREAS'!M25,0),IF(AND(54&gt;='EDT Y TAREAS'!AK26,54&lt;'EDT Y TAREAS'!AL26),'EDT Y TAREAS'!AF26/'EDT Y TAREAS'!M26,0),IF(AND(54&gt;='EDT Y TAREAS'!AK27,54&lt;'EDT Y TAREAS'!AL27),'EDT Y TAREAS'!AF27/'EDT Y TAREAS'!M27,0),IF(AND(54&gt;='EDT Y TAREAS'!AK28,54&lt;'EDT Y TAREAS'!AL28),'EDT Y TAREAS'!AF28/'EDT Y TAREAS'!M28,0),IF(AND(54&gt;='EDT Y TAREAS'!AK31,54&lt;'EDT Y TAREAS'!AL31),'EDT Y TAREAS'!AF31/'EDT Y TAREAS'!M31,0),IF(AND(54&gt;='EDT Y TAREAS'!AK33,54&lt;'EDT Y TAREAS'!AL33),'EDT Y TAREAS'!AF33/'EDT Y TAREAS'!M33,0),IF(AND(54&gt;='EDT Y TAREAS'!AK34,54&lt;'EDT Y TAREAS'!AL34),'EDT Y TAREAS'!AF34/'EDT Y TAREAS'!M34,0),IF(AND(54&gt;='EDT Y TAREAS'!AK35,54&lt;'EDT Y TAREAS'!AL35),'EDT Y TAREAS'!AF35/'EDT Y TAREAS'!M35,0),IF(AND(54&gt;='EDT Y TAREAS'!AK37,54&lt;'EDT Y TAREAS'!AL37),'EDT Y TAREAS'!AF37/'EDT Y TAREAS'!M37,0),IF(AND(54&gt;='EDT Y TAREAS'!AK39,54&lt;'EDT Y TAREAS'!AL39),'EDT Y TAREAS'!AF39/'EDT Y TAREAS'!M39,0),IF(AND(54&gt;='EDT Y TAREAS'!AK40,54&lt;'EDT Y TAREAS'!AL40),'EDT Y TAREAS'!AF40/'EDT Y TAREAS'!M40,0),IF(AND(54&gt;='EDT Y TAREAS'!AK42,54&lt;'EDT Y TAREAS'!AL42),'EDT Y TAREAS'!AF42/'EDT Y TAREAS'!M42,0),IF(AND(54&gt;='EDT Y TAREAS'!AK45,54&lt;'EDT Y TAREAS'!AL45),'EDT Y TAREAS'!AF45/'EDT Y TAREAS'!M45,0),IF(AND(54&gt;='EDT Y TAREAS'!AK49,54&lt;'EDT Y TAREAS'!AL49),'EDT Y TAREAS'!AF49/'EDT Y TAREAS'!M49,0),IF(AND(54&gt;='EDT Y TAREAS'!AK52,54&lt;'EDT Y TAREAS'!AL52),'EDT Y TAREAS'!AF52/'EDT Y TAREAS'!M52,0))</x:f>
        <x:v>5.6</x:v>
      </x:c>
      <x:c r="E94" s="35" t="n">
        <x:f>SUM(IF(AND(54&gt;='EDT Y TAREAS'!AK29,54&lt;'EDT Y TAREAS'!AL29),'EDT Y TAREAS'!AG29/'EDT Y TAREAS'!M29,0),IF(AND(54&gt;='EDT Y TAREAS'!AK30,54&lt;'EDT Y TAREAS'!AL30),'EDT Y TAREAS'!AG30/'EDT Y TAREAS'!M30,0),IF(AND(54&gt;='EDT Y TAREAS'!AK31,54&lt;'EDT Y TAREAS'!AL31),'EDT Y TAREAS'!AG31/'EDT Y TAREAS'!M31,0),IF(AND(54&gt;='EDT Y TAREAS'!AK32,54&lt;'EDT Y TAREAS'!AL32),'EDT Y TAREAS'!AG32/'EDT Y TAREAS'!M32,0),IF(AND(54&gt;='EDT Y TAREAS'!AK41,54&lt;'EDT Y TAREAS'!AL41),'EDT Y TAREAS'!AG41/'EDT Y TAREAS'!M41,0),IF(AND(54&gt;='EDT Y TAREAS'!AK45,54&lt;'EDT Y TAREAS'!AL45),'EDT Y TAREAS'!AG45/'EDT Y TAREAS'!M45,0),IF(AND(54&gt;='EDT Y TAREAS'!AK48,54&lt;'EDT Y TAREAS'!AL48),'EDT Y TAREAS'!AG48/'EDT Y TAREAS'!M48,0))</x:f>
        <x:v>0</x:v>
      </x:c>
      <x:c r="F94" s="35" t="n">
        <x:f>SUM(IF(AND(54&gt;='EDT Y TAREAS'!AK10,54&lt;'EDT Y TAREAS'!AL10),'EDT Y TAREAS'!AH10/'EDT Y TAREAS'!M10,0),IF(AND(54&gt;='EDT Y TAREAS'!AK12,54&lt;'EDT Y TAREAS'!AL12),'EDT Y TAREAS'!AH12/'EDT Y TAREAS'!M12,0),IF(AND(54&gt;='EDT Y TAREAS'!AK22,54&lt;'EDT Y TAREAS'!AL22),'EDT Y TAREAS'!AH22/'EDT Y TAREAS'!M22,0),IF(AND(54&gt;='EDT Y TAREAS'!AK23,54&lt;'EDT Y TAREAS'!AL23),'EDT Y TAREAS'!AH23/'EDT Y TAREAS'!M23,0),IF(AND(54&gt;='EDT Y TAREAS'!AK29,54&lt;'EDT Y TAREAS'!AL29),'EDT Y TAREAS'!AH29/'EDT Y TAREAS'!M29,0),IF(AND(54&gt;='EDT Y TAREAS'!AK30,54&lt;'EDT Y TAREAS'!AL30),'EDT Y TAREAS'!AH30/'EDT Y TAREAS'!M30,0),IF(AND(54&gt;='EDT Y TAREAS'!AK32,54&lt;'EDT Y TAREAS'!AL32),'EDT Y TAREAS'!AH32/'EDT Y TAREAS'!M32,0),IF(AND(54&gt;='EDT Y TAREAS'!AK41,54&lt;'EDT Y TAREAS'!AL41),'EDT Y TAREAS'!AH41/'EDT Y TAREAS'!M41,0),IF(AND(54&gt;='EDT Y TAREAS'!AK44,54&lt;'EDT Y TAREAS'!AL44),'EDT Y TAREAS'!AH44/'EDT Y TAREAS'!M44,0),IF(AND(54&gt;='EDT Y TAREAS'!AK46,54&lt;'EDT Y TAREAS'!AL46),'EDT Y TAREAS'!AH46/'EDT Y TAREAS'!M46,0),IF(AND(54&gt;='EDT Y TAREAS'!AK48,54&lt;'EDT Y TAREAS'!AL48),'EDT Y TAREAS'!AH48/'EDT Y TAREAS'!M48,0))</x:f>
        <x:v>0</x:v>
      </x:c>
      <x:c r="G94" s="35" t="n">
        <x:f>SUM(IF(AND(54&gt;='EDT Y TAREAS'!AK20,54&lt;'EDT Y TAREAS'!AL20),'EDT Y TAREAS'!AI20/'EDT Y TAREAS'!M20,0),IF(AND(54&gt;='EDT Y TAREAS'!AK25,54&lt;'EDT Y TAREAS'!AL25),'EDT Y TAREAS'!AI25/'EDT Y TAREAS'!M25,0),IF(AND(54&gt;='EDT Y TAREAS'!AK33,54&lt;'EDT Y TAREAS'!AL33),'EDT Y TAREAS'!AI33/'EDT Y TAREAS'!M33,0),IF(AND(54&gt;='EDT Y TAREAS'!AK34,54&lt;'EDT Y TAREAS'!AL34),'EDT Y TAREAS'!AI34/'EDT Y TAREAS'!M34,0),IF(AND(54&gt;='EDT Y TAREAS'!AK36,54&lt;'EDT Y TAREAS'!AL36),'EDT Y TAREAS'!AI36/'EDT Y TAREAS'!M36,0),IF(AND(54&gt;='EDT Y TAREAS'!AK39,54&lt;'EDT Y TAREAS'!AL39),'EDT Y TAREAS'!AI39/'EDT Y TAREAS'!M39,0),IF(AND(54&gt;='EDT Y TAREAS'!AK40,54&lt;'EDT Y TAREAS'!AL40),'EDT Y TAREAS'!AI40/'EDT Y TAREAS'!M40,0),IF(AND(54&gt;='EDT Y TAREAS'!AK42,54&lt;'EDT Y TAREAS'!AL42),'EDT Y TAREAS'!AI42/'EDT Y TAREAS'!M42,0),IF(AND(54&gt;='EDT Y TAREAS'!AK43,54&lt;'EDT Y TAREAS'!AL43),'EDT Y TAREAS'!AI43/'EDT Y TAREAS'!M43,0),IF(AND(54&gt;='EDT Y TAREAS'!AK44,54&lt;'EDT Y TAREAS'!AL44),'EDT Y TAREAS'!AI44/'EDT Y TAREAS'!M44,0),IF(AND(54&gt;='EDT Y TAREAS'!AK45,54&lt;'EDT Y TAREAS'!AL45),'EDT Y TAREAS'!AI45/'EDT Y TAREAS'!M45,0),IF(AND(54&gt;='EDT Y TAREAS'!AK46,54&lt;'EDT Y TAREAS'!AL46),'EDT Y TAREAS'!AI46/'EDT Y TAREAS'!M46,0),IF(AND(54&gt;='EDT Y TAREAS'!AK48,54&lt;'EDT Y TAREAS'!AL48),'EDT Y TAREAS'!AI48/'EDT Y TAREAS'!M48,0),IF(AND(54&gt;='EDT Y TAREAS'!AK50,54&lt;'EDT Y TAREAS'!AL50),'EDT Y TAREAS'!AI50/'EDT Y TAREAS'!M50,0),IF(AND(54&gt;='EDT Y TAREAS'!AK52,54&lt;'EDT Y TAREAS'!AL52),'EDT Y TAREAS'!AI52/'EDT Y TAREAS'!M52,0))</x:f>
        <x:v>1.2</x:v>
      </x:c>
      <x:c r="H94" s="35" t="n">
        <x:f>SUM(IF(AND(54&gt;='EDT Y TAREAS'!AK11,54&lt;'EDT Y TAREAS'!AL11),'EDT Y TAREAS'!AJ11/'EDT Y TAREAS'!M11,0),IF(AND(54&gt;='EDT Y TAREAS'!AK24,54&lt;'EDT Y TAREAS'!AL24),'EDT Y TAREAS'!AJ24/'EDT Y TAREAS'!M24,0),IF(AND(54&gt;='EDT Y TAREAS'!AK27,54&lt;'EDT Y TAREAS'!AL27),'EDT Y TAREAS'!AJ27/'EDT Y TAREAS'!M27,0),IF(AND(54&gt;='EDT Y TAREAS'!AK28,54&lt;'EDT Y TAREAS'!AL28),'EDT Y TAREAS'!AJ28/'EDT Y TAREAS'!M28,0),IF(AND(54&gt;='EDT Y TAREAS'!AK33,54&lt;'EDT Y TAREAS'!AL33),'EDT Y TAREAS'!AJ33/'EDT Y TAREAS'!M33,0),IF(AND(54&gt;='EDT Y TAREAS'!AK35,54&lt;'EDT Y TAREAS'!AL35),'EDT Y TAREAS'!AJ35/'EDT Y TAREAS'!M35,0),IF(AND(54&gt;='EDT Y TAREAS'!AK36,54&lt;'EDT Y TAREAS'!AL36),'EDT Y TAREAS'!AJ36/'EDT Y TAREAS'!M36,0),IF(AND(54&gt;='EDT Y TAREAS'!AK37,54&lt;'EDT Y TAREAS'!AL37),'EDT Y TAREAS'!AJ37/'EDT Y TAREAS'!M37,0),IF(AND(54&gt;='EDT Y TAREAS'!AK40,54&lt;'EDT Y TAREAS'!AL40),'EDT Y TAREAS'!AJ40/'EDT Y TAREAS'!M40,0),IF(AND(54&gt;='EDT Y TAREAS'!AK42,54&lt;'EDT Y TAREAS'!AL42),'EDT Y TAREAS'!AJ42/'EDT Y TAREAS'!M42,0),IF(AND(54&gt;='EDT Y TAREAS'!AK49,54&lt;'EDT Y TAREAS'!AL49),'EDT Y TAREAS'!AJ49/'EDT Y TAREAS'!M49,0),IF(AND(54&gt;='EDT Y TAREAS'!AK50,54&lt;'EDT Y TAREAS'!AL50),'EDT Y TAREAS'!AJ50/'EDT Y TAREAS'!M50,0),IF(AND(54&gt;='EDT Y TAREAS'!AK51,54&lt;'EDT Y TAREAS'!AL51),'EDT Y TAREAS'!AJ51/'EDT Y TAREAS'!M51,0),IF(AND(54&gt;='EDT Y TAREAS'!AK52,54&lt;'EDT Y TAREAS'!AL52),'EDT Y TAREAS'!AJ52/'EDT Y TAREAS'!M52,0))</x:f>
        <x:v>4</x:v>
      </x:c>
      <x:c r="I94" s="10" t="n">
        <x:f>WORKDAY('RESUMEN'!$D$3-1,A94,'RESUMEN'!$J$6:$J$25)</x:f>
        <x:v>46402</x:v>
      </x:c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  <x:c r="AO94" s="3"/>
    </x:row>
    <x:row r="95" ht="24" customHeight="1">
      <x:c r="A95" s="3" t="n">
        <x:v>56</x:v>
      </x:c>
      <x:c r="B95" s="35" t="n">
        <x:f>SUM(IF(AND(55&gt;='EDT Y TAREAS'!AK6,55&lt;'EDT Y TAREAS'!AL6),'EDT Y TAREAS'!AD6/'EDT Y TAREAS'!M6,0),IF(AND(55&gt;='EDT Y TAREAS'!AK7,55&lt;'EDT Y TAREAS'!AL7),'EDT Y TAREAS'!AD7/'EDT Y TAREAS'!M7,0),IF(AND(55&gt;='EDT Y TAREAS'!AK8,55&lt;'EDT Y TAREAS'!AL8),'EDT Y TAREAS'!AD8/'EDT Y TAREAS'!M8,0),IF(AND(55&gt;='EDT Y TAREAS'!AK9,55&lt;'EDT Y TAREAS'!AL9),'EDT Y TAREAS'!AD9/'EDT Y TAREAS'!M9,0),IF(AND(55&gt;='EDT Y TAREAS'!AK10,55&lt;'EDT Y TAREAS'!AL10),'EDT Y TAREAS'!AD10/'EDT Y TAREAS'!M10,0),IF(AND(55&gt;='EDT Y TAREAS'!AK11,55&lt;'EDT Y TAREAS'!AL11),'EDT Y TAREAS'!AD11/'EDT Y TAREAS'!M11,0),IF(AND(55&gt;='EDT Y TAREAS'!AK12,55&lt;'EDT Y TAREAS'!AL12),'EDT Y TAREAS'!AD12/'EDT Y TAREAS'!M12,0),IF(AND(55&gt;='EDT Y TAREAS'!AK13,55&lt;'EDT Y TAREAS'!AL13),'EDT Y TAREAS'!AD13/'EDT Y TAREAS'!M13,0),IF(AND(55&gt;='EDT Y TAREAS'!AK14,55&lt;'EDT Y TAREAS'!AL14),'EDT Y TAREAS'!AD14/'EDT Y TAREAS'!M14,0),IF(AND(55&gt;='EDT Y TAREAS'!AK15,55&lt;'EDT Y TAREAS'!AL15),'EDT Y TAREAS'!AD15/'EDT Y TAREAS'!M15,0),IF(AND(55&gt;='EDT Y TAREAS'!AK16,55&lt;'EDT Y TAREAS'!AL16),'EDT Y TAREAS'!AD16/'EDT Y TAREAS'!M16,0),IF(AND(55&gt;='EDT Y TAREAS'!AK17,55&lt;'EDT Y TAREAS'!AL17),'EDT Y TAREAS'!AD17/'EDT Y TAREAS'!M17,0),IF(AND(55&gt;='EDT Y TAREAS'!AK18,55&lt;'EDT Y TAREAS'!AL18),'EDT Y TAREAS'!AD18/'EDT Y TAREAS'!M18,0),IF(AND(55&gt;='EDT Y TAREAS'!AK19,55&lt;'EDT Y TAREAS'!AL19),'EDT Y TAREAS'!AD19/'EDT Y TAREAS'!M19,0),IF(AND(55&gt;='EDT Y TAREAS'!AK20,55&lt;'EDT Y TAREAS'!AL20),'EDT Y TAREAS'!AD20/'EDT Y TAREAS'!M20,0),IF(AND(55&gt;='EDT Y TAREAS'!AK21,55&lt;'EDT Y TAREAS'!AL21),'EDT Y TAREAS'!AD21/'EDT Y TAREAS'!M21,0),IF(AND(55&gt;='EDT Y TAREAS'!AK22,55&lt;'EDT Y TAREAS'!AL22),'EDT Y TAREAS'!AD22/'EDT Y TAREAS'!M22,0),IF(AND(55&gt;='EDT Y TAREAS'!AK23,55&lt;'EDT Y TAREAS'!AL23),'EDT Y TAREAS'!AD23/'EDT Y TAREAS'!M23,0),IF(AND(55&gt;='EDT Y TAREAS'!AK26,55&lt;'EDT Y TAREAS'!AL26),'EDT Y TAREAS'!AD26/'EDT Y TAREAS'!M26,0),IF(AND(55&gt;='EDT Y TAREAS'!AK28,55&lt;'EDT Y TAREAS'!AL28),'EDT Y TAREAS'!AD28/'EDT Y TAREAS'!M28,0),IF(AND(55&gt;='EDT Y TAREAS'!AK30,55&lt;'EDT Y TAREAS'!AL30),'EDT Y TAREAS'!AD30/'EDT Y TAREAS'!M30,0),IF(AND(55&gt;='EDT Y TAREAS'!AK32,55&lt;'EDT Y TAREAS'!AL32),'EDT Y TAREAS'!AD32/'EDT Y TAREAS'!M32,0),IF(AND(55&gt;='EDT Y TAREAS'!AK34,55&lt;'EDT Y TAREAS'!AL34),'EDT Y TAREAS'!AD34/'EDT Y TAREAS'!M34,0),IF(AND(55&gt;='EDT Y TAREAS'!AK38,55&lt;'EDT Y TAREAS'!AL38),'EDT Y TAREAS'!AD38/'EDT Y TAREAS'!M38,0),IF(AND(55&gt;='EDT Y TAREAS'!AK39,55&lt;'EDT Y TAREAS'!AL39),'EDT Y TAREAS'!AD39/'EDT Y TAREAS'!M39,0),IF(AND(55&gt;='EDT Y TAREAS'!AK43,55&lt;'EDT Y TAREAS'!AL43),'EDT Y TAREAS'!AD43/'EDT Y TAREAS'!M43,0),IF(AND(55&gt;='EDT Y TAREAS'!AK44,55&lt;'EDT Y TAREAS'!AL44),'EDT Y TAREAS'!AD44/'EDT Y TAREAS'!M44,0),IF(AND(55&gt;='EDT Y TAREAS'!AK45,55&lt;'EDT Y TAREAS'!AL45),'EDT Y TAREAS'!AD45/'EDT Y TAREAS'!M45,0),IF(AND(55&gt;='EDT Y TAREAS'!AK46,55&lt;'EDT Y TAREAS'!AL46),'EDT Y TAREAS'!AD46/'EDT Y TAREAS'!M46,0),IF(AND(55&gt;='EDT Y TAREAS'!AK47,55&lt;'EDT Y TAREAS'!AL47),'EDT Y TAREAS'!AD47/'EDT Y TAREAS'!M47,0),IF(AND(55&gt;='EDT Y TAREAS'!AK49,55&lt;'EDT Y TAREAS'!AL49),'EDT Y TAREAS'!AD49/'EDT Y TAREAS'!M49,0),IF(AND(55&gt;='EDT Y TAREAS'!AK50,55&lt;'EDT Y TAREAS'!AL50),'EDT Y TAREAS'!AD50/'EDT Y TAREAS'!M50,0),IF(AND(55&gt;='EDT Y TAREAS'!AK51,55&lt;'EDT Y TAREAS'!AL51),'EDT Y TAREAS'!AD51/'EDT Y TAREAS'!M51,0),IF(AND(55&gt;='EDT Y TAREAS'!AK52,55&lt;'EDT Y TAREAS'!AL52),'EDT Y TAREAS'!AD52/'EDT Y TAREAS'!M52,0))</x:f>
        <x:v>4.8</x:v>
      </x:c>
      <x:c r="C95" s="35" t="n">
        <x:f>SUM(IF(AND(55&gt;='EDT Y TAREAS'!AK6,55&lt;'EDT Y TAREAS'!AL6),'EDT Y TAREAS'!AE6/'EDT Y TAREAS'!M6,0),IF(AND(55&gt;='EDT Y TAREAS'!AK8,55&lt;'EDT Y TAREAS'!AL8),'EDT Y TAREAS'!AE8/'EDT Y TAREAS'!M8,0),IF(AND(55&gt;='EDT Y TAREAS'!AK9,55&lt;'EDT Y TAREAS'!AL9),'EDT Y TAREAS'!AE9/'EDT Y TAREAS'!M9,0),IF(AND(55&gt;='EDT Y TAREAS'!AK10,55&lt;'EDT Y TAREAS'!AL10),'EDT Y TAREAS'!AE10/'EDT Y TAREAS'!M10,0),IF(AND(55&gt;='EDT Y TAREAS'!AK12,55&lt;'EDT Y TAREAS'!AL12),'EDT Y TAREAS'!AE12/'EDT Y TAREAS'!M12,0),IF(AND(55&gt;='EDT Y TAREAS'!AK16,55&lt;'EDT Y TAREAS'!AL16),'EDT Y TAREAS'!AE16/'EDT Y TAREAS'!M16,0),IF(AND(55&gt;='EDT Y TAREAS'!AK21,55&lt;'EDT Y TAREAS'!AL21),'EDT Y TAREAS'!AE21/'EDT Y TAREAS'!M21,0),IF(AND(55&gt;='EDT Y TAREAS'!AK23,55&lt;'EDT Y TAREAS'!AL23),'EDT Y TAREAS'!AE23/'EDT Y TAREAS'!M23,0),IF(AND(55&gt;='EDT Y TAREAS'!AK37,55&lt;'EDT Y TAREAS'!AL37),'EDT Y TAREAS'!AE37/'EDT Y TAREAS'!M37,0),IF(AND(55&gt;='EDT Y TAREAS'!AK38,55&lt;'EDT Y TAREAS'!AL38),'EDT Y TAREAS'!AE38/'EDT Y TAREAS'!M38,0),IF(AND(55&gt;='EDT Y TAREAS'!AK41,55&lt;'EDT Y TAREAS'!AL41),'EDT Y TAREAS'!AE41/'EDT Y TAREAS'!M41,0),IF(AND(55&gt;='EDT Y TAREAS'!AK43,55&lt;'EDT Y TAREAS'!AL43),'EDT Y TAREAS'!AE43/'EDT Y TAREAS'!M43,0),IF(AND(55&gt;='EDT Y TAREAS'!AK44,55&lt;'EDT Y TAREAS'!AL44),'EDT Y TAREAS'!AE44/'EDT Y TAREAS'!M44,0),IF(AND(55&gt;='EDT Y TAREAS'!AK46,55&lt;'EDT Y TAREAS'!AL46),'EDT Y TAREAS'!AE46/'EDT Y TAREAS'!M46,0),IF(AND(55&gt;='EDT Y TAREAS'!AK47,55&lt;'EDT Y TAREAS'!AL47),'EDT Y TAREAS'!AE47/'EDT Y TAREAS'!M47,0),IF(AND(55&gt;='EDT Y TAREAS'!AK51,55&lt;'EDT Y TAREAS'!AL51),'EDT Y TAREAS'!AE51/'EDT Y TAREAS'!M51,0),IF(AND(55&gt;='EDT Y TAREAS'!AK52,55&lt;'EDT Y TAREAS'!AL52),'EDT Y TAREAS'!AE52/'EDT Y TAREAS'!M52,0))</x:f>
        <x:v>0</x:v>
      </x:c>
      <x:c r="D95" s="35" t="n">
        <x:f>SUM(IF(AND(55&gt;='EDT Y TAREAS'!AK11,55&lt;'EDT Y TAREAS'!AL11),'EDT Y TAREAS'!AF11/'EDT Y TAREAS'!M11,0),IF(AND(55&gt;='EDT Y TAREAS'!AK24,55&lt;'EDT Y TAREAS'!AL24),'EDT Y TAREAS'!AF24/'EDT Y TAREAS'!M24,0),IF(AND(55&gt;='EDT Y TAREAS'!AK25,55&lt;'EDT Y TAREAS'!AL25),'EDT Y TAREAS'!AF25/'EDT Y TAREAS'!M25,0),IF(AND(55&gt;='EDT Y TAREAS'!AK26,55&lt;'EDT Y TAREAS'!AL26),'EDT Y TAREAS'!AF26/'EDT Y TAREAS'!M26,0),IF(AND(55&gt;='EDT Y TAREAS'!AK27,55&lt;'EDT Y TAREAS'!AL27),'EDT Y TAREAS'!AF27/'EDT Y TAREAS'!M27,0),IF(AND(55&gt;='EDT Y TAREAS'!AK28,55&lt;'EDT Y TAREAS'!AL28),'EDT Y TAREAS'!AF28/'EDT Y TAREAS'!M28,0),IF(AND(55&gt;='EDT Y TAREAS'!AK31,55&lt;'EDT Y TAREAS'!AL31),'EDT Y TAREAS'!AF31/'EDT Y TAREAS'!M31,0),IF(AND(55&gt;='EDT Y TAREAS'!AK33,55&lt;'EDT Y TAREAS'!AL33),'EDT Y TAREAS'!AF33/'EDT Y TAREAS'!M33,0),IF(AND(55&gt;='EDT Y TAREAS'!AK34,55&lt;'EDT Y TAREAS'!AL34),'EDT Y TAREAS'!AF34/'EDT Y TAREAS'!M34,0),IF(AND(55&gt;='EDT Y TAREAS'!AK35,55&lt;'EDT Y TAREAS'!AL35),'EDT Y TAREAS'!AF35/'EDT Y TAREAS'!M35,0),IF(AND(55&gt;='EDT Y TAREAS'!AK37,55&lt;'EDT Y TAREAS'!AL37),'EDT Y TAREAS'!AF37/'EDT Y TAREAS'!M37,0),IF(AND(55&gt;='EDT Y TAREAS'!AK39,55&lt;'EDT Y TAREAS'!AL39),'EDT Y TAREAS'!AF39/'EDT Y TAREAS'!M39,0),IF(AND(55&gt;='EDT Y TAREAS'!AK40,55&lt;'EDT Y TAREAS'!AL40),'EDT Y TAREAS'!AF40/'EDT Y TAREAS'!M40,0),IF(AND(55&gt;='EDT Y TAREAS'!AK42,55&lt;'EDT Y TAREAS'!AL42),'EDT Y TAREAS'!AF42/'EDT Y TAREAS'!M42,0),IF(AND(55&gt;='EDT Y TAREAS'!AK45,55&lt;'EDT Y TAREAS'!AL45),'EDT Y TAREAS'!AF45/'EDT Y TAREAS'!M45,0),IF(AND(55&gt;='EDT Y TAREAS'!AK49,55&lt;'EDT Y TAREAS'!AL49),'EDT Y TAREAS'!AF49/'EDT Y TAREAS'!M49,0),IF(AND(55&gt;='EDT Y TAREAS'!AK52,55&lt;'EDT Y TAREAS'!AL52),'EDT Y TAREAS'!AF52/'EDT Y TAREAS'!M52,0))</x:f>
        <x:v>5.6</x:v>
      </x:c>
      <x:c r="E95" s="35" t="n">
        <x:f>SUM(IF(AND(55&gt;='EDT Y TAREAS'!AK29,55&lt;'EDT Y TAREAS'!AL29),'EDT Y TAREAS'!AG29/'EDT Y TAREAS'!M29,0),IF(AND(55&gt;='EDT Y TAREAS'!AK30,55&lt;'EDT Y TAREAS'!AL30),'EDT Y TAREAS'!AG30/'EDT Y TAREAS'!M30,0),IF(AND(55&gt;='EDT Y TAREAS'!AK31,55&lt;'EDT Y TAREAS'!AL31),'EDT Y TAREAS'!AG31/'EDT Y TAREAS'!M31,0),IF(AND(55&gt;='EDT Y TAREAS'!AK32,55&lt;'EDT Y TAREAS'!AL32),'EDT Y TAREAS'!AG32/'EDT Y TAREAS'!M32,0),IF(AND(55&gt;='EDT Y TAREAS'!AK41,55&lt;'EDT Y TAREAS'!AL41),'EDT Y TAREAS'!AG41/'EDT Y TAREAS'!M41,0),IF(AND(55&gt;='EDT Y TAREAS'!AK45,55&lt;'EDT Y TAREAS'!AL45),'EDT Y TAREAS'!AG45/'EDT Y TAREAS'!M45,0),IF(AND(55&gt;='EDT Y TAREAS'!AK48,55&lt;'EDT Y TAREAS'!AL48),'EDT Y TAREAS'!AG48/'EDT Y TAREAS'!M48,0))</x:f>
        <x:v>0</x:v>
      </x:c>
      <x:c r="F95" s="35" t="n">
        <x:f>SUM(IF(AND(55&gt;='EDT Y TAREAS'!AK10,55&lt;'EDT Y TAREAS'!AL10),'EDT Y TAREAS'!AH10/'EDT Y TAREAS'!M10,0),IF(AND(55&gt;='EDT Y TAREAS'!AK12,55&lt;'EDT Y TAREAS'!AL12),'EDT Y TAREAS'!AH12/'EDT Y TAREAS'!M12,0),IF(AND(55&gt;='EDT Y TAREAS'!AK22,55&lt;'EDT Y TAREAS'!AL22),'EDT Y TAREAS'!AH22/'EDT Y TAREAS'!M22,0),IF(AND(55&gt;='EDT Y TAREAS'!AK23,55&lt;'EDT Y TAREAS'!AL23),'EDT Y TAREAS'!AH23/'EDT Y TAREAS'!M23,0),IF(AND(55&gt;='EDT Y TAREAS'!AK29,55&lt;'EDT Y TAREAS'!AL29),'EDT Y TAREAS'!AH29/'EDT Y TAREAS'!M29,0),IF(AND(55&gt;='EDT Y TAREAS'!AK30,55&lt;'EDT Y TAREAS'!AL30),'EDT Y TAREAS'!AH30/'EDT Y TAREAS'!M30,0),IF(AND(55&gt;='EDT Y TAREAS'!AK32,55&lt;'EDT Y TAREAS'!AL32),'EDT Y TAREAS'!AH32/'EDT Y TAREAS'!M32,0),IF(AND(55&gt;='EDT Y TAREAS'!AK41,55&lt;'EDT Y TAREAS'!AL41),'EDT Y TAREAS'!AH41/'EDT Y TAREAS'!M41,0),IF(AND(55&gt;='EDT Y TAREAS'!AK44,55&lt;'EDT Y TAREAS'!AL44),'EDT Y TAREAS'!AH44/'EDT Y TAREAS'!M44,0),IF(AND(55&gt;='EDT Y TAREAS'!AK46,55&lt;'EDT Y TAREAS'!AL46),'EDT Y TAREAS'!AH46/'EDT Y TAREAS'!M46,0),IF(AND(55&gt;='EDT Y TAREAS'!AK48,55&lt;'EDT Y TAREAS'!AL48),'EDT Y TAREAS'!AH48/'EDT Y TAREAS'!M48,0))</x:f>
        <x:v>0</x:v>
      </x:c>
      <x:c r="G95" s="35" t="n">
        <x:f>SUM(IF(AND(55&gt;='EDT Y TAREAS'!AK20,55&lt;'EDT Y TAREAS'!AL20),'EDT Y TAREAS'!AI20/'EDT Y TAREAS'!M20,0),IF(AND(55&gt;='EDT Y TAREAS'!AK25,55&lt;'EDT Y TAREAS'!AL25),'EDT Y TAREAS'!AI25/'EDT Y TAREAS'!M25,0),IF(AND(55&gt;='EDT Y TAREAS'!AK33,55&lt;'EDT Y TAREAS'!AL33),'EDT Y TAREAS'!AI33/'EDT Y TAREAS'!M33,0),IF(AND(55&gt;='EDT Y TAREAS'!AK34,55&lt;'EDT Y TAREAS'!AL34),'EDT Y TAREAS'!AI34/'EDT Y TAREAS'!M34,0),IF(AND(55&gt;='EDT Y TAREAS'!AK36,55&lt;'EDT Y TAREAS'!AL36),'EDT Y TAREAS'!AI36/'EDT Y TAREAS'!M36,0),IF(AND(55&gt;='EDT Y TAREAS'!AK39,55&lt;'EDT Y TAREAS'!AL39),'EDT Y TAREAS'!AI39/'EDT Y TAREAS'!M39,0),IF(AND(55&gt;='EDT Y TAREAS'!AK40,55&lt;'EDT Y TAREAS'!AL40),'EDT Y TAREAS'!AI40/'EDT Y TAREAS'!M40,0),IF(AND(55&gt;='EDT Y TAREAS'!AK42,55&lt;'EDT Y TAREAS'!AL42),'EDT Y TAREAS'!AI42/'EDT Y TAREAS'!M42,0),IF(AND(55&gt;='EDT Y TAREAS'!AK43,55&lt;'EDT Y TAREAS'!AL43),'EDT Y TAREAS'!AI43/'EDT Y TAREAS'!M43,0),IF(AND(55&gt;='EDT Y TAREAS'!AK44,55&lt;'EDT Y TAREAS'!AL44),'EDT Y TAREAS'!AI44/'EDT Y TAREAS'!M44,0),IF(AND(55&gt;='EDT Y TAREAS'!AK45,55&lt;'EDT Y TAREAS'!AL45),'EDT Y TAREAS'!AI45/'EDT Y TAREAS'!M45,0),IF(AND(55&gt;='EDT Y TAREAS'!AK46,55&lt;'EDT Y TAREAS'!AL46),'EDT Y TAREAS'!AI46/'EDT Y TAREAS'!M46,0),IF(AND(55&gt;='EDT Y TAREAS'!AK48,55&lt;'EDT Y TAREAS'!AL48),'EDT Y TAREAS'!AI48/'EDT Y TAREAS'!M48,0),IF(AND(55&gt;='EDT Y TAREAS'!AK50,55&lt;'EDT Y TAREAS'!AL50),'EDT Y TAREAS'!AI50/'EDT Y TAREAS'!M50,0),IF(AND(55&gt;='EDT Y TAREAS'!AK52,55&lt;'EDT Y TAREAS'!AL52),'EDT Y TAREAS'!AI52/'EDT Y TAREAS'!M52,0))</x:f>
        <x:v>1.2</x:v>
      </x:c>
      <x:c r="H95" s="35" t="n">
        <x:f>SUM(IF(AND(55&gt;='EDT Y TAREAS'!AK11,55&lt;'EDT Y TAREAS'!AL11),'EDT Y TAREAS'!AJ11/'EDT Y TAREAS'!M11,0),IF(AND(55&gt;='EDT Y TAREAS'!AK24,55&lt;'EDT Y TAREAS'!AL24),'EDT Y TAREAS'!AJ24/'EDT Y TAREAS'!M24,0),IF(AND(55&gt;='EDT Y TAREAS'!AK27,55&lt;'EDT Y TAREAS'!AL27),'EDT Y TAREAS'!AJ27/'EDT Y TAREAS'!M27,0),IF(AND(55&gt;='EDT Y TAREAS'!AK28,55&lt;'EDT Y TAREAS'!AL28),'EDT Y TAREAS'!AJ28/'EDT Y TAREAS'!M28,0),IF(AND(55&gt;='EDT Y TAREAS'!AK33,55&lt;'EDT Y TAREAS'!AL33),'EDT Y TAREAS'!AJ33/'EDT Y TAREAS'!M33,0),IF(AND(55&gt;='EDT Y TAREAS'!AK35,55&lt;'EDT Y TAREAS'!AL35),'EDT Y TAREAS'!AJ35/'EDT Y TAREAS'!M35,0),IF(AND(55&gt;='EDT Y TAREAS'!AK36,55&lt;'EDT Y TAREAS'!AL36),'EDT Y TAREAS'!AJ36/'EDT Y TAREAS'!M36,0),IF(AND(55&gt;='EDT Y TAREAS'!AK37,55&lt;'EDT Y TAREAS'!AL37),'EDT Y TAREAS'!AJ37/'EDT Y TAREAS'!M37,0),IF(AND(55&gt;='EDT Y TAREAS'!AK40,55&lt;'EDT Y TAREAS'!AL40),'EDT Y TAREAS'!AJ40/'EDT Y TAREAS'!M40,0),IF(AND(55&gt;='EDT Y TAREAS'!AK42,55&lt;'EDT Y TAREAS'!AL42),'EDT Y TAREAS'!AJ42/'EDT Y TAREAS'!M42,0),IF(AND(55&gt;='EDT Y TAREAS'!AK49,55&lt;'EDT Y TAREAS'!AL49),'EDT Y TAREAS'!AJ49/'EDT Y TAREAS'!M49,0),IF(AND(55&gt;='EDT Y TAREAS'!AK50,55&lt;'EDT Y TAREAS'!AL50),'EDT Y TAREAS'!AJ50/'EDT Y TAREAS'!M50,0),IF(AND(55&gt;='EDT Y TAREAS'!AK51,55&lt;'EDT Y TAREAS'!AL51),'EDT Y TAREAS'!AJ51/'EDT Y TAREAS'!M51,0),IF(AND(55&gt;='EDT Y TAREAS'!AK52,55&lt;'EDT Y TAREAS'!AL52),'EDT Y TAREAS'!AJ52/'EDT Y TAREAS'!M52,0))</x:f>
        <x:v>4</x:v>
      </x:c>
      <x:c r="I95" s="10" t="n">
        <x:f>WORKDAY('RESUMEN'!$D$3-1,A95,'RESUMEN'!$J$6:$J$25)</x:f>
        <x:v>46405</x:v>
      </x:c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  <x:c r="AO95" s="3"/>
    </x:row>
    <x:row r="96" ht="24" customHeight="1">
      <x:c r="A96" s="3" t="n">
        <x:v>57</x:v>
      </x:c>
      <x:c r="B96" s="35" t="n">
        <x:f>SUM(IF(AND(56&gt;='EDT Y TAREAS'!AK6,56&lt;'EDT Y TAREAS'!AL6),'EDT Y TAREAS'!AD6/'EDT Y TAREAS'!M6,0),IF(AND(56&gt;='EDT Y TAREAS'!AK7,56&lt;'EDT Y TAREAS'!AL7),'EDT Y TAREAS'!AD7/'EDT Y TAREAS'!M7,0),IF(AND(56&gt;='EDT Y TAREAS'!AK8,56&lt;'EDT Y TAREAS'!AL8),'EDT Y TAREAS'!AD8/'EDT Y TAREAS'!M8,0),IF(AND(56&gt;='EDT Y TAREAS'!AK9,56&lt;'EDT Y TAREAS'!AL9),'EDT Y TAREAS'!AD9/'EDT Y TAREAS'!M9,0),IF(AND(56&gt;='EDT Y TAREAS'!AK10,56&lt;'EDT Y TAREAS'!AL10),'EDT Y TAREAS'!AD10/'EDT Y TAREAS'!M10,0),IF(AND(56&gt;='EDT Y TAREAS'!AK11,56&lt;'EDT Y TAREAS'!AL11),'EDT Y TAREAS'!AD11/'EDT Y TAREAS'!M11,0),IF(AND(56&gt;='EDT Y TAREAS'!AK12,56&lt;'EDT Y TAREAS'!AL12),'EDT Y TAREAS'!AD12/'EDT Y TAREAS'!M12,0),IF(AND(56&gt;='EDT Y TAREAS'!AK13,56&lt;'EDT Y TAREAS'!AL13),'EDT Y TAREAS'!AD13/'EDT Y TAREAS'!M13,0),IF(AND(56&gt;='EDT Y TAREAS'!AK14,56&lt;'EDT Y TAREAS'!AL14),'EDT Y TAREAS'!AD14/'EDT Y TAREAS'!M14,0),IF(AND(56&gt;='EDT Y TAREAS'!AK15,56&lt;'EDT Y TAREAS'!AL15),'EDT Y TAREAS'!AD15/'EDT Y TAREAS'!M15,0),IF(AND(56&gt;='EDT Y TAREAS'!AK16,56&lt;'EDT Y TAREAS'!AL16),'EDT Y TAREAS'!AD16/'EDT Y TAREAS'!M16,0),IF(AND(56&gt;='EDT Y TAREAS'!AK17,56&lt;'EDT Y TAREAS'!AL17),'EDT Y TAREAS'!AD17/'EDT Y TAREAS'!M17,0),IF(AND(56&gt;='EDT Y TAREAS'!AK18,56&lt;'EDT Y TAREAS'!AL18),'EDT Y TAREAS'!AD18/'EDT Y TAREAS'!M18,0),IF(AND(56&gt;='EDT Y TAREAS'!AK19,56&lt;'EDT Y TAREAS'!AL19),'EDT Y TAREAS'!AD19/'EDT Y TAREAS'!M19,0),IF(AND(56&gt;='EDT Y TAREAS'!AK20,56&lt;'EDT Y TAREAS'!AL20),'EDT Y TAREAS'!AD20/'EDT Y TAREAS'!M20,0),IF(AND(56&gt;='EDT Y TAREAS'!AK21,56&lt;'EDT Y TAREAS'!AL21),'EDT Y TAREAS'!AD21/'EDT Y TAREAS'!M21,0),IF(AND(56&gt;='EDT Y TAREAS'!AK22,56&lt;'EDT Y TAREAS'!AL22),'EDT Y TAREAS'!AD22/'EDT Y TAREAS'!M22,0),IF(AND(56&gt;='EDT Y TAREAS'!AK23,56&lt;'EDT Y TAREAS'!AL23),'EDT Y TAREAS'!AD23/'EDT Y TAREAS'!M23,0),IF(AND(56&gt;='EDT Y TAREAS'!AK26,56&lt;'EDT Y TAREAS'!AL26),'EDT Y TAREAS'!AD26/'EDT Y TAREAS'!M26,0),IF(AND(56&gt;='EDT Y TAREAS'!AK28,56&lt;'EDT Y TAREAS'!AL28),'EDT Y TAREAS'!AD28/'EDT Y TAREAS'!M28,0),IF(AND(56&gt;='EDT Y TAREAS'!AK30,56&lt;'EDT Y TAREAS'!AL30),'EDT Y TAREAS'!AD30/'EDT Y TAREAS'!M30,0),IF(AND(56&gt;='EDT Y TAREAS'!AK32,56&lt;'EDT Y TAREAS'!AL32),'EDT Y TAREAS'!AD32/'EDT Y TAREAS'!M32,0),IF(AND(56&gt;='EDT Y TAREAS'!AK34,56&lt;'EDT Y TAREAS'!AL34),'EDT Y TAREAS'!AD34/'EDT Y TAREAS'!M34,0),IF(AND(56&gt;='EDT Y TAREAS'!AK38,56&lt;'EDT Y TAREAS'!AL38),'EDT Y TAREAS'!AD38/'EDT Y TAREAS'!M38,0),IF(AND(56&gt;='EDT Y TAREAS'!AK39,56&lt;'EDT Y TAREAS'!AL39),'EDT Y TAREAS'!AD39/'EDT Y TAREAS'!M39,0),IF(AND(56&gt;='EDT Y TAREAS'!AK43,56&lt;'EDT Y TAREAS'!AL43),'EDT Y TAREAS'!AD43/'EDT Y TAREAS'!M43,0),IF(AND(56&gt;='EDT Y TAREAS'!AK44,56&lt;'EDT Y TAREAS'!AL44),'EDT Y TAREAS'!AD44/'EDT Y TAREAS'!M44,0),IF(AND(56&gt;='EDT Y TAREAS'!AK45,56&lt;'EDT Y TAREAS'!AL45),'EDT Y TAREAS'!AD45/'EDT Y TAREAS'!M45,0),IF(AND(56&gt;='EDT Y TAREAS'!AK46,56&lt;'EDT Y TAREAS'!AL46),'EDT Y TAREAS'!AD46/'EDT Y TAREAS'!M46,0),IF(AND(56&gt;='EDT Y TAREAS'!AK47,56&lt;'EDT Y TAREAS'!AL47),'EDT Y TAREAS'!AD47/'EDT Y TAREAS'!M47,0),IF(AND(56&gt;='EDT Y TAREAS'!AK49,56&lt;'EDT Y TAREAS'!AL49),'EDT Y TAREAS'!AD49/'EDT Y TAREAS'!M49,0),IF(AND(56&gt;='EDT Y TAREAS'!AK50,56&lt;'EDT Y TAREAS'!AL50),'EDT Y TAREAS'!AD50/'EDT Y TAREAS'!M50,0),IF(AND(56&gt;='EDT Y TAREAS'!AK51,56&lt;'EDT Y TAREAS'!AL51),'EDT Y TAREAS'!AD51/'EDT Y TAREAS'!M51,0),IF(AND(56&gt;='EDT Y TAREAS'!AK52,56&lt;'EDT Y TAREAS'!AL52),'EDT Y TAREAS'!AD52/'EDT Y TAREAS'!M52,0))</x:f>
        <x:v>6.4</x:v>
      </x:c>
      <x:c r="C96" s="35" t="n">
        <x:f>SUM(IF(AND(56&gt;='EDT Y TAREAS'!AK6,56&lt;'EDT Y TAREAS'!AL6),'EDT Y TAREAS'!AE6/'EDT Y TAREAS'!M6,0),IF(AND(56&gt;='EDT Y TAREAS'!AK8,56&lt;'EDT Y TAREAS'!AL8),'EDT Y TAREAS'!AE8/'EDT Y TAREAS'!M8,0),IF(AND(56&gt;='EDT Y TAREAS'!AK9,56&lt;'EDT Y TAREAS'!AL9),'EDT Y TAREAS'!AE9/'EDT Y TAREAS'!M9,0),IF(AND(56&gt;='EDT Y TAREAS'!AK10,56&lt;'EDT Y TAREAS'!AL10),'EDT Y TAREAS'!AE10/'EDT Y TAREAS'!M10,0),IF(AND(56&gt;='EDT Y TAREAS'!AK12,56&lt;'EDT Y TAREAS'!AL12),'EDT Y TAREAS'!AE12/'EDT Y TAREAS'!M12,0),IF(AND(56&gt;='EDT Y TAREAS'!AK16,56&lt;'EDT Y TAREAS'!AL16),'EDT Y TAREAS'!AE16/'EDT Y TAREAS'!M16,0),IF(AND(56&gt;='EDT Y TAREAS'!AK21,56&lt;'EDT Y TAREAS'!AL21),'EDT Y TAREAS'!AE21/'EDT Y TAREAS'!M21,0),IF(AND(56&gt;='EDT Y TAREAS'!AK23,56&lt;'EDT Y TAREAS'!AL23),'EDT Y TAREAS'!AE23/'EDT Y TAREAS'!M23,0),IF(AND(56&gt;='EDT Y TAREAS'!AK37,56&lt;'EDT Y TAREAS'!AL37),'EDT Y TAREAS'!AE37/'EDT Y TAREAS'!M37,0),IF(AND(56&gt;='EDT Y TAREAS'!AK38,56&lt;'EDT Y TAREAS'!AL38),'EDT Y TAREAS'!AE38/'EDT Y TAREAS'!M38,0),IF(AND(56&gt;='EDT Y TAREAS'!AK41,56&lt;'EDT Y TAREAS'!AL41),'EDT Y TAREAS'!AE41/'EDT Y TAREAS'!M41,0),IF(AND(56&gt;='EDT Y TAREAS'!AK43,56&lt;'EDT Y TAREAS'!AL43),'EDT Y TAREAS'!AE43/'EDT Y TAREAS'!M43,0),IF(AND(56&gt;='EDT Y TAREAS'!AK44,56&lt;'EDT Y TAREAS'!AL44),'EDT Y TAREAS'!AE44/'EDT Y TAREAS'!M44,0),IF(AND(56&gt;='EDT Y TAREAS'!AK46,56&lt;'EDT Y TAREAS'!AL46),'EDT Y TAREAS'!AE46/'EDT Y TAREAS'!M46,0),IF(AND(56&gt;='EDT Y TAREAS'!AK47,56&lt;'EDT Y TAREAS'!AL47),'EDT Y TAREAS'!AE47/'EDT Y TAREAS'!M47,0),IF(AND(56&gt;='EDT Y TAREAS'!AK51,56&lt;'EDT Y TAREAS'!AL51),'EDT Y TAREAS'!AE51/'EDT Y TAREAS'!M51,0),IF(AND(56&gt;='EDT Y TAREAS'!AK52,56&lt;'EDT Y TAREAS'!AL52),'EDT Y TAREAS'!AE52/'EDT Y TAREAS'!M52,0))</x:f>
        <x:v>0</x:v>
      </x:c>
      <x:c r="D96" s="35" t="n">
        <x:f>SUM(IF(AND(56&gt;='EDT Y TAREAS'!AK11,56&lt;'EDT Y TAREAS'!AL11),'EDT Y TAREAS'!AF11/'EDT Y TAREAS'!M11,0),IF(AND(56&gt;='EDT Y TAREAS'!AK24,56&lt;'EDT Y TAREAS'!AL24),'EDT Y TAREAS'!AF24/'EDT Y TAREAS'!M24,0),IF(AND(56&gt;='EDT Y TAREAS'!AK25,56&lt;'EDT Y TAREAS'!AL25),'EDT Y TAREAS'!AF25/'EDT Y TAREAS'!M25,0),IF(AND(56&gt;='EDT Y TAREAS'!AK26,56&lt;'EDT Y TAREAS'!AL26),'EDT Y TAREAS'!AF26/'EDT Y TAREAS'!M26,0),IF(AND(56&gt;='EDT Y TAREAS'!AK27,56&lt;'EDT Y TAREAS'!AL27),'EDT Y TAREAS'!AF27/'EDT Y TAREAS'!M27,0),IF(AND(56&gt;='EDT Y TAREAS'!AK28,56&lt;'EDT Y TAREAS'!AL28),'EDT Y TAREAS'!AF28/'EDT Y TAREAS'!M28,0),IF(AND(56&gt;='EDT Y TAREAS'!AK31,56&lt;'EDT Y TAREAS'!AL31),'EDT Y TAREAS'!AF31/'EDT Y TAREAS'!M31,0),IF(AND(56&gt;='EDT Y TAREAS'!AK33,56&lt;'EDT Y TAREAS'!AL33),'EDT Y TAREAS'!AF33/'EDT Y TAREAS'!M33,0),IF(AND(56&gt;='EDT Y TAREAS'!AK34,56&lt;'EDT Y TAREAS'!AL34),'EDT Y TAREAS'!AF34/'EDT Y TAREAS'!M34,0),IF(AND(56&gt;='EDT Y TAREAS'!AK35,56&lt;'EDT Y TAREAS'!AL35),'EDT Y TAREAS'!AF35/'EDT Y TAREAS'!M35,0),IF(AND(56&gt;='EDT Y TAREAS'!AK37,56&lt;'EDT Y TAREAS'!AL37),'EDT Y TAREAS'!AF37/'EDT Y TAREAS'!M37,0),IF(AND(56&gt;='EDT Y TAREAS'!AK39,56&lt;'EDT Y TAREAS'!AL39),'EDT Y TAREAS'!AF39/'EDT Y TAREAS'!M39,0),IF(AND(56&gt;='EDT Y TAREAS'!AK40,56&lt;'EDT Y TAREAS'!AL40),'EDT Y TAREAS'!AF40/'EDT Y TAREAS'!M40,0),IF(AND(56&gt;='EDT Y TAREAS'!AK42,56&lt;'EDT Y TAREAS'!AL42),'EDT Y TAREAS'!AF42/'EDT Y TAREAS'!M42,0),IF(AND(56&gt;='EDT Y TAREAS'!AK45,56&lt;'EDT Y TAREAS'!AL45),'EDT Y TAREAS'!AF45/'EDT Y TAREAS'!M45,0),IF(AND(56&gt;='EDT Y TAREAS'!AK49,56&lt;'EDT Y TAREAS'!AL49),'EDT Y TAREAS'!AF49/'EDT Y TAREAS'!M49,0),IF(AND(56&gt;='EDT Y TAREAS'!AK52,56&lt;'EDT Y TAREAS'!AL52),'EDT Y TAREAS'!AF52/'EDT Y TAREAS'!M52,0))</x:f>
        <x:v>4.8</x:v>
      </x:c>
      <x:c r="E96" s="35" t="n">
        <x:f>SUM(IF(AND(56&gt;='EDT Y TAREAS'!AK29,56&lt;'EDT Y TAREAS'!AL29),'EDT Y TAREAS'!AG29/'EDT Y TAREAS'!M29,0),IF(AND(56&gt;='EDT Y TAREAS'!AK30,56&lt;'EDT Y TAREAS'!AL30),'EDT Y TAREAS'!AG30/'EDT Y TAREAS'!M30,0),IF(AND(56&gt;='EDT Y TAREAS'!AK31,56&lt;'EDT Y TAREAS'!AL31),'EDT Y TAREAS'!AG31/'EDT Y TAREAS'!M31,0),IF(AND(56&gt;='EDT Y TAREAS'!AK32,56&lt;'EDT Y TAREAS'!AL32),'EDT Y TAREAS'!AG32/'EDT Y TAREAS'!M32,0),IF(AND(56&gt;='EDT Y TAREAS'!AK41,56&lt;'EDT Y TAREAS'!AL41),'EDT Y TAREAS'!AG41/'EDT Y TAREAS'!M41,0),IF(AND(56&gt;='EDT Y TAREAS'!AK45,56&lt;'EDT Y TAREAS'!AL45),'EDT Y TAREAS'!AG45/'EDT Y TAREAS'!M45,0),IF(AND(56&gt;='EDT Y TAREAS'!AK48,56&lt;'EDT Y TAREAS'!AL48),'EDT Y TAREAS'!AG48/'EDT Y TAREAS'!M48,0))</x:f>
        <x:v>0</x:v>
      </x:c>
      <x:c r="F96" s="35" t="n">
        <x:f>SUM(IF(AND(56&gt;='EDT Y TAREAS'!AK10,56&lt;'EDT Y TAREAS'!AL10),'EDT Y TAREAS'!AH10/'EDT Y TAREAS'!M10,0),IF(AND(56&gt;='EDT Y TAREAS'!AK12,56&lt;'EDT Y TAREAS'!AL12),'EDT Y TAREAS'!AH12/'EDT Y TAREAS'!M12,0),IF(AND(56&gt;='EDT Y TAREAS'!AK22,56&lt;'EDT Y TAREAS'!AL22),'EDT Y TAREAS'!AH22/'EDT Y TAREAS'!M22,0),IF(AND(56&gt;='EDT Y TAREAS'!AK23,56&lt;'EDT Y TAREAS'!AL23),'EDT Y TAREAS'!AH23/'EDT Y TAREAS'!M23,0),IF(AND(56&gt;='EDT Y TAREAS'!AK29,56&lt;'EDT Y TAREAS'!AL29),'EDT Y TAREAS'!AH29/'EDT Y TAREAS'!M29,0),IF(AND(56&gt;='EDT Y TAREAS'!AK30,56&lt;'EDT Y TAREAS'!AL30),'EDT Y TAREAS'!AH30/'EDT Y TAREAS'!M30,0),IF(AND(56&gt;='EDT Y TAREAS'!AK32,56&lt;'EDT Y TAREAS'!AL32),'EDT Y TAREAS'!AH32/'EDT Y TAREAS'!M32,0),IF(AND(56&gt;='EDT Y TAREAS'!AK41,56&lt;'EDT Y TAREAS'!AL41),'EDT Y TAREAS'!AH41/'EDT Y TAREAS'!M41,0),IF(AND(56&gt;='EDT Y TAREAS'!AK44,56&lt;'EDT Y TAREAS'!AL44),'EDT Y TAREAS'!AH44/'EDT Y TAREAS'!M44,0),IF(AND(56&gt;='EDT Y TAREAS'!AK46,56&lt;'EDT Y TAREAS'!AL46),'EDT Y TAREAS'!AH46/'EDT Y TAREAS'!M46,0),IF(AND(56&gt;='EDT Y TAREAS'!AK48,56&lt;'EDT Y TAREAS'!AL48),'EDT Y TAREAS'!AH48/'EDT Y TAREAS'!M48,0))</x:f>
        <x:v>0</x:v>
      </x:c>
      <x:c r="G96" s="35" t="n">
        <x:f>SUM(IF(AND(56&gt;='EDT Y TAREAS'!AK20,56&lt;'EDT Y TAREAS'!AL20),'EDT Y TAREAS'!AI20/'EDT Y TAREAS'!M20,0),IF(AND(56&gt;='EDT Y TAREAS'!AK25,56&lt;'EDT Y TAREAS'!AL25),'EDT Y TAREAS'!AI25/'EDT Y TAREAS'!M25,0),IF(AND(56&gt;='EDT Y TAREAS'!AK33,56&lt;'EDT Y TAREAS'!AL33),'EDT Y TAREAS'!AI33/'EDT Y TAREAS'!M33,0),IF(AND(56&gt;='EDT Y TAREAS'!AK34,56&lt;'EDT Y TAREAS'!AL34),'EDT Y TAREAS'!AI34/'EDT Y TAREAS'!M34,0),IF(AND(56&gt;='EDT Y TAREAS'!AK36,56&lt;'EDT Y TAREAS'!AL36),'EDT Y TAREAS'!AI36/'EDT Y TAREAS'!M36,0),IF(AND(56&gt;='EDT Y TAREAS'!AK39,56&lt;'EDT Y TAREAS'!AL39),'EDT Y TAREAS'!AI39/'EDT Y TAREAS'!M39,0),IF(AND(56&gt;='EDT Y TAREAS'!AK40,56&lt;'EDT Y TAREAS'!AL40),'EDT Y TAREAS'!AI40/'EDT Y TAREAS'!M40,0),IF(AND(56&gt;='EDT Y TAREAS'!AK42,56&lt;'EDT Y TAREAS'!AL42),'EDT Y TAREAS'!AI42/'EDT Y TAREAS'!M42,0),IF(AND(56&gt;='EDT Y TAREAS'!AK43,56&lt;'EDT Y TAREAS'!AL43),'EDT Y TAREAS'!AI43/'EDT Y TAREAS'!M43,0),IF(AND(56&gt;='EDT Y TAREAS'!AK44,56&lt;'EDT Y TAREAS'!AL44),'EDT Y TAREAS'!AI44/'EDT Y TAREAS'!M44,0),IF(AND(56&gt;='EDT Y TAREAS'!AK45,56&lt;'EDT Y TAREAS'!AL45),'EDT Y TAREAS'!AI45/'EDT Y TAREAS'!M45,0),IF(AND(56&gt;='EDT Y TAREAS'!AK46,56&lt;'EDT Y TAREAS'!AL46),'EDT Y TAREAS'!AI46/'EDT Y TAREAS'!M46,0),IF(AND(56&gt;='EDT Y TAREAS'!AK48,56&lt;'EDT Y TAREAS'!AL48),'EDT Y TAREAS'!AI48/'EDT Y TAREAS'!M48,0),IF(AND(56&gt;='EDT Y TAREAS'!AK50,56&lt;'EDT Y TAREAS'!AL50),'EDT Y TAREAS'!AI50/'EDT Y TAREAS'!M50,0),IF(AND(56&gt;='EDT Y TAREAS'!AK52,56&lt;'EDT Y TAREAS'!AL52),'EDT Y TAREAS'!AI52/'EDT Y TAREAS'!M52,0))</x:f>
        <x:v>0</x:v>
      </x:c>
      <x:c r="H96" s="35" t="n">
        <x:f>SUM(IF(AND(56&gt;='EDT Y TAREAS'!AK11,56&lt;'EDT Y TAREAS'!AL11),'EDT Y TAREAS'!AJ11/'EDT Y TAREAS'!M11,0),IF(AND(56&gt;='EDT Y TAREAS'!AK24,56&lt;'EDT Y TAREAS'!AL24),'EDT Y TAREAS'!AJ24/'EDT Y TAREAS'!M24,0),IF(AND(56&gt;='EDT Y TAREAS'!AK27,56&lt;'EDT Y TAREAS'!AL27),'EDT Y TAREAS'!AJ27/'EDT Y TAREAS'!M27,0),IF(AND(56&gt;='EDT Y TAREAS'!AK28,56&lt;'EDT Y TAREAS'!AL28),'EDT Y TAREAS'!AJ28/'EDT Y TAREAS'!M28,0),IF(AND(56&gt;='EDT Y TAREAS'!AK33,56&lt;'EDT Y TAREAS'!AL33),'EDT Y TAREAS'!AJ33/'EDT Y TAREAS'!M33,0),IF(AND(56&gt;='EDT Y TAREAS'!AK35,56&lt;'EDT Y TAREAS'!AL35),'EDT Y TAREAS'!AJ35/'EDT Y TAREAS'!M35,0),IF(AND(56&gt;='EDT Y TAREAS'!AK36,56&lt;'EDT Y TAREAS'!AL36),'EDT Y TAREAS'!AJ36/'EDT Y TAREAS'!M36,0),IF(AND(56&gt;='EDT Y TAREAS'!AK37,56&lt;'EDT Y TAREAS'!AL37),'EDT Y TAREAS'!AJ37/'EDT Y TAREAS'!M37,0),IF(AND(56&gt;='EDT Y TAREAS'!AK40,56&lt;'EDT Y TAREAS'!AL40),'EDT Y TAREAS'!AJ40/'EDT Y TAREAS'!M40,0),IF(AND(56&gt;='EDT Y TAREAS'!AK42,56&lt;'EDT Y TAREAS'!AL42),'EDT Y TAREAS'!AJ42/'EDT Y TAREAS'!M42,0),IF(AND(56&gt;='EDT Y TAREAS'!AK49,56&lt;'EDT Y TAREAS'!AL49),'EDT Y TAREAS'!AJ49/'EDT Y TAREAS'!M49,0),IF(AND(56&gt;='EDT Y TAREAS'!AK50,56&lt;'EDT Y TAREAS'!AL50),'EDT Y TAREAS'!AJ50/'EDT Y TAREAS'!M50,0),IF(AND(56&gt;='EDT Y TAREAS'!AK51,56&lt;'EDT Y TAREAS'!AL51),'EDT Y TAREAS'!AJ51/'EDT Y TAREAS'!M51,0),IF(AND(56&gt;='EDT Y TAREAS'!AK52,56&lt;'EDT Y TAREAS'!AL52),'EDT Y TAREAS'!AJ52/'EDT Y TAREAS'!M52,0))</x:f>
        <x:v>0.8</x:v>
      </x:c>
      <x:c r="I96" s="10" t="n">
        <x:f>WORKDAY('RESUMEN'!$D$3-1,A96,'RESUMEN'!$J$6:$J$25)</x:f>
        <x:v>46406</x:v>
      </x:c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  <x:c r="AJ96" s="3"/>
      <x:c r="AK96" s="3"/>
      <x:c r="AL96" s="3"/>
      <x:c r="AM96" s="3"/>
      <x:c r="AN96" s="3"/>
      <x:c r="AO96" s="3"/>
    </x:row>
    <x:row r="97" ht="24" customHeight="1">
      <x:c r="A97" s="3" t="n">
        <x:v>58</x:v>
      </x:c>
      <x:c r="B97" s="35" t="n">
        <x:f>SUM(IF(AND(57&gt;='EDT Y TAREAS'!AK6,57&lt;'EDT Y TAREAS'!AL6),'EDT Y TAREAS'!AD6/'EDT Y TAREAS'!M6,0),IF(AND(57&gt;='EDT Y TAREAS'!AK7,57&lt;'EDT Y TAREAS'!AL7),'EDT Y TAREAS'!AD7/'EDT Y TAREAS'!M7,0),IF(AND(57&gt;='EDT Y TAREAS'!AK8,57&lt;'EDT Y TAREAS'!AL8),'EDT Y TAREAS'!AD8/'EDT Y TAREAS'!M8,0),IF(AND(57&gt;='EDT Y TAREAS'!AK9,57&lt;'EDT Y TAREAS'!AL9),'EDT Y TAREAS'!AD9/'EDT Y TAREAS'!M9,0),IF(AND(57&gt;='EDT Y TAREAS'!AK10,57&lt;'EDT Y TAREAS'!AL10),'EDT Y TAREAS'!AD10/'EDT Y TAREAS'!M10,0),IF(AND(57&gt;='EDT Y TAREAS'!AK11,57&lt;'EDT Y TAREAS'!AL11),'EDT Y TAREAS'!AD11/'EDT Y TAREAS'!M11,0),IF(AND(57&gt;='EDT Y TAREAS'!AK12,57&lt;'EDT Y TAREAS'!AL12),'EDT Y TAREAS'!AD12/'EDT Y TAREAS'!M12,0),IF(AND(57&gt;='EDT Y TAREAS'!AK13,57&lt;'EDT Y TAREAS'!AL13),'EDT Y TAREAS'!AD13/'EDT Y TAREAS'!M13,0),IF(AND(57&gt;='EDT Y TAREAS'!AK14,57&lt;'EDT Y TAREAS'!AL14),'EDT Y TAREAS'!AD14/'EDT Y TAREAS'!M14,0),IF(AND(57&gt;='EDT Y TAREAS'!AK15,57&lt;'EDT Y TAREAS'!AL15),'EDT Y TAREAS'!AD15/'EDT Y TAREAS'!M15,0),IF(AND(57&gt;='EDT Y TAREAS'!AK16,57&lt;'EDT Y TAREAS'!AL16),'EDT Y TAREAS'!AD16/'EDT Y TAREAS'!M16,0),IF(AND(57&gt;='EDT Y TAREAS'!AK17,57&lt;'EDT Y TAREAS'!AL17),'EDT Y TAREAS'!AD17/'EDT Y TAREAS'!M17,0),IF(AND(57&gt;='EDT Y TAREAS'!AK18,57&lt;'EDT Y TAREAS'!AL18),'EDT Y TAREAS'!AD18/'EDT Y TAREAS'!M18,0),IF(AND(57&gt;='EDT Y TAREAS'!AK19,57&lt;'EDT Y TAREAS'!AL19),'EDT Y TAREAS'!AD19/'EDT Y TAREAS'!M19,0),IF(AND(57&gt;='EDT Y TAREAS'!AK20,57&lt;'EDT Y TAREAS'!AL20),'EDT Y TAREAS'!AD20/'EDT Y TAREAS'!M20,0),IF(AND(57&gt;='EDT Y TAREAS'!AK21,57&lt;'EDT Y TAREAS'!AL21),'EDT Y TAREAS'!AD21/'EDT Y TAREAS'!M21,0),IF(AND(57&gt;='EDT Y TAREAS'!AK22,57&lt;'EDT Y TAREAS'!AL22),'EDT Y TAREAS'!AD22/'EDT Y TAREAS'!M22,0),IF(AND(57&gt;='EDT Y TAREAS'!AK23,57&lt;'EDT Y TAREAS'!AL23),'EDT Y TAREAS'!AD23/'EDT Y TAREAS'!M23,0),IF(AND(57&gt;='EDT Y TAREAS'!AK26,57&lt;'EDT Y TAREAS'!AL26),'EDT Y TAREAS'!AD26/'EDT Y TAREAS'!M26,0),IF(AND(57&gt;='EDT Y TAREAS'!AK28,57&lt;'EDT Y TAREAS'!AL28),'EDT Y TAREAS'!AD28/'EDT Y TAREAS'!M28,0),IF(AND(57&gt;='EDT Y TAREAS'!AK30,57&lt;'EDT Y TAREAS'!AL30),'EDT Y TAREAS'!AD30/'EDT Y TAREAS'!M30,0),IF(AND(57&gt;='EDT Y TAREAS'!AK32,57&lt;'EDT Y TAREAS'!AL32),'EDT Y TAREAS'!AD32/'EDT Y TAREAS'!M32,0),IF(AND(57&gt;='EDT Y TAREAS'!AK34,57&lt;'EDT Y TAREAS'!AL34),'EDT Y TAREAS'!AD34/'EDT Y TAREAS'!M34,0),IF(AND(57&gt;='EDT Y TAREAS'!AK38,57&lt;'EDT Y TAREAS'!AL38),'EDT Y TAREAS'!AD38/'EDT Y TAREAS'!M38,0),IF(AND(57&gt;='EDT Y TAREAS'!AK39,57&lt;'EDT Y TAREAS'!AL39),'EDT Y TAREAS'!AD39/'EDT Y TAREAS'!M39,0),IF(AND(57&gt;='EDT Y TAREAS'!AK43,57&lt;'EDT Y TAREAS'!AL43),'EDT Y TAREAS'!AD43/'EDT Y TAREAS'!M43,0),IF(AND(57&gt;='EDT Y TAREAS'!AK44,57&lt;'EDT Y TAREAS'!AL44),'EDT Y TAREAS'!AD44/'EDT Y TAREAS'!M44,0),IF(AND(57&gt;='EDT Y TAREAS'!AK45,57&lt;'EDT Y TAREAS'!AL45),'EDT Y TAREAS'!AD45/'EDT Y TAREAS'!M45,0),IF(AND(57&gt;='EDT Y TAREAS'!AK46,57&lt;'EDT Y TAREAS'!AL46),'EDT Y TAREAS'!AD46/'EDT Y TAREAS'!M46,0),IF(AND(57&gt;='EDT Y TAREAS'!AK47,57&lt;'EDT Y TAREAS'!AL47),'EDT Y TAREAS'!AD47/'EDT Y TAREAS'!M47,0),IF(AND(57&gt;='EDT Y TAREAS'!AK49,57&lt;'EDT Y TAREAS'!AL49),'EDT Y TAREAS'!AD49/'EDT Y TAREAS'!M49,0),IF(AND(57&gt;='EDT Y TAREAS'!AK50,57&lt;'EDT Y TAREAS'!AL50),'EDT Y TAREAS'!AD50/'EDT Y TAREAS'!M50,0),IF(AND(57&gt;='EDT Y TAREAS'!AK51,57&lt;'EDT Y TAREAS'!AL51),'EDT Y TAREAS'!AD51/'EDT Y TAREAS'!M51,0),IF(AND(57&gt;='EDT Y TAREAS'!AK52,57&lt;'EDT Y TAREAS'!AL52),'EDT Y TAREAS'!AD52/'EDT Y TAREAS'!M52,0))</x:f>
        <x:v>6.4</x:v>
      </x:c>
      <x:c r="C97" s="35" t="n">
        <x:f>SUM(IF(AND(57&gt;='EDT Y TAREAS'!AK6,57&lt;'EDT Y TAREAS'!AL6),'EDT Y TAREAS'!AE6/'EDT Y TAREAS'!M6,0),IF(AND(57&gt;='EDT Y TAREAS'!AK8,57&lt;'EDT Y TAREAS'!AL8),'EDT Y TAREAS'!AE8/'EDT Y TAREAS'!M8,0),IF(AND(57&gt;='EDT Y TAREAS'!AK9,57&lt;'EDT Y TAREAS'!AL9),'EDT Y TAREAS'!AE9/'EDT Y TAREAS'!M9,0),IF(AND(57&gt;='EDT Y TAREAS'!AK10,57&lt;'EDT Y TAREAS'!AL10),'EDT Y TAREAS'!AE10/'EDT Y TAREAS'!M10,0),IF(AND(57&gt;='EDT Y TAREAS'!AK12,57&lt;'EDT Y TAREAS'!AL12),'EDT Y TAREAS'!AE12/'EDT Y TAREAS'!M12,0),IF(AND(57&gt;='EDT Y TAREAS'!AK16,57&lt;'EDT Y TAREAS'!AL16),'EDT Y TAREAS'!AE16/'EDT Y TAREAS'!M16,0),IF(AND(57&gt;='EDT Y TAREAS'!AK21,57&lt;'EDT Y TAREAS'!AL21),'EDT Y TAREAS'!AE21/'EDT Y TAREAS'!M21,0),IF(AND(57&gt;='EDT Y TAREAS'!AK23,57&lt;'EDT Y TAREAS'!AL23),'EDT Y TAREAS'!AE23/'EDT Y TAREAS'!M23,0),IF(AND(57&gt;='EDT Y TAREAS'!AK37,57&lt;'EDT Y TAREAS'!AL37),'EDT Y TAREAS'!AE37/'EDT Y TAREAS'!M37,0),IF(AND(57&gt;='EDT Y TAREAS'!AK38,57&lt;'EDT Y TAREAS'!AL38),'EDT Y TAREAS'!AE38/'EDT Y TAREAS'!M38,0),IF(AND(57&gt;='EDT Y TAREAS'!AK41,57&lt;'EDT Y TAREAS'!AL41),'EDT Y TAREAS'!AE41/'EDT Y TAREAS'!M41,0),IF(AND(57&gt;='EDT Y TAREAS'!AK43,57&lt;'EDT Y TAREAS'!AL43),'EDT Y TAREAS'!AE43/'EDT Y TAREAS'!M43,0),IF(AND(57&gt;='EDT Y TAREAS'!AK44,57&lt;'EDT Y TAREAS'!AL44),'EDT Y TAREAS'!AE44/'EDT Y TAREAS'!M44,0),IF(AND(57&gt;='EDT Y TAREAS'!AK46,57&lt;'EDT Y TAREAS'!AL46),'EDT Y TAREAS'!AE46/'EDT Y TAREAS'!M46,0),IF(AND(57&gt;='EDT Y TAREAS'!AK47,57&lt;'EDT Y TAREAS'!AL47),'EDT Y TAREAS'!AE47/'EDT Y TAREAS'!M47,0),IF(AND(57&gt;='EDT Y TAREAS'!AK51,57&lt;'EDT Y TAREAS'!AL51),'EDT Y TAREAS'!AE51/'EDT Y TAREAS'!M51,0),IF(AND(57&gt;='EDT Y TAREAS'!AK52,57&lt;'EDT Y TAREAS'!AL52),'EDT Y TAREAS'!AE52/'EDT Y TAREAS'!M52,0))</x:f>
        <x:v>0</x:v>
      </x:c>
      <x:c r="D97" s="35" t="n">
        <x:f>SUM(IF(AND(57&gt;='EDT Y TAREAS'!AK11,57&lt;'EDT Y TAREAS'!AL11),'EDT Y TAREAS'!AF11/'EDT Y TAREAS'!M11,0),IF(AND(57&gt;='EDT Y TAREAS'!AK24,57&lt;'EDT Y TAREAS'!AL24),'EDT Y TAREAS'!AF24/'EDT Y TAREAS'!M24,0),IF(AND(57&gt;='EDT Y TAREAS'!AK25,57&lt;'EDT Y TAREAS'!AL25),'EDT Y TAREAS'!AF25/'EDT Y TAREAS'!M25,0),IF(AND(57&gt;='EDT Y TAREAS'!AK26,57&lt;'EDT Y TAREAS'!AL26),'EDT Y TAREAS'!AF26/'EDT Y TAREAS'!M26,0),IF(AND(57&gt;='EDT Y TAREAS'!AK27,57&lt;'EDT Y TAREAS'!AL27),'EDT Y TAREAS'!AF27/'EDT Y TAREAS'!M27,0),IF(AND(57&gt;='EDT Y TAREAS'!AK28,57&lt;'EDT Y TAREAS'!AL28),'EDT Y TAREAS'!AF28/'EDT Y TAREAS'!M28,0),IF(AND(57&gt;='EDT Y TAREAS'!AK31,57&lt;'EDT Y TAREAS'!AL31),'EDT Y TAREAS'!AF31/'EDT Y TAREAS'!M31,0),IF(AND(57&gt;='EDT Y TAREAS'!AK33,57&lt;'EDT Y TAREAS'!AL33),'EDT Y TAREAS'!AF33/'EDT Y TAREAS'!M33,0),IF(AND(57&gt;='EDT Y TAREAS'!AK34,57&lt;'EDT Y TAREAS'!AL34),'EDT Y TAREAS'!AF34/'EDT Y TAREAS'!M34,0),IF(AND(57&gt;='EDT Y TAREAS'!AK35,57&lt;'EDT Y TAREAS'!AL35),'EDT Y TAREAS'!AF35/'EDT Y TAREAS'!M35,0),IF(AND(57&gt;='EDT Y TAREAS'!AK37,57&lt;'EDT Y TAREAS'!AL37),'EDT Y TAREAS'!AF37/'EDT Y TAREAS'!M37,0),IF(AND(57&gt;='EDT Y TAREAS'!AK39,57&lt;'EDT Y TAREAS'!AL39),'EDT Y TAREAS'!AF39/'EDT Y TAREAS'!M39,0),IF(AND(57&gt;='EDT Y TAREAS'!AK40,57&lt;'EDT Y TAREAS'!AL40),'EDT Y TAREAS'!AF40/'EDT Y TAREAS'!M40,0),IF(AND(57&gt;='EDT Y TAREAS'!AK42,57&lt;'EDT Y TAREAS'!AL42),'EDT Y TAREAS'!AF42/'EDT Y TAREAS'!M42,0),IF(AND(57&gt;='EDT Y TAREAS'!AK45,57&lt;'EDT Y TAREAS'!AL45),'EDT Y TAREAS'!AF45/'EDT Y TAREAS'!M45,0),IF(AND(57&gt;='EDT Y TAREAS'!AK49,57&lt;'EDT Y TAREAS'!AL49),'EDT Y TAREAS'!AF49/'EDT Y TAREAS'!M49,0),IF(AND(57&gt;='EDT Y TAREAS'!AK52,57&lt;'EDT Y TAREAS'!AL52),'EDT Y TAREAS'!AF52/'EDT Y TAREAS'!M52,0))</x:f>
        <x:v>4.8</x:v>
      </x:c>
      <x:c r="E97" s="35" t="n">
        <x:f>SUM(IF(AND(57&gt;='EDT Y TAREAS'!AK29,57&lt;'EDT Y TAREAS'!AL29),'EDT Y TAREAS'!AG29/'EDT Y TAREAS'!M29,0),IF(AND(57&gt;='EDT Y TAREAS'!AK30,57&lt;'EDT Y TAREAS'!AL30),'EDT Y TAREAS'!AG30/'EDT Y TAREAS'!M30,0),IF(AND(57&gt;='EDT Y TAREAS'!AK31,57&lt;'EDT Y TAREAS'!AL31),'EDT Y TAREAS'!AG31/'EDT Y TAREAS'!M31,0),IF(AND(57&gt;='EDT Y TAREAS'!AK32,57&lt;'EDT Y TAREAS'!AL32),'EDT Y TAREAS'!AG32/'EDT Y TAREAS'!M32,0),IF(AND(57&gt;='EDT Y TAREAS'!AK41,57&lt;'EDT Y TAREAS'!AL41),'EDT Y TAREAS'!AG41/'EDT Y TAREAS'!M41,0),IF(AND(57&gt;='EDT Y TAREAS'!AK45,57&lt;'EDT Y TAREAS'!AL45),'EDT Y TAREAS'!AG45/'EDT Y TAREAS'!M45,0),IF(AND(57&gt;='EDT Y TAREAS'!AK48,57&lt;'EDT Y TAREAS'!AL48),'EDT Y TAREAS'!AG48/'EDT Y TAREAS'!M48,0))</x:f>
        <x:v>0</x:v>
      </x:c>
      <x:c r="F97" s="35" t="n">
        <x:f>SUM(IF(AND(57&gt;='EDT Y TAREAS'!AK10,57&lt;'EDT Y TAREAS'!AL10),'EDT Y TAREAS'!AH10/'EDT Y TAREAS'!M10,0),IF(AND(57&gt;='EDT Y TAREAS'!AK12,57&lt;'EDT Y TAREAS'!AL12),'EDT Y TAREAS'!AH12/'EDT Y TAREAS'!M12,0),IF(AND(57&gt;='EDT Y TAREAS'!AK22,57&lt;'EDT Y TAREAS'!AL22),'EDT Y TAREAS'!AH22/'EDT Y TAREAS'!M22,0),IF(AND(57&gt;='EDT Y TAREAS'!AK23,57&lt;'EDT Y TAREAS'!AL23),'EDT Y TAREAS'!AH23/'EDT Y TAREAS'!M23,0),IF(AND(57&gt;='EDT Y TAREAS'!AK29,57&lt;'EDT Y TAREAS'!AL29),'EDT Y TAREAS'!AH29/'EDT Y TAREAS'!M29,0),IF(AND(57&gt;='EDT Y TAREAS'!AK30,57&lt;'EDT Y TAREAS'!AL30),'EDT Y TAREAS'!AH30/'EDT Y TAREAS'!M30,0),IF(AND(57&gt;='EDT Y TAREAS'!AK32,57&lt;'EDT Y TAREAS'!AL32),'EDT Y TAREAS'!AH32/'EDT Y TAREAS'!M32,0),IF(AND(57&gt;='EDT Y TAREAS'!AK41,57&lt;'EDT Y TAREAS'!AL41),'EDT Y TAREAS'!AH41/'EDT Y TAREAS'!M41,0),IF(AND(57&gt;='EDT Y TAREAS'!AK44,57&lt;'EDT Y TAREAS'!AL44),'EDT Y TAREAS'!AH44/'EDT Y TAREAS'!M44,0),IF(AND(57&gt;='EDT Y TAREAS'!AK46,57&lt;'EDT Y TAREAS'!AL46),'EDT Y TAREAS'!AH46/'EDT Y TAREAS'!M46,0),IF(AND(57&gt;='EDT Y TAREAS'!AK48,57&lt;'EDT Y TAREAS'!AL48),'EDT Y TAREAS'!AH48/'EDT Y TAREAS'!M48,0))</x:f>
        <x:v>0</x:v>
      </x:c>
      <x:c r="G97" s="35" t="n">
        <x:f>SUM(IF(AND(57&gt;='EDT Y TAREAS'!AK20,57&lt;'EDT Y TAREAS'!AL20),'EDT Y TAREAS'!AI20/'EDT Y TAREAS'!M20,0),IF(AND(57&gt;='EDT Y TAREAS'!AK25,57&lt;'EDT Y TAREAS'!AL25),'EDT Y TAREAS'!AI25/'EDT Y TAREAS'!M25,0),IF(AND(57&gt;='EDT Y TAREAS'!AK33,57&lt;'EDT Y TAREAS'!AL33),'EDT Y TAREAS'!AI33/'EDT Y TAREAS'!M33,0),IF(AND(57&gt;='EDT Y TAREAS'!AK34,57&lt;'EDT Y TAREAS'!AL34),'EDT Y TAREAS'!AI34/'EDT Y TAREAS'!M34,0),IF(AND(57&gt;='EDT Y TAREAS'!AK36,57&lt;'EDT Y TAREAS'!AL36),'EDT Y TAREAS'!AI36/'EDT Y TAREAS'!M36,0),IF(AND(57&gt;='EDT Y TAREAS'!AK39,57&lt;'EDT Y TAREAS'!AL39),'EDT Y TAREAS'!AI39/'EDT Y TAREAS'!M39,0),IF(AND(57&gt;='EDT Y TAREAS'!AK40,57&lt;'EDT Y TAREAS'!AL40),'EDT Y TAREAS'!AI40/'EDT Y TAREAS'!M40,0),IF(AND(57&gt;='EDT Y TAREAS'!AK42,57&lt;'EDT Y TAREAS'!AL42),'EDT Y TAREAS'!AI42/'EDT Y TAREAS'!M42,0),IF(AND(57&gt;='EDT Y TAREAS'!AK43,57&lt;'EDT Y TAREAS'!AL43),'EDT Y TAREAS'!AI43/'EDT Y TAREAS'!M43,0),IF(AND(57&gt;='EDT Y TAREAS'!AK44,57&lt;'EDT Y TAREAS'!AL44),'EDT Y TAREAS'!AI44/'EDT Y TAREAS'!M44,0),IF(AND(57&gt;='EDT Y TAREAS'!AK45,57&lt;'EDT Y TAREAS'!AL45),'EDT Y TAREAS'!AI45/'EDT Y TAREAS'!M45,0),IF(AND(57&gt;='EDT Y TAREAS'!AK46,57&lt;'EDT Y TAREAS'!AL46),'EDT Y TAREAS'!AI46/'EDT Y TAREAS'!M46,0),IF(AND(57&gt;='EDT Y TAREAS'!AK48,57&lt;'EDT Y TAREAS'!AL48),'EDT Y TAREAS'!AI48/'EDT Y TAREAS'!M48,0),IF(AND(57&gt;='EDT Y TAREAS'!AK50,57&lt;'EDT Y TAREAS'!AL50),'EDT Y TAREAS'!AI50/'EDT Y TAREAS'!M50,0),IF(AND(57&gt;='EDT Y TAREAS'!AK52,57&lt;'EDT Y TAREAS'!AL52),'EDT Y TAREAS'!AI52/'EDT Y TAREAS'!M52,0))</x:f>
        <x:v>0</x:v>
      </x:c>
      <x:c r="H97" s="35" t="n">
        <x:f>SUM(IF(AND(57&gt;='EDT Y TAREAS'!AK11,57&lt;'EDT Y TAREAS'!AL11),'EDT Y TAREAS'!AJ11/'EDT Y TAREAS'!M11,0),IF(AND(57&gt;='EDT Y TAREAS'!AK24,57&lt;'EDT Y TAREAS'!AL24),'EDT Y TAREAS'!AJ24/'EDT Y TAREAS'!M24,0),IF(AND(57&gt;='EDT Y TAREAS'!AK27,57&lt;'EDT Y TAREAS'!AL27),'EDT Y TAREAS'!AJ27/'EDT Y TAREAS'!M27,0),IF(AND(57&gt;='EDT Y TAREAS'!AK28,57&lt;'EDT Y TAREAS'!AL28),'EDT Y TAREAS'!AJ28/'EDT Y TAREAS'!M28,0),IF(AND(57&gt;='EDT Y TAREAS'!AK33,57&lt;'EDT Y TAREAS'!AL33),'EDT Y TAREAS'!AJ33/'EDT Y TAREAS'!M33,0),IF(AND(57&gt;='EDT Y TAREAS'!AK35,57&lt;'EDT Y TAREAS'!AL35),'EDT Y TAREAS'!AJ35/'EDT Y TAREAS'!M35,0),IF(AND(57&gt;='EDT Y TAREAS'!AK36,57&lt;'EDT Y TAREAS'!AL36),'EDT Y TAREAS'!AJ36/'EDT Y TAREAS'!M36,0),IF(AND(57&gt;='EDT Y TAREAS'!AK37,57&lt;'EDT Y TAREAS'!AL37),'EDT Y TAREAS'!AJ37/'EDT Y TAREAS'!M37,0),IF(AND(57&gt;='EDT Y TAREAS'!AK40,57&lt;'EDT Y TAREAS'!AL40),'EDT Y TAREAS'!AJ40/'EDT Y TAREAS'!M40,0),IF(AND(57&gt;='EDT Y TAREAS'!AK42,57&lt;'EDT Y TAREAS'!AL42),'EDT Y TAREAS'!AJ42/'EDT Y TAREAS'!M42,0),IF(AND(57&gt;='EDT Y TAREAS'!AK49,57&lt;'EDT Y TAREAS'!AL49),'EDT Y TAREAS'!AJ49/'EDT Y TAREAS'!M49,0),IF(AND(57&gt;='EDT Y TAREAS'!AK50,57&lt;'EDT Y TAREAS'!AL50),'EDT Y TAREAS'!AJ50/'EDT Y TAREAS'!M50,0),IF(AND(57&gt;='EDT Y TAREAS'!AK51,57&lt;'EDT Y TAREAS'!AL51),'EDT Y TAREAS'!AJ51/'EDT Y TAREAS'!M51,0),IF(AND(57&gt;='EDT Y TAREAS'!AK52,57&lt;'EDT Y TAREAS'!AL52),'EDT Y TAREAS'!AJ52/'EDT Y TAREAS'!M52,0))</x:f>
        <x:v>0.8</x:v>
      </x:c>
      <x:c r="I97" s="10" t="n">
        <x:f>WORKDAY('RESUMEN'!$D$3-1,A97,'RESUMEN'!$J$6:$J$25)</x:f>
        <x:v>46407</x:v>
      </x:c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  <x:c r="AJ97" s="3"/>
      <x:c r="AK97" s="3"/>
      <x:c r="AL97" s="3"/>
      <x:c r="AM97" s="3"/>
      <x:c r="AN97" s="3"/>
      <x:c r="AO97" s="3"/>
    </x:row>
    <x:row r="98" ht="24" customHeight="1">
      <x:c r="A98" s="3" t="n">
        <x:v>59</x:v>
      </x:c>
      <x:c r="B98" s="35" t="n">
        <x:f>SUM(IF(AND(58&gt;='EDT Y TAREAS'!AK6,58&lt;'EDT Y TAREAS'!AL6),'EDT Y TAREAS'!AD6/'EDT Y TAREAS'!M6,0),IF(AND(58&gt;='EDT Y TAREAS'!AK7,58&lt;'EDT Y TAREAS'!AL7),'EDT Y TAREAS'!AD7/'EDT Y TAREAS'!M7,0),IF(AND(58&gt;='EDT Y TAREAS'!AK8,58&lt;'EDT Y TAREAS'!AL8),'EDT Y TAREAS'!AD8/'EDT Y TAREAS'!M8,0),IF(AND(58&gt;='EDT Y TAREAS'!AK9,58&lt;'EDT Y TAREAS'!AL9),'EDT Y TAREAS'!AD9/'EDT Y TAREAS'!M9,0),IF(AND(58&gt;='EDT Y TAREAS'!AK10,58&lt;'EDT Y TAREAS'!AL10),'EDT Y TAREAS'!AD10/'EDT Y TAREAS'!M10,0),IF(AND(58&gt;='EDT Y TAREAS'!AK11,58&lt;'EDT Y TAREAS'!AL11),'EDT Y TAREAS'!AD11/'EDT Y TAREAS'!M11,0),IF(AND(58&gt;='EDT Y TAREAS'!AK12,58&lt;'EDT Y TAREAS'!AL12),'EDT Y TAREAS'!AD12/'EDT Y TAREAS'!M12,0),IF(AND(58&gt;='EDT Y TAREAS'!AK13,58&lt;'EDT Y TAREAS'!AL13),'EDT Y TAREAS'!AD13/'EDT Y TAREAS'!M13,0),IF(AND(58&gt;='EDT Y TAREAS'!AK14,58&lt;'EDT Y TAREAS'!AL14),'EDT Y TAREAS'!AD14/'EDT Y TAREAS'!M14,0),IF(AND(58&gt;='EDT Y TAREAS'!AK15,58&lt;'EDT Y TAREAS'!AL15),'EDT Y TAREAS'!AD15/'EDT Y TAREAS'!M15,0),IF(AND(58&gt;='EDT Y TAREAS'!AK16,58&lt;'EDT Y TAREAS'!AL16),'EDT Y TAREAS'!AD16/'EDT Y TAREAS'!M16,0),IF(AND(58&gt;='EDT Y TAREAS'!AK17,58&lt;'EDT Y TAREAS'!AL17),'EDT Y TAREAS'!AD17/'EDT Y TAREAS'!M17,0),IF(AND(58&gt;='EDT Y TAREAS'!AK18,58&lt;'EDT Y TAREAS'!AL18),'EDT Y TAREAS'!AD18/'EDT Y TAREAS'!M18,0),IF(AND(58&gt;='EDT Y TAREAS'!AK19,58&lt;'EDT Y TAREAS'!AL19),'EDT Y TAREAS'!AD19/'EDT Y TAREAS'!M19,0),IF(AND(58&gt;='EDT Y TAREAS'!AK20,58&lt;'EDT Y TAREAS'!AL20),'EDT Y TAREAS'!AD20/'EDT Y TAREAS'!M20,0),IF(AND(58&gt;='EDT Y TAREAS'!AK21,58&lt;'EDT Y TAREAS'!AL21),'EDT Y TAREAS'!AD21/'EDT Y TAREAS'!M21,0),IF(AND(58&gt;='EDT Y TAREAS'!AK22,58&lt;'EDT Y TAREAS'!AL22),'EDT Y TAREAS'!AD22/'EDT Y TAREAS'!M22,0),IF(AND(58&gt;='EDT Y TAREAS'!AK23,58&lt;'EDT Y TAREAS'!AL23),'EDT Y TAREAS'!AD23/'EDT Y TAREAS'!M23,0),IF(AND(58&gt;='EDT Y TAREAS'!AK26,58&lt;'EDT Y TAREAS'!AL26),'EDT Y TAREAS'!AD26/'EDT Y TAREAS'!M26,0),IF(AND(58&gt;='EDT Y TAREAS'!AK28,58&lt;'EDT Y TAREAS'!AL28),'EDT Y TAREAS'!AD28/'EDT Y TAREAS'!M28,0),IF(AND(58&gt;='EDT Y TAREAS'!AK30,58&lt;'EDT Y TAREAS'!AL30),'EDT Y TAREAS'!AD30/'EDT Y TAREAS'!M30,0),IF(AND(58&gt;='EDT Y TAREAS'!AK32,58&lt;'EDT Y TAREAS'!AL32),'EDT Y TAREAS'!AD32/'EDT Y TAREAS'!M32,0),IF(AND(58&gt;='EDT Y TAREAS'!AK34,58&lt;'EDT Y TAREAS'!AL34),'EDT Y TAREAS'!AD34/'EDT Y TAREAS'!M34,0),IF(AND(58&gt;='EDT Y TAREAS'!AK38,58&lt;'EDT Y TAREAS'!AL38),'EDT Y TAREAS'!AD38/'EDT Y TAREAS'!M38,0),IF(AND(58&gt;='EDT Y TAREAS'!AK39,58&lt;'EDT Y TAREAS'!AL39),'EDT Y TAREAS'!AD39/'EDT Y TAREAS'!M39,0),IF(AND(58&gt;='EDT Y TAREAS'!AK43,58&lt;'EDT Y TAREAS'!AL43),'EDT Y TAREAS'!AD43/'EDT Y TAREAS'!M43,0),IF(AND(58&gt;='EDT Y TAREAS'!AK44,58&lt;'EDT Y TAREAS'!AL44),'EDT Y TAREAS'!AD44/'EDT Y TAREAS'!M44,0),IF(AND(58&gt;='EDT Y TAREAS'!AK45,58&lt;'EDT Y TAREAS'!AL45),'EDT Y TAREAS'!AD45/'EDT Y TAREAS'!M45,0),IF(AND(58&gt;='EDT Y TAREAS'!AK46,58&lt;'EDT Y TAREAS'!AL46),'EDT Y TAREAS'!AD46/'EDT Y TAREAS'!M46,0),IF(AND(58&gt;='EDT Y TAREAS'!AK47,58&lt;'EDT Y TAREAS'!AL47),'EDT Y TAREAS'!AD47/'EDT Y TAREAS'!M47,0),IF(AND(58&gt;='EDT Y TAREAS'!AK49,58&lt;'EDT Y TAREAS'!AL49),'EDT Y TAREAS'!AD49/'EDT Y TAREAS'!M49,0),IF(AND(58&gt;='EDT Y TAREAS'!AK50,58&lt;'EDT Y TAREAS'!AL50),'EDT Y TAREAS'!AD50/'EDT Y TAREAS'!M50,0),IF(AND(58&gt;='EDT Y TAREAS'!AK51,58&lt;'EDT Y TAREAS'!AL51),'EDT Y TAREAS'!AD51/'EDT Y TAREAS'!M51,0),IF(AND(58&gt;='EDT Y TAREAS'!AK52,58&lt;'EDT Y TAREAS'!AL52),'EDT Y TAREAS'!AD52/'EDT Y TAREAS'!M52,0))</x:f>
        <x:v>6.4</x:v>
      </x:c>
      <x:c r="C98" s="35" t="n">
        <x:f>SUM(IF(AND(58&gt;='EDT Y TAREAS'!AK6,58&lt;'EDT Y TAREAS'!AL6),'EDT Y TAREAS'!AE6/'EDT Y TAREAS'!M6,0),IF(AND(58&gt;='EDT Y TAREAS'!AK8,58&lt;'EDT Y TAREAS'!AL8),'EDT Y TAREAS'!AE8/'EDT Y TAREAS'!M8,0),IF(AND(58&gt;='EDT Y TAREAS'!AK9,58&lt;'EDT Y TAREAS'!AL9),'EDT Y TAREAS'!AE9/'EDT Y TAREAS'!M9,0),IF(AND(58&gt;='EDT Y TAREAS'!AK10,58&lt;'EDT Y TAREAS'!AL10),'EDT Y TAREAS'!AE10/'EDT Y TAREAS'!M10,0),IF(AND(58&gt;='EDT Y TAREAS'!AK12,58&lt;'EDT Y TAREAS'!AL12),'EDT Y TAREAS'!AE12/'EDT Y TAREAS'!M12,0),IF(AND(58&gt;='EDT Y TAREAS'!AK16,58&lt;'EDT Y TAREAS'!AL16),'EDT Y TAREAS'!AE16/'EDT Y TAREAS'!M16,0),IF(AND(58&gt;='EDT Y TAREAS'!AK21,58&lt;'EDT Y TAREAS'!AL21),'EDT Y TAREAS'!AE21/'EDT Y TAREAS'!M21,0),IF(AND(58&gt;='EDT Y TAREAS'!AK23,58&lt;'EDT Y TAREAS'!AL23),'EDT Y TAREAS'!AE23/'EDT Y TAREAS'!M23,0),IF(AND(58&gt;='EDT Y TAREAS'!AK37,58&lt;'EDT Y TAREAS'!AL37),'EDT Y TAREAS'!AE37/'EDT Y TAREAS'!M37,0),IF(AND(58&gt;='EDT Y TAREAS'!AK38,58&lt;'EDT Y TAREAS'!AL38),'EDT Y TAREAS'!AE38/'EDT Y TAREAS'!M38,0),IF(AND(58&gt;='EDT Y TAREAS'!AK41,58&lt;'EDT Y TAREAS'!AL41),'EDT Y TAREAS'!AE41/'EDT Y TAREAS'!M41,0),IF(AND(58&gt;='EDT Y TAREAS'!AK43,58&lt;'EDT Y TAREAS'!AL43),'EDT Y TAREAS'!AE43/'EDT Y TAREAS'!M43,0),IF(AND(58&gt;='EDT Y TAREAS'!AK44,58&lt;'EDT Y TAREAS'!AL44),'EDT Y TAREAS'!AE44/'EDT Y TAREAS'!M44,0),IF(AND(58&gt;='EDT Y TAREAS'!AK46,58&lt;'EDT Y TAREAS'!AL46),'EDT Y TAREAS'!AE46/'EDT Y TAREAS'!M46,0),IF(AND(58&gt;='EDT Y TAREAS'!AK47,58&lt;'EDT Y TAREAS'!AL47),'EDT Y TAREAS'!AE47/'EDT Y TAREAS'!M47,0),IF(AND(58&gt;='EDT Y TAREAS'!AK51,58&lt;'EDT Y TAREAS'!AL51),'EDT Y TAREAS'!AE51/'EDT Y TAREAS'!M51,0),IF(AND(58&gt;='EDT Y TAREAS'!AK52,58&lt;'EDT Y TAREAS'!AL52),'EDT Y TAREAS'!AE52/'EDT Y TAREAS'!M52,0))</x:f>
        <x:v>0</x:v>
      </x:c>
      <x:c r="D98" s="35" t="n">
        <x:f>SUM(IF(AND(58&gt;='EDT Y TAREAS'!AK11,58&lt;'EDT Y TAREAS'!AL11),'EDT Y TAREAS'!AF11/'EDT Y TAREAS'!M11,0),IF(AND(58&gt;='EDT Y TAREAS'!AK24,58&lt;'EDT Y TAREAS'!AL24),'EDT Y TAREAS'!AF24/'EDT Y TAREAS'!M24,0),IF(AND(58&gt;='EDT Y TAREAS'!AK25,58&lt;'EDT Y TAREAS'!AL25),'EDT Y TAREAS'!AF25/'EDT Y TAREAS'!M25,0),IF(AND(58&gt;='EDT Y TAREAS'!AK26,58&lt;'EDT Y TAREAS'!AL26),'EDT Y TAREAS'!AF26/'EDT Y TAREAS'!M26,0),IF(AND(58&gt;='EDT Y TAREAS'!AK27,58&lt;'EDT Y TAREAS'!AL27),'EDT Y TAREAS'!AF27/'EDT Y TAREAS'!M27,0),IF(AND(58&gt;='EDT Y TAREAS'!AK28,58&lt;'EDT Y TAREAS'!AL28),'EDT Y TAREAS'!AF28/'EDT Y TAREAS'!M28,0),IF(AND(58&gt;='EDT Y TAREAS'!AK31,58&lt;'EDT Y TAREAS'!AL31),'EDT Y TAREAS'!AF31/'EDT Y TAREAS'!M31,0),IF(AND(58&gt;='EDT Y TAREAS'!AK33,58&lt;'EDT Y TAREAS'!AL33),'EDT Y TAREAS'!AF33/'EDT Y TAREAS'!M33,0),IF(AND(58&gt;='EDT Y TAREAS'!AK34,58&lt;'EDT Y TAREAS'!AL34),'EDT Y TAREAS'!AF34/'EDT Y TAREAS'!M34,0),IF(AND(58&gt;='EDT Y TAREAS'!AK35,58&lt;'EDT Y TAREAS'!AL35),'EDT Y TAREAS'!AF35/'EDT Y TAREAS'!M35,0),IF(AND(58&gt;='EDT Y TAREAS'!AK37,58&lt;'EDT Y TAREAS'!AL37),'EDT Y TAREAS'!AF37/'EDT Y TAREAS'!M37,0),IF(AND(58&gt;='EDT Y TAREAS'!AK39,58&lt;'EDT Y TAREAS'!AL39),'EDT Y TAREAS'!AF39/'EDT Y TAREAS'!M39,0),IF(AND(58&gt;='EDT Y TAREAS'!AK40,58&lt;'EDT Y TAREAS'!AL40),'EDT Y TAREAS'!AF40/'EDT Y TAREAS'!M40,0),IF(AND(58&gt;='EDT Y TAREAS'!AK42,58&lt;'EDT Y TAREAS'!AL42),'EDT Y TAREAS'!AF42/'EDT Y TAREAS'!M42,0),IF(AND(58&gt;='EDT Y TAREAS'!AK45,58&lt;'EDT Y TAREAS'!AL45),'EDT Y TAREAS'!AF45/'EDT Y TAREAS'!M45,0),IF(AND(58&gt;='EDT Y TAREAS'!AK49,58&lt;'EDT Y TAREAS'!AL49),'EDT Y TAREAS'!AF49/'EDT Y TAREAS'!M49,0),IF(AND(58&gt;='EDT Y TAREAS'!AK52,58&lt;'EDT Y TAREAS'!AL52),'EDT Y TAREAS'!AF52/'EDT Y TAREAS'!M52,0))</x:f>
        <x:v>4.8</x:v>
      </x:c>
      <x:c r="E98" s="35" t="n">
        <x:f>SUM(IF(AND(58&gt;='EDT Y TAREAS'!AK29,58&lt;'EDT Y TAREAS'!AL29),'EDT Y TAREAS'!AG29/'EDT Y TAREAS'!M29,0),IF(AND(58&gt;='EDT Y TAREAS'!AK30,58&lt;'EDT Y TAREAS'!AL30),'EDT Y TAREAS'!AG30/'EDT Y TAREAS'!M30,0),IF(AND(58&gt;='EDT Y TAREAS'!AK31,58&lt;'EDT Y TAREAS'!AL31),'EDT Y TAREAS'!AG31/'EDT Y TAREAS'!M31,0),IF(AND(58&gt;='EDT Y TAREAS'!AK32,58&lt;'EDT Y TAREAS'!AL32),'EDT Y TAREAS'!AG32/'EDT Y TAREAS'!M32,0),IF(AND(58&gt;='EDT Y TAREAS'!AK41,58&lt;'EDT Y TAREAS'!AL41),'EDT Y TAREAS'!AG41/'EDT Y TAREAS'!M41,0),IF(AND(58&gt;='EDT Y TAREAS'!AK45,58&lt;'EDT Y TAREAS'!AL45),'EDT Y TAREAS'!AG45/'EDT Y TAREAS'!M45,0),IF(AND(58&gt;='EDT Y TAREAS'!AK48,58&lt;'EDT Y TAREAS'!AL48),'EDT Y TAREAS'!AG48/'EDT Y TAREAS'!M48,0))</x:f>
        <x:v>0</x:v>
      </x:c>
      <x:c r="F98" s="35" t="n">
        <x:f>SUM(IF(AND(58&gt;='EDT Y TAREAS'!AK10,58&lt;'EDT Y TAREAS'!AL10),'EDT Y TAREAS'!AH10/'EDT Y TAREAS'!M10,0),IF(AND(58&gt;='EDT Y TAREAS'!AK12,58&lt;'EDT Y TAREAS'!AL12),'EDT Y TAREAS'!AH12/'EDT Y TAREAS'!M12,0),IF(AND(58&gt;='EDT Y TAREAS'!AK22,58&lt;'EDT Y TAREAS'!AL22),'EDT Y TAREAS'!AH22/'EDT Y TAREAS'!M22,0),IF(AND(58&gt;='EDT Y TAREAS'!AK23,58&lt;'EDT Y TAREAS'!AL23),'EDT Y TAREAS'!AH23/'EDT Y TAREAS'!M23,0),IF(AND(58&gt;='EDT Y TAREAS'!AK29,58&lt;'EDT Y TAREAS'!AL29),'EDT Y TAREAS'!AH29/'EDT Y TAREAS'!M29,0),IF(AND(58&gt;='EDT Y TAREAS'!AK30,58&lt;'EDT Y TAREAS'!AL30),'EDT Y TAREAS'!AH30/'EDT Y TAREAS'!M30,0),IF(AND(58&gt;='EDT Y TAREAS'!AK32,58&lt;'EDT Y TAREAS'!AL32),'EDT Y TAREAS'!AH32/'EDT Y TAREAS'!M32,0),IF(AND(58&gt;='EDT Y TAREAS'!AK41,58&lt;'EDT Y TAREAS'!AL41),'EDT Y TAREAS'!AH41/'EDT Y TAREAS'!M41,0),IF(AND(58&gt;='EDT Y TAREAS'!AK44,58&lt;'EDT Y TAREAS'!AL44),'EDT Y TAREAS'!AH44/'EDT Y TAREAS'!M44,0),IF(AND(58&gt;='EDT Y TAREAS'!AK46,58&lt;'EDT Y TAREAS'!AL46),'EDT Y TAREAS'!AH46/'EDT Y TAREAS'!M46,0),IF(AND(58&gt;='EDT Y TAREAS'!AK48,58&lt;'EDT Y TAREAS'!AL48),'EDT Y TAREAS'!AH48/'EDT Y TAREAS'!M48,0))</x:f>
        <x:v>0</x:v>
      </x:c>
      <x:c r="G98" s="35" t="n">
        <x:f>SUM(IF(AND(58&gt;='EDT Y TAREAS'!AK20,58&lt;'EDT Y TAREAS'!AL20),'EDT Y TAREAS'!AI20/'EDT Y TAREAS'!M20,0),IF(AND(58&gt;='EDT Y TAREAS'!AK25,58&lt;'EDT Y TAREAS'!AL25),'EDT Y TAREAS'!AI25/'EDT Y TAREAS'!M25,0),IF(AND(58&gt;='EDT Y TAREAS'!AK33,58&lt;'EDT Y TAREAS'!AL33),'EDT Y TAREAS'!AI33/'EDT Y TAREAS'!M33,0),IF(AND(58&gt;='EDT Y TAREAS'!AK34,58&lt;'EDT Y TAREAS'!AL34),'EDT Y TAREAS'!AI34/'EDT Y TAREAS'!M34,0),IF(AND(58&gt;='EDT Y TAREAS'!AK36,58&lt;'EDT Y TAREAS'!AL36),'EDT Y TAREAS'!AI36/'EDT Y TAREAS'!M36,0),IF(AND(58&gt;='EDT Y TAREAS'!AK39,58&lt;'EDT Y TAREAS'!AL39),'EDT Y TAREAS'!AI39/'EDT Y TAREAS'!M39,0),IF(AND(58&gt;='EDT Y TAREAS'!AK40,58&lt;'EDT Y TAREAS'!AL40),'EDT Y TAREAS'!AI40/'EDT Y TAREAS'!M40,0),IF(AND(58&gt;='EDT Y TAREAS'!AK42,58&lt;'EDT Y TAREAS'!AL42),'EDT Y TAREAS'!AI42/'EDT Y TAREAS'!M42,0),IF(AND(58&gt;='EDT Y TAREAS'!AK43,58&lt;'EDT Y TAREAS'!AL43),'EDT Y TAREAS'!AI43/'EDT Y TAREAS'!M43,0),IF(AND(58&gt;='EDT Y TAREAS'!AK44,58&lt;'EDT Y TAREAS'!AL44),'EDT Y TAREAS'!AI44/'EDT Y TAREAS'!M44,0),IF(AND(58&gt;='EDT Y TAREAS'!AK45,58&lt;'EDT Y TAREAS'!AL45),'EDT Y TAREAS'!AI45/'EDT Y TAREAS'!M45,0),IF(AND(58&gt;='EDT Y TAREAS'!AK46,58&lt;'EDT Y TAREAS'!AL46),'EDT Y TAREAS'!AI46/'EDT Y TAREAS'!M46,0),IF(AND(58&gt;='EDT Y TAREAS'!AK48,58&lt;'EDT Y TAREAS'!AL48),'EDT Y TAREAS'!AI48/'EDT Y TAREAS'!M48,0),IF(AND(58&gt;='EDT Y TAREAS'!AK50,58&lt;'EDT Y TAREAS'!AL50),'EDT Y TAREAS'!AI50/'EDT Y TAREAS'!M50,0),IF(AND(58&gt;='EDT Y TAREAS'!AK52,58&lt;'EDT Y TAREAS'!AL52),'EDT Y TAREAS'!AI52/'EDT Y TAREAS'!M52,0))</x:f>
        <x:v>0</x:v>
      </x:c>
      <x:c r="H98" s="35" t="n">
        <x:f>SUM(IF(AND(58&gt;='EDT Y TAREAS'!AK11,58&lt;'EDT Y TAREAS'!AL11),'EDT Y TAREAS'!AJ11/'EDT Y TAREAS'!M11,0),IF(AND(58&gt;='EDT Y TAREAS'!AK24,58&lt;'EDT Y TAREAS'!AL24),'EDT Y TAREAS'!AJ24/'EDT Y TAREAS'!M24,0),IF(AND(58&gt;='EDT Y TAREAS'!AK27,58&lt;'EDT Y TAREAS'!AL27),'EDT Y TAREAS'!AJ27/'EDT Y TAREAS'!M27,0),IF(AND(58&gt;='EDT Y TAREAS'!AK28,58&lt;'EDT Y TAREAS'!AL28),'EDT Y TAREAS'!AJ28/'EDT Y TAREAS'!M28,0),IF(AND(58&gt;='EDT Y TAREAS'!AK33,58&lt;'EDT Y TAREAS'!AL33),'EDT Y TAREAS'!AJ33/'EDT Y TAREAS'!M33,0),IF(AND(58&gt;='EDT Y TAREAS'!AK35,58&lt;'EDT Y TAREAS'!AL35),'EDT Y TAREAS'!AJ35/'EDT Y TAREAS'!M35,0),IF(AND(58&gt;='EDT Y TAREAS'!AK36,58&lt;'EDT Y TAREAS'!AL36),'EDT Y TAREAS'!AJ36/'EDT Y TAREAS'!M36,0),IF(AND(58&gt;='EDT Y TAREAS'!AK37,58&lt;'EDT Y TAREAS'!AL37),'EDT Y TAREAS'!AJ37/'EDT Y TAREAS'!M37,0),IF(AND(58&gt;='EDT Y TAREAS'!AK40,58&lt;'EDT Y TAREAS'!AL40),'EDT Y TAREAS'!AJ40/'EDT Y TAREAS'!M40,0),IF(AND(58&gt;='EDT Y TAREAS'!AK42,58&lt;'EDT Y TAREAS'!AL42),'EDT Y TAREAS'!AJ42/'EDT Y TAREAS'!M42,0),IF(AND(58&gt;='EDT Y TAREAS'!AK49,58&lt;'EDT Y TAREAS'!AL49),'EDT Y TAREAS'!AJ49/'EDT Y TAREAS'!M49,0),IF(AND(58&gt;='EDT Y TAREAS'!AK50,58&lt;'EDT Y TAREAS'!AL50),'EDT Y TAREAS'!AJ50/'EDT Y TAREAS'!M50,0),IF(AND(58&gt;='EDT Y TAREAS'!AK51,58&lt;'EDT Y TAREAS'!AL51),'EDT Y TAREAS'!AJ51/'EDT Y TAREAS'!M51,0),IF(AND(58&gt;='EDT Y TAREAS'!AK52,58&lt;'EDT Y TAREAS'!AL52),'EDT Y TAREAS'!AJ52/'EDT Y TAREAS'!M52,0))</x:f>
        <x:v>0.8</x:v>
      </x:c>
      <x:c r="I98" s="10" t="n">
        <x:f>WORKDAY('RESUMEN'!$D$3-1,A98,'RESUMEN'!$J$6:$J$25)</x:f>
        <x:v>46408</x:v>
      </x:c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  <x:c r="AJ98" s="3"/>
      <x:c r="AK98" s="3"/>
      <x:c r="AL98" s="3"/>
      <x:c r="AM98" s="3"/>
      <x:c r="AN98" s="3"/>
      <x:c r="AO98" s="3"/>
    </x:row>
    <x:row r="99" ht="24" customHeight="1">
      <x:c r="A99" s="3" t="n">
        <x:v>60</x:v>
      </x:c>
      <x:c r="B99" s="35" t="n">
        <x:f>SUM(IF(AND(59&gt;='EDT Y TAREAS'!AK6,59&lt;'EDT Y TAREAS'!AL6),'EDT Y TAREAS'!AD6/'EDT Y TAREAS'!M6,0),IF(AND(59&gt;='EDT Y TAREAS'!AK7,59&lt;'EDT Y TAREAS'!AL7),'EDT Y TAREAS'!AD7/'EDT Y TAREAS'!M7,0),IF(AND(59&gt;='EDT Y TAREAS'!AK8,59&lt;'EDT Y TAREAS'!AL8),'EDT Y TAREAS'!AD8/'EDT Y TAREAS'!M8,0),IF(AND(59&gt;='EDT Y TAREAS'!AK9,59&lt;'EDT Y TAREAS'!AL9),'EDT Y TAREAS'!AD9/'EDT Y TAREAS'!M9,0),IF(AND(59&gt;='EDT Y TAREAS'!AK10,59&lt;'EDT Y TAREAS'!AL10),'EDT Y TAREAS'!AD10/'EDT Y TAREAS'!M10,0),IF(AND(59&gt;='EDT Y TAREAS'!AK11,59&lt;'EDT Y TAREAS'!AL11),'EDT Y TAREAS'!AD11/'EDT Y TAREAS'!M11,0),IF(AND(59&gt;='EDT Y TAREAS'!AK12,59&lt;'EDT Y TAREAS'!AL12),'EDT Y TAREAS'!AD12/'EDT Y TAREAS'!M12,0),IF(AND(59&gt;='EDT Y TAREAS'!AK13,59&lt;'EDT Y TAREAS'!AL13),'EDT Y TAREAS'!AD13/'EDT Y TAREAS'!M13,0),IF(AND(59&gt;='EDT Y TAREAS'!AK14,59&lt;'EDT Y TAREAS'!AL14),'EDT Y TAREAS'!AD14/'EDT Y TAREAS'!M14,0),IF(AND(59&gt;='EDT Y TAREAS'!AK15,59&lt;'EDT Y TAREAS'!AL15),'EDT Y TAREAS'!AD15/'EDT Y TAREAS'!M15,0),IF(AND(59&gt;='EDT Y TAREAS'!AK16,59&lt;'EDT Y TAREAS'!AL16),'EDT Y TAREAS'!AD16/'EDT Y TAREAS'!M16,0),IF(AND(59&gt;='EDT Y TAREAS'!AK17,59&lt;'EDT Y TAREAS'!AL17),'EDT Y TAREAS'!AD17/'EDT Y TAREAS'!M17,0),IF(AND(59&gt;='EDT Y TAREAS'!AK18,59&lt;'EDT Y TAREAS'!AL18),'EDT Y TAREAS'!AD18/'EDT Y TAREAS'!M18,0),IF(AND(59&gt;='EDT Y TAREAS'!AK19,59&lt;'EDT Y TAREAS'!AL19),'EDT Y TAREAS'!AD19/'EDT Y TAREAS'!M19,0),IF(AND(59&gt;='EDT Y TAREAS'!AK20,59&lt;'EDT Y TAREAS'!AL20),'EDT Y TAREAS'!AD20/'EDT Y TAREAS'!M20,0),IF(AND(59&gt;='EDT Y TAREAS'!AK21,59&lt;'EDT Y TAREAS'!AL21),'EDT Y TAREAS'!AD21/'EDT Y TAREAS'!M21,0),IF(AND(59&gt;='EDT Y TAREAS'!AK22,59&lt;'EDT Y TAREAS'!AL22),'EDT Y TAREAS'!AD22/'EDT Y TAREAS'!M22,0),IF(AND(59&gt;='EDT Y TAREAS'!AK23,59&lt;'EDT Y TAREAS'!AL23),'EDT Y TAREAS'!AD23/'EDT Y TAREAS'!M23,0),IF(AND(59&gt;='EDT Y TAREAS'!AK26,59&lt;'EDT Y TAREAS'!AL26),'EDT Y TAREAS'!AD26/'EDT Y TAREAS'!M26,0),IF(AND(59&gt;='EDT Y TAREAS'!AK28,59&lt;'EDT Y TAREAS'!AL28),'EDT Y TAREAS'!AD28/'EDT Y TAREAS'!M28,0),IF(AND(59&gt;='EDT Y TAREAS'!AK30,59&lt;'EDT Y TAREAS'!AL30),'EDT Y TAREAS'!AD30/'EDT Y TAREAS'!M30,0),IF(AND(59&gt;='EDT Y TAREAS'!AK32,59&lt;'EDT Y TAREAS'!AL32),'EDT Y TAREAS'!AD32/'EDT Y TAREAS'!M32,0),IF(AND(59&gt;='EDT Y TAREAS'!AK34,59&lt;'EDT Y TAREAS'!AL34),'EDT Y TAREAS'!AD34/'EDT Y TAREAS'!M34,0),IF(AND(59&gt;='EDT Y TAREAS'!AK38,59&lt;'EDT Y TAREAS'!AL38),'EDT Y TAREAS'!AD38/'EDT Y TAREAS'!M38,0),IF(AND(59&gt;='EDT Y TAREAS'!AK39,59&lt;'EDT Y TAREAS'!AL39),'EDT Y TAREAS'!AD39/'EDT Y TAREAS'!M39,0),IF(AND(59&gt;='EDT Y TAREAS'!AK43,59&lt;'EDT Y TAREAS'!AL43),'EDT Y TAREAS'!AD43/'EDT Y TAREAS'!M43,0),IF(AND(59&gt;='EDT Y TAREAS'!AK44,59&lt;'EDT Y TAREAS'!AL44),'EDT Y TAREAS'!AD44/'EDT Y TAREAS'!M44,0),IF(AND(59&gt;='EDT Y TAREAS'!AK45,59&lt;'EDT Y TAREAS'!AL45),'EDT Y TAREAS'!AD45/'EDT Y TAREAS'!M45,0),IF(AND(59&gt;='EDT Y TAREAS'!AK46,59&lt;'EDT Y TAREAS'!AL46),'EDT Y TAREAS'!AD46/'EDT Y TAREAS'!M46,0),IF(AND(59&gt;='EDT Y TAREAS'!AK47,59&lt;'EDT Y TAREAS'!AL47),'EDT Y TAREAS'!AD47/'EDT Y TAREAS'!M47,0),IF(AND(59&gt;='EDT Y TAREAS'!AK49,59&lt;'EDT Y TAREAS'!AL49),'EDT Y TAREAS'!AD49/'EDT Y TAREAS'!M49,0),IF(AND(59&gt;='EDT Y TAREAS'!AK50,59&lt;'EDT Y TAREAS'!AL50),'EDT Y TAREAS'!AD50/'EDT Y TAREAS'!M50,0),IF(AND(59&gt;='EDT Y TAREAS'!AK51,59&lt;'EDT Y TAREAS'!AL51),'EDT Y TAREAS'!AD51/'EDT Y TAREAS'!M51,0),IF(AND(59&gt;='EDT Y TAREAS'!AK52,59&lt;'EDT Y TAREAS'!AL52),'EDT Y TAREAS'!AD52/'EDT Y TAREAS'!M52,0))</x:f>
        <x:v>6.4</x:v>
      </x:c>
      <x:c r="C99" s="35" t="n">
        <x:f>SUM(IF(AND(59&gt;='EDT Y TAREAS'!AK6,59&lt;'EDT Y TAREAS'!AL6),'EDT Y TAREAS'!AE6/'EDT Y TAREAS'!M6,0),IF(AND(59&gt;='EDT Y TAREAS'!AK8,59&lt;'EDT Y TAREAS'!AL8),'EDT Y TAREAS'!AE8/'EDT Y TAREAS'!M8,0),IF(AND(59&gt;='EDT Y TAREAS'!AK9,59&lt;'EDT Y TAREAS'!AL9),'EDT Y TAREAS'!AE9/'EDT Y TAREAS'!M9,0),IF(AND(59&gt;='EDT Y TAREAS'!AK10,59&lt;'EDT Y TAREAS'!AL10),'EDT Y TAREAS'!AE10/'EDT Y TAREAS'!M10,0),IF(AND(59&gt;='EDT Y TAREAS'!AK12,59&lt;'EDT Y TAREAS'!AL12),'EDT Y TAREAS'!AE12/'EDT Y TAREAS'!M12,0),IF(AND(59&gt;='EDT Y TAREAS'!AK16,59&lt;'EDT Y TAREAS'!AL16),'EDT Y TAREAS'!AE16/'EDT Y TAREAS'!M16,0),IF(AND(59&gt;='EDT Y TAREAS'!AK21,59&lt;'EDT Y TAREAS'!AL21),'EDT Y TAREAS'!AE21/'EDT Y TAREAS'!M21,0),IF(AND(59&gt;='EDT Y TAREAS'!AK23,59&lt;'EDT Y TAREAS'!AL23),'EDT Y TAREAS'!AE23/'EDT Y TAREAS'!M23,0),IF(AND(59&gt;='EDT Y TAREAS'!AK37,59&lt;'EDT Y TAREAS'!AL37),'EDT Y TAREAS'!AE37/'EDT Y TAREAS'!M37,0),IF(AND(59&gt;='EDT Y TAREAS'!AK38,59&lt;'EDT Y TAREAS'!AL38),'EDT Y TAREAS'!AE38/'EDT Y TAREAS'!M38,0),IF(AND(59&gt;='EDT Y TAREAS'!AK41,59&lt;'EDT Y TAREAS'!AL41),'EDT Y TAREAS'!AE41/'EDT Y TAREAS'!M41,0),IF(AND(59&gt;='EDT Y TAREAS'!AK43,59&lt;'EDT Y TAREAS'!AL43),'EDT Y TAREAS'!AE43/'EDT Y TAREAS'!M43,0),IF(AND(59&gt;='EDT Y TAREAS'!AK44,59&lt;'EDT Y TAREAS'!AL44),'EDT Y TAREAS'!AE44/'EDT Y TAREAS'!M44,0),IF(AND(59&gt;='EDT Y TAREAS'!AK46,59&lt;'EDT Y TAREAS'!AL46),'EDT Y TAREAS'!AE46/'EDT Y TAREAS'!M46,0),IF(AND(59&gt;='EDT Y TAREAS'!AK47,59&lt;'EDT Y TAREAS'!AL47),'EDT Y TAREAS'!AE47/'EDT Y TAREAS'!M47,0),IF(AND(59&gt;='EDT Y TAREAS'!AK51,59&lt;'EDT Y TAREAS'!AL51),'EDT Y TAREAS'!AE51/'EDT Y TAREAS'!M51,0),IF(AND(59&gt;='EDT Y TAREAS'!AK52,59&lt;'EDT Y TAREAS'!AL52),'EDT Y TAREAS'!AE52/'EDT Y TAREAS'!M52,0))</x:f>
        <x:v>0</x:v>
      </x:c>
      <x:c r="D99" s="35" t="n">
        <x:f>SUM(IF(AND(59&gt;='EDT Y TAREAS'!AK11,59&lt;'EDT Y TAREAS'!AL11),'EDT Y TAREAS'!AF11/'EDT Y TAREAS'!M11,0),IF(AND(59&gt;='EDT Y TAREAS'!AK24,59&lt;'EDT Y TAREAS'!AL24),'EDT Y TAREAS'!AF24/'EDT Y TAREAS'!M24,0),IF(AND(59&gt;='EDT Y TAREAS'!AK25,59&lt;'EDT Y TAREAS'!AL25),'EDT Y TAREAS'!AF25/'EDT Y TAREAS'!M25,0),IF(AND(59&gt;='EDT Y TAREAS'!AK26,59&lt;'EDT Y TAREAS'!AL26),'EDT Y TAREAS'!AF26/'EDT Y TAREAS'!M26,0),IF(AND(59&gt;='EDT Y TAREAS'!AK27,59&lt;'EDT Y TAREAS'!AL27),'EDT Y TAREAS'!AF27/'EDT Y TAREAS'!M27,0),IF(AND(59&gt;='EDT Y TAREAS'!AK28,59&lt;'EDT Y TAREAS'!AL28),'EDT Y TAREAS'!AF28/'EDT Y TAREAS'!M28,0),IF(AND(59&gt;='EDT Y TAREAS'!AK31,59&lt;'EDT Y TAREAS'!AL31),'EDT Y TAREAS'!AF31/'EDT Y TAREAS'!M31,0),IF(AND(59&gt;='EDT Y TAREAS'!AK33,59&lt;'EDT Y TAREAS'!AL33),'EDT Y TAREAS'!AF33/'EDT Y TAREAS'!M33,0),IF(AND(59&gt;='EDT Y TAREAS'!AK34,59&lt;'EDT Y TAREAS'!AL34),'EDT Y TAREAS'!AF34/'EDT Y TAREAS'!M34,0),IF(AND(59&gt;='EDT Y TAREAS'!AK35,59&lt;'EDT Y TAREAS'!AL35),'EDT Y TAREAS'!AF35/'EDT Y TAREAS'!M35,0),IF(AND(59&gt;='EDT Y TAREAS'!AK37,59&lt;'EDT Y TAREAS'!AL37),'EDT Y TAREAS'!AF37/'EDT Y TAREAS'!M37,0),IF(AND(59&gt;='EDT Y TAREAS'!AK39,59&lt;'EDT Y TAREAS'!AL39),'EDT Y TAREAS'!AF39/'EDT Y TAREAS'!M39,0),IF(AND(59&gt;='EDT Y TAREAS'!AK40,59&lt;'EDT Y TAREAS'!AL40),'EDT Y TAREAS'!AF40/'EDT Y TAREAS'!M40,0),IF(AND(59&gt;='EDT Y TAREAS'!AK42,59&lt;'EDT Y TAREAS'!AL42),'EDT Y TAREAS'!AF42/'EDT Y TAREAS'!M42,0),IF(AND(59&gt;='EDT Y TAREAS'!AK45,59&lt;'EDT Y TAREAS'!AL45),'EDT Y TAREAS'!AF45/'EDT Y TAREAS'!M45,0),IF(AND(59&gt;='EDT Y TAREAS'!AK49,59&lt;'EDT Y TAREAS'!AL49),'EDT Y TAREAS'!AF49/'EDT Y TAREAS'!M49,0),IF(AND(59&gt;='EDT Y TAREAS'!AK52,59&lt;'EDT Y TAREAS'!AL52),'EDT Y TAREAS'!AF52/'EDT Y TAREAS'!M52,0))</x:f>
        <x:v>4.8</x:v>
      </x:c>
      <x:c r="E99" s="35" t="n">
        <x:f>SUM(IF(AND(59&gt;='EDT Y TAREAS'!AK29,59&lt;'EDT Y TAREAS'!AL29),'EDT Y TAREAS'!AG29/'EDT Y TAREAS'!M29,0),IF(AND(59&gt;='EDT Y TAREAS'!AK30,59&lt;'EDT Y TAREAS'!AL30),'EDT Y TAREAS'!AG30/'EDT Y TAREAS'!M30,0),IF(AND(59&gt;='EDT Y TAREAS'!AK31,59&lt;'EDT Y TAREAS'!AL31),'EDT Y TAREAS'!AG31/'EDT Y TAREAS'!M31,0),IF(AND(59&gt;='EDT Y TAREAS'!AK32,59&lt;'EDT Y TAREAS'!AL32),'EDT Y TAREAS'!AG32/'EDT Y TAREAS'!M32,0),IF(AND(59&gt;='EDT Y TAREAS'!AK41,59&lt;'EDT Y TAREAS'!AL41),'EDT Y TAREAS'!AG41/'EDT Y TAREAS'!M41,0),IF(AND(59&gt;='EDT Y TAREAS'!AK45,59&lt;'EDT Y TAREAS'!AL45),'EDT Y TAREAS'!AG45/'EDT Y TAREAS'!M45,0),IF(AND(59&gt;='EDT Y TAREAS'!AK48,59&lt;'EDT Y TAREAS'!AL48),'EDT Y TAREAS'!AG48/'EDT Y TAREAS'!M48,0))</x:f>
        <x:v>0</x:v>
      </x:c>
      <x:c r="F99" s="35" t="n">
        <x:f>SUM(IF(AND(59&gt;='EDT Y TAREAS'!AK10,59&lt;'EDT Y TAREAS'!AL10),'EDT Y TAREAS'!AH10/'EDT Y TAREAS'!M10,0),IF(AND(59&gt;='EDT Y TAREAS'!AK12,59&lt;'EDT Y TAREAS'!AL12),'EDT Y TAREAS'!AH12/'EDT Y TAREAS'!M12,0),IF(AND(59&gt;='EDT Y TAREAS'!AK22,59&lt;'EDT Y TAREAS'!AL22),'EDT Y TAREAS'!AH22/'EDT Y TAREAS'!M22,0),IF(AND(59&gt;='EDT Y TAREAS'!AK23,59&lt;'EDT Y TAREAS'!AL23),'EDT Y TAREAS'!AH23/'EDT Y TAREAS'!M23,0),IF(AND(59&gt;='EDT Y TAREAS'!AK29,59&lt;'EDT Y TAREAS'!AL29),'EDT Y TAREAS'!AH29/'EDT Y TAREAS'!M29,0),IF(AND(59&gt;='EDT Y TAREAS'!AK30,59&lt;'EDT Y TAREAS'!AL30),'EDT Y TAREAS'!AH30/'EDT Y TAREAS'!M30,0),IF(AND(59&gt;='EDT Y TAREAS'!AK32,59&lt;'EDT Y TAREAS'!AL32),'EDT Y TAREAS'!AH32/'EDT Y TAREAS'!M32,0),IF(AND(59&gt;='EDT Y TAREAS'!AK41,59&lt;'EDT Y TAREAS'!AL41),'EDT Y TAREAS'!AH41/'EDT Y TAREAS'!M41,0),IF(AND(59&gt;='EDT Y TAREAS'!AK44,59&lt;'EDT Y TAREAS'!AL44),'EDT Y TAREAS'!AH44/'EDT Y TAREAS'!M44,0),IF(AND(59&gt;='EDT Y TAREAS'!AK46,59&lt;'EDT Y TAREAS'!AL46),'EDT Y TAREAS'!AH46/'EDT Y TAREAS'!M46,0),IF(AND(59&gt;='EDT Y TAREAS'!AK48,59&lt;'EDT Y TAREAS'!AL48),'EDT Y TAREAS'!AH48/'EDT Y TAREAS'!M48,0))</x:f>
        <x:v>0</x:v>
      </x:c>
      <x:c r="G99" s="35" t="n">
        <x:f>SUM(IF(AND(59&gt;='EDT Y TAREAS'!AK20,59&lt;'EDT Y TAREAS'!AL20),'EDT Y TAREAS'!AI20/'EDT Y TAREAS'!M20,0),IF(AND(59&gt;='EDT Y TAREAS'!AK25,59&lt;'EDT Y TAREAS'!AL25),'EDT Y TAREAS'!AI25/'EDT Y TAREAS'!M25,0),IF(AND(59&gt;='EDT Y TAREAS'!AK33,59&lt;'EDT Y TAREAS'!AL33),'EDT Y TAREAS'!AI33/'EDT Y TAREAS'!M33,0),IF(AND(59&gt;='EDT Y TAREAS'!AK34,59&lt;'EDT Y TAREAS'!AL34),'EDT Y TAREAS'!AI34/'EDT Y TAREAS'!M34,0),IF(AND(59&gt;='EDT Y TAREAS'!AK36,59&lt;'EDT Y TAREAS'!AL36),'EDT Y TAREAS'!AI36/'EDT Y TAREAS'!M36,0),IF(AND(59&gt;='EDT Y TAREAS'!AK39,59&lt;'EDT Y TAREAS'!AL39),'EDT Y TAREAS'!AI39/'EDT Y TAREAS'!M39,0),IF(AND(59&gt;='EDT Y TAREAS'!AK40,59&lt;'EDT Y TAREAS'!AL40),'EDT Y TAREAS'!AI40/'EDT Y TAREAS'!M40,0),IF(AND(59&gt;='EDT Y TAREAS'!AK42,59&lt;'EDT Y TAREAS'!AL42),'EDT Y TAREAS'!AI42/'EDT Y TAREAS'!M42,0),IF(AND(59&gt;='EDT Y TAREAS'!AK43,59&lt;'EDT Y TAREAS'!AL43),'EDT Y TAREAS'!AI43/'EDT Y TAREAS'!M43,0),IF(AND(59&gt;='EDT Y TAREAS'!AK44,59&lt;'EDT Y TAREAS'!AL44),'EDT Y TAREAS'!AI44/'EDT Y TAREAS'!M44,0),IF(AND(59&gt;='EDT Y TAREAS'!AK45,59&lt;'EDT Y TAREAS'!AL45),'EDT Y TAREAS'!AI45/'EDT Y TAREAS'!M45,0),IF(AND(59&gt;='EDT Y TAREAS'!AK46,59&lt;'EDT Y TAREAS'!AL46),'EDT Y TAREAS'!AI46/'EDT Y TAREAS'!M46,0),IF(AND(59&gt;='EDT Y TAREAS'!AK48,59&lt;'EDT Y TAREAS'!AL48),'EDT Y TAREAS'!AI48/'EDT Y TAREAS'!M48,0),IF(AND(59&gt;='EDT Y TAREAS'!AK50,59&lt;'EDT Y TAREAS'!AL50),'EDT Y TAREAS'!AI50/'EDT Y TAREAS'!M50,0),IF(AND(59&gt;='EDT Y TAREAS'!AK52,59&lt;'EDT Y TAREAS'!AL52),'EDT Y TAREAS'!AI52/'EDT Y TAREAS'!M52,0))</x:f>
        <x:v>0</x:v>
      </x:c>
      <x:c r="H99" s="35" t="n">
        <x:f>SUM(IF(AND(59&gt;='EDT Y TAREAS'!AK11,59&lt;'EDT Y TAREAS'!AL11),'EDT Y TAREAS'!AJ11/'EDT Y TAREAS'!M11,0),IF(AND(59&gt;='EDT Y TAREAS'!AK24,59&lt;'EDT Y TAREAS'!AL24),'EDT Y TAREAS'!AJ24/'EDT Y TAREAS'!M24,0),IF(AND(59&gt;='EDT Y TAREAS'!AK27,59&lt;'EDT Y TAREAS'!AL27),'EDT Y TAREAS'!AJ27/'EDT Y TAREAS'!M27,0),IF(AND(59&gt;='EDT Y TAREAS'!AK28,59&lt;'EDT Y TAREAS'!AL28),'EDT Y TAREAS'!AJ28/'EDT Y TAREAS'!M28,0),IF(AND(59&gt;='EDT Y TAREAS'!AK33,59&lt;'EDT Y TAREAS'!AL33),'EDT Y TAREAS'!AJ33/'EDT Y TAREAS'!M33,0),IF(AND(59&gt;='EDT Y TAREAS'!AK35,59&lt;'EDT Y TAREAS'!AL35),'EDT Y TAREAS'!AJ35/'EDT Y TAREAS'!M35,0),IF(AND(59&gt;='EDT Y TAREAS'!AK36,59&lt;'EDT Y TAREAS'!AL36),'EDT Y TAREAS'!AJ36/'EDT Y TAREAS'!M36,0),IF(AND(59&gt;='EDT Y TAREAS'!AK37,59&lt;'EDT Y TAREAS'!AL37),'EDT Y TAREAS'!AJ37/'EDT Y TAREAS'!M37,0),IF(AND(59&gt;='EDT Y TAREAS'!AK40,59&lt;'EDT Y TAREAS'!AL40),'EDT Y TAREAS'!AJ40/'EDT Y TAREAS'!M40,0),IF(AND(59&gt;='EDT Y TAREAS'!AK42,59&lt;'EDT Y TAREAS'!AL42),'EDT Y TAREAS'!AJ42/'EDT Y TAREAS'!M42,0),IF(AND(59&gt;='EDT Y TAREAS'!AK49,59&lt;'EDT Y TAREAS'!AL49),'EDT Y TAREAS'!AJ49/'EDT Y TAREAS'!M49,0),IF(AND(59&gt;='EDT Y TAREAS'!AK50,59&lt;'EDT Y TAREAS'!AL50),'EDT Y TAREAS'!AJ50/'EDT Y TAREAS'!M50,0),IF(AND(59&gt;='EDT Y TAREAS'!AK51,59&lt;'EDT Y TAREAS'!AL51),'EDT Y TAREAS'!AJ51/'EDT Y TAREAS'!M51,0),IF(AND(59&gt;='EDT Y TAREAS'!AK52,59&lt;'EDT Y TAREAS'!AL52),'EDT Y TAREAS'!AJ52/'EDT Y TAREAS'!M52,0))</x:f>
        <x:v>0.8</x:v>
      </x:c>
      <x:c r="I99" s="10" t="n">
        <x:f>WORKDAY('RESUMEN'!$D$3-1,A99,'RESUMEN'!$J$6:$J$25)</x:f>
        <x:v>46409</x:v>
      </x:c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  <x:c r="AJ99" s="3"/>
      <x:c r="AK99" s="3"/>
      <x:c r="AL99" s="3"/>
      <x:c r="AM99" s="3"/>
      <x:c r="AN99" s="3"/>
      <x:c r="AO99" s="3"/>
    </x:row>
    <x:row r="100" ht="24" customHeight="1">
      <x:c r="A100" s="3" t="n">
        <x:v>61</x:v>
      </x:c>
      <x:c r="B100" s="35" t="n">
        <x:f>SUM(IF(AND(60&gt;='EDT Y TAREAS'!AK6,60&lt;'EDT Y TAREAS'!AL6),'EDT Y TAREAS'!AD6/'EDT Y TAREAS'!M6,0),IF(AND(60&gt;='EDT Y TAREAS'!AK7,60&lt;'EDT Y TAREAS'!AL7),'EDT Y TAREAS'!AD7/'EDT Y TAREAS'!M7,0),IF(AND(60&gt;='EDT Y TAREAS'!AK8,60&lt;'EDT Y TAREAS'!AL8),'EDT Y TAREAS'!AD8/'EDT Y TAREAS'!M8,0),IF(AND(60&gt;='EDT Y TAREAS'!AK9,60&lt;'EDT Y TAREAS'!AL9),'EDT Y TAREAS'!AD9/'EDT Y TAREAS'!M9,0),IF(AND(60&gt;='EDT Y TAREAS'!AK10,60&lt;'EDT Y TAREAS'!AL10),'EDT Y TAREAS'!AD10/'EDT Y TAREAS'!M10,0),IF(AND(60&gt;='EDT Y TAREAS'!AK11,60&lt;'EDT Y TAREAS'!AL11),'EDT Y TAREAS'!AD11/'EDT Y TAREAS'!M11,0),IF(AND(60&gt;='EDT Y TAREAS'!AK12,60&lt;'EDT Y TAREAS'!AL12),'EDT Y TAREAS'!AD12/'EDT Y TAREAS'!M12,0),IF(AND(60&gt;='EDT Y TAREAS'!AK13,60&lt;'EDT Y TAREAS'!AL13),'EDT Y TAREAS'!AD13/'EDT Y TAREAS'!M13,0),IF(AND(60&gt;='EDT Y TAREAS'!AK14,60&lt;'EDT Y TAREAS'!AL14),'EDT Y TAREAS'!AD14/'EDT Y TAREAS'!M14,0),IF(AND(60&gt;='EDT Y TAREAS'!AK15,60&lt;'EDT Y TAREAS'!AL15),'EDT Y TAREAS'!AD15/'EDT Y TAREAS'!M15,0),IF(AND(60&gt;='EDT Y TAREAS'!AK16,60&lt;'EDT Y TAREAS'!AL16),'EDT Y TAREAS'!AD16/'EDT Y TAREAS'!M16,0),IF(AND(60&gt;='EDT Y TAREAS'!AK17,60&lt;'EDT Y TAREAS'!AL17),'EDT Y TAREAS'!AD17/'EDT Y TAREAS'!M17,0),IF(AND(60&gt;='EDT Y TAREAS'!AK18,60&lt;'EDT Y TAREAS'!AL18),'EDT Y TAREAS'!AD18/'EDT Y TAREAS'!M18,0),IF(AND(60&gt;='EDT Y TAREAS'!AK19,60&lt;'EDT Y TAREAS'!AL19),'EDT Y TAREAS'!AD19/'EDT Y TAREAS'!M19,0),IF(AND(60&gt;='EDT Y TAREAS'!AK20,60&lt;'EDT Y TAREAS'!AL20),'EDT Y TAREAS'!AD20/'EDT Y TAREAS'!M20,0),IF(AND(60&gt;='EDT Y TAREAS'!AK21,60&lt;'EDT Y TAREAS'!AL21),'EDT Y TAREAS'!AD21/'EDT Y TAREAS'!M21,0),IF(AND(60&gt;='EDT Y TAREAS'!AK22,60&lt;'EDT Y TAREAS'!AL22),'EDT Y TAREAS'!AD22/'EDT Y TAREAS'!M22,0),IF(AND(60&gt;='EDT Y TAREAS'!AK23,60&lt;'EDT Y TAREAS'!AL23),'EDT Y TAREAS'!AD23/'EDT Y TAREAS'!M23,0),IF(AND(60&gt;='EDT Y TAREAS'!AK26,60&lt;'EDT Y TAREAS'!AL26),'EDT Y TAREAS'!AD26/'EDT Y TAREAS'!M26,0),IF(AND(60&gt;='EDT Y TAREAS'!AK28,60&lt;'EDT Y TAREAS'!AL28),'EDT Y TAREAS'!AD28/'EDT Y TAREAS'!M28,0),IF(AND(60&gt;='EDT Y TAREAS'!AK30,60&lt;'EDT Y TAREAS'!AL30),'EDT Y TAREAS'!AD30/'EDT Y TAREAS'!M30,0),IF(AND(60&gt;='EDT Y TAREAS'!AK32,60&lt;'EDT Y TAREAS'!AL32),'EDT Y TAREAS'!AD32/'EDT Y TAREAS'!M32,0),IF(AND(60&gt;='EDT Y TAREAS'!AK34,60&lt;'EDT Y TAREAS'!AL34),'EDT Y TAREAS'!AD34/'EDT Y TAREAS'!M34,0),IF(AND(60&gt;='EDT Y TAREAS'!AK38,60&lt;'EDT Y TAREAS'!AL38),'EDT Y TAREAS'!AD38/'EDT Y TAREAS'!M38,0),IF(AND(60&gt;='EDT Y TAREAS'!AK39,60&lt;'EDT Y TAREAS'!AL39),'EDT Y TAREAS'!AD39/'EDT Y TAREAS'!M39,0),IF(AND(60&gt;='EDT Y TAREAS'!AK43,60&lt;'EDT Y TAREAS'!AL43),'EDT Y TAREAS'!AD43/'EDT Y TAREAS'!M43,0),IF(AND(60&gt;='EDT Y TAREAS'!AK44,60&lt;'EDT Y TAREAS'!AL44),'EDT Y TAREAS'!AD44/'EDT Y TAREAS'!M44,0),IF(AND(60&gt;='EDT Y TAREAS'!AK45,60&lt;'EDT Y TAREAS'!AL45),'EDT Y TAREAS'!AD45/'EDT Y TAREAS'!M45,0),IF(AND(60&gt;='EDT Y TAREAS'!AK46,60&lt;'EDT Y TAREAS'!AL46),'EDT Y TAREAS'!AD46/'EDT Y TAREAS'!M46,0),IF(AND(60&gt;='EDT Y TAREAS'!AK47,60&lt;'EDT Y TAREAS'!AL47),'EDT Y TAREAS'!AD47/'EDT Y TAREAS'!M47,0),IF(AND(60&gt;='EDT Y TAREAS'!AK49,60&lt;'EDT Y TAREAS'!AL49),'EDT Y TAREAS'!AD49/'EDT Y TAREAS'!M49,0),IF(AND(60&gt;='EDT Y TAREAS'!AK50,60&lt;'EDT Y TAREAS'!AL50),'EDT Y TAREAS'!AD50/'EDT Y TAREAS'!M50,0),IF(AND(60&gt;='EDT Y TAREAS'!AK51,60&lt;'EDT Y TAREAS'!AL51),'EDT Y TAREAS'!AD51/'EDT Y TAREAS'!M51,0),IF(AND(60&gt;='EDT Y TAREAS'!AK52,60&lt;'EDT Y TAREAS'!AL52),'EDT Y TAREAS'!AD52/'EDT Y TAREAS'!M52,0))</x:f>
        <x:v>6.4</x:v>
      </x:c>
      <x:c r="C100" s="35" t="n">
        <x:f>SUM(IF(AND(60&gt;='EDT Y TAREAS'!AK6,60&lt;'EDT Y TAREAS'!AL6),'EDT Y TAREAS'!AE6/'EDT Y TAREAS'!M6,0),IF(AND(60&gt;='EDT Y TAREAS'!AK8,60&lt;'EDT Y TAREAS'!AL8),'EDT Y TAREAS'!AE8/'EDT Y TAREAS'!M8,0),IF(AND(60&gt;='EDT Y TAREAS'!AK9,60&lt;'EDT Y TAREAS'!AL9),'EDT Y TAREAS'!AE9/'EDT Y TAREAS'!M9,0),IF(AND(60&gt;='EDT Y TAREAS'!AK10,60&lt;'EDT Y TAREAS'!AL10),'EDT Y TAREAS'!AE10/'EDT Y TAREAS'!M10,0),IF(AND(60&gt;='EDT Y TAREAS'!AK12,60&lt;'EDT Y TAREAS'!AL12),'EDT Y TAREAS'!AE12/'EDT Y TAREAS'!M12,0),IF(AND(60&gt;='EDT Y TAREAS'!AK16,60&lt;'EDT Y TAREAS'!AL16),'EDT Y TAREAS'!AE16/'EDT Y TAREAS'!M16,0),IF(AND(60&gt;='EDT Y TAREAS'!AK21,60&lt;'EDT Y TAREAS'!AL21),'EDT Y TAREAS'!AE21/'EDT Y TAREAS'!M21,0),IF(AND(60&gt;='EDT Y TAREAS'!AK23,60&lt;'EDT Y TAREAS'!AL23),'EDT Y TAREAS'!AE23/'EDT Y TAREAS'!M23,0),IF(AND(60&gt;='EDT Y TAREAS'!AK37,60&lt;'EDT Y TAREAS'!AL37),'EDT Y TAREAS'!AE37/'EDT Y TAREAS'!M37,0),IF(AND(60&gt;='EDT Y TAREAS'!AK38,60&lt;'EDT Y TAREAS'!AL38),'EDT Y TAREAS'!AE38/'EDT Y TAREAS'!M38,0),IF(AND(60&gt;='EDT Y TAREAS'!AK41,60&lt;'EDT Y TAREAS'!AL41),'EDT Y TAREAS'!AE41/'EDT Y TAREAS'!M41,0),IF(AND(60&gt;='EDT Y TAREAS'!AK43,60&lt;'EDT Y TAREAS'!AL43),'EDT Y TAREAS'!AE43/'EDT Y TAREAS'!M43,0),IF(AND(60&gt;='EDT Y TAREAS'!AK44,60&lt;'EDT Y TAREAS'!AL44),'EDT Y TAREAS'!AE44/'EDT Y TAREAS'!M44,0),IF(AND(60&gt;='EDT Y TAREAS'!AK46,60&lt;'EDT Y TAREAS'!AL46),'EDT Y TAREAS'!AE46/'EDT Y TAREAS'!M46,0),IF(AND(60&gt;='EDT Y TAREAS'!AK47,60&lt;'EDT Y TAREAS'!AL47),'EDT Y TAREAS'!AE47/'EDT Y TAREAS'!M47,0),IF(AND(60&gt;='EDT Y TAREAS'!AK51,60&lt;'EDT Y TAREAS'!AL51),'EDT Y TAREAS'!AE51/'EDT Y TAREAS'!M51,0),IF(AND(60&gt;='EDT Y TAREAS'!AK52,60&lt;'EDT Y TAREAS'!AL52),'EDT Y TAREAS'!AE52/'EDT Y TAREAS'!M52,0))</x:f>
        <x:v>0</x:v>
      </x:c>
      <x:c r="D100" s="35" t="n">
        <x:f>SUM(IF(AND(60&gt;='EDT Y TAREAS'!AK11,60&lt;'EDT Y TAREAS'!AL11),'EDT Y TAREAS'!AF11/'EDT Y TAREAS'!M11,0),IF(AND(60&gt;='EDT Y TAREAS'!AK24,60&lt;'EDT Y TAREAS'!AL24),'EDT Y TAREAS'!AF24/'EDT Y TAREAS'!M24,0),IF(AND(60&gt;='EDT Y TAREAS'!AK25,60&lt;'EDT Y TAREAS'!AL25),'EDT Y TAREAS'!AF25/'EDT Y TAREAS'!M25,0),IF(AND(60&gt;='EDT Y TAREAS'!AK26,60&lt;'EDT Y TAREAS'!AL26),'EDT Y TAREAS'!AF26/'EDT Y TAREAS'!M26,0),IF(AND(60&gt;='EDT Y TAREAS'!AK27,60&lt;'EDT Y TAREAS'!AL27),'EDT Y TAREAS'!AF27/'EDT Y TAREAS'!M27,0),IF(AND(60&gt;='EDT Y TAREAS'!AK28,60&lt;'EDT Y TAREAS'!AL28),'EDT Y TAREAS'!AF28/'EDT Y TAREAS'!M28,0),IF(AND(60&gt;='EDT Y TAREAS'!AK31,60&lt;'EDT Y TAREAS'!AL31),'EDT Y TAREAS'!AF31/'EDT Y TAREAS'!M31,0),IF(AND(60&gt;='EDT Y TAREAS'!AK33,60&lt;'EDT Y TAREAS'!AL33),'EDT Y TAREAS'!AF33/'EDT Y TAREAS'!M33,0),IF(AND(60&gt;='EDT Y TAREAS'!AK34,60&lt;'EDT Y TAREAS'!AL34),'EDT Y TAREAS'!AF34/'EDT Y TAREAS'!M34,0),IF(AND(60&gt;='EDT Y TAREAS'!AK35,60&lt;'EDT Y TAREAS'!AL35),'EDT Y TAREAS'!AF35/'EDT Y TAREAS'!M35,0),IF(AND(60&gt;='EDT Y TAREAS'!AK37,60&lt;'EDT Y TAREAS'!AL37),'EDT Y TAREAS'!AF37/'EDT Y TAREAS'!M37,0),IF(AND(60&gt;='EDT Y TAREAS'!AK39,60&lt;'EDT Y TAREAS'!AL39),'EDT Y TAREAS'!AF39/'EDT Y TAREAS'!M39,0),IF(AND(60&gt;='EDT Y TAREAS'!AK40,60&lt;'EDT Y TAREAS'!AL40),'EDT Y TAREAS'!AF40/'EDT Y TAREAS'!M40,0),IF(AND(60&gt;='EDT Y TAREAS'!AK42,60&lt;'EDT Y TAREAS'!AL42),'EDT Y TAREAS'!AF42/'EDT Y TAREAS'!M42,0),IF(AND(60&gt;='EDT Y TAREAS'!AK45,60&lt;'EDT Y TAREAS'!AL45),'EDT Y TAREAS'!AF45/'EDT Y TAREAS'!M45,0),IF(AND(60&gt;='EDT Y TAREAS'!AK49,60&lt;'EDT Y TAREAS'!AL49),'EDT Y TAREAS'!AF49/'EDT Y TAREAS'!M49,0),IF(AND(60&gt;='EDT Y TAREAS'!AK52,60&lt;'EDT Y TAREAS'!AL52),'EDT Y TAREAS'!AF52/'EDT Y TAREAS'!M52,0))</x:f>
        <x:v>4.8</x:v>
      </x:c>
      <x:c r="E100" s="35" t="n">
        <x:f>SUM(IF(AND(60&gt;='EDT Y TAREAS'!AK29,60&lt;'EDT Y TAREAS'!AL29),'EDT Y TAREAS'!AG29/'EDT Y TAREAS'!M29,0),IF(AND(60&gt;='EDT Y TAREAS'!AK30,60&lt;'EDT Y TAREAS'!AL30),'EDT Y TAREAS'!AG30/'EDT Y TAREAS'!M30,0),IF(AND(60&gt;='EDT Y TAREAS'!AK31,60&lt;'EDT Y TAREAS'!AL31),'EDT Y TAREAS'!AG31/'EDT Y TAREAS'!M31,0),IF(AND(60&gt;='EDT Y TAREAS'!AK32,60&lt;'EDT Y TAREAS'!AL32),'EDT Y TAREAS'!AG32/'EDT Y TAREAS'!M32,0),IF(AND(60&gt;='EDT Y TAREAS'!AK41,60&lt;'EDT Y TAREAS'!AL41),'EDT Y TAREAS'!AG41/'EDT Y TAREAS'!M41,0),IF(AND(60&gt;='EDT Y TAREAS'!AK45,60&lt;'EDT Y TAREAS'!AL45),'EDT Y TAREAS'!AG45/'EDT Y TAREAS'!M45,0),IF(AND(60&gt;='EDT Y TAREAS'!AK48,60&lt;'EDT Y TAREAS'!AL48),'EDT Y TAREAS'!AG48/'EDT Y TAREAS'!M48,0))</x:f>
        <x:v>0</x:v>
      </x:c>
      <x:c r="F100" s="35" t="n">
        <x:f>SUM(IF(AND(60&gt;='EDT Y TAREAS'!AK10,60&lt;'EDT Y TAREAS'!AL10),'EDT Y TAREAS'!AH10/'EDT Y TAREAS'!M10,0),IF(AND(60&gt;='EDT Y TAREAS'!AK12,60&lt;'EDT Y TAREAS'!AL12),'EDT Y TAREAS'!AH12/'EDT Y TAREAS'!M12,0),IF(AND(60&gt;='EDT Y TAREAS'!AK22,60&lt;'EDT Y TAREAS'!AL22),'EDT Y TAREAS'!AH22/'EDT Y TAREAS'!M22,0),IF(AND(60&gt;='EDT Y TAREAS'!AK23,60&lt;'EDT Y TAREAS'!AL23),'EDT Y TAREAS'!AH23/'EDT Y TAREAS'!M23,0),IF(AND(60&gt;='EDT Y TAREAS'!AK29,60&lt;'EDT Y TAREAS'!AL29),'EDT Y TAREAS'!AH29/'EDT Y TAREAS'!M29,0),IF(AND(60&gt;='EDT Y TAREAS'!AK30,60&lt;'EDT Y TAREAS'!AL30),'EDT Y TAREAS'!AH30/'EDT Y TAREAS'!M30,0),IF(AND(60&gt;='EDT Y TAREAS'!AK32,60&lt;'EDT Y TAREAS'!AL32),'EDT Y TAREAS'!AH32/'EDT Y TAREAS'!M32,0),IF(AND(60&gt;='EDT Y TAREAS'!AK41,60&lt;'EDT Y TAREAS'!AL41),'EDT Y TAREAS'!AH41/'EDT Y TAREAS'!M41,0),IF(AND(60&gt;='EDT Y TAREAS'!AK44,60&lt;'EDT Y TAREAS'!AL44),'EDT Y TAREAS'!AH44/'EDT Y TAREAS'!M44,0),IF(AND(60&gt;='EDT Y TAREAS'!AK46,60&lt;'EDT Y TAREAS'!AL46),'EDT Y TAREAS'!AH46/'EDT Y TAREAS'!M46,0),IF(AND(60&gt;='EDT Y TAREAS'!AK48,60&lt;'EDT Y TAREAS'!AL48),'EDT Y TAREAS'!AH48/'EDT Y TAREAS'!M48,0))</x:f>
        <x:v>0</x:v>
      </x:c>
      <x:c r="G100" s="35" t="n">
        <x:f>SUM(IF(AND(60&gt;='EDT Y TAREAS'!AK20,60&lt;'EDT Y TAREAS'!AL20),'EDT Y TAREAS'!AI20/'EDT Y TAREAS'!M20,0),IF(AND(60&gt;='EDT Y TAREAS'!AK25,60&lt;'EDT Y TAREAS'!AL25),'EDT Y TAREAS'!AI25/'EDT Y TAREAS'!M25,0),IF(AND(60&gt;='EDT Y TAREAS'!AK33,60&lt;'EDT Y TAREAS'!AL33),'EDT Y TAREAS'!AI33/'EDT Y TAREAS'!M33,0),IF(AND(60&gt;='EDT Y TAREAS'!AK34,60&lt;'EDT Y TAREAS'!AL34),'EDT Y TAREAS'!AI34/'EDT Y TAREAS'!M34,0),IF(AND(60&gt;='EDT Y TAREAS'!AK36,60&lt;'EDT Y TAREAS'!AL36),'EDT Y TAREAS'!AI36/'EDT Y TAREAS'!M36,0),IF(AND(60&gt;='EDT Y TAREAS'!AK39,60&lt;'EDT Y TAREAS'!AL39),'EDT Y TAREAS'!AI39/'EDT Y TAREAS'!M39,0),IF(AND(60&gt;='EDT Y TAREAS'!AK40,60&lt;'EDT Y TAREAS'!AL40),'EDT Y TAREAS'!AI40/'EDT Y TAREAS'!M40,0),IF(AND(60&gt;='EDT Y TAREAS'!AK42,60&lt;'EDT Y TAREAS'!AL42),'EDT Y TAREAS'!AI42/'EDT Y TAREAS'!M42,0),IF(AND(60&gt;='EDT Y TAREAS'!AK43,60&lt;'EDT Y TAREAS'!AL43),'EDT Y TAREAS'!AI43/'EDT Y TAREAS'!M43,0),IF(AND(60&gt;='EDT Y TAREAS'!AK44,60&lt;'EDT Y TAREAS'!AL44),'EDT Y TAREAS'!AI44/'EDT Y TAREAS'!M44,0),IF(AND(60&gt;='EDT Y TAREAS'!AK45,60&lt;'EDT Y TAREAS'!AL45),'EDT Y TAREAS'!AI45/'EDT Y TAREAS'!M45,0),IF(AND(60&gt;='EDT Y TAREAS'!AK46,60&lt;'EDT Y TAREAS'!AL46),'EDT Y TAREAS'!AI46/'EDT Y TAREAS'!M46,0),IF(AND(60&gt;='EDT Y TAREAS'!AK48,60&lt;'EDT Y TAREAS'!AL48),'EDT Y TAREAS'!AI48/'EDT Y TAREAS'!M48,0),IF(AND(60&gt;='EDT Y TAREAS'!AK50,60&lt;'EDT Y TAREAS'!AL50),'EDT Y TAREAS'!AI50/'EDT Y TAREAS'!M50,0),IF(AND(60&gt;='EDT Y TAREAS'!AK52,60&lt;'EDT Y TAREAS'!AL52),'EDT Y TAREAS'!AI52/'EDT Y TAREAS'!M52,0))</x:f>
        <x:v>0</x:v>
      </x:c>
      <x:c r="H100" s="35" t="n">
        <x:f>SUM(IF(AND(60&gt;='EDT Y TAREAS'!AK11,60&lt;'EDT Y TAREAS'!AL11),'EDT Y TAREAS'!AJ11/'EDT Y TAREAS'!M11,0),IF(AND(60&gt;='EDT Y TAREAS'!AK24,60&lt;'EDT Y TAREAS'!AL24),'EDT Y TAREAS'!AJ24/'EDT Y TAREAS'!M24,0),IF(AND(60&gt;='EDT Y TAREAS'!AK27,60&lt;'EDT Y TAREAS'!AL27),'EDT Y TAREAS'!AJ27/'EDT Y TAREAS'!M27,0),IF(AND(60&gt;='EDT Y TAREAS'!AK28,60&lt;'EDT Y TAREAS'!AL28),'EDT Y TAREAS'!AJ28/'EDT Y TAREAS'!M28,0),IF(AND(60&gt;='EDT Y TAREAS'!AK33,60&lt;'EDT Y TAREAS'!AL33),'EDT Y TAREAS'!AJ33/'EDT Y TAREAS'!M33,0),IF(AND(60&gt;='EDT Y TAREAS'!AK35,60&lt;'EDT Y TAREAS'!AL35),'EDT Y TAREAS'!AJ35/'EDT Y TAREAS'!M35,0),IF(AND(60&gt;='EDT Y TAREAS'!AK36,60&lt;'EDT Y TAREAS'!AL36),'EDT Y TAREAS'!AJ36/'EDT Y TAREAS'!M36,0),IF(AND(60&gt;='EDT Y TAREAS'!AK37,60&lt;'EDT Y TAREAS'!AL37),'EDT Y TAREAS'!AJ37/'EDT Y TAREAS'!M37,0),IF(AND(60&gt;='EDT Y TAREAS'!AK40,60&lt;'EDT Y TAREAS'!AL40),'EDT Y TAREAS'!AJ40/'EDT Y TAREAS'!M40,0),IF(AND(60&gt;='EDT Y TAREAS'!AK42,60&lt;'EDT Y TAREAS'!AL42),'EDT Y TAREAS'!AJ42/'EDT Y TAREAS'!M42,0),IF(AND(60&gt;='EDT Y TAREAS'!AK49,60&lt;'EDT Y TAREAS'!AL49),'EDT Y TAREAS'!AJ49/'EDT Y TAREAS'!M49,0),IF(AND(60&gt;='EDT Y TAREAS'!AK50,60&lt;'EDT Y TAREAS'!AL50),'EDT Y TAREAS'!AJ50/'EDT Y TAREAS'!M50,0),IF(AND(60&gt;='EDT Y TAREAS'!AK51,60&lt;'EDT Y TAREAS'!AL51),'EDT Y TAREAS'!AJ51/'EDT Y TAREAS'!M51,0),IF(AND(60&gt;='EDT Y TAREAS'!AK52,60&lt;'EDT Y TAREAS'!AL52),'EDT Y TAREAS'!AJ52/'EDT Y TAREAS'!M52,0))</x:f>
        <x:v>0.8</x:v>
      </x:c>
      <x:c r="I100" s="10" t="n">
        <x:f>WORKDAY('RESUMEN'!$D$3-1,A100,'RESUMEN'!$J$6:$J$25)</x:f>
        <x:v>46412</x:v>
      </x:c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  <x:c r="AJ100" s="3"/>
      <x:c r="AK100" s="3"/>
      <x:c r="AL100" s="3"/>
      <x:c r="AM100" s="3"/>
      <x:c r="AN100" s="3"/>
      <x:c r="AO100" s="3"/>
    </x:row>
    <x:row r="101" ht="24" customHeight="1">
      <x:c r="A101" s="3" t="n">
        <x:v>62</x:v>
      </x:c>
      <x:c r="B101" s="35" t="n">
        <x:f>SUM(IF(AND(61&gt;='EDT Y TAREAS'!AK6,61&lt;'EDT Y TAREAS'!AL6),'EDT Y TAREAS'!AD6/'EDT Y TAREAS'!M6,0),IF(AND(61&gt;='EDT Y TAREAS'!AK7,61&lt;'EDT Y TAREAS'!AL7),'EDT Y TAREAS'!AD7/'EDT Y TAREAS'!M7,0),IF(AND(61&gt;='EDT Y TAREAS'!AK8,61&lt;'EDT Y TAREAS'!AL8),'EDT Y TAREAS'!AD8/'EDT Y TAREAS'!M8,0),IF(AND(61&gt;='EDT Y TAREAS'!AK9,61&lt;'EDT Y TAREAS'!AL9),'EDT Y TAREAS'!AD9/'EDT Y TAREAS'!M9,0),IF(AND(61&gt;='EDT Y TAREAS'!AK10,61&lt;'EDT Y TAREAS'!AL10),'EDT Y TAREAS'!AD10/'EDT Y TAREAS'!M10,0),IF(AND(61&gt;='EDT Y TAREAS'!AK11,61&lt;'EDT Y TAREAS'!AL11),'EDT Y TAREAS'!AD11/'EDT Y TAREAS'!M11,0),IF(AND(61&gt;='EDT Y TAREAS'!AK12,61&lt;'EDT Y TAREAS'!AL12),'EDT Y TAREAS'!AD12/'EDT Y TAREAS'!M12,0),IF(AND(61&gt;='EDT Y TAREAS'!AK13,61&lt;'EDT Y TAREAS'!AL13),'EDT Y TAREAS'!AD13/'EDT Y TAREAS'!M13,0),IF(AND(61&gt;='EDT Y TAREAS'!AK14,61&lt;'EDT Y TAREAS'!AL14),'EDT Y TAREAS'!AD14/'EDT Y TAREAS'!M14,0),IF(AND(61&gt;='EDT Y TAREAS'!AK15,61&lt;'EDT Y TAREAS'!AL15),'EDT Y TAREAS'!AD15/'EDT Y TAREAS'!M15,0),IF(AND(61&gt;='EDT Y TAREAS'!AK16,61&lt;'EDT Y TAREAS'!AL16),'EDT Y TAREAS'!AD16/'EDT Y TAREAS'!M16,0),IF(AND(61&gt;='EDT Y TAREAS'!AK17,61&lt;'EDT Y TAREAS'!AL17),'EDT Y TAREAS'!AD17/'EDT Y TAREAS'!M17,0),IF(AND(61&gt;='EDT Y TAREAS'!AK18,61&lt;'EDT Y TAREAS'!AL18),'EDT Y TAREAS'!AD18/'EDT Y TAREAS'!M18,0),IF(AND(61&gt;='EDT Y TAREAS'!AK19,61&lt;'EDT Y TAREAS'!AL19),'EDT Y TAREAS'!AD19/'EDT Y TAREAS'!M19,0),IF(AND(61&gt;='EDT Y TAREAS'!AK20,61&lt;'EDT Y TAREAS'!AL20),'EDT Y TAREAS'!AD20/'EDT Y TAREAS'!M20,0),IF(AND(61&gt;='EDT Y TAREAS'!AK21,61&lt;'EDT Y TAREAS'!AL21),'EDT Y TAREAS'!AD21/'EDT Y TAREAS'!M21,0),IF(AND(61&gt;='EDT Y TAREAS'!AK22,61&lt;'EDT Y TAREAS'!AL22),'EDT Y TAREAS'!AD22/'EDT Y TAREAS'!M22,0),IF(AND(61&gt;='EDT Y TAREAS'!AK23,61&lt;'EDT Y TAREAS'!AL23),'EDT Y TAREAS'!AD23/'EDT Y TAREAS'!M23,0),IF(AND(61&gt;='EDT Y TAREAS'!AK26,61&lt;'EDT Y TAREAS'!AL26),'EDT Y TAREAS'!AD26/'EDT Y TAREAS'!M26,0),IF(AND(61&gt;='EDT Y TAREAS'!AK28,61&lt;'EDT Y TAREAS'!AL28),'EDT Y TAREAS'!AD28/'EDT Y TAREAS'!M28,0),IF(AND(61&gt;='EDT Y TAREAS'!AK30,61&lt;'EDT Y TAREAS'!AL30),'EDT Y TAREAS'!AD30/'EDT Y TAREAS'!M30,0),IF(AND(61&gt;='EDT Y TAREAS'!AK32,61&lt;'EDT Y TAREAS'!AL32),'EDT Y TAREAS'!AD32/'EDT Y TAREAS'!M32,0),IF(AND(61&gt;='EDT Y TAREAS'!AK34,61&lt;'EDT Y TAREAS'!AL34),'EDT Y TAREAS'!AD34/'EDT Y TAREAS'!M34,0),IF(AND(61&gt;='EDT Y TAREAS'!AK38,61&lt;'EDT Y TAREAS'!AL38),'EDT Y TAREAS'!AD38/'EDT Y TAREAS'!M38,0),IF(AND(61&gt;='EDT Y TAREAS'!AK39,61&lt;'EDT Y TAREAS'!AL39),'EDT Y TAREAS'!AD39/'EDT Y TAREAS'!M39,0),IF(AND(61&gt;='EDT Y TAREAS'!AK43,61&lt;'EDT Y TAREAS'!AL43),'EDT Y TAREAS'!AD43/'EDT Y TAREAS'!M43,0),IF(AND(61&gt;='EDT Y TAREAS'!AK44,61&lt;'EDT Y TAREAS'!AL44),'EDT Y TAREAS'!AD44/'EDT Y TAREAS'!M44,0),IF(AND(61&gt;='EDT Y TAREAS'!AK45,61&lt;'EDT Y TAREAS'!AL45),'EDT Y TAREAS'!AD45/'EDT Y TAREAS'!M45,0),IF(AND(61&gt;='EDT Y TAREAS'!AK46,61&lt;'EDT Y TAREAS'!AL46),'EDT Y TAREAS'!AD46/'EDT Y TAREAS'!M46,0),IF(AND(61&gt;='EDT Y TAREAS'!AK47,61&lt;'EDT Y TAREAS'!AL47),'EDT Y TAREAS'!AD47/'EDT Y TAREAS'!M47,0),IF(AND(61&gt;='EDT Y TAREAS'!AK49,61&lt;'EDT Y TAREAS'!AL49),'EDT Y TAREAS'!AD49/'EDT Y TAREAS'!M49,0),IF(AND(61&gt;='EDT Y TAREAS'!AK50,61&lt;'EDT Y TAREAS'!AL50),'EDT Y TAREAS'!AD50/'EDT Y TAREAS'!M50,0),IF(AND(61&gt;='EDT Y TAREAS'!AK51,61&lt;'EDT Y TAREAS'!AL51),'EDT Y TAREAS'!AD51/'EDT Y TAREAS'!M51,0),IF(AND(61&gt;='EDT Y TAREAS'!AK52,61&lt;'EDT Y TAREAS'!AL52),'EDT Y TAREAS'!AD52/'EDT Y TAREAS'!M52,0))</x:f>
        <x:v>6.8</x:v>
      </x:c>
      <x:c r="C101" s="35" t="n">
        <x:f>SUM(IF(AND(61&gt;='EDT Y TAREAS'!AK6,61&lt;'EDT Y TAREAS'!AL6),'EDT Y TAREAS'!AE6/'EDT Y TAREAS'!M6,0),IF(AND(61&gt;='EDT Y TAREAS'!AK8,61&lt;'EDT Y TAREAS'!AL8),'EDT Y TAREAS'!AE8/'EDT Y TAREAS'!M8,0),IF(AND(61&gt;='EDT Y TAREAS'!AK9,61&lt;'EDT Y TAREAS'!AL9),'EDT Y TAREAS'!AE9/'EDT Y TAREAS'!M9,0),IF(AND(61&gt;='EDT Y TAREAS'!AK10,61&lt;'EDT Y TAREAS'!AL10),'EDT Y TAREAS'!AE10/'EDT Y TAREAS'!M10,0),IF(AND(61&gt;='EDT Y TAREAS'!AK12,61&lt;'EDT Y TAREAS'!AL12),'EDT Y TAREAS'!AE12/'EDT Y TAREAS'!M12,0),IF(AND(61&gt;='EDT Y TAREAS'!AK16,61&lt;'EDT Y TAREAS'!AL16),'EDT Y TAREAS'!AE16/'EDT Y TAREAS'!M16,0),IF(AND(61&gt;='EDT Y TAREAS'!AK21,61&lt;'EDT Y TAREAS'!AL21),'EDT Y TAREAS'!AE21/'EDT Y TAREAS'!M21,0),IF(AND(61&gt;='EDT Y TAREAS'!AK23,61&lt;'EDT Y TAREAS'!AL23),'EDT Y TAREAS'!AE23/'EDT Y TAREAS'!M23,0),IF(AND(61&gt;='EDT Y TAREAS'!AK37,61&lt;'EDT Y TAREAS'!AL37),'EDT Y TAREAS'!AE37/'EDT Y TAREAS'!M37,0),IF(AND(61&gt;='EDT Y TAREAS'!AK38,61&lt;'EDT Y TAREAS'!AL38),'EDT Y TAREAS'!AE38/'EDT Y TAREAS'!M38,0),IF(AND(61&gt;='EDT Y TAREAS'!AK41,61&lt;'EDT Y TAREAS'!AL41),'EDT Y TAREAS'!AE41/'EDT Y TAREAS'!M41,0),IF(AND(61&gt;='EDT Y TAREAS'!AK43,61&lt;'EDT Y TAREAS'!AL43),'EDT Y TAREAS'!AE43/'EDT Y TAREAS'!M43,0),IF(AND(61&gt;='EDT Y TAREAS'!AK44,61&lt;'EDT Y TAREAS'!AL44),'EDT Y TAREAS'!AE44/'EDT Y TAREAS'!M44,0),IF(AND(61&gt;='EDT Y TAREAS'!AK46,61&lt;'EDT Y TAREAS'!AL46),'EDT Y TAREAS'!AE46/'EDT Y TAREAS'!M46,0),IF(AND(61&gt;='EDT Y TAREAS'!AK47,61&lt;'EDT Y TAREAS'!AL47),'EDT Y TAREAS'!AE47/'EDT Y TAREAS'!M47,0),IF(AND(61&gt;='EDT Y TAREAS'!AK51,61&lt;'EDT Y TAREAS'!AL51),'EDT Y TAREAS'!AE51/'EDT Y TAREAS'!M51,0),IF(AND(61&gt;='EDT Y TAREAS'!AK52,61&lt;'EDT Y TAREAS'!AL52),'EDT Y TAREAS'!AE52/'EDT Y TAREAS'!M52,0))</x:f>
        <x:v>0</x:v>
      </x:c>
      <x:c r="D101" s="35" t="n">
        <x:f>SUM(IF(AND(61&gt;='EDT Y TAREAS'!AK11,61&lt;'EDT Y TAREAS'!AL11),'EDT Y TAREAS'!AF11/'EDT Y TAREAS'!M11,0),IF(AND(61&gt;='EDT Y TAREAS'!AK24,61&lt;'EDT Y TAREAS'!AL24),'EDT Y TAREAS'!AF24/'EDT Y TAREAS'!M24,0),IF(AND(61&gt;='EDT Y TAREAS'!AK25,61&lt;'EDT Y TAREAS'!AL25),'EDT Y TAREAS'!AF25/'EDT Y TAREAS'!M25,0),IF(AND(61&gt;='EDT Y TAREAS'!AK26,61&lt;'EDT Y TAREAS'!AL26),'EDT Y TAREAS'!AF26/'EDT Y TAREAS'!M26,0),IF(AND(61&gt;='EDT Y TAREAS'!AK27,61&lt;'EDT Y TAREAS'!AL27),'EDT Y TAREAS'!AF27/'EDT Y TAREAS'!M27,0),IF(AND(61&gt;='EDT Y TAREAS'!AK28,61&lt;'EDT Y TAREAS'!AL28),'EDT Y TAREAS'!AF28/'EDT Y TAREAS'!M28,0),IF(AND(61&gt;='EDT Y TAREAS'!AK31,61&lt;'EDT Y TAREAS'!AL31),'EDT Y TAREAS'!AF31/'EDT Y TAREAS'!M31,0),IF(AND(61&gt;='EDT Y TAREAS'!AK33,61&lt;'EDT Y TAREAS'!AL33),'EDT Y TAREAS'!AF33/'EDT Y TAREAS'!M33,0),IF(AND(61&gt;='EDT Y TAREAS'!AK34,61&lt;'EDT Y TAREAS'!AL34),'EDT Y TAREAS'!AF34/'EDT Y TAREAS'!M34,0),IF(AND(61&gt;='EDT Y TAREAS'!AK35,61&lt;'EDT Y TAREAS'!AL35),'EDT Y TAREAS'!AF35/'EDT Y TAREAS'!M35,0),IF(AND(61&gt;='EDT Y TAREAS'!AK37,61&lt;'EDT Y TAREAS'!AL37),'EDT Y TAREAS'!AF37/'EDT Y TAREAS'!M37,0),IF(AND(61&gt;='EDT Y TAREAS'!AK39,61&lt;'EDT Y TAREAS'!AL39),'EDT Y TAREAS'!AF39/'EDT Y TAREAS'!M39,0),IF(AND(61&gt;='EDT Y TAREAS'!AK40,61&lt;'EDT Y TAREAS'!AL40),'EDT Y TAREAS'!AF40/'EDT Y TAREAS'!M40,0),IF(AND(61&gt;='EDT Y TAREAS'!AK42,61&lt;'EDT Y TAREAS'!AL42),'EDT Y TAREAS'!AF42/'EDT Y TAREAS'!M42,0),IF(AND(61&gt;='EDT Y TAREAS'!AK45,61&lt;'EDT Y TAREAS'!AL45),'EDT Y TAREAS'!AF45/'EDT Y TAREAS'!M45,0),IF(AND(61&gt;='EDT Y TAREAS'!AK49,61&lt;'EDT Y TAREAS'!AL49),'EDT Y TAREAS'!AF49/'EDT Y TAREAS'!M49,0),IF(AND(61&gt;='EDT Y TAREAS'!AK52,61&lt;'EDT Y TAREAS'!AL52),'EDT Y TAREAS'!AF52/'EDT Y TAREAS'!M52,0))</x:f>
        <x:v>4.8</x:v>
      </x:c>
      <x:c r="E101" s="35" t="n">
        <x:f>SUM(IF(AND(61&gt;='EDT Y TAREAS'!AK29,61&lt;'EDT Y TAREAS'!AL29),'EDT Y TAREAS'!AG29/'EDT Y TAREAS'!M29,0),IF(AND(61&gt;='EDT Y TAREAS'!AK30,61&lt;'EDT Y TAREAS'!AL30),'EDT Y TAREAS'!AG30/'EDT Y TAREAS'!M30,0),IF(AND(61&gt;='EDT Y TAREAS'!AK31,61&lt;'EDT Y TAREAS'!AL31),'EDT Y TAREAS'!AG31/'EDT Y TAREAS'!M31,0),IF(AND(61&gt;='EDT Y TAREAS'!AK32,61&lt;'EDT Y TAREAS'!AL32),'EDT Y TAREAS'!AG32/'EDT Y TAREAS'!M32,0),IF(AND(61&gt;='EDT Y TAREAS'!AK41,61&lt;'EDT Y TAREAS'!AL41),'EDT Y TAREAS'!AG41/'EDT Y TAREAS'!M41,0),IF(AND(61&gt;='EDT Y TAREAS'!AK45,61&lt;'EDT Y TAREAS'!AL45),'EDT Y TAREAS'!AG45/'EDT Y TAREAS'!M45,0),IF(AND(61&gt;='EDT Y TAREAS'!AK48,61&lt;'EDT Y TAREAS'!AL48),'EDT Y TAREAS'!AG48/'EDT Y TAREAS'!M48,0))</x:f>
        <x:v>5.6</x:v>
      </x:c>
      <x:c r="F101" s="35" t="n">
        <x:f>SUM(IF(AND(61&gt;='EDT Y TAREAS'!AK10,61&lt;'EDT Y TAREAS'!AL10),'EDT Y TAREAS'!AH10/'EDT Y TAREAS'!M10,0),IF(AND(61&gt;='EDT Y TAREAS'!AK12,61&lt;'EDT Y TAREAS'!AL12),'EDT Y TAREAS'!AH12/'EDT Y TAREAS'!M12,0),IF(AND(61&gt;='EDT Y TAREAS'!AK22,61&lt;'EDT Y TAREAS'!AL22),'EDT Y TAREAS'!AH22/'EDT Y TAREAS'!M22,0),IF(AND(61&gt;='EDT Y TAREAS'!AK23,61&lt;'EDT Y TAREAS'!AL23),'EDT Y TAREAS'!AH23/'EDT Y TAREAS'!M23,0),IF(AND(61&gt;='EDT Y TAREAS'!AK29,61&lt;'EDT Y TAREAS'!AL29),'EDT Y TAREAS'!AH29/'EDT Y TAREAS'!M29,0),IF(AND(61&gt;='EDT Y TAREAS'!AK30,61&lt;'EDT Y TAREAS'!AL30),'EDT Y TAREAS'!AH30/'EDT Y TAREAS'!M30,0),IF(AND(61&gt;='EDT Y TAREAS'!AK32,61&lt;'EDT Y TAREAS'!AL32),'EDT Y TAREAS'!AH32/'EDT Y TAREAS'!M32,0),IF(AND(61&gt;='EDT Y TAREAS'!AK41,61&lt;'EDT Y TAREAS'!AL41),'EDT Y TAREAS'!AH41/'EDT Y TAREAS'!M41,0),IF(AND(61&gt;='EDT Y TAREAS'!AK44,61&lt;'EDT Y TAREAS'!AL44),'EDT Y TAREAS'!AH44/'EDT Y TAREAS'!M44,0),IF(AND(61&gt;='EDT Y TAREAS'!AK46,61&lt;'EDT Y TAREAS'!AL46),'EDT Y TAREAS'!AH46/'EDT Y TAREAS'!M46,0),IF(AND(61&gt;='EDT Y TAREAS'!AK48,61&lt;'EDT Y TAREAS'!AL48),'EDT Y TAREAS'!AH48/'EDT Y TAREAS'!M48,0))</x:f>
        <x:v>0.8</x:v>
      </x:c>
      <x:c r="G101" s="35" t="n">
        <x:f>SUM(IF(AND(61&gt;='EDT Y TAREAS'!AK20,61&lt;'EDT Y TAREAS'!AL20),'EDT Y TAREAS'!AI20/'EDT Y TAREAS'!M20,0),IF(AND(61&gt;='EDT Y TAREAS'!AK25,61&lt;'EDT Y TAREAS'!AL25),'EDT Y TAREAS'!AI25/'EDT Y TAREAS'!M25,0),IF(AND(61&gt;='EDT Y TAREAS'!AK33,61&lt;'EDT Y TAREAS'!AL33),'EDT Y TAREAS'!AI33/'EDT Y TAREAS'!M33,0),IF(AND(61&gt;='EDT Y TAREAS'!AK34,61&lt;'EDT Y TAREAS'!AL34),'EDT Y TAREAS'!AI34/'EDT Y TAREAS'!M34,0),IF(AND(61&gt;='EDT Y TAREAS'!AK36,61&lt;'EDT Y TAREAS'!AL36),'EDT Y TAREAS'!AI36/'EDT Y TAREAS'!M36,0),IF(AND(61&gt;='EDT Y TAREAS'!AK39,61&lt;'EDT Y TAREAS'!AL39),'EDT Y TAREAS'!AI39/'EDT Y TAREAS'!M39,0),IF(AND(61&gt;='EDT Y TAREAS'!AK40,61&lt;'EDT Y TAREAS'!AL40),'EDT Y TAREAS'!AI40/'EDT Y TAREAS'!M40,0),IF(AND(61&gt;='EDT Y TAREAS'!AK42,61&lt;'EDT Y TAREAS'!AL42),'EDT Y TAREAS'!AI42/'EDT Y TAREAS'!M42,0),IF(AND(61&gt;='EDT Y TAREAS'!AK43,61&lt;'EDT Y TAREAS'!AL43),'EDT Y TAREAS'!AI43/'EDT Y TAREAS'!M43,0),IF(AND(61&gt;='EDT Y TAREAS'!AK44,61&lt;'EDT Y TAREAS'!AL44),'EDT Y TAREAS'!AI44/'EDT Y TAREAS'!M44,0),IF(AND(61&gt;='EDT Y TAREAS'!AK45,61&lt;'EDT Y TAREAS'!AL45),'EDT Y TAREAS'!AI45/'EDT Y TAREAS'!M45,0),IF(AND(61&gt;='EDT Y TAREAS'!AK46,61&lt;'EDT Y TAREAS'!AL46),'EDT Y TAREAS'!AI46/'EDT Y TAREAS'!M46,0),IF(AND(61&gt;='EDT Y TAREAS'!AK48,61&lt;'EDT Y TAREAS'!AL48),'EDT Y TAREAS'!AI48/'EDT Y TAREAS'!M48,0),IF(AND(61&gt;='EDT Y TAREAS'!AK50,61&lt;'EDT Y TAREAS'!AL50),'EDT Y TAREAS'!AI50/'EDT Y TAREAS'!M50,0),IF(AND(61&gt;='EDT Y TAREAS'!AK52,61&lt;'EDT Y TAREAS'!AL52),'EDT Y TAREAS'!AI52/'EDT Y TAREAS'!M52,0))</x:f>
        <x:v>2.4</x:v>
      </x:c>
      <x:c r="H101" s="35" t="n">
        <x:f>SUM(IF(AND(61&gt;='EDT Y TAREAS'!AK11,61&lt;'EDT Y TAREAS'!AL11),'EDT Y TAREAS'!AJ11/'EDT Y TAREAS'!M11,0),IF(AND(61&gt;='EDT Y TAREAS'!AK24,61&lt;'EDT Y TAREAS'!AL24),'EDT Y TAREAS'!AJ24/'EDT Y TAREAS'!M24,0),IF(AND(61&gt;='EDT Y TAREAS'!AK27,61&lt;'EDT Y TAREAS'!AL27),'EDT Y TAREAS'!AJ27/'EDT Y TAREAS'!M27,0),IF(AND(61&gt;='EDT Y TAREAS'!AK28,61&lt;'EDT Y TAREAS'!AL28),'EDT Y TAREAS'!AJ28/'EDT Y TAREAS'!M28,0),IF(AND(61&gt;='EDT Y TAREAS'!AK33,61&lt;'EDT Y TAREAS'!AL33),'EDT Y TAREAS'!AJ33/'EDT Y TAREAS'!M33,0),IF(AND(61&gt;='EDT Y TAREAS'!AK35,61&lt;'EDT Y TAREAS'!AL35),'EDT Y TAREAS'!AJ35/'EDT Y TAREAS'!M35,0),IF(AND(61&gt;='EDT Y TAREAS'!AK36,61&lt;'EDT Y TAREAS'!AL36),'EDT Y TAREAS'!AJ36/'EDT Y TAREAS'!M36,0),IF(AND(61&gt;='EDT Y TAREAS'!AK37,61&lt;'EDT Y TAREAS'!AL37),'EDT Y TAREAS'!AJ37/'EDT Y TAREAS'!M37,0),IF(AND(61&gt;='EDT Y TAREAS'!AK40,61&lt;'EDT Y TAREAS'!AL40),'EDT Y TAREAS'!AJ40/'EDT Y TAREAS'!M40,0),IF(AND(61&gt;='EDT Y TAREAS'!AK42,61&lt;'EDT Y TAREAS'!AL42),'EDT Y TAREAS'!AJ42/'EDT Y TAREAS'!M42,0),IF(AND(61&gt;='EDT Y TAREAS'!AK49,61&lt;'EDT Y TAREAS'!AL49),'EDT Y TAREAS'!AJ49/'EDT Y TAREAS'!M49,0),IF(AND(61&gt;='EDT Y TAREAS'!AK50,61&lt;'EDT Y TAREAS'!AL50),'EDT Y TAREAS'!AJ50/'EDT Y TAREAS'!M50,0),IF(AND(61&gt;='EDT Y TAREAS'!AK51,61&lt;'EDT Y TAREAS'!AL51),'EDT Y TAREAS'!AJ51/'EDT Y TAREAS'!M51,0),IF(AND(61&gt;='EDT Y TAREAS'!AK52,61&lt;'EDT Y TAREAS'!AL52),'EDT Y TAREAS'!AJ52/'EDT Y TAREAS'!M52,0))</x:f>
        <x:v>0.8</x:v>
      </x:c>
      <x:c r="I101" s="10" t="n">
        <x:f>WORKDAY('RESUMEN'!$D$3-1,A101,'RESUMEN'!$J$6:$J$25)</x:f>
        <x:v>46413</x:v>
      </x:c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  <x:c r="AJ101" s="3"/>
      <x:c r="AK101" s="3"/>
      <x:c r="AL101" s="3"/>
      <x:c r="AM101" s="3"/>
      <x:c r="AN101" s="3"/>
      <x:c r="AO101" s="3"/>
    </x:row>
    <x:row r="102" ht="24" customHeight="1">
      <x:c r="A102" s="3" t="n">
        <x:v>63</x:v>
      </x:c>
      <x:c r="B102" s="35" t="n">
        <x:f>SUM(IF(AND(62&gt;='EDT Y TAREAS'!AK6,62&lt;'EDT Y TAREAS'!AL6),'EDT Y TAREAS'!AD6/'EDT Y TAREAS'!M6,0),IF(AND(62&gt;='EDT Y TAREAS'!AK7,62&lt;'EDT Y TAREAS'!AL7),'EDT Y TAREAS'!AD7/'EDT Y TAREAS'!M7,0),IF(AND(62&gt;='EDT Y TAREAS'!AK8,62&lt;'EDT Y TAREAS'!AL8),'EDT Y TAREAS'!AD8/'EDT Y TAREAS'!M8,0),IF(AND(62&gt;='EDT Y TAREAS'!AK9,62&lt;'EDT Y TAREAS'!AL9),'EDT Y TAREAS'!AD9/'EDT Y TAREAS'!M9,0),IF(AND(62&gt;='EDT Y TAREAS'!AK10,62&lt;'EDT Y TAREAS'!AL10),'EDT Y TAREAS'!AD10/'EDT Y TAREAS'!M10,0),IF(AND(62&gt;='EDT Y TAREAS'!AK11,62&lt;'EDT Y TAREAS'!AL11),'EDT Y TAREAS'!AD11/'EDT Y TAREAS'!M11,0),IF(AND(62&gt;='EDT Y TAREAS'!AK12,62&lt;'EDT Y TAREAS'!AL12),'EDT Y TAREAS'!AD12/'EDT Y TAREAS'!M12,0),IF(AND(62&gt;='EDT Y TAREAS'!AK13,62&lt;'EDT Y TAREAS'!AL13),'EDT Y TAREAS'!AD13/'EDT Y TAREAS'!M13,0),IF(AND(62&gt;='EDT Y TAREAS'!AK14,62&lt;'EDT Y TAREAS'!AL14),'EDT Y TAREAS'!AD14/'EDT Y TAREAS'!M14,0),IF(AND(62&gt;='EDT Y TAREAS'!AK15,62&lt;'EDT Y TAREAS'!AL15),'EDT Y TAREAS'!AD15/'EDT Y TAREAS'!M15,0),IF(AND(62&gt;='EDT Y TAREAS'!AK16,62&lt;'EDT Y TAREAS'!AL16),'EDT Y TAREAS'!AD16/'EDT Y TAREAS'!M16,0),IF(AND(62&gt;='EDT Y TAREAS'!AK17,62&lt;'EDT Y TAREAS'!AL17),'EDT Y TAREAS'!AD17/'EDT Y TAREAS'!M17,0),IF(AND(62&gt;='EDT Y TAREAS'!AK18,62&lt;'EDT Y TAREAS'!AL18),'EDT Y TAREAS'!AD18/'EDT Y TAREAS'!M18,0),IF(AND(62&gt;='EDT Y TAREAS'!AK19,62&lt;'EDT Y TAREAS'!AL19),'EDT Y TAREAS'!AD19/'EDT Y TAREAS'!M19,0),IF(AND(62&gt;='EDT Y TAREAS'!AK20,62&lt;'EDT Y TAREAS'!AL20),'EDT Y TAREAS'!AD20/'EDT Y TAREAS'!M20,0),IF(AND(62&gt;='EDT Y TAREAS'!AK21,62&lt;'EDT Y TAREAS'!AL21),'EDT Y TAREAS'!AD21/'EDT Y TAREAS'!M21,0),IF(AND(62&gt;='EDT Y TAREAS'!AK22,62&lt;'EDT Y TAREAS'!AL22),'EDT Y TAREAS'!AD22/'EDT Y TAREAS'!M22,0),IF(AND(62&gt;='EDT Y TAREAS'!AK23,62&lt;'EDT Y TAREAS'!AL23),'EDT Y TAREAS'!AD23/'EDT Y TAREAS'!M23,0),IF(AND(62&gt;='EDT Y TAREAS'!AK26,62&lt;'EDT Y TAREAS'!AL26),'EDT Y TAREAS'!AD26/'EDT Y TAREAS'!M26,0),IF(AND(62&gt;='EDT Y TAREAS'!AK28,62&lt;'EDT Y TAREAS'!AL28),'EDT Y TAREAS'!AD28/'EDT Y TAREAS'!M28,0),IF(AND(62&gt;='EDT Y TAREAS'!AK30,62&lt;'EDT Y TAREAS'!AL30),'EDT Y TAREAS'!AD30/'EDT Y TAREAS'!M30,0),IF(AND(62&gt;='EDT Y TAREAS'!AK32,62&lt;'EDT Y TAREAS'!AL32),'EDT Y TAREAS'!AD32/'EDT Y TAREAS'!M32,0),IF(AND(62&gt;='EDT Y TAREAS'!AK34,62&lt;'EDT Y TAREAS'!AL34),'EDT Y TAREAS'!AD34/'EDT Y TAREAS'!M34,0),IF(AND(62&gt;='EDT Y TAREAS'!AK38,62&lt;'EDT Y TAREAS'!AL38),'EDT Y TAREAS'!AD38/'EDT Y TAREAS'!M38,0),IF(AND(62&gt;='EDT Y TAREAS'!AK39,62&lt;'EDT Y TAREAS'!AL39),'EDT Y TAREAS'!AD39/'EDT Y TAREAS'!M39,0),IF(AND(62&gt;='EDT Y TAREAS'!AK43,62&lt;'EDT Y TAREAS'!AL43),'EDT Y TAREAS'!AD43/'EDT Y TAREAS'!M43,0),IF(AND(62&gt;='EDT Y TAREAS'!AK44,62&lt;'EDT Y TAREAS'!AL44),'EDT Y TAREAS'!AD44/'EDT Y TAREAS'!M44,0),IF(AND(62&gt;='EDT Y TAREAS'!AK45,62&lt;'EDT Y TAREAS'!AL45),'EDT Y TAREAS'!AD45/'EDT Y TAREAS'!M45,0),IF(AND(62&gt;='EDT Y TAREAS'!AK46,62&lt;'EDT Y TAREAS'!AL46),'EDT Y TAREAS'!AD46/'EDT Y TAREAS'!M46,0),IF(AND(62&gt;='EDT Y TAREAS'!AK47,62&lt;'EDT Y TAREAS'!AL47),'EDT Y TAREAS'!AD47/'EDT Y TAREAS'!M47,0),IF(AND(62&gt;='EDT Y TAREAS'!AK49,62&lt;'EDT Y TAREAS'!AL49),'EDT Y TAREAS'!AD49/'EDT Y TAREAS'!M49,0),IF(AND(62&gt;='EDT Y TAREAS'!AK50,62&lt;'EDT Y TAREAS'!AL50),'EDT Y TAREAS'!AD50/'EDT Y TAREAS'!M50,0),IF(AND(62&gt;='EDT Y TAREAS'!AK51,62&lt;'EDT Y TAREAS'!AL51),'EDT Y TAREAS'!AD51/'EDT Y TAREAS'!M51,0),IF(AND(62&gt;='EDT Y TAREAS'!AK52,62&lt;'EDT Y TAREAS'!AL52),'EDT Y TAREAS'!AD52/'EDT Y TAREAS'!M52,0))</x:f>
        <x:v>6.8</x:v>
      </x:c>
      <x:c r="C102" s="35" t="n">
        <x:f>SUM(IF(AND(62&gt;='EDT Y TAREAS'!AK6,62&lt;'EDT Y TAREAS'!AL6),'EDT Y TAREAS'!AE6/'EDT Y TAREAS'!M6,0),IF(AND(62&gt;='EDT Y TAREAS'!AK8,62&lt;'EDT Y TAREAS'!AL8),'EDT Y TAREAS'!AE8/'EDT Y TAREAS'!M8,0),IF(AND(62&gt;='EDT Y TAREAS'!AK9,62&lt;'EDT Y TAREAS'!AL9),'EDT Y TAREAS'!AE9/'EDT Y TAREAS'!M9,0),IF(AND(62&gt;='EDT Y TAREAS'!AK10,62&lt;'EDT Y TAREAS'!AL10),'EDT Y TAREAS'!AE10/'EDT Y TAREAS'!M10,0),IF(AND(62&gt;='EDT Y TAREAS'!AK12,62&lt;'EDT Y TAREAS'!AL12),'EDT Y TAREAS'!AE12/'EDT Y TAREAS'!M12,0),IF(AND(62&gt;='EDT Y TAREAS'!AK16,62&lt;'EDT Y TAREAS'!AL16),'EDT Y TAREAS'!AE16/'EDT Y TAREAS'!M16,0),IF(AND(62&gt;='EDT Y TAREAS'!AK21,62&lt;'EDT Y TAREAS'!AL21),'EDT Y TAREAS'!AE21/'EDT Y TAREAS'!M21,0),IF(AND(62&gt;='EDT Y TAREAS'!AK23,62&lt;'EDT Y TAREAS'!AL23),'EDT Y TAREAS'!AE23/'EDT Y TAREAS'!M23,0),IF(AND(62&gt;='EDT Y TAREAS'!AK37,62&lt;'EDT Y TAREAS'!AL37),'EDT Y TAREAS'!AE37/'EDT Y TAREAS'!M37,0),IF(AND(62&gt;='EDT Y TAREAS'!AK38,62&lt;'EDT Y TAREAS'!AL38),'EDT Y TAREAS'!AE38/'EDT Y TAREAS'!M38,0),IF(AND(62&gt;='EDT Y TAREAS'!AK41,62&lt;'EDT Y TAREAS'!AL41),'EDT Y TAREAS'!AE41/'EDT Y TAREAS'!M41,0),IF(AND(62&gt;='EDT Y TAREAS'!AK43,62&lt;'EDT Y TAREAS'!AL43),'EDT Y TAREAS'!AE43/'EDT Y TAREAS'!M43,0),IF(AND(62&gt;='EDT Y TAREAS'!AK44,62&lt;'EDT Y TAREAS'!AL44),'EDT Y TAREAS'!AE44/'EDT Y TAREAS'!M44,0),IF(AND(62&gt;='EDT Y TAREAS'!AK46,62&lt;'EDT Y TAREAS'!AL46),'EDT Y TAREAS'!AE46/'EDT Y TAREAS'!M46,0),IF(AND(62&gt;='EDT Y TAREAS'!AK47,62&lt;'EDT Y TAREAS'!AL47),'EDT Y TAREAS'!AE47/'EDT Y TAREAS'!M47,0),IF(AND(62&gt;='EDT Y TAREAS'!AK51,62&lt;'EDT Y TAREAS'!AL51),'EDT Y TAREAS'!AE51/'EDT Y TAREAS'!M51,0),IF(AND(62&gt;='EDT Y TAREAS'!AK52,62&lt;'EDT Y TAREAS'!AL52),'EDT Y TAREAS'!AE52/'EDT Y TAREAS'!M52,0))</x:f>
        <x:v>0</x:v>
      </x:c>
      <x:c r="D102" s="35" t="n">
        <x:f>SUM(IF(AND(62&gt;='EDT Y TAREAS'!AK11,62&lt;'EDT Y TAREAS'!AL11),'EDT Y TAREAS'!AF11/'EDT Y TAREAS'!M11,0),IF(AND(62&gt;='EDT Y TAREAS'!AK24,62&lt;'EDT Y TAREAS'!AL24),'EDT Y TAREAS'!AF24/'EDT Y TAREAS'!M24,0),IF(AND(62&gt;='EDT Y TAREAS'!AK25,62&lt;'EDT Y TAREAS'!AL25),'EDT Y TAREAS'!AF25/'EDT Y TAREAS'!M25,0),IF(AND(62&gt;='EDT Y TAREAS'!AK26,62&lt;'EDT Y TAREAS'!AL26),'EDT Y TAREAS'!AF26/'EDT Y TAREAS'!M26,0),IF(AND(62&gt;='EDT Y TAREAS'!AK27,62&lt;'EDT Y TAREAS'!AL27),'EDT Y TAREAS'!AF27/'EDT Y TAREAS'!M27,0),IF(AND(62&gt;='EDT Y TAREAS'!AK28,62&lt;'EDT Y TAREAS'!AL28),'EDT Y TAREAS'!AF28/'EDT Y TAREAS'!M28,0),IF(AND(62&gt;='EDT Y TAREAS'!AK31,62&lt;'EDT Y TAREAS'!AL31),'EDT Y TAREAS'!AF31/'EDT Y TAREAS'!M31,0),IF(AND(62&gt;='EDT Y TAREAS'!AK33,62&lt;'EDT Y TAREAS'!AL33),'EDT Y TAREAS'!AF33/'EDT Y TAREAS'!M33,0),IF(AND(62&gt;='EDT Y TAREAS'!AK34,62&lt;'EDT Y TAREAS'!AL34),'EDT Y TAREAS'!AF34/'EDT Y TAREAS'!M34,0),IF(AND(62&gt;='EDT Y TAREAS'!AK35,62&lt;'EDT Y TAREAS'!AL35),'EDT Y TAREAS'!AF35/'EDT Y TAREAS'!M35,0),IF(AND(62&gt;='EDT Y TAREAS'!AK37,62&lt;'EDT Y TAREAS'!AL37),'EDT Y TAREAS'!AF37/'EDT Y TAREAS'!M37,0),IF(AND(62&gt;='EDT Y TAREAS'!AK39,62&lt;'EDT Y TAREAS'!AL39),'EDT Y TAREAS'!AF39/'EDT Y TAREAS'!M39,0),IF(AND(62&gt;='EDT Y TAREAS'!AK40,62&lt;'EDT Y TAREAS'!AL40),'EDT Y TAREAS'!AF40/'EDT Y TAREAS'!M40,0),IF(AND(62&gt;='EDT Y TAREAS'!AK42,62&lt;'EDT Y TAREAS'!AL42),'EDT Y TAREAS'!AF42/'EDT Y TAREAS'!M42,0),IF(AND(62&gt;='EDT Y TAREAS'!AK45,62&lt;'EDT Y TAREAS'!AL45),'EDT Y TAREAS'!AF45/'EDT Y TAREAS'!M45,0),IF(AND(62&gt;='EDT Y TAREAS'!AK49,62&lt;'EDT Y TAREAS'!AL49),'EDT Y TAREAS'!AF49/'EDT Y TAREAS'!M49,0),IF(AND(62&gt;='EDT Y TAREAS'!AK52,62&lt;'EDT Y TAREAS'!AL52),'EDT Y TAREAS'!AF52/'EDT Y TAREAS'!M52,0))</x:f>
        <x:v>4.8</x:v>
      </x:c>
      <x:c r="E102" s="35" t="n">
        <x:f>SUM(IF(AND(62&gt;='EDT Y TAREAS'!AK29,62&lt;'EDT Y TAREAS'!AL29),'EDT Y TAREAS'!AG29/'EDT Y TAREAS'!M29,0),IF(AND(62&gt;='EDT Y TAREAS'!AK30,62&lt;'EDT Y TAREAS'!AL30),'EDT Y TAREAS'!AG30/'EDT Y TAREAS'!M30,0),IF(AND(62&gt;='EDT Y TAREAS'!AK31,62&lt;'EDT Y TAREAS'!AL31),'EDT Y TAREAS'!AG31/'EDT Y TAREAS'!M31,0),IF(AND(62&gt;='EDT Y TAREAS'!AK32,62&lt;'EDT Y TAREAS'!AL32),'EDT Y TAREAS'!AG32/'EDT Y TAREAS'!M32,0),IF(AND(62&gt;='EDT Y TAREAS'!AK41,62&lt;'EDT Y TAREAS'!AL41),'EDT Y TAREAS'!AG41/'EDT Y TAREAS'!M41,0),IF(AND(62&gt;='EDT Y TAREAS'!AK45,62&lt;'EDT Y TAREAS'!AL45),'EDT Y TAREAS'!AG45/'EDT Y TAREAS'!M45,0),IF(AND(62&gt;='EDT Y TAREAS'!AK48,62&lt;'EDT Y TAREAS'!AL48),'EDT Y TAREAS'!AG48/'EDT Y TAREAS'!M48,0))</x:f>
        <x:v>5.6</x:v>
      </x:c>
      <x:c r="F102" s="35" t="n">
        <x:f>SUM(IF(AND(62&gt;='EDT Y TAREAS'!AK10,62&lt;'EDT Y TAREAS'!AL10),'EDT Y TAREAS'!AH10/'EDT Y TAREAS'!M10,0),IF(AND(62&gt;='EDT Y TAREAS'!AK12,62&lt;'EDT Y TAREAS'!AL12),'EDT Y TAREAS'!AH12/'EDT Y TAREAS'!M12,0),IF(AND(62&gt;='EDT Y TAREAS'!AK22,62&lt;'EDT Y TAREAS'!AL22),'EDT Y TAREAS'!AH22/'EDT Y TAREAS'!M22,0),IF(AND(62&gt;='EDT Y TAREAS'!AK23,62&lt;'EDT Y TAREAS'!AL23),'EDT Y TAREAS'!AH23/'EDT Y TAREAS'!M23,0),IF(AND(62&gt;='EDT Y TAREAS'!AK29,62&lt;'EDT Y TAREAS'!AL29),'EDT Y TAREAS'!AH29/'EDT Y TAREAS'!M29,0),IF(AND(62&gt;='EDT Y TAREAS'!AK30,62&lt;'EDT Y TAREAS'!AL30),'EDT Y TAREAS'!AH30/'EDT Y TAREAS'!M30,0),IF(AND(62&gt;='EDT Y TAREAS'!AK32,62&lt;'EDT Y TAREAS'!AL32),'EDT Y TAREAS'!AH32/'EDT Y TAREAS'!M32,0),IF(AND(62&gt;='EDT Y TAREAS'!AK41,62&lt;'EDT Y TAREAS'!AL41),'EDT Y TAREAS'!AH41/'EDT Y TAREAS'!M41,0),IF(AND(62&gt;='EDT Y TAREAS'!AK44,62&lt;'EDT Y TAREAS'!AL44),'EDT Y TAREAS'!AH44/'EDT Y TAREAS'!M44,0),IF(AND(62&gt;='EDT Y TAREAS'!AK46,62&lt;'EDT Y TAREAS'!AL46),'EDT Y TAREAS'!AH46/'EDT Y TAREAS'!M46,0),IF(AND(62&gt;='EDT Y TAREAS'!AK48,62&lt;'EDT Y TAREAS'!AL48),'EDT Y TAREAS'!AH48/'EDT Y TAREAS'!M48,0))</x:f>
        <x:v>0.8</x:v>
      </x:c>
      <x:c r="G102" s="35" t="n">
        <x:f>SUM(IF(AND(62&gt;='EDT Y TAREAS'!AK20,62&lt;'EDT Y TAREAS'!AL20),'EDT Y TAREAS'!AI20/'EDT Y TAREAS'!M20,0),IF(AND(62&gt;='EDT Y TAREAS'!AK25,62&lt;'EDT Y TAREAS'!AL25),'EDT Y TAREAS'!AI25/'EDT Y TAREAS'!M25,0),IF(AND(62&gt;='EDT Y TAREAS'!AK33,62&lt;'EDT Y TAREAS'!AL33),'EDT Y TAREAS'!AI33/'EDT Y TAREAS'!M33,0),IF(AND(62&gt;='EDT Y TAREAS'!AK34,62&lt;'EDT Y TAREAS'!AL34),'EDT Y TAREAS'!AI34/'EDT Y TAREAS'!M34,0),IF(AND(62&gt;='EDT Y TAREAS'!AK36,62&lt;'EDT Y TAREAS'!AL36),'EDT Y TAREAS'!AI36/'EDT Y TAREAS'!M36,0),IF(AND(62&gt;='EDT Y TAREAS'!AK39,62&lt;'EDT Y TAREAS'!AL39),'EDT Y TAREAS'!AI39/'EDT Y TAREAS'!M39,0),IF(AND(62&gt;='EDT Y TAREAS'!AK40,62&lt;'EDT Y TAREAS'!AL40),'EDT Y TAREAS'!AI40/'EDT Y TAREAS'!M40,0),IF(AND(62&gt;='EDT Y TAREAS'!AK42,62&lt;'EDT Y TAREAS'!AL42),'EDT Y TAREAS'!AI42/'EDT Y TAREAS'!M42,0),IF(AND(62&gt;='EDT Y TAREAS'!AK43,62&lt;'EDT Y TAREAS'!AL43),'EDT Y TAREAS'!AI43/'EDT Y TAREAS'!M43,0),IF(AND(62&gt;='EDT Y TAREAS'!AK44,62&lt;'EDT Y TAREAS'!AL44),'EDT Y TAREAS'!AI44/'EDT Y TAREAS'!M44,0),IF(AND(62&gt;='EDT Y TAREAS'!AK45,62&lt;'EDT Y TAREAS'!AL45),'EDT Y TAREAS'!AI45/'EDT Y TAREAS'!M45,0),IF(AND(62&gt;='EDT Y TAREAS'!AK46,62&lt;'EDT Y TAREAS'!AL46),'EDT Y TAREAS'!AI46/'EDT Y TAREAS'!M46,0),IF(AND(62&gt;='EDT Y TAREAS'!AK48,62&lt;'EDT Y TAREAS'!AL48),'EDT Y TAREAS'!AI48/'EDT Y TAREAS'!M48,0),IF(AND(62&gt;='EDT Y TAREAS'!AK50,62&lt;'EDT Y TAREAS'!AL50),'EDT Y TAREAS'!AI50/'EDT Y TAREAS'!M50,0),IF(AND(62&gt;='EDT Y TAREAS'!AK52,62&lt;'EDT Y TAREAS'!AL52),'EDT Y TAREAS'!AI52/'EDT Y TAREAS'!M52,0))</x:f>
        <x:v>2.4</x:v>
      </x:c>
      <x:c r="H102" s="35" t="n">
        <x:f>SUM(IF(AND(62&gt;='EDT Y TAREAS'!AK11,62&lt;'EDT Y TAREAS'!AL11),'EDT Y TAREAS'!AJ11/'EDT Y TAREAS'!M11,0),IF(AND(62&gt;='EDT Y TAREAS'!AK24,62&lt;'EDT Y TAREAS'!AL24),'EDT Y TAREAS'!AJ24/'EDT Y TAREAS'!M24,0),IF(AND(62&gt;='EDT Y TAREAS'!AK27,62&lt;'EDT Y TAREAS'!AL27),'EDT Y TAREAS'!AJ27/'EDT Y TAREAS'!M27,0),IF(AND(62&gt;='EDT Y TAREAS'!AK28,62&lt;'EDT Y TAREAS'!AL28),'EDT Y TAREAS'!AJ28/'EDT Y TAREAS'!M28,0),IF(AND(62&gt;='EDT Y TAREAS'!AK33,62&lt;'EDT Y TAREAS'!AL33),'EDT Y TAREAS'!AJ33/'EDT Y TAREAS'!M33,0),IF(AND(62&gt;='EDT Y TAREAS'!AK35,62&lt;'EDT Y TAREAS'!AL35),'EDT Y TAREAS'!AJ35/'EDT Y TAREAS'!M35,0),IF(AND(62&gt;='EDT Y TAREAS'!AK36,62&lt;'EDT Y TAREAS'!AL36),'EDT Y TAREAS'!AJ36/'EDT Y TAREAS'!M36,0),IF(AND(62&gt;='EDT Y TAREAS'!AK37,62&lt;'EDT Y TAREAS'!AL37),'EDT Y TAREAS'!AJ37/'EDT Y TAREAS'!M37,0),IF(AND(62&gt;='EDT Y TAREAS'!AK40,62&lt;'EDT Y TAREAS'!AL40),'EDT Y TAREAS'!AJ40/'EDT Y TAREAS'!M40,0),IF(AND(62&gt;='EDT Y TAREAS'!AK42,62&lt;'EDT Y TAREAS'!AL42),'EDT Y TAREAS'!AJ42/'EDT Y TAREAS'!M42,0),IF(AND(62&gt;='EDT Y TAREAS'!AK49,62&lt;'EDT Y TAREAS'!AL49),'EDT Y TAREAS'!AJ49/'EDT Y TAREAS'!M49,0),IF(AND(62&gt;='EDT Y TAREAS'!AK50,62&lt;'EDT Y TAREAS'!AL50),'EDT Y TAREAS'!AJ50/'EDT Y TAREAS'!M50,0),IF(AND(62&gt;='EDT Y TAREAS'!AK51,62&lt;'EDT Y TAREAS'!AL51),'EDT Y TAREAS'!AJ51/'EDT Y TAREAS'!M51,0),IF(AND(62&gt;='EDT Y TAREAS'!AK52,62&lt;'EDT Y TAREAS'!AL52),'EDT Y TAREAS'!AJ52/'EDT Y TAREAS'!M52,0))</x:f>
        <x:v>0.8</x:v>
      </x:c>
      <x:c r="I102" s="10" t="n">
        <x:f>WORKDAY('RESUMEN'!$D$3-1,A102,'RESUMEN'!$J$6:$J$25)</x:f>
        <x:v>46414</x:v>
      </x:c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  <x:c r="AL102" s="3"/>
      <x:c r="AM102" s="3"/>
      <x:c r="AN102" s="3"/>
      <x:c r="AO102" s="3"/>
    </x:row>
    <x:row r="103" ht="24" customHeight="1">
      <x:c r="A103" s="3" t="n">
        <x:v>64</x:v>
      </x:c>
      <x:c r="B103" s="35" t="n">
        <x:f>SUM(IF(AND(63&gt;='EDT Y TAREAS'!AK6,63&lt;'EDT Y TAREAS'!AL6),'EDT Y TAREAS'!AD6/'EDT Y TAREAS'!M6,0),IF(AND(63&gt;='EDT Y TAREAS'!AK7,63&lt;'EDT Y TAREAS'!AL7),'EDT Y TAREAS'!AD7/'EDT Y TAREAS'!M7,0),IF(AND(63&gt;='EDT Y TAREAS'!AK8,63&lt;'EDT Y TAREAS'!AL8),'EDT Y TAREAS'!AD8/'EDT Y TAREAS'!M8,0),IF(AND(63&gt;='EDT Y TAREAS'!AK9,63&lt;'EDT Y TAREAS'!AL9),'EDT Y TAREAS'!AD9/'EDT Y TAREAS'!M9,0),IF(AND(63&gt;='EDT Y TAREAS'!AK10,63&lt;'EDT Y TAREAS'!AL10),'EDT Y TAREAS'!AD10/'EDT Y TAREAS'!M10,0),IF(AND(63&gt;='EDT Y TAREAS'!AK11,63&lt;'EDT Y TAREAS'!AL11),'EDT Y TAREAS'!AD11/'EDT Y TAREAS'!M11,0),IF(AND(63&gt;='EDT Y TAREAS'!AK12,63&lt;'EDT Y TAREAS'!AL12),'EDT Y TAREAS'!AD12/'EDT Y TAREAS'!M12,0),IF(AND(63&gt;='EDT Y TAREAS'!AK13,63&lt;'EDT Y TAREAS'!AL13),'EDT Y TAREAS'!AD13/'EDT Y TAREAS'!M13,0),IF(AND(63&gt;='EDT Y TAREAS'!AK14,63&lt;'EDT Y TAREAS'!AL14),'EDT Y TAREAS'!AD14/'EDT Y TAREAS'!M14,0),IF(AND(63&gt;='EDT Y TAREAS'!AK15,63&lt;'EDT Y TAREAS'!AL15),'EDT Y TAREAS'!AD15/'EDT Y TAREAS'!M15,0),IF(AND(63&gt;='EDT Y TAREAS'!AK16,63&lt;'EDT Y TAREAS'!AL16),'EDT Y TAREAS'!AD16/'EDT Y TAREAS'!M16,0),IF(AND(63&gt;='EDT Y TAREAS'!AK17,63&lt;'EDT Y TAREAS'!AL17),'EDT Y TAREAS'!AD17/'EDT Y TAREAS'!M17,0),IF(AND(63&gt;='EDT Y TAREAS'!AK18,63&lt;'EDT Y TAREAS'!AL18),'EDT Y TAREAS'!AD18/'EDT Y TAREAS'!M18,0),IF(AND(63&gt;='EDT Y TAREAS'!AK19,63&lt;'EDT Y TAREAS'!AL19),'EDT Y TAREAS'!AD19/'EDT Y TAREAS'!M19,0),IF(AND(63&gt;='EDT Y TAREAS'!AK20,63&lt;'EDT Y TAREAS'!AL20),'EDT Y TAREAS'!AD20/'EDT Y TAREAS'!M20,0),IF(AND(63&gt;='EDT Y TAREAS'!AK21,63&lt;'EDT Y TAREAS'!AL21),'EDT Y TAREAS'!AD21/'EDT Y TAREAS'!M21,0),IF(AND(63&gt;='EDT Y TAREAS'!AK22,63&lt;'EDT Y TAREAS'!AL22),'EDT Y TAREAS'!AD22/'EDT Y TAREAS'!M22,0),IF(AND(63&gt;='EDT Y TAREAS'!AK23,63&lt;'EDT Y TAREAS'!AL23),'EDT Y TAREAS'!AD23/'EDT Y TAREAS'!M23,0),IF(AND(63&gt;='EDT Y TAREAS'!AK26,63&lt;'EDT Y TAREAS'!AL26),'EDT Y TAREAS'!AD26/'EDT Y TAREAS'!M26,0),IF(AND(63&gt;='EDT Y TAREAS'!AK28,63&lt;'EDT Y TAREAS'!AL28),'EDT Y TAREAS'!AD28/'EDT Y TAREAS'!M28,0),IF(AND(63&gt;='EDT Y TAREAS'!AK30,63&lt;'EDT Y TAREAS'!AL30),'EDT Y TAREAS'!AD30/'EDT Y TAREAS'!M30,0),IF(AND(63&gt;='EDT Y TAREAS'!AK32,63&lt;'EDT Y TAREAS'!AL32),'EDT Y TAREAS'!AD32/'EDT Y TAREAS'!M32,0),IF(AND(63&gt;='EDT Y TAREAS'!AK34,63&lt;'EDT Y TAREAS'!AL34),'EDT Y TAREAS'!AD34/'EDT Y TAREAS'!M34,0),IF(AND(63&gt;='EDT Y TAREAS'!AK38,63&lt;'EDT Y TAREAS'!AL38),'EDT Y TAREAS'!AD38/'EDT Y TAREAS'!M38,0),IF(AND(63&gt;='EDT Y TAREAS'!AK39,63&lt;'EDT Y TAREAS'!AL39),'EDT Y TAREAS'!AD39/'EDT Y TAREAS'!M39,0),IF(AND(63&gt;='EDT Y TAREAS'!AK43,63&lt;'EDT Y TAREAS'!AL43),'EDT Y TAREAS'!AD43/'EDT Y TAREAS'!M43,0),IF(AND(63&gt;='EDT Y TAREAS'!AK44,63&lt;'EDT Y TAREAS'!AL44),'EDT Y TAREAS'!AD44/'EDT Y TAREAS'!M44,0),IF(AND(63&gt;='EDT Y TAREAS'!AK45,63&lt;'EDT Y TAREAS'!AL45),'EDT Y TAREAS'!AD45/'EDT Y TAREAS'!M45,0),IF(AND(63&gt;='EDT Y TAREAS'!AK46,63&lt;'EDT Y TAREAS'!AL46),'EDT Y TAREAS'!AD46/'EDT Y TAREAS'!M46,0),IF(AND(63&gt;='EDT Y TAREAS'!AK47,63&lt;'EDT Y TAREAS'!AL47),'EDT Y TAREAS'!AD47/'EDT Y TAREAS'!M47,0),IF(AND(63&gt;='EDT Y TAREAS'!AK49,63&lt;'EDT Y TAREAS'!AL49),'EDT Y TAREAS'!AD49/'EDT Y TAREAS'!M49,0),IF(AND(63&gt;='EDT Y TAREAS'!AK50,63&lt;'EDT Y TAREAS'!AL50),'EDT Y TAREAS'!AD50/'EDT Y TAREAS'!M50,0),IF(AND(63&gt;='EDT Y TAREAS'!AK51,63&lt;'EDT Y TAREAS'!AL51),'EDT Y TAREAS'!AD51/'EDT Y TAREAS'!M51,0),IF(AND(63&gt;='EDT Y TAREAS'!AK52,63&lt;'EDT Y TAREAS'!AL52),'EDT Y TAREAS'!AD52/'EDT Y TAREAS'!M52,0))</x:f>
        <x:v>6.8</x:v>
      </x:c>
      <x:c r="C103" s="35" t="n">
        <x:f>SUM(IF(AND(63&gt;='EDT Y TAREAS'!AK6,63&lt;'EDT Y TAREAS'!AL6),'EDT Y TAREAS'!AE6/'EDT Y TAREAS'!M6,0),IF(AND(63&gt;='EDT Y TAREAS'!AK8,63&lt;'EDT Y TAREAS'!AL8),'EDT Y TAREAS'!AE8/'EDT Y TAREAS'!M8,0),IF(AND(63&gt;='EDT Y TAREAS'!AK9,63&lt;'EDT Y TAREAS'!AL9),'EDT Y TAREAS'!AE9/'EDT Y TAREAS'!M9,0),IF(AND(63&gt;='EDT Y TAREAS'!AK10,63&lt;'EDT Y TAREAS'!AL10),'EDT Y TAREAS'!AE10/'EDT Y TAREAS'!M10,0),IF(AND(63&gt;='EDT Y TAREAS'!AK12,63&lt;'EDT Y TAREAS'!AL12),'EDT Y TAREAS'!AE12/'EDT Y TAREAS'!M12,0),IF(AND(63&gt;='EDT Y TAREAS'!AK16,63&lt;'EDT Y TAREAS'!AL16),'EDT Y TAREAS'!AE16/'EDT Y TAREAS'!M16,0),IF(AND(63&gt;='EDT Y TAREAS'!AK21,63&lt;'EDT Y TAREAS'!AL21),'EDT Y TAREAS'!AE21/'EDT Y TAREAS'!M21,0),IF(AND(63&gt;='EDT Y TAREAS'!AK23,63&lt;'EDT Y TAREAS'!AL23),'EDT Y TAREAS'!AE23/'EDT Y TAREAS'!M23,0),IF(AND(63&gt;='EDT Y TAREAS'!AK37,63&lt;'EDT Y TAREAS'!AL37),'EDT Y TAREAS'!AE37/'EDT Y TAREAS'!M37,0),IF(AND(63&gt;='EDT Y TAREAS'!AK38,63&lt;'EDT Y TAREAS'!AL38),'EDT Y TAREAS'!AE38/'EDT Y TAREAS'!M38,0),IF(AND(63&gt;='EDT Y TAREAS'!AK41,63&lt;'EDT Y TAREAS'!AL41),'EDT Y TAREAS'!AE41/'EDT Y TAREAS'!M41,0),IF(AND(63&gt;='EDT Y TAREAS'!AK43,63&lt;'EDT Y TAREAS'!AL43),'EDT Y TAREAS'!AE43/'EDT Y TAREAS'!M43,0),IF(AND(63&gt;='EDT Y TAREAS'!AK44,63&lt;'EDT Y TAREAS'!AL44),'EDT Y TAREAS'!AE44/'EDT Y TAREAS'!M44,0),IF(AND(63&gt;='EDT Y TAREAS'!AK46,63&lt;'EDT Y TAREAS'!AL46),'EDT Y TAREAS'!AE46/'EDT Y TAREAS'!M46,0),IF(AND(63&gt;='EDT Y TAREAS'!AK47,63&lt;'EDT Y TAREAS'!AL47),'EDT Y TAREAS'!AE47/'EDT Y TAREAS'!M47,0),IF(AND(63&gt;='EDT Y TAREAS'!AK51,63&lt;'EDT Y TAREAS'!AL51),'EDT Y TAREAS'!AE51/'EDT Y TAREAS'!M51,0),IF(AND(63&gt;='EDT Y TAREAS'!AK52,63&lt;'EDT Y TAREAS'!AL52),'EDT Y TAREAS'!AE52/'EDT Y TAREAS'!M52,0))</x:f>
        <x:v>0</x:v>
      </x:c>
      <x:c r="D103" s="35" t="n">
        <x:f>SUM(IF(AND(63&gt;='EDT Y TAREAS'!AK11,63&lt;'EDT Y TAREAS'!AL11),'EDT Y TAREAS'!AF11/'EDT Y TAREAS'!M11,0),IF(AND(63&gt;='EDT Y TAREAS'!AK24,63&lt;'EDT Y TAREAS'!AL24),'EDT Y TAREAS'!AF24/'EDT Y TAREAS'!M24,0),IF(AND(63&gt;='EDT Y TAREAS'!AK25,63&lt;'EDT Y TAREAS'!AL25),'EDT Y TAREAS'!AF25/'EDT Y TAREAS'!M25,0),IF(AND(63&gt;='EDT Y TAREAS'!AK26,63&lt;'EDT Y TAREAS'!AL26),'EDT Y TAREAS'!AF26/'EDT Y TAREAS'!M26,0),IF(AND(63&gt;='EDT Y TAREAS'!AK27,63&lt;'EDT Y TAREAS'!AL27),'EDT Y TAREAS'!AF27/'EDT Y TAREAS'!M27,0),IF(AND(63&gt;='EDT Y TAREAS'!AK28,63&lt;'EDT Y TAREAS'!AL28),'EDT Y TAREAS'!AF28/'EDT Y TAREAS'!M28,0),IF(AND(63&gt;='EDT Y TAREAS'!AK31,63&lt;'EDT Y TAREAS'!AL31),'EDT Y TAREAS'!AF31/'EDT Y TAREAS'!M31,0),IF(AND(63&gt;='EDT Y TAREAS'!AK33,63&lt;'EDT Y TAREAS'!AL33),'EDT Y TAREAS'!AF33/'EDT Y TAREAS'!M33,0),IF(AND(63&gt;='EDT Y TAREAS'!AK34,63&lt;'EDT Y TAREAS'!AL34),'EDT Y TAREAS'!AF34/'EDT Y TAREAS'!M34,0),IF(AND(63&gt;='EDT Y TAREAS'!AK35,63&lt;'EDT Y TAREAS'!AL35),'EDT Y TAREAS'!AF35/'EDT Y TAREAS'!M35,0),IF(AND(63&gt;='EDT Y TAREAS'!AK37,63&lt;'EDT Y TAREAS'!AL37),'EDT Y TAREAS'!AF37/'EDT Y TAREAS'!M37,0),IF(AND(63&gt;='EDT Y TAREAS'!AK39,63&lt;'EDT Y TAREAS'!AL39),'EDT Y TAREAS'!AF39/'EDT Y TAREAS'!M39,0),IF(AND(63&gt;='EDT Y TAREAS'!AK40,63&lt;'EDT Y TAREAS'!AL40),'EDT Y TAREAS'!AF40/'EDT Y TAREAS'!M40,0),IF(AND(63&gt;='EDT Y TAREAS'!AK42,63&lt;'EDT Y TAREAS'!AL42),'EDT Y TAREAS'!AF42/'EDT Y TAREAS'!M42,0),IF(AND(63&gt;='EDT Y TAREAS'!AK45,63&lt;'EDT Y TAREAS'!AL45),'EDT Y TAREAS'!AF45/'EDT Y TAREAS'!M45,0),IF(AND(63&gt;='EDT Y TAREAS'!AK49,63&lt;'EDT Y TAREAS'!AL49),'EDT Y TAREAS'!AF49/'EDT Y TAREAS'!M49,0),IF(AND(63&gt;='EDT Y TAREAS'!AK52,63&lt;'EDT Y TAREAS'!AL52),'EDT Y TAREAS'!AF52/'EDT Y TAREAS'!M52,0))</x:f>
        <x:v>4.8</x:v>
      </x:c>
      <x:c r="E103" s="35" t="n">
        <x:f>SUM(IF(AND(63&gt;='EDT Y TAREAS'!AK29,63&lt;'EDT Y TAREAS'!AL29),'EDT Y TAREAS'!AG29/'EDT Y TAREAS'!M29,0),IF(AND(63&gt;='EDT Y TAREAS'!AK30,63&lt;'EDT Y TAREAS'!AL30),'EDT Y TAREAS'!AG30/'EDT Y TAREAS'!M30,0),IF(AND(63&gt;='EDT Y TAREAS'!AK31,63&lt;'EDT Y TAREAS'!AL31),'EDT Y TAREAS'!AG31/'EDT Y TAREAS'!M31,0),IF(AND(63&gt;='EDT Y TAREAS'!AK32,63&lt;'EDT Y TAREAS'!AL32),'EDT Y TAREAS'!AG32/'EDT Y TAREAS'!M32,0),IF(AND(63&gt;='EDT Y TAREAS'!AK41,63&lt;'EDT Y TAREAS'!AL41),'EDT Y TAREAS'!AG41/'EDT Y TAREAS'!M41,0),IF(AND(63&gt;='EDT Y TAREAS'!AK45,63&lt;'EDT Y TAREAS'!AL45),'EDT Y TAREAS'!AG45/'EDT Y TAREAS'!M45,0),IF(AND(63&gt;='EDT Y TAREAS'!AK48,63&lt;'EDT Y TAREAS'!AL48),'EDT Y TAREAS'!AG48/'EDT Y TAREAS'!M48,0))</x:f>
        <x:v>5.6</x:v>
      </x:c>
      <x:c r="F103" s="35" t="n">
        <x:f>SUM(IF(AND(63&gt;='EDT Y TAREAS'!AK10,63&lt;'EDT Y TAREAS'!AL10),'EDT Y TAREAS'!AH10/'EDT Y TAREAS'!M10,0),IF(AND(63&gt;='EDT Y TAREAS'!AK12,63&lt;'EDT Y TAREAS'!AL12),'EDT Y TAREAS'!AH12/'EDT Y TAREAS'!M12,0),IF(AND(63&gt;='EDT Y TAREAS'!AK22,63&lt;'EDT Y TAREAS'!AL22),'EDT Y TAREAS'!AH22/'EDT Y TAREAS'!M22,0),IF(AND(63&gt;='EDT Y TAREAS'!AK23,63&lt;'EDT Y TAREAS'!AL23),'EDT Y TAREAS'!AH23/'EDT Y TAREAS'!M23,0),IF(AND(63&gt;='EDT Y TAREAS'!AK29,63&lt;'EDT Y TAREAS'!AL29),'EDT Y TAREAS'!AH29/'EDT Y TAREAS'!M29,0),IF(AND(63&gt;='EDT Y TAREAS'!AK30,63&lt;'EDT Y TAREAS'!AL30),'EDT Y TAREAS'!AH30/'EDT Y TAREAS'!M30,0),IF(AND(63&gt;='EDT Y TAREAS'!AK32,63&lt;'EDT Y TAREAS'!AL32),'EDT Y TAREAS'!AH32/'EDT Y TAREAS'!M32,0),IF(AND(63&gt;='EDT Y TAREAS'!AK41,63&lt;'EDT Y TAREAS'!AL41),'EDT Y TAREAS'!AH41/'EDT Y TAREAS'!M41,0),IF(AND(63&gt;='EDT Y TAREAS'!AK44,63&lt;'EDT Y TAREAS'!AL44),'EDT Y TAREAS'!AH44/'EDT Y TAREAS'!M44,0),IF(AND(63&gt;='EDT Y TAREAS'!AK46,63&lt;'EDT Y TAREAS'!AL46),'EDT Y TAREAS'!AH46/'EDT Y TAREAS'!M46,0),IF(AND(63&gt;='EDT Y TAREAS'!AK48,63&lt;'EDT Y TAREAS'!AL48),'EDT Y TAREAS'!AH48/'EDT Y TAREAS'!M48,0))</x:f>
        <x:v>0.8</x:v>
      </x:c>
      <x:c r="G103" s="35" t="n">
        <x:f>SUM(IF(AND(63&gt;='EDT Y TAREAS'!AK20,63&lt;'EDT Y TAREAS'!AL20),'EDT Y TAREAS'!AI20/'EDT Y TAREAS'!M20,0),IF(AND(63&gt;='EDT Y TAREAS'!AK25,63&lt;'EDT Y TAREAS'!AL25),'EDT Y TAREAS'!AI25/'EDT Y TAREAS'!M25,0),IF(AND(63&gt;='EDT Y TAREAS'!AK33,63&lt;'EDT Y TAREAS'!AL33),'EDT Y TAREAS'!AI33/'EDT Y TAREAS'!M33,0),IF(AND(63&gt;='EDT Y TAREAS'!AK34,63&lt;'EDT Y TAREAS'!AL34),'EDT Y TAREAS'!AI34/'EDT Y TAREAS'!M34,0),IF(AND(63&gt;='EDT Y TAREAS'!AK36,63&lt;'EDT Y TAREAS'!AL36),'EDT Y TAREAS'!AI36/'EDT Y TAREAS'!M36,0),IF(AND(63&gt;='EDT Y TAREAS'!AK39,63&lt;'EDT Y TAREAS'!AL39),'EDT Y TAREAS'!AI39/'EDT Y TAREAS'!M39,0),IF(AND(63&gt;='EDT Y TAREAS'!AK40,63&lt;'EDT Y TAREAS'!AL40),'EDT Y TAREAS'!AI40/'EDT Y TAREAS'!M40,0),IF(AND(63&gt;='EDT Y TAREAS'!AK42,63&lt;'EDT Y TAREAS'!AL42),'EDT Y TAREAS'!AI42/'EDT Y TAREAS'!M42,0),IF(AND(63&gt;='EDT Y TAREAS'!AK43,63&lt;'EDT Y TAREAS'!AL43),'EDT Y TAREAS'!AI43/'EDT Y TAREAS'!M43,0),IF(AND(63&gt;='EDT Y TAREAS'!AK44,63&lt;'EDT Y TAREAS'!AL44),'EDT Y TAREAS'!AI44/'EDT Y TAREAS'!M44,0),IF(AND(63&gt;='EDT Y TAREAS'!AK45,63&lt;'EDT Y TAREAS'!AL45),'EDT Y TAREAS'!AI45/'EDT Y TAREAS'!M45,0),IF(AND(63&gt;='EDT Y TAREAS'!AK46,63&lt;'EDT Y TAREAS'!AL46),'EDT Y TAREAS'!AI46/'EDT Y TAREAS'!M46,0),IF(AND(63&gt;='EDT Y TAREAS'!AK48,63&lt;'EDT Y TAREAS'!AL48),'EDT Y TAREAS'!AI48/'EDT Y TAREAS'!M48,0),IF(AND(63&gt;='EDT Y TAREAS'!AK50,63&lt;'EDT Y TAREAS'!AL50),'EDT Y TAREAS'!AI50/'EDT Y TAREAS'!M50,0),IF(AND(63&gt;='EDT Y TAREAS'!AK52,63&lt;'EDT Y TAREAS'!AL52),'EDT Y TAREAS'!AI52/'EDT Y TAREAS'!M52,0))</x:f>
        <x:v>2.4</x:v>
      </x:c>
      <x:c r="H103" s="35" t="n">
        <x:f>SUM(IF(AND(63&gt;='EDT Y TAREAS'!AK11,63&lt;'EDT Y TAREAS'!AL11),'EDT Y TAREAS'!AJ11/'EDT Y TAREAS'!M11,0),IF(AND(63&gt;='EDT Y TAREAS'!AK24,63&lt;'EDT Y TAREAS'!AL24),'EDT Y TAREAS'!AJ24/'EDT Y TAREAS'!M24,0),IF(AND(63&gt;='EDT Y TAREAS'!AK27,63&lt;'EDT Y TAREAS'!AL27),'EDT Y TAREAS'!AJ27/'EDT Y TAREAS'!M27,0),IF(AND(63&gt;='EDT Y TAREAS'!AK28,63&lt;'EDT Y TAREAS'!AL28),'EDT Y TAREAS'!AJ28/'EDT Y TAREAS'!M28,0),IF(AND(63&gt;='EDT Y TAREAS'!AK33,63&lt;'EDT Y TAREAS'!AL33),'EDT Y TAREAS'!AJ33/'EDT Y TAREAS'!M33,0),IF(AND(63&gt;='EDT Y TAREAS'!AK35,63&lt;'EDT Y TAREAS'!AL35),'EDT Y TAREAS'!AJ35/'EDT Y TAREAS'!M35,0),IF(AND(63&gt;='EDT Y TAREAS'!AK36,63&lt;'EDT Y TAREAS'!AL36),'EDT Y TAREAS'!AJ36/'EDT Y TAREAS'!M36,0),IF(AND(63&gt;='EDT Y TAREAS'!AK37,63&lt;'EDT Y TAREAS'!AL37),'EDT Y TAREAS'!AJ37/'EDT Y TAREAS'!M37,0),IF(AND(63&gt;='EDT Y TAREAS'!AK40,63&lt;'EDT Y TAREAS'!AL40),'EDT Y TAREAS'!AJ40/'EDT Y TAREAS'!M40,0),IF(AND(63&gt;='EDT Y TAREAS'!AK42,63&lt;'EDT Y TAREAS'!AL42),'EDT Y TAREAS'!AJ42/'EDT Y TAREAS'!M42,0),IF(AND(63&gt;='EDT Y TAREAS'!AK49,63&lt;'EDT Y TAREAS'!AL49),'EDT Y TAREAS'!AJ49/'EDT Y TAREAS'!M49,0),IF(AND(63&gt;='EDT Y TAREAS'!AK50,63&lt;'EDT Y TAREAS'!AL50),'EDT Y TAREAS'!AJ50/'EDT Y TAREAS'!M50,0),IF(AND(63&gt;='EDT Y TAREAS'!AK51,63&lt;'EDT Y TAREAS'!AL51),'EDT Y TAREAS'!AJ51/'EDT Y TAREAS'!M51,0),IF(AND(63&gt;='EDT Y TAREAS'!AK52,63&lt;'EDT Y TAREAS'!AL52),'EDT Y TAREAS'!AJ52/'EDT Y TAREAS'!M52,0))</x:f>
        <x:v>0.8</x:v>
      </x:c>
      <x:c r="I103" s="10" t="n">
        <x:f>WORKDAY('RESUMEN'!$D$3-1,A103,'RESUMEN'!$J$6:$J$25)</x:f>
        <x:v>46415</x:v>
      </x:c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  <x:c r="AO103" s="3"/>
    </x:row>
    <x:row r="104" ht="24" customHeight="1">
      <x:c r="A104" s="3" t="n">
        <x:v>65</x:v>
      </x:c>
      <x:c r="B104" s="35" t="n">
        <x:f>SUM(IF(AND(64&gt;='EDT Y TAREAS'!AK6,64&lt;'EDT Y TAREAS'!AL6),'EDT Y TAREAS'!AD6/'EDT Y TAREAS'!M6,0),IF(AND(64&gt;='EDT Y TAREAS'!AK7,64&lt;'EDT Y TAREAS'!AL7),'EDT Y TAREAS'!AD7/'EDT Y TAREAS'!M7,0),IF(AND(64&gt;='EDT Y TAREAS'!AK8,64&lt;'EDT Y TAREAS'!AL8),'EDT Y TAREAS'!AD8/'EDT Y TAREAS'!M8,0),IF(AND(64&gt;='EDT Y TAREAS'!AK9,64&lt;'EDT Y TAREAS'!AL9),'EDT Y TAREAS'!AD9/'EDT Y TAREAS'!M9,0),IF(AND(64&gt;='EDT Y TAREAS'!AK10,64&lt;'EDT Y TAREAS'!AL10),'EDT Y TAREAS'!AD10/'EDT Y TAREAS'!M10,0),IF(AND(64&gt;='EDT Y TAREAS'!AK11,64&lt;'EDT Y TAREAS'!AL11),'EDT Y TAREAS'!AD11/'EDT Y TAREAS'!M11,0),IF(AND(64&gt;='EDT Y TAREAS'!AK12,64&lt;'EDT Y TAREAS'!AL12),'EDT Y TAREAS'!AD12/'EDT Y TAREAS'!M12,0),IF(AND(64&gt;='EDT Y TAREAS'!AK13,64&lt;'EDT Y TAREAS'!AL13),'EDT Y TAREAS'!AD13/'EDT Y TAREAS'!M13,0),IF(AND(64&gt;='EDT Y TAREAS'!AK14,64&lt;'EDT Y TAREAS'!AL14),'EDT Y TAREAS'!AD14/'EDT Y TAREAS'!M14,0),IF(AND(64&gt;='EDT Y TAREAS'!AK15,64&lt;'EDT Y TAREAS'!AL15),'EDT Y TAREAS'!AD15/'EDT Y TAREAS'!M15,0),IF(AND(64&gt;='EDT Y TAREAS'!AK16,64&lt;'EDT Y TAREAS'!AL16),'EDT Y TAREAS'!AD16/'EDT Y TAREAS'!M16,0),IF(AND(64&gt;='EDT Y TAREAS'!AK17,64&lt;'EDT Y TAREAS'!AL17),'EDT Y TAREAS'!AD17/'EDT Y TAREAS'!M17,0),IF(AND(64&gt;='EDT Y TAREAS'!AK18,64&lt;'EDT Y TAREAS'!AL18),'EDT Y TAREAS'!AD18/'EDT Y TAREAS'!M18,0),IF(AND(64&gt;='EDT Y TAREAS'!AK19,64&lt;'EDT Y TAREAS'!AL19),'EDT Y TAREAS'!AD19/'EDT Y TAREAS'!M19,0),IF(AND(64&gt;='EDT Y TAREAS'!AK20,64&lt;'EDT Y TAREAS'!AL20),'EDT Y TAREAS'!AD20/'EDT Y TAREAS'!M20,0),IF(AND(64&gt;='EDT Y TAREAS'!AK21,64&lt;'EDT Y TAREAS'!AL21),'EDT Y TAREAS'!AD21/'EDT Y TAREAS'!M21,0),IF(AND(64&gt;='EDT Y TAREAS'!AK22,64&lt;'EDT Y TAREAS'!AL22),'EDT Y TAREAS'!AD22/'EDT Y TAREAS'!M22,0),IF(AND(64&gt;='EDT Y TAREAS'!AK23,64&lt;'EDT Y TAREAS'!AL23),'EDT Y TAREAS'!AD23/'EDT Y TAREAS'!M23,0),IF(AND(64&gt;='EDT Y TAREAS'!AK26,64&lt;'EDT Y TAREAS'!AL26),'EDT Y TAREAS'!AD26/'EDT Y TAREAS'!M26,0),IF(AND(64&gt;='EDT Y TAREAS'!AK28,64&lt;'EDT Y TAREAS'!AL28),'EDT Y TAREAS'!AD28/'EDT Y TAREAS'!M28,0),IF(AND(64&gt;='EDT Y TAREAS'!AK30,64&lt;'EDT Y TAREAS'!AL30),'EDT Y TAREAS'!AD30/'EDT Y TAREAS'!M30,0),IF(AND(64&gt;='EDT Y TAREAS'!AK32,64&lt;'EDT Y TAREAS'!AL32),'EDT Y TAREAS'!AD32/'EDT Y TAREAS'!M32,0),IF(AND(64&gt;='EDT Y TAREAS'!AK34,64&lt;'EDT Y TAREAS'!AL34),'EDT Y TAREAS'!AD34/'EDT Y TAREAS'!M34,0),IF(AND(64&gt;='EDT Y TAREAS'!AK38,64&lt;'EDT Y TAREAS'!AL38),'EDT Y TAREAS'!AD38/'EDT Y TAREAS'!M38,0),IF(AND(64&gt;='EDT Y TAREAS'!AK39,64&lt;'EDT Y TAREAS'!AL39),'EDT Y TAREAS'!AD39/'EDT Y TAREAS'!M39,0),IF(AND(64&gt;='EDT Y TAREAS'!AK43,64&lt;'EDT Y TAREAS'!AL43),'EDT Y TAREAS'!AD43/'EDT Y TAREAS'!M43,0),IF(AND(64&gt;='EDT Y TAREAS'!AK44,64&lt;'EDT Y TAREAS'!AL44),'EDT Y TAREAS'!AD44/'EDT Y TAREAS'!M44,0),IF(AND(64&gt;='EDT Y TAREAS'!AK45,64&lt;'EDT Y TAREAS'!AL45),'EDT Y TAREAS'!AD45/'EDT Y TAREAS'!M45,0),IF(AND(64&gt;='EDT Y TAREAS'!AK46,64&lt;'EDT Y TAREAS'!AL46),'EDT Y TAREAS'!AD46/'EDT Y TAREAS'!M46,0),IF(AND(64&gt;='EDT Y TAREAS'!AK47,64&lt;'EDT Y TAREAS'!AL47),'EDT Y TAREAS'!AD47/'EDT Y TAREAS'!M47,0),IF(AND(64&gt;='EDT Y TAREAS'!AK49,64&lt;'EDT Y TAREAS'!AL49),'EDT Y TAREAS'!AD49/'EDT Y TAREAS'!M49,0),IF(AND(64&gt;='EDT Y TAREAS'!AK50,64&lt;'EDT Y TAREAS'!AL50),'EDT Y TAREAS'!AD50/'EDT Y TAREAS'!M50,0),IF(AND(64&gt;='EDT Y TAREAS'!AK51,64&lt;'EDT Y TAREAS'!AL51),'EDT Y TAREAS'!AD51/'EDT Y TAREAS'!M51,0),IF(AND(64&gt;='EDT Y TAREAS'!AK52,64&lt;'EDT Y TAREAS'!AL52),'EDT Y TAREAS'!AD52/'EDT Y TAREAS'!M52,0))</x:f>
        <x:v>6.8</x:v>
      </x:c>
      <x:c r="C104" s="35" t="n">
        <x:f>SUM(IF(AND(64&gt;='EDT Y TAREAS'!AK6,64&lt;'EDT Y TAREAS'!AL6),'EDT Y TAREAS'!AE6/'EDT Y TAREAS'!M6,0),IF(AND(64&gt;='EDT Y TAREAS'!AK8,64&lt;'EDT Y TAREAS'!AL8),'EDT Y TAREAS'!AE8/'EDT Y TAREAS'!M8,0),IF(AND(64&gt;='EDT Y TAREAS'!AK9,64&lt;'EDT Y TAREAS'!AL9),'EDT Y TAREAS'!AE9/'EDT Y TAREAS'!M9,0),IF(AND(64&gt;='EDT Y TAREAS'!AK10,64&lt;'EDT Y TAREAS'!AL10),'EDT Y TAREAS'!AE10/'EDT Y TAREAS'!M10,0),IF(AND(64&gt;='EDT Y TAREAS'!AK12,64&lt;'EDT Y TAREAS'!AL12),'EDT Y TAREAS'!AE12/'EDT Y TAREAS'!M12,0),IF(AND(64&gt;='EDT Y TAREAS'!AK16,64&lt;'EDT Y TAREAS'!AL16),'EDT Y TAREAS'!AE16/'EDT Y TAREAS'!M16,0),IF(AND(64&gt;='EDT Y TAREAS'!AK21,64&lt;'EDT Y TAREAS'!AL21),'EDT Y TAREAS'!AE21/'EDT Y TAREAS'!M21,0),IF(AND(64&gt;='EDT Y TAREAS'!AK23,64&lt;'EDT Y TAREAS'!AL23),'EDT Y TAREAS'!AE23/'EDT Y TAREAS'!M23,0),IF(AND(64&gt;='EDT Y TAREAS'!AK37,64&lt;'EDT Y TAREAS'!AL37),'EDT Y TAREAS'!AE37/'EDT Y TAREAS'!M37,0),IF(AND(64&gt;='EDT Y TAREAS'!AK38,64&lt;'EDT Y TAREAS'!AL38),'EDT Y TAREAS'!AE38/'EDT Y TAREAS'!M38,0),IF(AND(64&gt;='EDT Y TAREAS'!AK41,64&lt;'EDT Y TAREAS'!AL41),'EDT Y TAREAS'!AE41/'EDT Y TAREAS'!M41,0),IF(AND(64&gt;='EDT Y TAREAS'!AK43,64&lt;'EDT Y TAREAS'!AL43),'EDT Y TAREAS'!AE43/'EDT Y TAREAS'!M43,0),IF(AND(64&gt;='EDT Y TAREAS'!AK44,64&lt;'EDT Y TAREAS'!AL44),'EDT Y TAREAS'!AE44/'EDT Y TAREAS'!M44,0),IF(AND(64&gt;='EDT Y TAREAS'!AK46,64&lt;'EDT Y TAREAS'!AL46),'EDT Y TAREAS'!AE46/'EDT Y TAREAS'!M46,0),IF(AND(64&gt;='EDT Y TAREAS'!AK47,64&lt;'EDT Y TAREAS'!AL47),'EDT Y TAREAS'!AE47/'EDT Y TAREAS'!M47,0),IF(AND(64&gt;='EDT Y TAREAS'!AK51,64&lt;'EDT Y TAREAS'!AL51),'EDT Y TAREAS'!AE51/'EDT Y TAREAS'!M51,0),IF(AND(64&gt;='EDT Y TAREAS'!AK52,64&lt;'EDT Y TAREAS'!AL52),'EDT Y TAREAS'!AE52/'EDT Y TAREAS'!M52,0))</x:f>
        <x:v>0</x:v>
      </x:c>
      <x:c r="D104" s="35" t="n">
        <x:f>SUM(IF(AND(64&gt;='EDT Y TAREAS'!AK11,64&lt;'EDT Y TAREAS'!AL11),'EDT Y TAREAS'!AF11/'EDT Y TAREAS'!M11,0),IF(AND(64&gt;='EDT Y TAREAS'!AK24,64&lt;'EDT Y TAREAS'!AL24),'EDT Y TAREAS'!AF24/'EDT Y TAREAS'!M24,0),IF(AND(64&gt;='EDT Y TAREAS'!AK25,64&lt;'EDT Y TAREAS'!AL25),'EDT Y TAREAS'!AF25/'EDT Y TAREAS'!M25,0),IF(AND(64&gt;='EDT Y TAREAS'!AK26,64&lt;'EDT Y TAREAS'!AL26),'EDT Y TAREAS'!AF26/'EDT Y TAREAS'!M26,0),IF(AND(64&gt;='EDT Y TAREAS'!AK27,64&lt;'EDT Y TAREAS'!AL27),'EDT Y TAREAS'!AF27/'EDT Y TAREAS'!M27,0),IF(AND(64&gt;='EDT Y TAREAS'!AK28,64&lt;'EDT Y TAREAS'!AL28),'EDT Y TAREAS'!AF28/'EDT Y TAREAS'!M28,0),IF(AND(64&gt;='EDT Y TAREAS'!AK31,64&lt;'EDT Y TAREAS'!AL31),'EDT Y TAREAS'!AF31/'EDT Y TAREAS'!M31,0),IF(AND(64&gt;='EDT Y TAREAS'!AK33,64&lt;'EDT Y TAREAS'!AL33),'EDT Y TAREAS'!AF33/'EDT Y TAREAS'!M33,0),IF(AND(64&gt;='EDT Y TAREAS'!AK34,64&lt;'EDT Y TAREAS'!AL34),'EDT Y TAREAS'!AF34/'EDT Y TAREAS'!M34,0),IF(AND(64&gt;='EDT Y TAREAS'!AK35,64&lt;'EDT Y TAREAS'!AL35),'EDT Y TAREAS'!AF35/'EDT Y TAREAS'!M35,0),IF(AND(64&gt;='EDT Y TAREAS'!AK37,64&lt;'EDT Y TAREAS'!AL37),'EDT Y TAREAS'!AF37/'EDT Y TAREAS'!M37,0),IF(AND(64&gt;='EDT Y TAREAS'!AK39,64&lt;'EDT Y TAREAS'!AL39),'EDT Y TAREAS'!AF39/'EDT Y TAREAS'!M39,0),IF(AND(64&gt;='EDT Y TAREAS'!AK40,64&lt;'EDT Y TAREAS'!AL40),'EDT Y TAREAS'!AF40/'EDT Y TAREAS'!M40,0),IF(AND(64&gt;='EDT Y TAREAS'!AK42,64&lt;'EDT Y TAREAS'!AL42),'EDT Y TAREAS'!AF42/'EDT Y TAREAS'!M42,0),IF(AND(64&gt;='EDT Y TAREAS'!AK45,64&lt;'EDT Y TAREAS'!AL45),'EDT Y TAREAS'!AF45/'EDT Y TAREAS'!M45,0),IF(AND(64&gt;='EDT Y TAREAS'!AK49,64&lt;'EDT Y TAREAS'!AL49),'EDT Y TAREAS'!AF49/'EDT Y TAREAS'!M49,0),IF(AND(64&gt;='EDT Y TAREAS'!AK52,64&lt;'EDT Y TAREAS'!AL52),'EDT Y TAREAS'!AF52/'EDT Y TAREAS'!M52,0))</x:f>
        <x:v>4.8</x:v>
      </x:c>
      <x:c r="E104" s="35" t="n">
        <x:f>SUM(IF(AND(64&gt;='EDT Y TAREAS'!AK29,64&lt;'EDT Y TAREAS'!AL29),'EDT Y TAREAS'!AG29/'EDT Y TAREAS'!M29,0),IF(AND(64&gt;='EDT Y TAREAS'!AK30,64&lt;'EDT Y TAREAS'!AL30),'EDT Y TAREAS'!AG30/'EDT Y TAREAS'!M30,0),IF(AND(64&gt;='EDT Y TAREAS'!AK31,64&lt;'EDT Y TAREAS'!AL31),'EDT Y TAREAS'!AG31/'EDT Y TAREAS'!M31,0),IF(AND(64&gt;='EDT Y TAREAS'!AK32,64&lt;'EDT Y TAREAS'!AL32),'EDT Y TAREAS'!AG32/'EDT Y TAREAS'!M32,0),IF(AND(64&gt;='EDT Y TAREAS'!AK41,64&lt;'EDT Y TAREAS'!AL41),'EDT Y TAREAS'!AG41/'EDT Y TAREAS'!M41,0),IF(AND(64&gt;='EDT Y TAREAS'!AK45,64&lt;'EDT Y TAREAS'!AL45),'EDT Y TAREAS'!AG45/'EDT Y TAREAS'!M45,0),IF(AND(64&gt;='EDT Y TAREAS'!AK48,64&lt;'EDT Y TAREAS'!AL48),'EDT Y TAREAS'!AG48/'EDT Y TAREAS'!M48,0))</x:f>
        <x:v>5.6</x:v>
      </x:c>
      <x:c r="F104" s="35" t="n">
        <x:f>SUM(IF(AND(64&gt;='EDT Y TAREAS'!AK10,64&lt;'EDT Y TAREAS'!AL10),'EDT Y TAREAS'!AH10/'EDT Y TAREAS'!M10,0),IF(AND(64&gt;='EDT Y TAREAS'!AK12,64&lt;'EDT Y TAREAS'!AL12),'EDT Y TAREAS'!AH12/'EDT Y TAREAS'!M12,0),IF(AND(64&gt;='EDT Y TAREAS'!AK22,64&lt;'EDT Y TAREAS'!AL22),'EDT Y TAREAS'!AH22/'EDT Y TAREAS'!M22,0),IF(AND(64&gt;='EDT Y TAREAS'!AK23,64&lt;'EDT Y TAREAS'!AL23),'EDT Y TAREAS'!AH23/'EDT Y TAREAS'!M23,0),IF(AND(64&gt;='EDT Y TAREAS'!AK29,64&lt;'EDT Y TAREAS'!AL29),'EDT Y TAREAS'!AH29/'EDT Y TAREAS'!M29,0),IF(AND(64&gt;='EDT Y TAREAS'!AK30,64&lt;'EDT Y TAREAS'!AL30),'EDT Y TAREAS'!AH30/'EDT Y TAREAS'!M30,0),IF(AND(64&gt;='EDT Y TAREAS'!AK32,64&lt;'EDT Y TAREAS'!AL32),'EDT Y TAREAS'!AH32/'EDT Y TAREAS'!M32,0),IF(AND(64&gt;='EDT Y TAREAS'!AK41,64&lt;'EDT Y TAREAS'!AL41),'EDT Y TAREAS'!AH41/'EDT Y TAREAS'!M41,0),IF(AND(64&gt;='EDT Y TAREAS'!AK44,64&lt;'EDT Y TAREAS'!AL44),'EDT Y TAREAS'!AH44/'EDT Y TAREAS'!M44,0),IF(AND(64&gt;='EDT Y TAREAS'!AK46,64&lt;'EDT Y TAREAS'!AL46),'EDT Y TAREAS'!AH46/'EDT Y TAREAS'!M46,0),IF(AND(64&gt;='EDT Y TAREAS'!AK48,64&lt;'EDT Y TAREAS'!AL48),'EDT Y TAREAS'!AH48/'EDT Y TAREAS'!M48,0))</x:f>
        <x:v>0.8</x:v>
      </x:c>
      <x:c r="G104" s="35" t="n">
        <x:f>SUM(IF(AND(64&gt;='EDT Y TAREAS'!AK20,64&lt;'EDT Y TAREAS'!AL20),'EDT Y TAREAS'!AI20/'EDT Y TAREAS'!M20,0),IF(AND(64&gt;='EDT Y TAREAS'!AK25,64&lt;'EDT Y TAREAS'!AL25),'EDT Y TAREAS'!AI25/'EDT Y TAREAS'!M25,0),IF(AND(64&gt;='EDT Y TAREAS'!AK33,64&lt;'EDT Y TAREAS'!AL33),'EDT Y TAREAS'!AI33/'EDT Y TAREAS'!M33,0),IF(AND(64&gt;='EDT Y TAREAS'!AK34,64&lt;'EDT Y TAREAS'!AL34),'EDT Y TAREAS'!AI34/'EDT Y TAREAS'!M34,0),IF(AND(64&gt;='EDT Y TAREAS'!AK36,64&lt;'EDT Y TAREAS'!AL36),'EDT Y TAREAS'!AI36/'EDT Y TAREAS'!M36,0),IF(AND(64&gt;='EDT Y TAREAS'!AK39,64&lt;'EDT Y TAREAS'!AL39),'EDT Y TAREAS'!AI39/'EDT Y TAREAS'!M39,0),IF(AND(64&gt;='EDT Y TAREAS'!AK40,64&lt;'EDT Y TAREAS'!AL40),'EDT Y TAREAS'!AI40/'EDT Y TAREAS'!M40,0),IF(AND(64&gt;='EDT Y TAREAS'!AK42,64&lt;'EDT Y TAREAS'!AL42),'EDT Y TAREAS'!AI42/'EDT Y TAREAS'!M42,0),IF(AND(64&gt;='EDT Y TAREAS'!AK43,64&lt;'EDT Y TAREAS'!AL43),'EDT Y TAREAS'!AI43/'EDT Y TAREAS'!M43,0),IF(AND(64&gt;='EDT Y TAREAS'!AK44,64&lt;'EDT Y TAREAS'!AL44),'EDT Y TAREAS'!AI44/'EDT Y TAREAS'!M44,0),IF(AND(64&gt;='EDT Y TAREAS'!AK45,64&lt;'EDT Y TAREAS'!AL45),'EDT Y TAREAS'!AI45/'EDT Y TAREAS'!M45,0),IF(AND(64&gt;='EDT Y TAREAS'!AK46,64&lt;'EDT Y TAREAS'!AL46),'EDT Y TAREAS'!AI46/'EDT Y TAREAS'!M46,0),IF(AND(64&gt;='EDT Y TAREAS'!AK48,64&lt;'EDT Y TAREAS'!AL48),'EDT Y TAREAS'!AI48/'EDT Y TAREAS'!M48,0),IF(AND(64&gt;='EDT Y TAREAS'!AK50,64&lt;'EDT Y TAREAS'!AL50),'EDT Y TAREAS'!AI50/'EDT Y TAREAS'!M50,0),IF(AND(64&gt;='EDT Y TAREAS'!AK52,64&lt;'EDT Y TAREAS'!AL52),'EDT Y TAREAS'!AI52/'EDT Y TAREAS'!M52,0))</x:f>
        <x:v>2.4</x:v>
      </x:c>
      <x:c r="H104" s="35" t="n">
        <x:f>SUM(IF(AND(64&gt;='EDT Y TAREAS'!AK11,64&lt;'EDT Y TAREAS'!AL11),'EDT Y TAREAS'!AJ11/'EDT Y TAREAS'!M11,0),IF(AND(64&gt;='EDT Y TAREAS'!AK24,64&lt;'EDT Y TAREAS'!AL24),'EDT Y TAREAS'!AJ24/'EDT Y TAREAS'!M24,0),IF(AND(64&gt;='EDT Y TAREAS'!AK27,64&lt;'EDT Y TAREAS'!AL27),'EDT Y TAREAS'!AJ27/'EDT Y TAREAS'!M27,0),IF(AND(64&gt;='EDT Y TAREAS'!AK28,64&lt;'EDT Y TAREAS'!AL28),'EDT Y TAREAS'!AJ28/'EDT Y TAREAS'!M28,0),IF(AND(64&gt;='EDT Y TAREAS'!AK33,64&lt;'EDT Y TAREAS'!AL33),'EDT Y TAREAS'!AJ33/'EDT Y TAREAS'!M33,0),IF(AND(64&gt;='EDT Y TAREAS'!AK35,64&lt;'EDT Y TAREAS'!AL35),'EDT Y TAREAS'!AJ35/'EDT Y TAREAS'!M35,0),IF(AND(64&gt;='EDT Y TAREAS'!AK36,64&lt;'EDT Y TAREAS'!AL36),'EDT Y TAREAS'!AJ36/'EDT Y TAREAS'!M36,0),IF(AND(64&gt;='EDT Y TAREAS'!AK37,64&lt;'EDT Y TAREAS'!AL37),'EDT Y TAREAS'!AJ37/'EDT Y TAREAS'!M37,0),IF(AND(64&gt;='EDT Y TAREAS'!AK40,64&lt;'EDT Y TAREAS'!AL40),'EDT Y TAREAS'!AJ40/'EDT Y TAREAS'!M40,0),IF(AND(64&gt;='EDT Y TAREAS'!AK42,64&lt;'EDT Y TAREAS'!AL42),'EDT Y TAREAS'!AJ42/'EDT Y TAREAS'!M42,0),IF(AND(64&gt;='EDT Y TAREAS'!AK49,64&lt;'EDT Y TAREAS'!AL49),'EDT Y TAREAS'!AJ49/'EDT Y TAREAS'!M49,0),IF(AND(64&gt;='EDT Y TAREAS'!AK50,64&lt;'EDT Y TAREAS'!AL50),'EDT Y TAREAS'!AJ50/'EDT Y TAREAS'!M50,0),IF(AND(64&gt;='EDT Y TAREAS'!AK51,64&lt;'EDT Y TAREAS'!AL51),'EDT Y TAREAS'!AJ51/'EDT Y TAREAS'!M51,0),IF(AND(64&gt;='EDT Y TAREAS'!AK52,64&lt;'EDT Y TAREAS'!AL52),'EDT Y TAREAS'!AJ52/'EDT Y TAREAS'!M52,0))</x:f>
        <x:v>0.8</x:v>
      </x:c>
      <x:c r="I104" s="10" t="n">
        <x:f>WORKDAY('RESUMEN'!$D$3-1,A104,'RESUMEN'!$J$6:$J$25)</x:f>
        <x:v>46416</x:v>
      </x:c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  <x:c r="AC104" s="3"/>
      <x:c r="AD104" s="3"/>
      <x:c r="AE104" s="3"/>
      <x:c r="AF104" s="3"/>
      <x:c r="AG104" s="3"/>
      <x:c r="AH104" s="3"/>
      <x:c r="AI104" s="3"/>
      <x:c r="AJ104" s="3"/>
      <x:c r="AK104" s="3"/>
      <x:c r="AL104" s="3"/>
      <x:c r="AM104" s="3"/>
      <x:c r="AN104" s="3"/>
      <x:c r="AO104" s="3"/>
    </x:row>
    <x:row r="105" ht="24" customHeight="1">
      <x:c r="A105" s="3" t="n">
        <x:v>66</x:v>
      </x:c>
      <x:c r="B105" s="35" t="n">
        <x:f>SUM(IF(AND(65&gt;='EDT Y TAREAS'!AK6,65&lt;'EDT Y TAREAS'!AL6),'EDT Y TAREAS'!AD6/'EDT Y TAREAS'!M6,0),IF(AND(65&gt;='EDT Y TAREAS'!AK7,65&lt;'EDT Y TAREAS'!AL7),'EDT Y TAREAS'!AD7/'EDT Y TAREAS'!M7,0),IF(AND(65&gt;='EDT Y TAREAS'!AK8,65&lt;'EDT Y TAREAS'!AL8),'EDT Y TAREAS'!AD8/'EDT Y TAREAS'!M8,0),IF(AND(65&gt;='EDT Y TAREAS'!AK9,65&lt;'EDT Y TAREAS'!AL9),'EDT Y TAREAS'!AD9/'EDT Y TAREAS'!M9,0),IF(AND(65&gt;='EDT Y TAREAS'!AK10,65&lt;'EDT Y TAREAS'!AL10),'EDT Y TAREAS'!AD10/'EDT Y TAREAS'!M10,0),IF(AND(65&gt;='EDT Y TAREAS'!AK11,65&lt;'EDT Y TAREAS'!AL11),'EDT Y TAREAS'!AD11/'EDT Y TAREAS'!M11,0),IF(AND(65&gt;='EDT Y TAREAS'!AK12,65&lt;'EDT Y TAREAS'!AL12),'EDT Y TAREAS'!AD12/'EDT Y TAREAS'!M12,0),IF(AND(65&gt;='EDT Y TAREAS'!AK13,65&lt;'EDT Y TAREAS'!AL13),'EDT Y TAREAS'!AD13/'EDT Y TAREAS'!M13,0),IF(AND(65&gt;='EDT Y TAREAS'!AK14,65&lt;'EDT Y TAREAS'!AL14),'EDT Y TAREAS'!AD14/'EDT Y TAREAS'!M14,0),IF(AND(65&gt;='EDT Y TAREAS'!AK15,65&lt;'EDT Y TAREAS'!AL15),'EDT Y TAREAS'!AD15/'EDT Y TAREAS'!M15,0),IF(AND(65&gt;='EDT Y TAREAS'!AK16,65&lt;'EDT Y TAREAS'!AL16),'EDT Y TAREAS'!AD16/'EDT Y TAREAS'!M16,0),IF(AND(65&gt;='EDT Y TAREAS'!AK17,65&lt;'EDT Y TAREAS'!AL17),'EDT Y TAREAS'!AD17/'EDT Y TAREAS'!M17,0),IF(AND(65&gt;='EDT Y TAREAS'!AK18,65&lt;'EDT Y TAREAS'!AL18),'EDT Y TAREAS'!AD18/'EDT Y TAREAS'!M18,0),IF(AND(65&gt;='EDT Y TAREAS'!AK19,65&lt;'EDT Y TAREAS'!AL19),'EDT Y TAREAS'!AD19/'EDT Y TAREAS'!M19,0),IF(AND(65&gt;='EDT Y TAREAS'!AK20,65&lt;'EDT Y TAREAS'!AL20),'EDT Y TAREAS'!AD20/'EDT Y TAREAS'!M20,0),IF(AND(65&gt;='EDT Y TAREAS'!AK21,65&lt;'EDT Y TAREAS'!AL21),'EDT Y TAREAS'!AD21/'EDT Y TAREAS'!M21,0),IF(AND(65&gt;='EDT Y TAREAS'!AK22,65&lt;'EDT Y TAREAS'!AL22),'EDT Y TAREAS'!AD22/'EDT Y TAREAS'!M22,0),IF(AND(65&gt;='EDT Y TAREAS'!AK23,65&lt;'EDT Y TAREAS'!AL23),'EDT Y TAREAS'!AD23/'EDT Y TAREAS'!M23,0),IF(AND(65&gt;='EDT Y TAREAS'!AK26,65&lt;'EDT Y TAREAS'!AL26),'EDT Y TAREAS'!AD26/'EDT Y TAREAS'!M26,0),IF(AND(65&gt;='EDT Y TAREAS'!AK28,65&lt;'EDT Y TAREAS'!AL28),'EDT Y TAREAS'!AD28/'EDT Y TAREAS'!M28,0),IF(AND(65&gt;='EDT Y TAREAS'!AK30,65&lt;'EDT Y TAREAS'!AL30),'EDT Y TAREAS'!AD30/'EDT Y TAREAS'!M30,0),IF(AND(65&gt;='EDT Y TAREAS'!AK32,65&lt;'EDT Y TAREAS'!AL32),'EDT Y TAREAS'!AD32/'EDT Y TAREAS'!M32,0),IF(AND(65&gt;='EDT Y TAREAS'!AK34,65&lt;'EDT Y TAREAS'!AL34),'EDT Y TAREAS'!AD34/'EDT Y TAREAS'!M34,0),IF(AND(65&gt;='EDT Y TAREAS'!AK38,65&lt;'EDT Y TAREAS'!AL38),'EDT Y TAREAS'!AD38/'EDT Y TAREAS'!M38,0),IF(AND(65&gt;='EDT Y TAREAS'!AK39,65&lt;'EDT Y TAREAS'!AL39),'EDT Y TAREAS'!AD39/'EDT Y TAREAS'!M39,0),IF(AND(65&gt;='EDT Y TAREAS'!AK43,65&lt;'EDT Y TAREAS'!AL43),'EDT Y TAREAS'!AD43/'EDT Y TAREAS'!M43,0),IF(AND(65&gt;='EDT Y TAREAS'!AK44,65&lt;'EDT Y TAREAS'!AL44),'EDT Y TAREAS'!AD44/'EDT Y TAREAS'!M44,0),IF(AND(65&gt;='EDT Y TAREAS'!AK45,65&lt;'EDT Y TAREAS'!AL45),'EDT Y TAREAS'!AD45/'EDT Y TAREAS'!M45,0),IF(AND(65&gt;='EDT Y TAREAS'!AK46,65&lt;'EDT Y TAREAS'!AL46),'EDT Y TAREAS'!AD46/'EDT Y TAREAS'!M46,0),IF(AND(65&gt;='EDT Y TAREAS'!AK47,65&lt;'EDT Y TAREAS'!AL47),'EDT Y TAREAS'!AD47/'EDT Y TAREAS'!M47,0),IF(AND(65&gt;='EDT Y TAREAS'!AK49,65&lt;'EDT Y TAREAS'!AL49),'EDT Y TAREAS'!AD49/'EDT Y TAREAS'!M49,0),IF(AND(65&gt;='EDT Y TAREAS'!AK50,65&lt;'EDT Y TAREAS'!AL50),'EDT Y TAREAS'!AD50/'EDT Y TAREAS'!M50,0),IF(AND(65&gt;='EDT Y TAREAS'!AK51,65&lt;'EDT Y TAREAS'!AL51),'EDT Y TAREAS'!AD51/'EDT Y TAREAS'!M51,0),IF(AND(65&gt;='EDT Y TAREAS'!AK52,65&lt;'EDT Y TAREAS'!AL52),'EDT Y TAREAS'!AD52/'EDT Y TAREAS'!M52,0))</x:f>
        <x:v>6.8</x:v>
      </x:c>
      <x:c r="C105" s="35" t="n">
        <x:f>SUM(IF(AND(65&gt;='EDT Y TAREAS'!AK6,65&lt;'EDT Y TAREAS'!AL6),'EDT Y TAREAS'!AE6/'EDT Y TAREAS'!M6,0),IF(AND(65&gt;='EDT Y TAREAS'!AK8,65&lt;'EDT Y TAREAS'!AL8),'EDT Y TAREAS'!AE8/'EDT Y TAREAS'!M8,0),IF(AND(65&gt;='EDT Y TAREAS'!AK9,65&lt;'EDT Y TAREAS'!AL9),'EDT Y TAREAS'!AE9/'EDT Y TAREAS'!M9,0),IF(AND(65&gt;='EDT Y TAREAS'!AK10,65&lt;'EDT Y TAREAS'!AL10),'EDT Y TAREAS'!AE10/'EDT Y TAREAS'!M10,0),IF(AND(65&gt;='EDT Y TAREAS'!AK12,65&lt;'EDT Y TAREAS'!AL12),'EDT Y TAREAS'!AE12/'EDT Y TAREAS'!M12,0),IF(AND(65&gt;='EDT Y TAREAS'!AK16,65&lt;'EDT Y TAREAS'!AL16),'EDT Y TAREAS'!AE16/'EDT Y TAREAS'!M16,0),IF(AND(65&gt;='EDT Y TAREAS'!AK21,65&lt;'EDT Y TAREAS'!AL21),'EDT Y TAREAS'!AE21/'EDT Y TAREAS'!M21,0),IF(AND(65&gt;='EDT Y TAREAS'!AK23,65&lt;'EDT Y TAREAS'!AL23),'EDT Y TAREAS'!AE23/'EDT Y TAREAS'!M23,0),IF(AND(65&gt;='EDT Y TAREAS'!AK37,65&lt;'EDT Y TAREAS'!AL37),'EDT Y TAREAS'!AE37/'EDT Y TAREAS'!M37,0),IF(AND(65&gt;='EDT Y TAREAS'!AK38,65&lt;'EDT Y TAREAS'!AL38),'EDT Y TAREAS'!AE38/'EDT Y TAREAS'!M38,0),IF(AND(65&gt;='EDT Y TAREAS'!AK41,65&lt;'EDT Y TAREAS'!AL41),'EDT Y TAREAS'!AE41/'EDT Y TAREAS'!M41,0),IF(AND(65&gt;='EDT Y TAREAS'!AK43,65&lt;'EDT Y TAREAS'!AL43),'EDT Y TAREAS'!AE43/'EDT Y TAREAS'!M43,0),IF(AND(65&gt;='EDT Y TAREAS'!AK44,65&lt;'EDT Y TAREAS'!AL44),'EDT Y TAREAS'!AE44/'EDT Y TAREAS'!M44,0),IF(AND(65&gt;='EDT Y TAREAS'!AK46,65&lt;'EDT Y TAREAS'!AL46),'EDT Y TAREAS'!AE46/'EDT Y TAREAS'!M46,0),IF(AND(65&gt;='EDT Y TAREAS'!AK47,65&lt;'EDT Y TAREAS'!AL47),'EDT Y TAREAS'!AE47/'EDT Y TAREAS'!M47,0),IF(AND(65&gt;='EDT Y TAREAS'!AK51,65&lt;'EDT Y TAREAS'!AL51),'EDT Y TAREAS'!AE51/'EDT Y TAREAS'!M51,0),IF(AND(65&gt;='EDT Y TAREAS'!AK52,65&lt;'EDT Y TAREAS'!AL52),'EDT Y TAREAS'!AE52/'EDT Y TAREAS'!M52,0))</x:f>
        <x:v>0</x:v>
      </x:c>
      <x:c r="D105" s="35" t="n">
        <x:f>SUM(IF(AND(65&gt;='EDT Y TAREAS'!AK11,65&lt;'EDT Y TAREAS'!AL11),'EDT Y TAREAS'!AF11/'EDT Y TAREAS'!M11,0),IF(AND(65&gt;='EDT Y TAREAS'!AK24,65&lt;'EDT Y TAREAS'!AL24),'EDT Y TAREAS'!AF24/'EDT Y TAREAS'!M24,0),IF(AND(65&gt;='EDT Y TAREAS'!AK25,65&lt;'EDT Y TAREAS'!AL25),'EDT Y TAREAS'!AF25/'EDT Y TAREAS'!M25,0),IF(AND(65&gt;='EDT Y TAREAS'!AK26,65&lt;'EDT Y TAREAS'!AL26),'EDT Y TAREAS'!AF26/'EDT Y TAREAS'!M26,0),IF(AND(65&gt;='EDT Y TAREAS'!AK27,65&lt;'EDT Y TAREAS'!AL27),'EDT Y TAREAS'!AF27/'EDT Y TAREAS'!M27,0),IF(AND(65&gt;='EDT Y TAREAS'!AK28,65&lt;'EDT Y TAREAS'!AL28),'EDT Y TAREAS'!AF28/'EDT Y TAREAS'!M28,0),IF(AND(65&gt;='EDT Y TAREAS'!AK31,65&lt;'EDT Y TAREAS'!AL31),'EDT Y TAREAS'!AF31/'EDT Y TAREAS'!M31,0),IF(AND(65&gt;='EDT Y TAREAS'!AK33,65&lt;'EDT Y TAREAS'!AL33),'EDT Y TAREAS'!AF33/'EDT Y TAREAS'!M33,0),IF(AND(65&gt;='EDT Y TAREAS'!AK34,65&lt;'EDT Y TAREAS'!AL34),'EDT Y TAREAS'!AF34/'EDT Y TAREAS'!M34,0),IF(AND(65&gt;='EDT Y TAREAS'!AK35,65&lt;'EDT Y TAREAS'!AL35),'EDT Y TAREAS'!AF35/'EDT Y TAREAS'!M35,0),IF(AND(65&gt;='EDT Y TAREAS'!AK37,65&lt;'EDT Y TAREAS'!AL37),'EDT Y TAREAS'!AF37/'EDT Y TAREAS'!M37,0),IF(AND(65&gt;='EDT Y TAREAS'!AK39,65&lt;'EDT Y TAREAS'!AL39),'EDT Y TAREAS'!AF39/'EDT Y TAREAS'!M39,0),IF(AND(65&gt;='EDT Y TAREAS'!AK40,65&lt;'EDT Y TAREAS'!AL40),'EDT Y TAREAS'!AF40/'EDT Y TAREAS'!M40,0),IF(AND(65&gt;='EDT Y TAREAS'!AK42,65&lt;'EDT Y TAREAS'!AL42),'EDT Y TAREAS'!AF42/'EDT Y TAREAS'!M42,0),IF(AND(65&gt;='EDT Y TAREAS'!AK45,65&lt;'EDT Y TAREAS'!AL45),'EDT Y TAREAS'!AF45/'EDT Y TAREAS'!M45,0),IF(AND(65&gt;='EDT Y TAREAS'!AK49,65&lt;'EDT Y TAREAS'!AL49),'EDT Y TAREAS'!AF49/'EDT Y TAREAS'!M49,0),IF(AND(65&gt;='EDT Y TAREAS'!AK52,65&lt;'EDT Y TAREAS'!AL52),'EDT Y TAREAS'!AF52/'EDT Y TAREAS'!M52,0))</x:f>
        <x:v>4.8</x:v>
      </x:c>
      <x:c r="E105" s="35" t="n">
        <x:f>SUM(IF(AND(65&gt;='EDT Y TAREAS'!AK29,65&lt;'EDT Y TAREAS'!AL29),'EDT Y TAREAS'!AG29/'EDT Y TAREAS'!M29,0),IF(AND(65&gt;='EDT Y TAREAS'!AK30,65&lt;'EDT Y TAREAS'!AL30),'EDT Y TAREAS'!AG30/'EDT Y TAREAS'!M30,0),IF(AND(65&gt;='EDT Y TAREAS'!AK31,65&lt;'EDT Y TAREAS'!AL31),'EDT Y TAREAS'!AG31/'EDT Y TAREAS'!M31,0),IF(AND(65&gt;='EDT Y TAREAS'!AK32,65&lt;'EDT Y TAREAS'!AL32),'EDT Y TAREAS'!AG32/'EDT Y TAREAS'!M32,0),IF(AND(65&gt;='EDT Y TAREAS'!AK41,65&lt;'EDT Y TAREAS'!AL41),'EDT Y TAREAS'!AG41/'EDT Y TAREAS'!M41,0),IF(AND(65&gt;='EDT Y TAREAS'!AK45,65&lt;'EDT Y TAREAS'!AL45),'EDT Y TAREAS'!AG45/'EDT Y TAREAS'!M45,0),IF(AND(65&gt;='EDT Y TAREAS'!AK48,65&lt;'EDT Y TAREAS'!AL48),'EDT Y TAREAS'!AG48/'EDT Y TAREAS'!M48,0))</x:f>
        <x:v>5.6</x:v>
      </x:c>
      <x:c r="F105" s="35" t="n">
        <x:f>SUM(IF(AND(65&gt;='EDT Y TAREAS'!AK10,65&lt;'EDT Y TAREAS'!AL10),'EDT Y TAREAS'!AH10/'EDT Y TAREAS'!M10,0),IF(AND(65&gt;='EDT Y TAREAS'!AK12,65&lt;'EDT Y TAREAS'!AL12),'EDT Y TAREAS'!AH12/'EDT Y TAREAS'!M12,0),IF(AND(65&gt;='EDT Y TAREAS'!AK22,65&lt;'EDT Y TAREAS'!AL22),'EDT Y TAREAS'!AH22/'EDT Y TAREAS'!M22,0),IF(AND(65&gt;='EDT Y TAREAS'!AK23,65&lt;'EDT Y TAREAS'!AL23),'EDT Y TAREAS'!AH23/'EDT Y TAREAS'!M23,0),IF(AND(65&gt;='EDT Y TAREAS'!AK29,65&lt;'EDT Y TAREAS'!AL29),'EDT Y TAREAS'!AH29/'EDT Y TAREAS'!M29,0),IF(AND(65&gt;='EDT Y TAREAS'!AK30,65&lt;'EDT Y TAREAS'!AL30),'EDT Y TAREAS'!AH30/'EDT Y TAREAS'!M30,0),IF(AND(65&gt;='EDT Y TAREAS'!AK32,65&lt;'EDT Y TAREAS'!AL32),'EDT Y TAREAS'!AH32/'EDT Y TAREAS'!M32,0),IF(AND(65&gt;='EDT Y TAREAS'!AK41,65&lt;'EDT Y TAREAS'!AL41),'EDT Y TAREAS'!AH41/'EDT Y TAREAS'!M41,0),IF(AND(65&gt;='EDT Y TAREAS'!AK44,65&lt;'EDT Y TAREAS'!AL44),'EDT Y TAREAS'!AH44/'EDT Y TAREAS'!M44,0),IF(AND(65&gt;='EDT Y TAREAS'!AK46,65&lt;'EDT Y TAREAS'!AL46),'EDT Y TAREAS'!AH46/'EDT Y TAREAS'!M46,0),IF(AND(65&gt;='EDT Y TAREAS'!AK48,65&lt;'EDT Y TAREAS'!AL48),'EDT Y TAREAS'!AH48/'EDT Y TAREAS'!M48,0))</x:f>
        <x:v>0.8</x:v>
      </x:c>
      <x:c r="G105" s="35" t="n">
        <x:f>SUM(IF(AND(65&gt;='EDT Y TAREAS'!AK20,65&lt;'EDT Y TAREAS'!AL20),'EDT Y TAREAS'!AI20/'EDT Y TAREAS'!M20,0),IF(AND(65&gt;='EDT Y TAREAS'!AK25,65&lt;'EDT Y TAREAS'!AL25),'EDT Y TAREAS'!AI25/'EDT Y TAREAS'!M25,0),IF(AND(65&gt;='EDT Y TAREAS'!AK33,65&lt;'EDT Y TAREAS'!AL33),'EDT Y TAREAS'!AI33/'EDT Y TAREAS'!M33,0),IF(AND(65&gt;='EDT Y TAREAS'!AK34,65&lt;'EDT Y TAREAS'!AL34),'EDT Y TAREAS'!AI34/'EDT Y TAREAS'!M34,0),IF(AND(65&gt;='EDT Y TAREAS'!AK36,65&lt;'EDT Y TAREAS'!AL36),'EDT Y TAREAS'!AI36/'EDT Y TAREAS'!M36,0),IF(AND(65&gt;='EDT Y TAREAS'!AK39,65&lt;'EDT Y TAREAS'!AL39),'EDT Y TAREAS'!AI39/'EDT Y TAREAS'!M39,0),IF(AND(65&gt;='EDT Y TAREAS'!AK40,65&lt;'EDT Y TAREAS'!AL40),'EDT Y TAREAS'!AI40/'EDT Y TAREAS'!M40,0),IF(AND(65&gt;='EDT Y TAREAS'!AK42,65&lt;'EDT Y TAREAS'!AL42),'EDT Y TAREAS'!AI42/'EDT Y TAREAS'!M42,0),IF(AND(65&gt;='EDT Y TAREAS'!AK43,65&lt;'EDT Y TAREAS'!AL43),'EDT Y TAREAS'!AI43/'EDT Y TAREAS'!M43,0),IF(AND(65&gt;='EDT Y TAREAS'!AK44,65&lt;'EDT Y TAREAS'!AL44),'EDT Y TAREAS'!AI44/'EDT Y TAREAS'!M44,0),IF(AND(65&gt;='EDT Y TAREAS'!AK45,65&lt;'EDT Y TAREAS'!AL45),'EDT Y TAREAS'!AI45/'EDT Y TAREAS'!M45,0),IF(AND(65&gt;='EDT Y TAREAS'!AK46,65&lt;'EDT Y TAREAS'!AL46),'EDT Y TAREAS'!AI46/'EDT Y TAREAS'!M46,0),IF(AND(65&gt;='EDT Y TAREAS'!AK48,65&lt;'EDT Y TAREAS'!AL48),'EDT Y TAREAS'!AI48/'EDT Y TAREAS'!M48,0),IF(AND(65&gt;='EDT Y TAREAS'!AK50,65&lt;'EDT Y TAREAS'!AL50),'EDT Y TAREAS'!AI50/'EDT Y TAREAS'!M50,0),IF(AND(65&gt;='EDT Y TAREAS'!AK52,65&lt;'EDT Y TAREAS'!AL52),'EDT Y TAREAS'!AI52/'EDT Y TAREAS'!M52,0))</x:f>
        <x:v>2.4</x:v>
      </x:c>
      <x:c r="H105" s="35" t="n">
        <x:f>SUM(IF(AND(65&gt;='EDT Y TAREAS'!AK11,65&lt;'EDT Y TAREAS'!AL11),'EDT Y TAREAS'!AJ11/'EDT Y TAREAS'!M11,0),IF(AND(65&gt;='EDT Y TAREAS'!AK24,65&lt;'EDT Y TAREAS'!AL24),'EDT Y TAREAS'!AJ24/'EDT Y TAREAS'!M24,0),IF(AND(65&gt;='EDT Y TAREAS'!AK27,65&lt;'EDT Y TAREAS'!AL27),'EDT Y TAREAS'!AJ27/'EDT Y TAREAS'!M27,0),IF(AND(65&gt;='EDT Y TAREAS'!AK28,65&lt;'EDT Y TAREAS'!AL28),'EDT Y TAREAS'!AJ28/'EDT Y TAREAS'!M28,0),IF(AND(65&gt;='EDT Y TAREAS'!AK33,65&lt;'EDT Y TAREAS'!AL33),'EDT Y TAREAS'!AJ33/'EDT Y TAREAS'!M33,0),IF(AND(65&gt;='EDT Y TAREAS'!AK35,65&lt;'EDT Y TAREAS'!AL35),'EDT Y TAREAS'!AJ35/'EDT Y TAREAS'!M35,0),IF(AND(65&gt;='EDT Y TAREAS'!AK36,65&lt;'EDT Y TAREAS'!AL36),'EDT Y TAREAS'!AJ36/'EDT Y TAREAS'!M36,0),IF(AND(65&gt;='EDT Y TAREAS'!AK37,65&lt;'EDT Y TAREAS'!AL37),'EDT Y TAREAS'!AJ37/'EDT Y TAREAS'!M37,0),IF(AND(65&gt;='EDT Y TAREAS'!AK40,65&lt;'EDT Y TAREAS'!AL40),'EDT Y TAREAS'!AJ40/'EDT Y TAREAS'!M40,0),IF(AND(65&gt;='EDT Y TAREAS'!AK42,65&lt;'EDT Y TAREAS'!AL42),'EDT Y TAREAS'!AJ42/'EDT Y TAREAS'!M42,0),IF(AND(65&gt;='EDT Y TAREAS'!AK49,65&lt;'EDT Y TAREAS'!AL49),'EDT Y TAREAS'!AJ49/'EDT Y TAREAS'!M49,0),IF(AND(65&gt;='EDT Y TAREAS'!AK50,65&lt;'EDT Y TAREAS'!AL50),'EDT Y TAREAS'!AJ50/'EDT Y TAREAS'!M50,0),IF(AND(65&gt;='EDT Y TAREAS'!AK51,65&lt;'EDT Y TAREAS'!AL51),'EDT Y TAREAS'!AJ51/'EDT Y TAREAS'!M51,0),IF(AND(65&gt;='EDT Y TAREAS'!AK52,65&lt;'EDT Y TAREAS'!AL52),'EDT Y TAREAS'!AJ52/'EDT Y TAREAS'!M52,0))</x:f>
        <x:v>0.8</x:v>
      </x:c>
      <x:c r="I105" s="10" t="n">
        <x:f>WORKDAY('RESUMEN'!$D$3-1,A105,'RESUMEN'!$J$6:$J$25)</x:f>
        <x:v>46419</x:v>
      </x:c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  <x:c r="AL105" s="3"/>
      <x:c r="AM105" s="3"/>
      <x:c r="AN105" s="3"/>
      <x:c r="AO105" s="3"/>
    </x:row>
    <x:row r="106" ht="24" customHeight="1">
      <x:c r="A106" s="3" t="n">
        <x:v>67</x:v>
      </x:c>
      <x:c r="B106" s="35" t="n">
        <x:f>SUM(IF(AND(66&gt;='EDT Y TAREAS'!AK6,66&lt;'EDT Y TAREAS'!AL6),'EDT Y TAREAS'!AD6/'EDT Y TAREAS'!M6,0),IF(AND(66&gt;='EDT Y TAREAS'!AK7,66&lt;'EDT Y TAREAS'!AL7),'EDT Y TAREAS'!AD7/'EDT Y TAREAS'!M7,0),IF(AND(66&gt;='EDT Y TAREAS'!AK8,66&lt;'EDT Y TAREAS'!AL8),'EDT Y TAREAS'!AD8/'EDT Y TAREAS'!M8,0),IF(AND(66&gt;='EDT Y TAREAS'!AK9,66&lt;'EDT Y TAREAS'!AL9),'EDT Y TAREAS'!AD9/'EDT Y TAREAS'!M9,0),IF(AND(66&gt;='EDT Y TAREAS'!AK10,66&lt;'EDT Y TAREAS'!AL10),'EDT Y TAREAS'!AD10/'EDT Y TAREAS'!M10,0),IF(AND(66&gt;='EDT Y TAREAS'!AK11,66&lt;'EDT Y TAREAS'!AL11),'EDT Y TAREAS'!AD11/'EDT Y TAREAS'!M11,0),IF(AND(66&gt;='EDT Y TAREAS'!AK12,66&lt;'EDT Y TAREAS'!AL12),'EDT Y TAREAS'!AD12/'EDT Y TAREAS'!M12,0),IF(AND(66&gt;='EDT Y TAREAS'!AK13,66&lt;'EDT Y TAREAS'!AL13),'EDT Y TAREAS'!AD13/'EDT Y TAREAS'!M13,0),IF(AND(66&gt;='EDT Y TAREAS'!AK14,66&lt;'EDT Y TAREAS'!AL14),'EDT Y TAREAS'!AD14/'EDT Y TAREAS'!M14,0),IF(AND(66&gt;='EDT Y TAREAS'!AK15,66&lt;'EDT Y TAREAS'!AL15),'EDT Y TAREAS'!AD15/'EDT Y TAREAS'!M15,0),IF(AND(66&gt;='EDT Y TAREAS'!AK16,66&lt;'EDT Y TAREAS'!AL16),'EDT Y TAREAS'!AD16/'EDT Y TAREAS'!M16,0),IF(AND(66&gt;='EDT Y TAREAS'!AK17,66&lt;'EDT Y TAREAS'!AL17),'EDT Y TAREAS'!AD17/'EDT Y TAREAS'!M17,0),IF(AND(66&gt;='EDT Y TAREAS'!AK18,66&lt;'EDT Y TAREAS'!AL18),'EDT Y TAREAS'!AD18/'EDT Y TAREAS'!M18,0),IF(AND(66&gt;='EDT Y TAREAS'!AK19,66&lt;'EDT Y TAREAS'!AL19),'EDT Y TAREAS'!AD19/'EDT Y TAREAS'!M19,0),IF(AND(66&gt;='EDT Y TAREAS'!AK20,66&lt;'EDT Y TAREAS'!AL20),'EDT Y TAREAS'!AD20/'EDT Y TAREAS'!M20,0),IF(AND(66&gt;='EDT Y TAREAS'!AK21,66&lt;'EDT Y TAREAS'!AL21),'EDT Y TAREAS'!AD21/'EDT Y TAREAS'!M21,0),IF(AND(66&gt;='EDT Y TAREAS'!AK22,66&lt;'EDT Y TAREAS'!AL22),'EDT Y TAREAS'!AD22/'EDT Y TAREAS'!M22,0),IF(AND(66&gt;='EDT Y TAREAS'!AK23,66&lt;'EDT Y TAREAS'!AL23),'EDT Y TAREAS'!AD23/'EDT Y TAREAS'!M23,0),IF(AND(66&gt;='EDT Y TAREAS'!AK26,66&lt;'EDT Y TAREAS'!AL26),'EDT Y TAREAS'!AD26/'EDT Y TAREAS'!M26,0),IF(AND(66&gt;='EDT Y TAREAS'!AK28,66&lt;'EDT Y TAREAS'!AL28),'EDT Y TAREAS'!AD28/'EDT Y TAREAS'!M28,0),IF(AND(66&gt;='EDT Y TAREAS'!AK30,66&lt;'EDT Y TAREAS'!AL30),'EDT Y TAREAS'!AD30/'EDT Y TAREAS'!M30,0),IF(AND(66&gt;='EDT Y TAREAS'!AK32,66&lt;'EDT Y TAREAS'!AL32),'EDT Y TAREAS'!AD32/'EDT Y TAREAS'!M32,0),IF(AND(66&gt;='EDT Y TAREAS'!AK34,66&lt;'EDT Y TAREAS'!AL34),'EDT Y TAREAS'!AD34/'EDT Y TAREAS'!M34,0),IF(AND(66&gt;='EDT Y TAREAS'!AK38,66&lt;'EDT Y TAREAS'!AL38),'EDT Y TAREAS'!AD38/'EDT Y TAREAS'!M38,0),IF(AND(66&gt;='EDT Y TAREAS'!AK39,66&lt;'EDT Y TAREAS'!AL39),'EDT Y TAREAS'!AD39/'EDT Y TAREAS'!M39,0),IF(AND(66&gt;='EDT Y TAREAS'!AK43,66&lt;'EDT Y TAREAS'!AL43),'EDT Y TAREAS'!AD43/'EDT Y TAREAS'!M43,0),IF(AND(66&gt;='EDT Y TAREAS'!AK44,66&lt;'EDT Y TAREAS'!AL44),'EDT Y TAREAS'!AD44/'EDT Y TAREAS'!M44,0),IF(AND(66&gt;='EDT Y TAREAS'!AK45,66&lt;'EDT Y TAREAS'!AL45),'EDT Y TAREAS'!AD45/'EDT Y TAREAS'!M45,0),IF(AND(66&gt;='EDT Y TAREAS'!AK46,66&lt;'EDT Y TAREAS'!AL46),'EDT Y TAREAS'!AD46/'EDT Y TAREAS'!M46,0),IF(AND(66&gt;='EDT Y TAREAS'!AK47,66&lt;'EDT Y TAREAS'!AL47),'EDT Y TAREAS'!AD47/'EDT Y TAREAS'!M47,0),IF(AND(66&gt;='EDT Y TAREAS'!AK49,66&lt;'EDT Y TAREAS'!AL49),'EDT Y TAREAS'!AD49/'EDT Y TAREAS'!M49,0),IF(AND(66&gt;='EDT Y TAREAS'!AK50,66&lt;'EDT Y TAREAS'!AL50),'EDT Y TAREAS'!AD50/'EDT Y TAREAS'!M50,0),IF(AND(66&gt;='EDT Y TAREAS'!AK51,66&lt;'EDT Y TAREAS'!AL51),'EDT Y TAREAS'!AD51/'EDT Y TAREAS'!M51,0),IF(AND(66&gt;='EDT Y TAREAS'!AK52,66&lt;'EDT Y TAREAS'!AL52),'EDT Y TAREAS'!AD52/'EDT Y TAREAS'!M52,0))</x:f>
        <x:v>6</x:v>
      </x:c>
      <x:c r="C106" s="35" t="n">
        <x:f>SUM(IF(AND(66&gt;='EDT Y TAREAS'!AK6,66&lt;'EDT Y TAREAS'!AL6),'EDT Y TAREAS'!AE6/'EDT Y TAREAS'!M6,0),IF(AND(66&gt;='EDT Y TAREAS'!AK8,66&lt;'EDT Y TAREAS'!AL8),'EDT Y TAREAS'!AE8/'EDT Y TAREAS'!M8,0),IF(AND(66&gt;='EDT Y TAREAS'!AK9,66&lt;'EDT Y TAREAS'!AL9),'EDT Y TAREAS'!AE9/'EDT Y TAREAS'!M9,0),IF(AND(66&gt;='EDT Y TAREAS'!AK10,66&lt;'EDT Y TAREAS'!AL10),'EDT Y TAREAS'!AE10/'EDT Y TAREAS'!M10,0),IF(AND(66&gt;='EDT Y TAREAS'!AK12,66&lt;'EDT Y TAREAS'!AL12),'EDT Y TAREAS'!AE12/'EDT Y TAREAS'!M12,0),IF(AND(66&gt;='EDT Y TAREAS'!AK16,66&lt;'EDT Y TAREAS'!AL16),'EDT Y TAREAS'!AE16/'EDT Y TAREAS'!M16,0),IF(AND(66&gt;='EDT Y TAREAS'!AK21,66&lt;'EDT Y TAREAS'!AL21),'EDT Y TAREAS'!AE21/'EDT Y TAREAS'!M21,0),IF(AND(66&gt;='EDT Y TAREAS'!AK23,66&lt;'EDT Y TAREAS'!AL23),'EDT Y TAREAS'!AE23/'EDT Y TAREAS'!M23,0),IF(AND(66&gt;='EDT Y TAREAS'!AK37,66&lt;'EDT Y TAREAS'!AL37),'EDT Y TAREAS'!AE37/'EDT Y TAREAS'!M37,0),IF(AND(66&gt;='EDT Y TAREAS'!AK38,66&lt;'EDT Y TAREAS'!AL38),'EDT Y TAREAS'!AE38/'EDT Y TAREAS'!M38,0),IF(AND(66&gt;='EDT Y TAREAS'!AK41,66&lt;'EDT Y TAREAS'!AL41),'EDT Y TAREAS'!AE41/'EDT Y TAREAS'!M41,0),IF(AND(66&gt;='EDT Y TAREAS'!AK43,66&lt;'EDT Y TAREAS'!AL43),'EDT Y TAREAS'!AE43/'EDT Y TAREAS'!M43,0),IF(AND(66&gt;='EDT Y TAREAS'!AK44,66&lt;'EDT Y TAREAS'!AL44),'EDT Y TAREAS'!AE44/'EDT Y TAREAS'!M44,0),IF(AND(66&gt;='EDT Y TAREAS'!AK46,66&lt;'EDT Y TAREAS'!AL46),'EDT Y TAREAS'!AE46/'EDT Y TAREAS'!M46,0),IF(AND(66&gt;='EDT Y TAREAS'!AK47,66&lt;'EDT Y TAREAS'!AL47),'EDT Y TAREAS'!AE47/'EDT Y TAREAS'!M47,0),IF(AND(66&gt;='EDT Y TAREAS'!AK51,66&lt;'EDT Y TAREAS'!AL51),'EDT Y TAREAS'!AE51/'EDT Y TAREAS'!M51,0),IF(AND(66&gt;='EDT Y TAREAS'!AK52,66&lt;'EDT Y TAREAS'!AL52),'EDT Y TAREAS'!AE52/'EDT Y TAREAS'!M52,0))</x:f>
        <x:v>0</x:v>
      </x:c>
      <x:c r="D106" s="35" t="n">
        <x:f>SUM(IF(AND(66&gt;='EDT Y TAREAS'!AK11,66&lt;'EDT Y TAREAS'!AL11),'EDT Y TAREAS'!AF11/'EDT Y TAREAS'!M11,0),IF(AND(66&gt;='EDT Y TAREAS'!AK24,66&lt;'EDT Y TAREAS'!AL24),'EDT Y TAREAS'!AF24/'EDT Y TAREAS'!M24,0),IF(AND(66&gt;='EDT Y TAREAS'!AK25,66&lt;'EDT Y TAREAS'!AL25),'EDT Y TAREAS'!AF25/'EDT Y TAREAS'!M25,0),IF(AND(66&gt;='EDT Y TAREAS'!AK26,66&lt;'EDT Y TAREAS'!AL26),'EDT Y TAREAS'!AF26/'EDT Y TAREAS'!M26,0),IF(AND(66&gt;='EDT Y TAREAS'!AK27,66&lt;'EDT Y TAREAS'!AL27),'EDT Y TAREAS'!AF27/'EDT Y TAREAS'!M27,0),IF(AND(66&gt;='EDT Y TAREAS'!AK28,66&lt;'EDT Y TAREAS'!AL28),'EDT Y TAREAS'!AF28/'EDT Y TAREAS'!M28,0),IF(AND(66&gt;='EDT Y TAREAS'!AK31,66&lt;'EDT Y TAREAS'!AL31),'EDT Y TAREAS'!AF31/'EDT Y TAREAS'!M31,0),IF(AND(66&gt;='EDT Y TAREAS'!AK33,66&lt;'EDT Y TAREAS'!AL33),'EDT Y TAREAS'!AF33/'EDT Y TAREAS'!M33,0),IF(AND(66&gt;='EDT Y TAREAS'!AK34,66&lt;'EDT Y TAREAS'!AL34),'EDT Y TAREAS'!AF34/'EDT Y TAREAS'!M34,0),IF(AND(66&gt;='EDT Y TAREAS'!AK35,66&lt;'EDT Y TAREAS'!AL35),'EDT Y TAREAS'!AF35/'EDT Y TAREAS'!M35,0),IF(AND(66&gt;='EDT Y TAREAS'!AK37,66&lt;'EDT Y TAREAS'!AL37),'EDT Y TAREAS'!AF37/'EDT Y TAREAS'!M37,0),IF(AND(66&gt;='EDT Y TAREAS'!AK39,66&lt;'EDT Y TAREAS'!AL39),'EDT Y TAREAS'!AF39/'EDT Y TAREAS'!M39,0),IF(AND(66&gt;='EDT Y TAREAS'!AK40,66&lt;'EDT Y TAREAS'!AL40),'EDT Y TAREAS'!AF40/'EDT Y TAREAS'!M40,0),IF(AND(66&gt;='EDT Y TAREAS'!AK42,66&lt;'EDT Y TAREAS'!AL42),'EDT Y TAREAS'!AF42/'EDT Y TAREAS'!M42,0),IF(AND(66&gt;='EDT Y TAREAS'!AK45,66&lt;'EDT Y TAREAS'!AL45),'EDT Y TAREAS'!AF45/'EDT Y TAREAS'!M45,0),IF(AND(66&gt;='EDT Y TAREAS'!AK49,66&lt;'EDT Y TAREAS'!AL49),'EDT Y TAREAS'!AF49/'EDT Y TAREAS'!M49,0),IF(AND(66&gt;='EDT Y TAREAS'!AK52,66&lt;'EDT Y TAREAS'!AL52),'EDT Y TAREAS'!AF52/'EDT Y TAREAS'!M52,0))</x:f>
        <x:v>3.2</x:v>
      </x:c>
      <x:c r="E106" s="35" t="n">
        <x:f>SUM(IF(AND(66&gt;='EDT Y TAREAS'!AK29,66&lt;'EDT Y TAREAS'!AL29),'EDT Y TAREAS'!AG29/'EDT Y TAREAS'!M29,0),IF(AND(66&gt;='EDT Y TAREAS'!AK30,66&lt;'EDT Y TAREAS'!AL30),'EDT Y TAREAS'!AG30/'EDT Y TAREAS'!M30,0),IF(AND(66&gt;='EDT Y TAREAS'!AK31,66&lt;'EDT Y TAREAS'!AL31),'EDT Y TAREAS'!AG31/'EDT Y TAREAS'!M31,0),IF(AND(66&gt;='EDT Y TAREAS'!AK32,66&lt;'EDT Y TAREAS'!AL32),'EDT Y TAREAS'!AG32/'EDT Y TAREAS'!M32,0),IF(AND(66&gt;='EDT Y TAREAS'!AK41,66&lt;'EDT Y TAREAS'!AL41),'EDT Y TAREAS'!AG41/'EDT Y TAREAS'!M41,0),IF(AND(66&gt;='EDT Y TAREAS'!AK45,66&lt;'EDT Y TAREAS'!AL45),'EDT Y TAREAS'!AG45/'EDT Y TAREAS'!M45,0),IF(AND(66&gt;='EDT Y TAREAS'!AK48,66&lt;'EDT Y TAREAS'!AL48),'EDT Y TAREAS'!AG48/'EDT Y TAREAS'!M48,0))</x:f>
        <x:v>5.6</x:v>
      </x:c>
      <x:c r="F106" s="35" t="n">
        <x:f>SUM(IF(AND(66&gt;='EDT Y TAREAS'!AK10,66&lt;'EDT Y TAREAS'!AL10),'EDT Y TAREAS'!AH10/'EDT Y TAREAS'!M10,0),IF(AND(66&gt;='EDT Y TAREAS'!AK12,66&lt;'EDT Y TAREAS'!AL12),'EDT Y TAREAS'!AH12/'EDT Y TAREAS'!M12,0),IF(AND(66&gt;='EDT Y TAREAS'!AK22,66&lt;'EDT Y TAREAS'!AL22),'EDT Y TAREAS'!AH22/'EDT Y TAREAS'!M22,0),IF(AND(66&gt;='EDT Y TAREAS'!AK23,66&lt;'EDT Y TAREAS'!AL23),'EDT Y TAREAS'!AH23/'EDT Y TAREAS'!M23,0),IF(AND(66&gt;='EDT Y TAREAS'!AK29,66&lt;'EDT Y TAREAS'!AL29),'EDT Y TAREAS'!AH29/'EDT Y TAREAS'!M29,0),IF(AND(66&gt;='EDT Y TAREAS'!AK30,66&lt;'EDT Y TAREAS'!AL30),'EDT Y TAREAS'!AH30/'EDT Y TAREAS'!M30,0),IF(AND(66&gt;='EDT Y TAREAS'!AK32,66&lt;'EDT Y TAREAS'!AL32),'EDT Y TAREAS'!AH32/'EDT Y TAREAS'!M32,0),IF(AND(66&gt;='EDT Y TAREAS'!AK41,66&lt;'EDT Y TAREAS'!AL41),'EDT Y TAREAS'!AH41/'EDT Y TAREAS'!M41,0),IF(AND(66&gt;='EDT Y TAREAS'!AK44,66&lt;'EDT Y TAREAS'!AL44),'EDT Y TAREAS'!AH44/'EDT Y TAREAS'!M44,0),IF(AND(66&gt;='EDT Y TAREAS'!AK46,66&lt;'EDT Y TAREAS'!AL46),'EDT Y TAREAS'!AH46/'EDT Y TAREAS'!M46,0),IF(AND(66&gt;='EDT Y TAREAS'!AK48,66&lt;'EDT Y TAREAS'!AL48),'EDT Y TAREAS'!AH48/'EDT Y TAREAS'!M48,0))</x:f>
        <x:v>0.8</x:v>
      </x:c>
      <x:c r="G106" s="35" t="n">
        <x:f>SUM(IF(AND(66&gt;='EDT Y TAREAS'!AK20,66&lt;'EDT Y TAREAS'!AL20),'EDT Y TAREAS'!AI20/'EDT Y TAREAS'!M20,0),IF(AND(66&gt;='EDT Y TAREAS'!AK25,66&lt;'EDT Y TAREAS'!AL25),'EDT Y TAREAS'!AI25/'EDT Y TAREAS'!M25,0),IF(AND(66&gt;='EDT Y TAREAS'!AK33,66&lt;'EDT Y TAREAS'!AL33),'EDT Y TAREAS'!AI33/'EDT Y TAREAS'!M33,0),IF(AND(66&gt;='EDT Y TAREAS'!AK34,66&lt;'EDT Y TAREAS'!AL34),'EDT Y TAREAS'!AI34/'EDT Y TAREAS'!M34,0),IF(AND(66&gt;='EDT Y TAREAS'!AK36,66&lt;'EDT Y TAREAS'!AL36),'EDT Y TAREAS'!AI36/'EDT Y TAREAS'!M36,0),IF(AND(66&gt;='EDT Y TAREAS'!AK39,66&lt;'EDT Y TAREAS'!AL39),'EDT Y TAREAS'!AI39/'EDT Y TAREAS'!M39,0),IF(AND(66&gt;='EDT Y TAREAS'!AK40,66&lt;'EDT Y TAREAS'!AL40),'EDT Y TAREAS'!AI40/'EDT Y TAREAS'!M40,0),IF(AND(66&gt;='EDT Y TAREAS'!AK42,66&lt;'EDT Y TAREAS'!AL42),'EDT Y TAREAS'!AI42/'EDT Y TAREAS'!M42,0),IF(AND(66&gt;='EDT Y TAREAS'!AK43,66&lt;'EDT Y TAREAS'!AL43),'EDT Y TAREAS'!AI43/'EDT Y TAREAS'!M43,0),IF(AND(66&gt;='EDT Y TAREAS'!AK44,66&lt;'EDT Y TAREAS'!AL44),'EDT Y TAREAS'!AI44/'EDT Y TAREAS'!M44,0),IF(AND(66&gt;='EDT Y TAREAS'!AK45,66&lt;'EDT Y TAREAS'!AL45),'EDT Y TAREAS'!AI45/'EDT Y TAREAS'!M45,0),IF(AND(66&gt;='EDT Y TAREAS'!AK46,66&lt;'EDT Y TAREAS'!AL46),'EDT Y TAREAS'!AI46/'EDT Y TAREAS'!M46,0),IF(AND(66&gt;='EDT Y TAREAS'!AK48,66&lt;'EDT Y TAREAS'!AL48),'EDT Y TAREAS'!AI48/'EDT Y TAREAS'!M48,0),IF(AND(66&gt;='EDT Y TAREAS'!AK50,66&lt;'EDT Y TAREAS'!AL50),'EDT Y TAREAS'!AI50/'EDT Y TAREAS'!M50,0),IF(AND(66&gt;='EDT Y TAREAS'!AK52,66&lt;'EDT Y TAREAS'!AL52),'EDT Y TAREAS'!AI52/'EDT Y TAREAS'!M52,0))</x:f>
        <x:v>1.6</x:v>
      </x:c>
      <x:c r="H106" s="35" t="n">
        <x:f>SUM(IF(AND(66&gt;='EDT Y TAREAS'!AK11,66&lt;'EDT Y TAREAS'!AL11),'EDT Y TAREAS'!AJ11/'EDT Y TAREAS'!M11,0),IF(AND(66&gt;='EDT Y TAREAS'!AK24,66&lt;'EDT Y TAREAS'!AL24),'EDT Y TAREAS'!AJ24/'EDT Y TAREAS'!M24,0),IF(AND(66&gt;='EDT Y TAREAS'!AK27,66&lt;'EDT Y TAREAS'!AL27),'EDT Y TAREAS'!AJ27/'EDT Y TAREAS'!M27,0),IF(AND(66&gt;='EDT Y TAREAS'!AK28,66&lt;'EDT Y TAREAS'!AL28),'EDT Y TAREAS'!AJ28/'EDT Y TAREAS'!M28,0),IF(AND(66&gt;='EDT Y TAREAS'!AK33,66&lt;'EDT Y TAREAS'!AL33),'EDT Y TAREAS'!AJ33/'EDT Y TAREAS'!M33,0),IF(AND(66&gt;='EDT Y TAREAS'!AK35,66&lt;'EDT Y TAREAS'!AL35),'EDT Y TAREAS'!AJ35/'EDT Y TAREAS'!M35,0),IF(AND(66&gt;='EDT Y TAREAS'!AK36,66&lt;'EDT Y TAREAS'!AL36),'EDT Y TAREAS'!AJ36/'EDT Y TAREAS'!M36,0),IF(AND(66&gt;='EDT Y TAREAS'!AK37,66&lt;'EDT Y TAREAS'!AL37),'EDT Y TAREAS'!AJ37/'EDT Y TAREAS'!M37,0),IF(AND(66&gt;='EDT Y TAREAS'!AK40,66&lt;'EDT Y TAREAS'!AL40),'EDT Y TAREAS'!AJ40/'EDT Y TAREAS'!M40,0),IF(AND(66&gt;='EDT Y TAREAS'!AK42,66&lt;'EDT Y TAREAS'!AL42),'EDT Y TAREAS'!AJ42/'EDT Y TAREAS'!M42,0),IF(AND(66&gt;='EDT Y TAREAS'!AK49,66&lt;'EDT Y TAREAS'!AL49),'EDT Y TAREAS'!AJ49/'EDT Y TAREAS'!M49,0),IF(AND(66&gt;='EDT Y TAREAS'!AK50,66&lt;'EDT Y TAREAS'!AL50),'EDT Y TAREAS'!AJ50/'EDT Y TAREAS'!M50,0),IF(AND(66&gt;='EDT Y TAREAS'!AK51,66&lt;'EDT Y TAREAS'!AL51),'EDT Y TAREAS'!AJ51/'EDT Y TAREAS'!M51,0),IF(AND(66&gt;='EDT Y TAREAS'!AK52,66&lt;'EDT Y TAREAS'!AL52),'EDT Y TAREAS'!AJ52/'EDT Y TAREAS'!M52,0))</x:f>
        <x:v>1.6</x:v>
      </x:c>
      <x:c r="I106" s="10" t="n">
        <x:f>WORKDAY('RESUMEN'!$D$3-1,A106,'RESUMEN'!$J$6:$J$25)</x:f>
        <x:v>46420</x:v>
      </x:c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  <x:c r="AL106" s="3"/>
      <x:c r="AM106" s="3"/>
      <x:c r="AN106" s="3"/>
      <x:c r="AO106" s="3"/>
    </x:row>
    <x:row r="107" ht="24" customHeight="1">
      <x:c r="A107" s="3" t="n">
        <x:v>68</x:v>
      </x:c>
      <x:c r="B107" s="35" t="n">
        <x:f>SUM(IF(AND(67&gt;='EDT Y TAREAS'!AK6,67&lt;'EDT Y TAREAS'!AL6),'EDT Y TAREAS'!AD6/'EDT Y TAREAS'!M6,0),IF(AND(67&gt;='EDT Y TAREAS'!AK7,67&lt;'EDT Y TAREAS'!AL7),'EDT Y TAREAS'!AD7/'EDT Y TAREAS'!M7,0),IF(AND(67&gt;='EDT Y TAREAS'!AK8,67&lt;'EDT Y TAREAS'!AL8),'EDT Y TAREAS'!AD8/'EDT Y TAREAS'!M8,0),IF(AND(67&gt;='EDT Y TAREAS'!AK9,67&lt;'EDT Y TAREAS'!AL9),'EDT Y TAREAS'!AD9/'EDT Y TAREAS'!M9,0),IF(AND(67&gt;='EDT Y TAREAS'!AK10,67&lt;'EDT Y TAREAS'!AL10),'EDT Y TAREAS'!AD10/'EDT Y TAREAS'!M10,0),IF(AND(67&gt;='EDT Y TAREAS'!AK11,67&lt;'EDT Y TAREAS'!AL11),'EDT Y TAREAS'!AD11/'EDT Y TAREAS'!M11,0),IF(AND(67&gt;='EDT Y TAREAS'!AK12,67&lt;'EDT Y TAREAS'!AL12),'EDT Y TAREAS'!AD12/'EDT Y TAREAS'!M12,0),IF(AND(67&gt;='EDT Y TAREAS'!AK13,67&lt;'EDT Y TAREAS'!AL13),'EDT Y TAREAS'!AD13/'EDT Y TAREAS'!M13,0),IF(AND(67&gt;='EDT Y TAREAS'!AK14,67&lt;'EDT Y TAREAS'!AL14),'EDT Y TAREAS'!AD14/'EDT Y TAREAS'!M14,0),IF(AND(67&gt;='EDT Y TAREAS'!AK15,67&lt;'EDT Y TAREAS'!AL15),'EDT Y TAREAS'!AD15/'EDT Y TAREAS'!M15,0),IF(AND(67&gt;='EDT Y TAREAS'!AK16,67&lt;'EDT Y TAREAS'!AL16),'EDT Y TAREAS'!AD16/'EDT Y TAREAS'!M16,0),IF(AND(67&gt;='EDT Y TAREAS'!AK17,67&lt;'EDT Y TAREAS'!AL17),'EDT Y TAREAS'!AD17/'EDT Y TAREAS'!M17,0),IF(AND(67&gt;='EDT Y TAREAS'!AK18,67&lt;'EDT Y TAREAS'!AL18),'EDT Y TAREAS'!AD18/'EDT Y TAREAS'!M18,0),IF(AND(67&gt;='EDT Y TAREAS'!AK19,67&lt;'EDT Y TAREAS'!AL19),'EDT Y TAREAS'!AD19/'EDT Y TAREAS'!M19,0),IF(AND(67&gt;='EDT Y TAREAS'!AK20,67&lt;'EDT Y TAREAS'!AL20),'EDT Y TAREAS'!AD20/'EDT Y TAREAS'!M20,0),IF(AND(67&gt;='EDT Y TAREAS'!AK21,67&lt;'EDT Y TAREAS'!AL21),'EDT Y TAREAS'!AD21/'EDT Y TAREAS'!M21,0),IF(AND(67&gt;='EDT Y TAREAS'!AK22,67&lt;'EDT Y TAREAS'!AL22),'EDT Y TAREAS'!AD22/'EDT Y TAREAS'!M22,0),IF(AND(67&gt;='EDT Y TAREAS'!AK23,67&lt;'EDT Y TAREAS'!AL23),'EDT Y TAREAS'!AD23/'EDT Y TAREAS'!M23,0),IF(AND(67&gt;='EDT Y TAREAS'!AK26,67&lt;'EDT Y TAREAS'!AL26),'EDT Y TAREAS'!AD26/'EDT Y TAREAS'!M26,0),IF(AND(67&gt;='EDT Y TAREAS'!AK28,67&lt;'EDT Y TAREAS'!AL28),'EDT Y TAREAS'!AD28/'EDT Y TAREAS'!M28,0),IF(AND(67&gt;='EDT Y TAREAS'!AK30,67&lt;'EDT Y TAREAS'!AL30),'EDT Y TAREAS'!AD30/'EDT Y TAREAS'!M30,0),IF(AND(67&gt;='EDT Y TAREAS'!AK32,67&lt;'EDT Y TAREAS'!AL32),'EDT Y TAREAS'!AD32/'EDT Y TAREAS'!M32,0),IF(AND(67&gt;='EDT Y TAREAS'!AK34,67&lt;'EDT Y TAREAS'!AL34),'EDT Y TAREAS'!AD34/'EDT Y TAREAS'!M34,0),IF(AND(67&gt;='EDT Y TAREAS'!AK38,67&lt;'EDT Y TAREAS'!AL38),'EDT Y TAREAS'!AD38/'EDT Y TAREAS'!M38,0),IF(AND(67&gt;='EDT Y TAREAS'!AK39,67&lt;'EDT Y TAREAS'!AL39),'EDT Y TAREAS'!AD39/'EDT Y TAREAS'!M39,0),IF(AND(67&gt;='EDT Y TAREAS'!AK43,67&lt;'EDT Y TAREAS'!AL43),'EDT Y TAREAS'!AD43/'EDT Y TAREAS'!M43,0),IF(AND(67&gt;='EDT Y TAREAS'!AK44,67&lt;'EDT Y TAREAS'!AL44),'EDT Y TAREAS'!AD44/'EDT Y TAREAS'!M44,0),IF(AND(67&gt;='EDT Y TAREAS'!AK45,67&lt;'EDT Y TAREAS'!AL45),'EDT Y TAREAS'!AD45/'EDT Y TAREAS'!M45,0),IF(AND(67&gt;='EDT Y TAREAS'!AK46,67&lt;'EDT Y TAREAS'!AL46),'EDT Y TAREAS'!AD46/'EDT Y TAREAS'!M46,0),IF(AND(67&gt;='EDT Y TAREAS'!AK47,67&lt;'EDT Y TAREAS'!AL47),'EDT Y TAREAS'!AD47/'EDT Y TAREAS'!M47,0),IF(AND(67&gt;='EDT Y TAREAS'!AK49,67&lt;'EDT Y TAREAS'!AL49),'EDT Y TAREAS'!AD49/'EDT Y TAREAS'!M49,0),IF(AND(67&gt;='EDT Y TAREAS'!AK50,67&lt;'EDT Y TAREAS'!AL50),'EDT Y TAREAS'!AD50/'EDT Y TAREAS'!M50,0),IF(AND(67&gt;='EDT Y TAREAS'!AK51,67&lt;'EDT Y TAREAS'!AL51),'EDT Y TAREAS'!AD51/'EDT Y TAREAS'!M51,0),IF(AND(67&gt;='EDT Y TAREAS'!AK52,67&lt;'EDT Y TAREAS'!AL52),'EDT Y TAREAS'!AD52/'EDT Y TAREAS'!M52,0))</x:f>
        <x:v>6</x:v>
      </x:c>
      <x:c r="C107" s="35" t="n">
        <x:f>SUM(IF(AND(67&gt;='EDT Y TAREAS'!AK6,67&lt;'EDT Y TAREAS'!AL6),'EDT Y TAREAS'!AE6/'EDT Y TAREAS'!M6,0),IF(AND(67&gt;='EDT Y TAREAS'!AK8,67&lt;'EDT Y TAREAS'!AL8),'EDT Y TAREAS'!AE8/'EDT Y TAREAS'!M8,0),IF(AND(67&gt;='EDT Y TAREAS'!AK9,67&lt;'EDT Y TAREAS'!AL9),'EDT Y TAREAS'!AE9/'EDT Y TAREAS'!M9,0),IF(AND(67&gt;='EDT Y TAREAS'!AK10,67&lt;'EDT Y TAREAS'!AL10),'EDT Y TAREAS'!AE10/'EDT Y TAREAS'!M10,0),IF(AND(67&gt;='EDT Y TAREAS'!AK12,67&lt;'EDT Y TAREAS'!AL12),'EDT Y TAREAS'!AE12/'EDT Y TAREAS'!M12,0),IF(AND(67&gt;='EDT Y TAREAS'!AK16,67&lt;'EDT Y TAREAS'!AL16),'EDT Y TAREAS'!AE16/'EDT Y TAREAS'!M16,0),IF(AND(67&gt;='EDT Y TAREAS'!AK21,67&lt;'EDT Y TAREAS'!AL21),'EDT Y TAREAS'!AE21/'EDT Y TAREAS'!M21,0),IF(AND(67&gt;='EDT Y TAREAS'!AK23,67&lt;'EDT Y TAREAS'!AL23),'EDT Y TAREAS'!AE23/'EDT Y TAREAS'!M23,0),IF(AND(67&gt;='EDT Y TAREAS'!AK37,67&lt;'EDT Y TAREAS'!AL37),'EDT Y TAREAS'!AE37/'EDT Y TAREAS'!M37,0),IF(AND(67&gt;='EDT Y TAREAS'!AK38,67&lt;'EDT Y TAREAS'!AL38),'EDT Y TAREAS'!AE38/'EDT Y TAREAS'!M38,0),IF(AND(67&gt;='EDT Y TAREAS'!AK41,67&lt;'EDT Y TAREAS'!AL41),'EDT Y TAREAS'!AE41/'EDT Y TAREAS'!M41,0),IF(AND(67&gt;='EDT Y TAREAS'!AK43,67&lt;'EDT Y TAREAS'!AL43),'EDT Y TAREAS'!AE43/'EDT Y TAREAS'!M43,0),IF(AND(67&gt;='EDT Y TAREAS'!AK44,67&lt;'EDT Y TAREAS'!AL44),'EDT Y TAREAS'!AE44/'EDT Y TAREAS'!M44,0),IF(AND(67&gt;='EDT Y TAREAS'!AK46,67&lt;'EDT Y TAREAS'!AL46),'EDT Y TAREAS'!AE46/'EDT Y TAREAS'!M46,0),IF(AND(67&gt;='EDT Y TAREAS'!AK47,67&lt;'EDT Y TAREAS'!AL47),'EDT Y TAREAS'!AE47/'EDT Y TAREAS'!M47,0),IF(AND(67&gt;='EDT Y TAREAS'!AK51,67&lt;'EDT Y TAREAS'!AL51),'EDT Y TAREAS'!AE51/'EDT Y TAREAS'!M51,0),IF(AND(67&gt;='EDT Y TAREAS'!AK52,67&lt;'EDT Y TAREAS'!AL52),'EDT Y TAREAS'!AE52/'EDT Y TAREAS'!M52,0))</x:f>
        <x:v>0</x:v>
      </x:c>
      <x:c r="D107" s="35" t="n">
        <x:f>SUM(IF(AND(67&gt;='EDT Y TAREAS'!AK11,67&lt;'EDT Y TAREAS'!AL11),'EDT Y TAREAS'!AF11/'EDT Y TAREAS'!M11,0),IF(AND(67&gt;='EDT Y TAREAS'!AK24,67&lt;'EDT Y TAREAS'!AL24),'EDT Y TAREAS'!AF24/'EDT Y TAREAS'!M24,0),IF(AND(67&gt;='EDT Y TAREAS'!AK25,67&lt;'EDT Y TAREAS'!AL25),'EDT Y TAREAS'!AF25/'EDT Y TAREAS'!M25,0),IF(AND(67&gt;='EDT Y TAREAS'!AK26,67&lt;'EDT Y TAREAS'!AL26),'EDT Y TAREAS'!AF26/'EDT Y TAREAS'!M26,0),IF(AND(67&gt;='EDT Y TAREAS'!AK27,67&lt;'EDT Y TAREAS'!AL27),'EDT Y TAREAS'!AF27/'EDT Y TAREAS'!M27,0),IF(AND(67&gt;='EDT Y TAREAS'!AK28,67&lt;'EDT Y TAREAS'!AL28),'EDT Y TAREAS'!AF28/'EDT Y TAREAS'!M28,0),IF(AND(67&gt;='EDT Y TAREAS'!AK31,67&lt;'EDT Y TAREAS'!AL31),'EDT Y TAREAS'!AF31/'EDT Y TAREAS'!M31,0),IF(AND(67&gt;='EDT Y TAREAS'!AK33,67&lt;'EDT Y TAREAS'!AL33),'EDT Y TAREAS'!AF33/'EDT Y TAREAS'!M33,0),IF(AND(67&gt;='EDT Y TAREAS'!AK34,67&lt;'EDT Y TAREAS'!AL34),'EDT Y TAREAS'!AF34/'EDT Y TAREAS'!M34,0),IF(AND(67&gt;='EDT Y TAREAS'!AK35,67&lt;'EDT Y TAREAS'!AL35),'EDT Y TAREAS'!AF35/'EDT Y TAREAS'!M35,0),IF(AND(67&gt;='EDT Y TAREAS'!AK37,67&lt;'EDT Y TAREAS'!AL37),'EDT Y TAREAS'!AF37/'EDT Y TAREAS'!M37,0),IF(AND(67&gt;='EDT Y TAREAS'!AK39,67&lt;'EDT Y TAREAS'!AL39),'EDT Y TAREAS'!AF39/'EDT Y TAREAS'!M39,0),IF(AND(67&gt;='EDT Y TAREAS'!AK40,67&lt;'EDT Y TAREAS'!AL40),'EDT Y TAREAS'!AF40/'EDT Y TAREAS'!M40,0),IF(AND(67&gt;='EDT Y TAREAS'!AK42,67&lt;'EDT Y TAREAS'!AL42),'EDT Y TAREAS'!AF42/'EDT Y TAREAS'!M42,0),IF(AND(67&gt;='EDT Y TAREAS'!AK45,67&lt;'EDT Y TAREAS'!AL45),'EDT Y TAREAS'!AF45/'EDT Y TAREAS'!M45,0),IF(AND(67&gt;='EDT Y TAREAS'!AK49,67&lt;'EDT Y TAREAS'!AL49),'EDT Y TAREAS'!AF49/'EDT Y TAREAS'!M49,0),IF(AND(67&gt;='EDT Y TAREAS'!AK52,67&lt;'EDT Y TAREAS'!AL52),'EDT Y TAREAS'!AF52/'EDT Y TAREAS'!M52,0))</x:f>
        <x:v>3.2</x:v>
      </x:c>
      <x:c r="E107" s="35" t="n">
        <x:f>SUM(IF(AND(67&gt;='EDT Y TAREAS'!AK29,67&lt;'EDT Y TAREAS'!AL29),'EDT Y TAREAS'!AG29/'EDT Y TAREAS'!M29,0),IF(AND(67&gt;='EDT Y TAREAS'!AK30,67&lt;'EDT Y TAREAS'!AL30),'EDT Y TAREAS'!AG30/'EDT Y TAREAS'!M30,0),IF(AND(67&gt;='EDT Y TAREAS'!AK31,67&lt;'EDT Y TAREAS'!AL31),'EDT Y TAREAS'!AG31/'EDT Y TAREAS'!M31,0),IF(AND(67&gt;='EDT Y TAREAS'!AK32,67&lt;'EDT Y TAREAS'!AL32),'EDT Y TAREAS'!AG32/'EDT Y TAREAS'!M32,0),IF(AND(67&gt;='EDT Y TAREAS'!AK41,67&lt;'EDT Y TAREAS'!AL41),'EDT Y TAREAS'!AG41/'EDT Y TAREAS'!M41,0),IF(AND(67&gt;='EDT Y TAREAS'!AK45,67&lt;'EDT Y TAREAS'!AL45),'EDT Y TAREAS'!AG45/'EDT Y TAREAS'!M45,0),IF(AND(67&gt;='EDT Y TAREAS'!AK48,67&lt;'EDT Y TAREAS'!AL48),'EDT Y TAREAS'!AG48/'EDT Y TAREAS'!M48,0))</x:f>
        <x:v>5.6</x:v>
      </x:c>
      <x:c r="F107" s="35" t="n">
        <x:f>SUM(IF(AND(67&gt;='EDT Y TAREAS'!AK10,67&lt;'EDT Y TAREAS'!AL10),'EDT Y TAREAS'!AH10/'EDT Y TAREAS'!M10,0),IF(AND(67&gt;='EDT Y TAREAS'!AK12,67&lt;'EDT Y TAREAS'!AL12),'EDT Y TAREAS'!AH12/'EDT Y TAREAS'!M12,0),IF(AND(67&gt;='EDT Y TAREAS'!AK22,67&lt;'EDT Y TAREAS'!AL22),'EDT Y TAREAS'!AH22/'EDT Y TAREAS'!M22,0),IF(AND(67&gt;='EDT Y TAREAS'!AK23,67&lt;'EDT Y TAREAS'!AL23),'EDT Y TAREAS'!AH23/'EDT Y TAREAS'!M23,0),IF(AND(67&gt;='EDT Y TAREAS'!AK29,67&lt;'EDT Y TAREAS'!AL29),'EDT Y TAREAS'!AH29/'EDT Y TAREAS'!M29,0),IF(AND(67&gt;='EDT Y TAREAS'!AK30,67&lt;'EDT Y TAREAS'!AL30),'EDT Y TAREAS'!AH30/'EDT Y TAREAS'!M30,0),IF(AND(67&gt;='EDT Y TAREAS'!AK32,67&lt;'EDT Y TAREAS'!AL32),'EDT Y TAREAS'!AH32/'EDT Y TAREAS'!M32,0),IF(AND(67&gt;='EDT Y TAREAS'!AK41,67&lt;'EDT Y TAREAS'!AL41),'EDT Y TAREAS'!AH41/'EDT Y TAREAS'!M41,0),IF(AND(67&gt;='EDT Y TAREAS'!AK44,67&lt;'EDT Y TAREAS'!AL44),'EDT Y TAREAS'!AH44/'EDT Y TAREAS'!M44,0),IF(AND(67&gt;='EDT Y TAREAS'!AK46,67&lt;'EDT Y TAREAS'!AL46),'EDT Y TAREAS'!AH46/'EDT Y TAREAS'!M46,0),IF(AND(67&gt;='EDT Y TAREAS'!AK48,67&lt;'EDT Y TAREAS'!AL48),'EDT Y TAREAS'!AH48/'EDT Y TAREAS'!M48,0))</x:f>
        <x:v>0.8</x:v>
      </x:c>
      <x:c r="G107" s="35" t="n">
        <x:f>SUM(IF(AND(67&gt;='EDT Y TAREAS'!AK20,67&lt;'EDT Y TAREAS'!AL20),'EDT Y TAREAS'!AI20/'EDT Y TAREAS'!M20,0),IF(AND(67&gt;='EDT Y TAREAS'!AK25,67&lt;'EDT Y TAREAS'!AL25),'EDT Y TAREAS'!AI25/'EDT Y TAREAS'!M25,0),IF(AND(67&gt;='EDT Y TAREAS'!AK33,67&lt;'EDT Y TAREAS'!AL33),'EDT Y TAREAS'!AI33/'EDT Y TAREAS'!M33,0),IF(AND(67&gt;='EDT Y TAREAS'!AK34,67&lt;'EDT Y TAREAS'!AL34),'EDT Y TAREAS'!AI34/'EDT Y TAREAS'!M34,0),IF(AND(67&gt;='EDT Y TAREAS'!AK36,67&lt;'EDT Y TAREAS'!AL36),'EDT Y TAREAS'!AI36/'EDT Y TAREAS'!M36,0),IF(AND(67&gt;='EDT Y TAREAS'!AK39,67&lt;'EDT Y TAREAS'!AL39),'EDT Y TAREAS'!AI39/'EDT Y TAREAS'!M39,0),IF(AND(67&gt;='EDT Y TAREAS'!AK40,67&lt;'EDT Y TAREAS'!AL40),'EDT Y TAREAS'!AI40/'EDT Y TAREAS'!M40,0),IF(AND(67&gt;='EDT Y TAREAS'!AK42,67&lt;'EDT Y TAREAS'!AL42),'EDT Y TAREAS'!AI42/'EDT Y TAREAS'!M42,0),IF(AND(67&gt;='EDT Y TAREAS'!AK43,67&lt;'EDT Y TAREAS'!AL43),'EDT Y TAREAS'!AI43/'EDT Y TAREAS'!M43,0),IF(AND(67&gt;='EDT Y TAREAS'!AK44,67&lt;'EDT Y TAREAS'!AL44),'EDT Y TAREAS'!AI44/'EDT Y TAREAS'!M44,0),IF(AND(67&gt;='EDT Y TAREAS'!AK45,67&lt;'EDT Y TAREAS'!AL45),'EDT Y TAREAS'!AI45/'EDT Y TAREAS'!M45,0),IF(AND(67&gt;='EDT Y TAREAS'!AK46,67&lt;'EDT Y TAREAS'!AL46),'EDT Y TAREAS'!AI46/'EDT Y TAREAS'!M46,0),IF(AND(67&gt;='EDT Y TAREAS'!AK48,67&lt;'EDT Y TAREAS'!AL48),'EDT Y TAREAS'!AI48/'EDT Y TAREAS'!M48,0),IF(AND(67&gt;='EDT Y TAREAS'!AK50,67&lt;'EDT Y TAREAS'!AL50),'EDT Y TAREAS'!AI50/'EDT Y TAREAS'!M50,0),IF(AND(67&gt;='EDT Y TAREAS'!AK52,67&lt;'EDT Y TAREAS'!AL52),'EDT Y TAREAS'!AI52/'EDT Y TAREAS'!M52,0))</x:f>
        <x:v>1.6</x:v>
      </x:c>
      <x:c r="H107" s="35" t="n">
        <x:f>SUM(IF(AND(67&gt;='EDT Y TAREAS'!AK11,67&lt;'EDT Y TAREAS'!AL11),'EDT Y TAREAS'!AJ11/'EDT Y TAREAS'!M11,0),IF(AND(67&gt;='EDT Y TAREAS'!AK24,67&lt;'EDT Y TAREAS'!AL24),'EDT Y TAREAS'!AJ24/'EDT Y TAREAS'!M24,0),IF(AND(67&gt;='EDT Y TAREAS'!AK27,67&lt;'EDT Y TAREAS'!AL27),'EDT Y TAREAS'!AJ27/'EDT Y TAREAS'!M27,0),IF(AND(67&gt;='EDT Y TAREAS'!AK28,67&lt;'EDT Y TAREAS'!AL28),'EDT Y TAREAS'!AJ28/'EDT Y TAREAS'!M28,0),IF(AND(67&gt;='EDT Y TAREAS'!AK33,67&lt;'EDT Y TAREAS'!AL33),'EDT Y TAREAS'!AJ33/'EDT Y TAREAS'!M33,0),IF(AND(67&gt;='EDT Y TAREAS'!AK35,67&lt;'EDT Y TAREAS'!AL35),'EDT Y TAREAS'!AJ35/'EDT Y TAREAS'!M35,0),IF(AND(67&gt;='EDT Y TAREAS'!AK36,67&lt;'EDT Y TAREAS'!AL36),'EDT Y TAREAS'!AJ36/'EDT Y TAREAS'!M36,0),IF(AND(67&gt;='EDT Y TAREAS'!AK37,67&lt;'EDT Y TAREAS'!AL37),'EDT Y TAREAS'!AJ37/'EDT Y TAREAS'!M37,0),IF(AND(67&gt;='EDT Y TAREAS'!AK40,67&lt;'EDT Y TAREAS'!AL40),'EDT Y TAREAS'!AJ40/'EDT Y TAREAS'!M40,0),IF(AND(67&gt;='EDT Y TAREAS'!AK42,67&lt;'EDT Y TAREAS'!AL42),'EDT Y TAREAS'!AJ42/'EDT Y TAREAS'!M42,0),IF(AND(67&gt;='EDT Y TAREAS'!AK49,67&lt;'EDT Y TAREAS'!AL49),'EDT Y TAREAS'!AJ49/'EDT Y TAREAS'!M49,0),IF(AND(67&gt;='EDT Y TAREAS'!AK50,67&lt;'EDT Y TAREAS'!AL50),'EDT Y TAREAS'!AJ50/'EDT Y TAREAS'!M50,0),IF(AND(67&gt;='EDT Y TAREAS'!AK51,67&lt;'EDT Y TAREAS'!AL51),'EDT Y TAREAS'!AJ51/'EDT Y TAREAS'!M51,0),IF(AND(67&gt;='EDT Y TAREAS'!AK52,67&lt;'EDT Y TAREAS'!AL52),'EDT Y TAREAS'!AJ52/'EDT Y TAREAS'!M52,0))</x:f>
        <x:v>1.6</x:v>
      </x:c>
      <x:c r="I107" s="10" t="n">
        <x:f>WORKDAY('RESUMEN'!$D$3-1,A107,'RESUMEN'!$J$6:$J$25)</x:f>
        <x:v>46421</x:v>
      </x:c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  <x:c r="AO107" s="3"/>
    </x:row>
    <x:row r="108" ht="24" customHeight="1">
      <x:c r="A108" s="3" t="n">
        <x:v>69</x:v>
      </x:c>
      <x:c r="B108" s="35" t="n">
        <x:f>SUM(IF(AND(68&gt;='EDT Y TAREAS'!AK6,68&lt;'EDT Y TAREAS'!AL6),'EDT Y TAREAS'!AD6/'EDT Y TAREAS'!M6,0),IF(AND(68&gt;='EDT Y TAREAS'!AK7,68&lt;'EDT Y TAREAS'!AL7),'EDT Y TAREAS'!AD7/'EDT Y TAREAS'!M7,0),IF(AND(68&gt;='EDT Y TAREAS'!AK8,68&lt;'EDT Y TAREAS'!AL8),'EDT Y TAREAS'!AD8/'EDT Y TAREAS'!M8,0),IF(AND(68&gt;='EDT Y TAREAS'!AK9,68&lt;'EDT Y TAREAS'!AL9),'EDT Y TAREAS'!AD9/'EDT Y TAREAS'!M9,0),IF(AND(68&gt;='EDT Y TAREAS'!AK10,68&lt;'EDT Y TAREAS'!AL10),'EDT Y TAREAS'!AD10/'EDT Y TAREAS'!M10,0),IF(AND(68&gt;='EDT Y TAREAS'!AK11,68&lt;'EDT Y TAREAS'!AL11),'EDT Y TAREAS'!AD11/'EDT Y TAREAS'!M11,0),IF(AND(68&gt;='EDT Y TAREAS'!AK12,68&lt;'EDT Y TAREAS'!AL12),'EDT Y TAREAS'!AD12/'EDT Y TAREAS'!M12,0),IF(AND(68&gt;='EDT Y TAREAS'!AK13,68&lt;'EDT Y TAREAS'!AL13),'EDT Y TAREAS'!AD13/'EDT Y TAREAS'!M13,0),IF(AND(68&gt;='EDT Y TAREAS'!AK14,68&lt;'EDT Y TAREAS'!AL14),'EDT Y TAREAS'!AD14/'EDT Y TAREAS'!M14,0),IF(AND(68&gt;='EDT Y TAREAS'!AK15,68&lt;'EDT Y TAREAS'!AL15),'EDT Y TAREAS'!AD15/'EDT Y TAREAS'!M15,0),IF(AND(68&gt;='EDT Y TAREAS'!AK16,68&lt;'EDT Y TAREAS'!AL16),'EDT Y TAREAS'!AD16/'EDT Y TAREAS'!M16,0),IF(AND(68&gt;='EDT Y TAREAS'!AK17,68&lt;'EDT Y TAREAS'!AL17),'EDT Y TAREAS'!AD17/'EDT Y TAREAS'!M17,0),IF(AND(68&gt;='EDT Y TAREAS'!AK18,68&lt;'EDT Y TAREAS'!AL18),'EDT Y TAREAS'!AD18/'EDT Y TAREAS'!M18,0),IF(AND(68&gt;='EDT Y TAREAS'!AK19,68&lt;'EDT Y TAREAS'!AL19),'EDT Y TAREAS'!AD19/'EDT Y TAREAS'!M19,0),IF(AND(68&gt;='EDT Y TAREAS'!AK20,68&lt;'EDT Y TAREAS'!AL20),'EDT Y TAREAS'!AD20/'EDT Y TAREAS'!M20,0),IF(AND(68&gt;='EDT Y TAREAS'!AK21,68&lt;'EDT Y TAREAS'!AL21),'EDT Y TAREAS'!AD21/'EDT Y TAREAS'!M21,0),IF(AND(68&gt;='EDT Y TAREAS'!AK22,68&lt;'EDT Y TAREAS'!AL22),'EDT Y TAREAS'!AD22/'EDT Y TAREAS'!M22,0),IF(AND(68&gt;='EDT Y TAREAS'!AK23,68&lt;'EDT Y TAREAS'!AL23),'EDT Y TAREAS'!AD23/'EDT Y TAREAS'!M23,0),IF(AND(68&gt;='EDT Y TAREAS'!AK26,68&lt;'EDT Y TAREAS'!AL26),'EDT Y TAREAS'!AD26/'EDT Y TAREAS'!M26,0),IF(AND(68&gt;='EDT Y TAREAS'!AK28,68&lt;'EDT Y TAREAS'!AL28),'EDT Y TAREAS'!AD28/'EDT Y TAREAS'!M28,0),IF(AND(68&gt;='EDT Y TAREAS'!AK30,68&lt;'EDT Y TAREAS'!AL30),'EDT Y TAREAS'!AD30/'EDT Y TAREAS'!M30,0),IF(AND(68&gt;='EDT Y TAREAS'!AK32,68&lt;'EDT Y TAREAS'!AL32),'EDT Y TAREAS'!AD32/'EDT Y TAREAS'!M32,0),IF(AND(68&gt;='EDT Y TAREAS'!AK34,68&lt;'EDT Y TAREAS'!AL34),'EDT Y TAREAS'!AD34/'EDT Y TAREAS'!M34,0),IF(AND(68&gt;='EDT Y TAREAS'!AK38,68&lt;'EDT Y TAREAS'!AL38),'EDT Y TAREAS'!AD38/'EDT Y TAREAS'!M38,0),IF(AND(68&gt;='EDT Y TAREAS'!AK39,68&lt;'EDT Y TAREAS'!AL39),'EDT Y TAREAS'!AD39/'EDT Y TAREAS'!M39,0),IF(AND(68&gt;='EDT Y TAREAS'!AK43,68&lt;'EDT Y TAREAS'!AL43),'EDT Y TAREAS'!AD43/'EDT Y TAREAS'!M43,0),IF(AND(68&gt;='EDT Y TAREAS'!AK44,68&lt;'EDT Y TAREAS'!AL44),'EDT Y TAREAS'!AD44/'EDT Y TAREAS'!M44,0),IF(AND(68&gt;='EDT Y TAREAS'!AK45,68&lt;'EDT Y TAREAS'!AL45),'EDT Y TAREAS'!AD45/'EDT Y TAREAS'!M45,0),IF(AND(68&gt;='EDT Y TAREAS'!AK46,68&lt;'EDT Y TAREAS'!AL46),'EDT Y TAREAS'!AD46/'EDT Y TAREAS'!M46,0),IF(AND(68&gt;='EDT Y TAREAS'!AK47,68&lt;'EDT Y TAREAS'!AL47),'EDT Y TAREAS'!AD47/'EDT Y TAREAS'!M47,0),IF(AND(68&gt;='EDT Y TAREAS'!AK49,68&lt;'EDT Y TAREAS'!AL49),'EDT Y TAREAS'!AD49/'EDT Y TAREAS'!M49,0),IF(AND(68&gt;='EDT Y TAREAS'!AK50,68&lt;'EDT Y TAREAS'!AL50),'EDT Y TAREAS'!AD50/'EDT Y TAREAS'!M50,0),IF(AND(68&gt;='EDT Y TAREAS'!AK51,68&lt;'EDT Y TAREAS'!AL51),'EDT Y TAREAS'!AD51/'EDT Y TAREAS'!M51,0),IF(AND(68&gt;='EDT Y TAREAS'!AK52,68&lt;'EDT Y TAREAS'!AL52),'EDT Y TAREAS'!AD52/'EDT Y TAREAS'!M52,0))</x:f>
        <x:v>6</x:v>
      </x:c>
      <x:c r="C108" s="35" t="n">
        <x:f>SUM(IF(AND(68&gt;='EDT Y TAREAS'!AK6,68&lt;'EDT Y TAREAS'!AL6),'EDT Y TAREAS'!AE6/'EDT Y TAREAS'!M6,0),IF(AND(68&gt;='EDT Y TAREAS'!AK8,68&lt;'EDT Y TAREAS'!AL8),'EDT Y TAREAS'!AE8/'EDT Y TAREAS'!M8,0),IF(AND(68&gt;='EDT Y TAREAS'!AK9,68&lt;'EDT Y TAREAS'!AL9),'EDT Y TAREAS'!AE9/'EDT Y TAREAS'!M9,0),IF(AND(68&gt;='EDT Y TAREAS'!AK10,68&lt;'EDT Y TAREAS'!AL10),'EDT Y TAREAS'!AE10/'EDT Y TAREAS'!M10,0),IF(AND(68&gt;='EDT Y TAREAS'!AK12,68&lt;'EDT Y TAREAS'!AL12),'EDT Y TAREAS'!AE12/'EDT Y TAREAS'!M12,0),IF(AND(68&gt;='EDT Y TAREAS'!AK16,68&lt;'EDT Y TAREAS'!AL16),'EDT Y TAREAS'!AE16/'EDT Y TAREAS'!M16,0),IF(AND(68&gt;='EDT Y TAREAS'!AK21,68&lt;'EDT Y TAREAS'!AL21),'EDT Y TAREAS'!AE21/'EDT Y TAREAS'!M21,0),IF(AND(68&gt;='EDT Y TAREAS'!AK23,68&lt;'EDT Y TAREAS'!AL23),'EDT Y TAREAS'!AE23/'EDT Y TAREAS'!M23,0),IF(AND(68&gt;='EDT Y TAREAS'!AK37,68&lt;'EDT Y TAREAS'!AL37),'EDT Y TAREAS'!AE37/'EDT Y TAREAS'!M37,0),IF(AND(68&gt;='EDT Y TAREAS'!AK38,68&lt;'EDT Y TAREAS'!AL38),'EDT Y TAREAS'!AE38/'EDT Y TAREAS'!M38,0),IF(AND(68&gt;='EDT Y TAREAS'!AK41,68&lt;'EDT Y TAREAS'!AL41),'EDT Y TAREAS'!AE41/'EDT Y TAREAS'!M41,0),IF(AND(68&gt;='EDT Y TAREAS'!AK43,68&lt;'EDT Y TAREAS'!AL43),'EDT Y TAREAS'!AE43/'EDT Y TAREAS'!M43,0),IF(AND(68&gt;='EDT Y TAREAS'!AK44,68&lt;'EDT Y TAREAS'!AL44),'EDT Y TAREAS'!AE44/'EDT Y TAREAS'!M44,0),IF(AND(68&gt;='EDT Y TAREAS'!AK46,68&lt;'EDT Y TAREAS'!AL46),'EDT Y TAREAS'!AE46/'EDT Y TAREAS'!M46,0),IF(AND(68&gt;='EDT Y TAREAS'!AK47,68&lt;'EDT Y TAREAS'!AL47),'EDT Y TAREAS'!AE47/'EDT Y TAREAS'!M47,0),IF(AND(68&gt;='EDT Y TAREAS'!AK51,68&lt;'EDT Y TAREAS'!AL51),'EDT Y TAREAS'!AE51/'EDT Y TAREAS'!M51,0),IF(AND(68&gt;='EDT Y TAREAS'!AK52,68&lt;'EDT Y TAREAS'!AL52),'EDT Y TAREAS'!AE52/'EDT Y TAREAS'!M52,0))</x:f>
        <x:v>0</x:v>
      </x:c>
      <x:c r="D108" s="35" t="n">
        <x:f>SUM(IF(AND(68&gt;='EDT Y TAREAS'!AK11,68&lt;'EDT Y TAREAS'!AL11),'EDT Y TAREAS'!AF11/'EDT Y TAREAS'!M11,0),IF(AND(68&gt;='EDT Y TAREAS'!AK24,68&lt;'EDT Y TAREAS'!AL24),'EDT Y TAREAS'!AF24/'EDT Y TAREAS'!M24,0),IF(AND(68&gt;='EDT Y TAREAS'!AK25,68&lt;'EDT Y TAREAS'!AL25),'EDT Y TAREAS'!AF25/'EDT Y TAREAS'!M25,0),IF(AND(68&gt;='EDT Y TAREAS'!AK26,68&lt;'EDT Y TAREAS'!AL26),'EDT Y TAREAS'!AF26/'EDT Y TAREAS'!M26,0),IF(AND(68&gt;='EDT Y TAREAS'!AK27,68&lt;'EDT Y TAREAS'!AL27),'EDT Y TAREAS'!AF27/'EDT Y TAREAS'!M27,0),IF(AND(68&gt;='EDT Y TAREAS'!AK28,68&lt;'EDT Y TAREAS'!AL28),'EDT Y TAREAS'!AF28/'EDT Y TAREAS'!M28,0),IF(AND(68&gt;='EDT Y TAREAS'!AK31,68&lt;'EDT Y TAREAS'!AL31),'EDT Y TAREAS'!AF31/'EDT Y TAREAS'!M31,0),IF(AND(68&gt;='EDT Y TAREAS'!AK33,68&lt;'EDT Y TAREAS'!AL33),'EDT Y TAREAS'!AF33/'EDT Y TAREAS'!M33,0),IF(AND(68&gt;='EDT Y TAREAS'!AK34,68&lt;'EDT Y TAREAS'!AL34),'EDT Y TAREAS'!AF34/'EDT Y TAREAS'!M34,0),IF(AND(68&gt;='EDT Y TAREAS'!AK35,68&lt;'EDT Y TAREAS'!AL35),'EDT Y TAREAS'!AF35/'EDT Y TAREAS'!M35,0),IF(AND(68&gt;='EDT Y TAREAS'!AK37,68&lt;'EDT Y TAREAS'!AL37),'EDT Y TAREAS'!AF37/'EDT Y TAREAS'!M37,0),IF(AND(68&gt;='EDT Y TAREAS'!AK39,68&lt;'EDT Y TAREAS'!AL39),'EDT Y TAREAS'!AF39/'EDT Y TAREAS'!M39,0),IF(AND(68&gt;='EDT Y TAREAS'!AK40,68&lt;'EDT Y TAREAS'!AL40),'EDT Y TAREAS'!AF40/'EDT Y TAREAS'!M40,0),IF(AND(68&gt;='EDT Y TAREAS'!AK42,68&lt;'EDT Y TAREAS'!AL42),'EDT Y TAREAS'!AF42/'EDT Y TAREAS'!M42,0),IF(AND(68&gt;='EDT Y TAREAS'!AK45,68&lt;'EDT Y TAREAS'!AL45),'EDT Y TAREAS'!AF45/'EDT Y TAREAS'!M45,0),IF(AND(68&gt;='EDT Y TAREAS'!AK49,68&lt;'EDT Y TAREAS'!AL49),'EDT Y TAREAS'!AF49/'EDT Y TAREAS'!M49,0),IF(AND(68&gt;='EDT Y TAREAS'!AK52,68&lt;'EDT Y TAREAS'!AL52),'EDT Y TAREAS'!AF52/'EDT Y TAREAS'!M52,0))</x:f>
        <x:v>3.2</x:v>
      </x:c>
      <x:c r="E108" s="35" t="n">
        <x:f>SUM(IF(AND(68&gt;='EDT Y TAREAS'!AK29,68&lt;'EDT Y TAREAS'!AL29),'EDT Y TAREAS'!AG29/'EDT Y TAREAS'!M29,0),IF(AND(68&gt;='EDT Y TAREAS'!AK30,68&lt;'EDT Y TAREAS'!AL30),'EDT Y TAREAS'!AG30/'EDT Y TAREAS'!M30,0),IF(AND(68&gt;='EDT Y TAREAS'!AK31,68&lt;'EDT Y TAREAS'!AL31),'EDT Y TAREAS'!AG31/'EDT Y TAREAS'!M31,0),IF(AND(68&gt;='EDT Y TAREAS'!AK32,68&lt;'EDT Y TAREAS'!AL32),'EDT Y TAREAS'!AG32/'EDT Y TAREAS'!M32,0),IF(AND(68&gt;='EDT Y TAREAS'!AK41,68&lt;'EDT Y TAREAS'!AL41),'EDT Y TAREAS'!AG41/'EDT Y TAREAS'!M41,0),IF(AND(68&gt;='EDT Y TAREAS'!AK45,68&lt;'EDT Y TAREAS'!AL45),'EDT Y TAREAS'!AG45/'EDT Y TAREAS'!M45,0),IF(AND(68&gt;='EDT Y TAREAS'!AK48,68&lt;'EDT Y TAREAS'!AL48),'EDT Y TAREAS'!AG48/'EDT Y TAREAS'!M48,0))</x:f>
        <x:v>5.6</x:v>
      </x:c>
      <x:c r="F108" s="35" t="n">
        <x:f>SUM(IF(AND(68&gt;='EDT Y TAREAS'!AK10,68&lt;'EDT Y TAREAS'!AL10),'EDT Y TAREAS'!AH10/'EDT Y TAREAS'!M10,0),IF(AND(68&gt;='EDT Y TAREAS'!AK12,68&lt;'EDT Y TAREAS'!AL12),'EDT Y TAREAS'!AH12/'EDT Y TAREAS'!M12,0),IF(AND(68&gt;='EDT Y TAREAS'!AK22,68&lt;'EDT Y TAREAS'!AL22),'EDT Y TAREAS'!AH22/'EDT Y TAREAS'!M22,0),IF(AND(68&gt;='EDT Y TAREAS'!AK23,68&lt;'EDT Y TAREAS'!AL23),'EDT Y TAREAS'!AH23/'EDT Y TAREAS'!M23,0),IF(AND(68&gt;='EDT Y TAREAS'!AK29,68&lt;'EDT Y TAREAS'!AL29),'EDT Y TAREAS'!AH29/'EDT Y TAREAS'!M29,0),IF(AND(68&gt;='EDT Y TAREAS'!AK30,68&lt;'EDT Y TAREAS'!AL30),'EDT Y TAREAS'!AH30/'EDT Y TAREAS'!M30,0),IF(AND(68&gt;='EDT Y TAREAS'!AK32,68&lt;'EDT Y TAREAS'!AL32),'EDT Y TAREAS'!AH32/'EDT Y TAREAS'!M32,0),IF(AND(68&gt;='EDT Y TAREAS'!AK41,68&lt;'EDT Y TAREAS'!AL41),'EDT Y TAREAS'!AH41/'EDT Y TAREAS'!M41,0),IF(AND(68&gt;='EDT Y TAREAS'!AK44,68&lt;'EDT Y TAREAS'!AL44),'EDT Y TAREAS'!AH44/'EDT Y TAREAS'!M44,0),IF(AND(68&gt;='EDT Y TAREAS'!AK46,68&lt;'EDT Y TAREAS'!AL46),'EDT Y TAREAS'!AH46/'EDT Y TAREAS'!M46,0),IF(AND(68&gt;='EDT Y TAREAS'!AK48,68&lt;'EDT Y TAREAS'!AL48),'EDT Y TAREAS'!AH48/'EDT Y TAREAS'!M48,0))</x:f>
        <x:v>0.8</x:v>
      </x:c>
      <x:c r="G108" s="35" t="n">
        <x:f>SUM(IF(AND(68&gt;='EDT Y TAREAS'!AK20,68&lt;'EDT Y TAREAS'!AL20),'EDT Y TAREAS'!AI20/'EDT Y TAREAS'!M20,0),IF(AND(68&gt;='EDT Y TAREAS'!AK25,68&lt;'EDT Y TAREAS'!AL25),'EDT Y TAREAS'!AI25/'EDT Y TAREAS'!M25,0),IF(AND(68&gt;='EDT Y TAREAS'!AK33,68&lt;'EDT Y TAREAS'!AL33),'EDT Y TAREAS'!AI33/'EDT Y TAREAS'!M33,0),IF(AND(68&gt;='EDT Y TAREAS'!AK34,68&lt;'EDT Y TAREAS'!AL34),'EDT Y TAREAS'!AI34/'EDT Y TAREAS'!M34,0),IF(AND(68&gt;='EDT Y TAREAS'!AK36,68&lt;'EDT Y TAREAS'!AL36),'EDT Y TAREAS'!AI36/'EDT Y TAREAS'!M36,0),IF(AND(68&gt;='EDT Y TAREAS'!AK39,68&lt;'EDT Y TAREAS'!AL39),'EDT Y TAREAS'!AI39/'EDT Y TAREAS'!M39,0),IF(AND(68&gt;='EDT Y TAREAS'!AK40,68&lt;'EDT Y TAREAS'!AL40),'EDT Y TAREAS'!AI40/'EDT Y TAREAS'!M40,0),IF(AND(68&gt;='EDT Y TAREAS'!AK42,68&lt;'EDT Y TAREAS'!AL42),'EDT Y TAREAS'!AI42/'EDT Y TAREAS'!M42,0),IF(AND(68&gt;='EDT Y TAREAS'!AK43,68&lt;'EDT Y TAREAS'!AL43),'EDT Y TAREAS'!AI43/'EDT Y TAREAS'!M43,0),IF(AND(68&gt;='EDT Y TAREAS'!AK44,68&lt;'EDT Y TAREAS'!AL44),'EDT Y TAREAS'!AI44/'EDT Y TAREAS'!M44,0),IF(AND(68&gt;='EDT Y TAREAS'!AK45,68&lt;'EDT Y TAREAS'!AL45),'EDT Y TAREAS'!AI45/'EDT Y TAREAS'!M45,0),IF(AND(68&gt;='EDT Y TAREAS'!AK46,68&lt;'EDT Y TAREAS'!AL46),'EDT Y TAREAS'!AI46/'EDT Y TAREAS'!M46,0),IF(AND(68&gt;='EDT Y TAREAS'!AK48,68&lt;'EDT Y TAREAS'!AL48),'EDT Y TAREAS'!AI48/'EDT Y TAREAS'!M48,0),IF(AND(68&gt;='EDT Y TAREAS'!AK50,68&lt;'EDT Y TAREAS'!AL50),'EDT Y TAREAS'!AI50/'EDT Y TAREAS'!M50,0),IF(AND(68&gt;='EDT Y TAREAS'!AK52,68&lt;'EDT Y TAREAS'!AL52),'EDT Y TAREAS'!AI52/'EDT Y TAREAS'!M52,0))</x:f>
        <x:v>1.6</x:v>
      </x:c>
      <x:c r="H108" s="35" t="n">
        <x:f>SUM(IF(AND(68&gt;='EDT Y TAREAS'!AK11,68&lt;'EDT Y TAREAS'!AL11),'EDT Y TAREAS'!AJ11/'EDT Y TAREAS'!M11,0),IF(AND(68&gt;='EDT Y TAREAS'!AK24,68&lt;'EDT Y TAREAS'!AL24),'EDT Y TAREAS'!AJ24/'EDT Y TAREAS'!M24,0),IF(AND(68&gt;='EDT Y TAREAS'!AK27,68&lt;'EDT Y TAREAS'!AL27),'EDT Y TAREAS'!AJ27/'EDT Y TAREAS'!M27,0),IF(AND(68&gt;='EDT Y TAREAS'!AK28,68&lt;'EDT Y TAREAS'!AL28),'EDT Y TAREAS'!AJ28/'EDT Y TAREAS'!M28,0),IF(AND(68&gt;='EDT Y TAREAS'!AK33,68&lt;'EDT Y TAREAS'!AL33),'EDT Y TAREAS'!AJ33/'EDT Y TAREAS'!M33,0),IF(AND(68&gt;='EDT Y TAREAS'!AK35,68&lt;'EDT Y TAREAS'!AL35),'EDT Y TAREAS'!AJ35/'EDT Y TAREAS'!M35,0),IF(AND(68&gt;='EDT Y TAREAS'!AK36,68&lt;'EDT Y TAREAS'!AL36),'EDT Y TAREAS'!AJ36/'EDT Y TAREAS'!M36,0),IF(AND(68&gt;='EDT Y TAREAS'!AK37,68&lt;'EDT Y TAREAS'!AL37),'EDT Y TAREAS'!AJ37/'EDT Y TAREAS'!M37,0),IF(AND(68&gt;='EDT Y TAREAS'!AK40,68&lt;'EDT Y TAREAS'!AL40),'EDT Y TAREAS'!AJ40/'EDT Y TAREAS'!M40,0),IF(AND(68&gt;='EDT Y TAREAS'!AK42,68&lt;'EDT Y TAREAS'!AL42),'EDT Y TAREAS'!AJ42/'EDT Y TAREAS'!M42,0),IF(AND(68&gt;='EDT Y TAREAS'!AK49,68&lt;'EDT Y TAREAS'!AL49),'EDT Y TAREAS'!AJ49/'EDT Y TAREAS'!M49,0),IF(AND(68&gt;='EDT Y TAREAS'!AK50,68&lt;'EDT Y TAREAS'!AL50),'EDT Y TAREAS'!AJ50/'EDT Y TAREAS'!M50,0),IF(AND(68&gt;='EDT Y TAREAS'!AK51,68&lt;'EDT Y TAREAS'!AL51),'EDT Y TAREAS'!AJ51/'EDT Y TAREAS'!M51,0),IF(AND(68&gt;='EDT Y TAREAS'!AK52,68&lt;'EDT Y TAREAS'!AL52),'EDT Y TAREAS'!AJ52/'EDT Y TAREAS'!M52,0))</x:f>
        <x:v>1.6</x:v>
      </x:c>
      <x:c r="I108" s="10" t="n">
        <x:f>WORKDAY('RESUMEN'!$D$3-1,A108,'RESUMEN'!$J$6:$J$25)</x:f>
        <x:v>46422</x:v>
      </x:c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  <x:c r="AO108" s="3"/>
    </x:row>
    <x:row r="109" ht="24" customHeight="1">
      <x:c r="A109" s="3" t="n">
        <x:v>70</x:v>
      </x:c>
      <x:c r="B109" s="35" t="n">
        <x:f>SUM(IF(AND(69&gt;='EDT Y TAREAS'!AK6,69&lt;'EDT Y TAREAS'!AL6),'EDT Y TAREAS'!AD6/'EDT Y TAREAS'!M6,0),IF(AND(69&gt;='EDT Y TAREAS'!AK7,69&lt;'EDT Y TAREAS'!AL7),'EDT Y TAREAS'!AD7/'EDT Y TAREAS'!M7,0),IF(AND(69&gt;='EDT Y TAREAS'!AK8,69&lt;'EDT Y TAREAS'!AL8),'EDT Y TAREAS'!AD8/'EDT Y TAREAS'!M8,0),IF(AND(69&gt;='EDT Y TAREAS'!AK9,69&lt;'EDT Y TAREAS'!AL9),'EDT Y TAREAS'!AD9/'EDT Y TAREAS'!M9,0),IF(AND(69&gt;='EDT Y TAREAS'!AK10,69&lt;'EDT Y TAREAS'!AL10),'EDT Y TAREAS'!AD10/'EDT Y TAREAS'!M10,0),IF(AND(69&gt;='EDT Y TAREAS'!AK11,69&lt;'EDT Y TAREAS'!AL11),'EDT Y TAREAS'!AD11/'EDT Y TAREAS'!M11,0),IF(AND(69&gt;='EDT Y TAREAS'!AK12,69&lt;'EDT Y TAREAS'!AL12),'EDT Y TAREAS'!AD12/'EDT Y TAREAS'!M12,0),IF(AND(69&gt;='EDT Y TAREAS'!AK13,69&lt;'EDT Y TAREAS'!AL13),'EDT Y TAREAS'!AD13/'EDT Y TAREAS'!M13,0),IF(AND(69&gt;='EDT Y TAREAS'!AK14,69&lt;'EDT Y TAREAS'!AL14),'EDT Y TAREAS'!AD14/'EDT Y TAREAS'!M14,0),IF(AND(69&gt;='EDT Y TAREAS'!AK15,69&lt;'EDT Y TAREAS'!AL15),'EDT Y TAREAS'!AD15/'EDT Y TAREAS'!M15,0),IF(AND(69&gt;='EDT Y TAREAS'!AK16,69&lt;'EDT Y TAREAS'!AL16),'EDT Y TAREAS'!AD16/'EDT Y TAREAS'!M16,0),IF(AND(69&gt;='EDT Y TAREAS'!AK17,69&lt;'EDT Y TAREAS'!AL17),'EDT Y TAREAS'!AD17/'EDT Y TAREAS'!M17,0),IF(AND(69&gt;='EDT Y TAREAS'!AK18,69&lt;'EDT Y TAREAS'!AL18),'EDT Y TAREAS'!AD18/'EDT Y TAREAS'!M18,0),IF(AND(69&gt;='EDT Y TAREAS'!AK19,69&lt;'EDT Y TAREAS'!AL19),'EDT Y TAREAS'!AD19/'EDT Y TAREAS'!M19,0),IF(AND(69&gt;='EDT Y TAREAS'!AK20,69&lt;'EDT Y TAREAS'!AL20),'EDT Y TAREAS'!AD20/'EDT Y TAREAS'!M20,0),IF(AND(69&gt;='EDT Y TAREAS'!AK21,69&lt;'EDT Y TAREAS'!AL21),'EDT Y TAREAS'!AD21/'EDT Y TAREAS'!M21,0),IF(AND(69&gt;='EDT Y TAREAS'!AK22,69&lt;'EDT Y TAREAS'!AL22),'EDT Y TAREAS'!AD22/'EDT Y TAREAS'!M22,0),IF(AND(69&gt;='EDT Y TAREAS'!AK23,69&lt;'EDT Y TAREAS'!AL23),'EDT Y TAREAS'!AD23/'EDT Y TAREAS'!M23,0),IF(AND(69&gt;='EDT Y TAREAS'!AK26,69&lt;'EDT Y TAREAS'!AL26),'EDT Y TAREAS'!AD26/'EDT Y TAREAS'!M26,0),IF(AND(69&gt;='EDT Y TAREAS'!AK28,69&lt;'EDT Y TAREAS'!AL28),'EDT Y TAREAS'!AD28/'EDT Y TAREAS'!M28,0),IF(AND(69&gt;='EDT Y TAREAS'!AK30,69&lt;'EDT Y TAREAS'!AL30),'EDT Y TAREAS'!AD30/'EDT Y TAREAS'!M30,0),IF(AND(69&gt;='EDT Y TAREAS'!AK32,69&lt;'EDT Y TAREAS'!AL32),'EDT Y TAREAS'!AD32/'EDT Y TAREAS'!M32,0),IF(AND(69&gt;='EDT Y TAREAS'!AK34,69&lt;'EDT Y TAREAS'!AL34),'EDT Y TAREAS'!AD34/'EDT Y TAREAS'!M34,0),IF(AND(69&gt;='EDT Y TAREAS'!AK38,69&lt;'EDT Y TAREAS'!AL38),'EDT Y TAREAS'!AD38/'EDT Y TAREAS'!M38,0),IF(AND(69&gt;='EDT Y TAREAS'!AK39,69&lt;'EDT Y TAREAS'!AL39),'EDT Y TAREAS'!AD39/'EDT Y TAREAS'!M39,0),IF(AND(69&gt;='EDT Y TAREAS'!AK43,69&lt;'EDT Y TAREAS'!AL43),'EDT Y TAREAS'!AD43/'EDT Y TAREAS'!M43,0),IF(AND(69&gt;='EDT Y TAREAS'!AK44,69&lt;'EDT Y TAREAS'!AL44),'EDT Y TAREAS'!AD44/'EDT Y TAREAS'!M44,0),IF(AND(69&gt;='EDT Y TAREAS'!AK45,69&lt;'EDT Y TAREAS'!AL45),'EDT Y TAREAS'!AD45/'EDT Y TAREAS'!M45,0),IF(AND(69&gt;='EDT Y TAREAS'!AK46,69&lt;'EDT Y TAREAS'!AL46),'EDT Y TAREAS'!AD46/'EDT Y TAREAS'!M46,0),IF(AND(69&gt;='EDT Y TAREAS'!AK47,69&lt;'EDT Y TAREAS'!AL47),'EDT Y TAREAS'!AD47/'EDT Y TAREAS'!M47,0),IF(AND(69&gt;='EDT Y TAREAS'!AK49,69&lt;'EDT Y TAREAS'!AL49),'EDT Y TAREAS'!AD49/'EDT Y TAREAS'!M49,0),IF(AND(69&gt;='EDT Y TAREAS'!AK50,69&lt;'EDT Y TAREAS'!AL50),'EDT Y TAREAS'!AD50/'EDT Y TAREAS'!M50,0),IF(AND(69&gt;='EDT Y TAREAS'!AK51,69&lt;'EDT Y TAREAS'!AL51),'EDT Y TAREAS'!AD51/'EDT Y TAREAS'!M51,0),IF(AND(69&gt;='EDT Y TAREAS'!AK52,69&lt;'EDT Y TAREAS'!AL52),'EDT Y TAREAS'!AD52/'EDT Y TAREAS'!M52,0))</x:f>
        <x:v>6</x:v>
      </x:c>
      <x:c r="C109" s="35" t="n">
        <x:f>SUM(IF(AND(69&gt;='EDT Y TAREAS'!AK6,69&lt;'EDT Y TAREAS'!AL6),'EDT Y TAREAS'!AE6/'EDT Y TAREAS'!M6,0),IF(AND(69&gt;='EDT Y TAREAS'!AK8,69&lt;'EDT Y TAREAS'!AL8),'EDT Y TAREAS'!AE8/'EDT Y TAREAS'!M8,0),IF(AND(69&gt;='EDT Y TAREAS'!AK9,69&lt;'EDT Y TAREAS'!AL9),'EDT Y TAREAS'!AE9/'EDT Y TAREAS'!M9,0),IF(AND(69&gt;='EDT Y TAREAS'!AK10,69&lt;'EDT Y TAREAS'!AL10),'EDT Y TAREAS'!AE10/'EDT Y TAREAS'!M10,0),IF(AND(69&gt;='EDT Y TAREAS'!AK12,69&lt;'EDT Y TAREAS'!AL12),'EDT Y TAREAS'!AE12/'EDT Y TAREAS'!M12,0),IF(AND(69&gt;='EDT Y TAREAS'!AK16,69&lt;'EDT Y TAREAS'!AL16),'EDT Y TAREAS'!AE16/'EDT Y TAREAS'!M16,0),IF(AND(69&gt;='EDT Y TAREAS'!AK21,69&lt;'EDT Y TAREAS'!AL21),'EDT Y TAREAS'!AE21/'EDT Y TAREAS'!M21,0),IF(AND(69&gt;='EDT Y TAREAS'!AK23,69&lt;'EDT Y TAREAS'!AL23),'EDT Y TAREAS'!AE23/'EDT Y TAREAS'!M23,0),IF(AND(69&gt;='EDT Y TAREAS'!AK37,69&lt;'EDT Y TAREAS'!AL37),'EDT Y TAREAS'!AE37/'EDT Y TAREAS'!M37,0),IF(AND(69&gt;='EDT Y TAREAS'!AK38,69&lt;'EDT Y TAREAS'!AL38),'EDT Y TAREAS'!AE38/'EDT Y TAREAS'!M38,0),IF(AND(69&gt;='EDT Y TAREAS'!AK41,69&lt;'EDT Y TAREAS'!AL41),'EDT Y TAREAS'!AE41/'EDT Y TAREAS'!M41,0),IF(AND(69&gt;='EDT Y TAREAS'!AK43,69&lt;'EDT Y TAREAS'!AL43),'EDT Y TAREAS'!AE43/'EDT Y TAREAS'!M43,0),IF(AND(69&gt;='EDT Y TAREAS'!AK44,69&lt;'EDT Y TAREAS'!AL44),'EDT Y TAREAS'!AE44/'EDT Y TAREAS'!M44,0),IF(AND(69&gt;='EDT Y TAREAS'!AK46,69&lt;'EDT Y TAREAS'!AL46),'EDT Y TAREAS'!AE46/'EDT Y TAREAS'!M46,0),IF(AND(69&gt;='EDT Y TAREAS'!AK47,69&lt;'EDT Y TAREAS'!AL47),'EDT Y TAREAS'!AE47/'EDT Y TAREAS'!M47,0),IF(AND(69&gt;='EDT Y TAREAS'!AK51,69&lt;'EDT Y TAREAS'!AL51),'EDT Y TAREAS'!AE51/'EDT Y TAREAS'!M51,0),IF(AND(69&gt;='EDT Y TAREAS'!AK52,69&lt;'EDT Y TAREAS'!AL52),'EDT Y TAREAS'!AE52/'EDT Y TAREAS'!M52,0))</x:f>
        <x:v>0</x:v>
      </x:c>
      <x:c r="D109" s="35" t="n">
        <x:f>SUM(IF(AND(69&gt;='EDT Y TAREAS'!AK11,69&lt;'EDT Y TAREAS'!AL11),'EDT Y TAREAS'!AF11/'EDT Y TAREAS'!M11,0),IF(AND(69&gt;='EDT Y TAREAS'!AK24,69&lt;'EDT Y TAREAS'!AL24),'EDT Y TAREAS'!AF24/'EDT Y TAREAS'!M24,0),IF(AND(69&gt;='EDT Y TAREAS'!AK25,69&lt;'EDT Y TAREAS'!AL25),'EDT Y TAREAS'!AF25/'EDT Y TAREAS'!M25,0),IF(AND(69&gt;='EDT Y TAREAS'!AK26,69&lt;'EDT Y TAREAS'!AL26),'EDT Y TAREAS'!AF26/'EDT Y TAREAS'!M26,0),IF(AND(69&gt;='EDT Y TAREAS'!AK27,69&lt;'EDT Y TAREAS'!AL27),'EDT Y TAREAS'!AF27/'EDT Y TAREAS'!M27,0),IF(AND(69&gt;='EDT Y TAREAS'!AK28,69&lt;'EDT Y TAREAS'!AL28),'EDT Y TAREAS'!AF28/'EDT Y TAREAS'!M28,0),IF(AND(69&gt;='EDT Y TAREAS'!AK31,69&lt;'EDT Y TAREAS'!AL31),'EDT Y TAREAS'!AF31/'EDT Y TAREAS'!M31,0),IF(AND(69&gt;='EDT Y TAREAS'!AK33,69&lt;'EDT Y TAREAS'!AL33),'EDT Y TAREAS'!AF33/'EDT Y TAREAS'!M33,0),IF(AND(69&gt;='EDT Y TAREAS'!AK34,69&lt;'EDT Y TAREAS'!AL34),'EDT Y TAREAS'!AF34/'EDT Y TAREAS'!M34,0),IF(AND(69&gt;='EDT Y TAREAS'!AK35,69&lt;'EDT Y TAREAS'!AL35),'EDT Y TAREAS'!AF35/'EDT Y TAREAS'!M35,0),IF(AND(69&gt;='EDT Y TAREAS'!AK37,69&lt;'EDT Y TAREAS'!AL37),'EDT Y TAREAS'!AF37/'EDT Y TAREAS'!M37,0),IF(AND(69&gt;='EDT Y TAREAS'!AK39,69&lt;'EDT Y TAREAS'!AL39),'EDT Y TAREAS'!AF39/'EDT Y TAREAS'!M39,0),IF(AND(69&gt;='EDT Y TAREAS'!AK40,69&lt;'EDT Y TAREAS'!AL40),'EDT Y TAREAS'!AF40/'EDT Y TAREAS'!M40,0),IF(AND(69&gt;='EDT Y TAREAS'!AK42,69&lt;'EDT Y TAREAS'!AL42),'EDT Y TAREAS'!AF42/'EDT Y TAREAS'!M42,0),IF(AND(69&gt;='EDT Y TAREAS'!AK45,69&lt;'EDT Y TAREAS'!AL45),'EDT Y TAREAS'!AF45/'EDT Y TAREAS'!M45,0),IF(AND(69&gt;='EDT Y TAREAS'!AK49,69&lt;'EDT Y TAREAS'!AL49),'EDT Y TAREAS'!AF49/'EDT Y TAREAS'!M49,0),IF(AND(69&gt;='EDT Y TAREAS'!AK52,69&lt;'EDT Y TAREAS'!AL52),'EDT Y TAREAS'!AF52/'EDT Y TAREAS'!M52,0))</x:f>
        <x:v>3.2</x:v>
      </x:c>
      <x:c r="E109" s="35" t="n">
        <x:f>SUM(IF(AND(69&gt;='EDT Y TAREAS'!AK29,69&lt;'EDT Y TAREAS'!AL29),'EDT Y TAREAS'!AG29/'EDT Y TAREAS'!M29,0),IF(AND(69&gt;='EDT Y TAREAS'!AK30,69&lt;'EDT Y TAREAS'!AL30),'EDT Y TAREAS'!AG30/'EDT Y TAREAS'!M30,0),IF(AND(69&gt;='EDT Y TAREAS'!AK31,69&lt;'EDT Y TAREAS'!AL31),'EDT Y TAREAS'!AG31/'EDT Y TAREAS'!M31,0),IF(AND(69&gt;='EDT Y TAREAS'!AK32,69&lt;'EDT Y TAREAS'!AL32),'EDT Y TAREAS'!AG32/'EDT Y TAREAS'!M32,0),IF(AND(69&gt;='EDT Y TAREAS'!AK41,69&lt;'EDT Y TAREAS'!AL41),'EDT Y TAREAS'!AG41/'EDT Y TAREAS'!M41,0),IF(AND(69&gt;='EDT Y TAREAS'!AK45,69&lt;'EDT Y TAREAS'!AL45),'EDT Y TAREAS'!AG45/'EDT Y TAREAS'!M45,0),IF(AND(69&gt;='EDT Y TAREAS'!AK48,69&lt;'EDT Y TAREAS'!AL48),'EDT Y TAREAS'!AG48/'EDT Y TAREAS'!M48,0))</x:f>
        <x:v>5.6</x:v>
      </x:c>
      <x:c r="F109" s="35" t="n">
        <x:f>SUM(IF(AND(69&gt;='EDT Y TAREAS'!AK10,69&lt;'EDT Y TAREAS'!AL10),'EDT Y TAREAS'!AH10/'EDT Y TAREAS'!M10,0),IF(AND(69&gt;='EDT Y TAREAS'!AK12,69&lt;'EDT Y TAREAS'!AL12),'EDT Y TAREAS'!AH12/'EDT Y TAREAS'!M12,0),IF(AND(69&gt;='EDT Y TAREAS'!AK22,69&lt;'EDT Y TAREAS'!AL22),'EDT Y TAREAS'!AH22/'EDT Y TAREAS'!M22,0),IF(AND(69&gt;='EDT Y TAREAS'!AK23,69&lt;'EDT Y TAREAS'!AL23),'EDT Y TAREAS'!AH23/'EDT Y TAREAS'!M23,0),IF(AND(69&gt;='EDT Y TAREAS'!AK29,69&lt;'EDT Y TAREAS'!AL29),'EDT Y TAREAS'!AH29/'EDT Y TAREAS'!M29,0),IF(AND(69&gt;='EDT Y TAREAS'!AK30,69&lt;'EDT Y TAREAS'!AL30),'EDT Y TAREAS'!AH30/'EDT Y TAREAS'!M30,0),IF(AND(69&gt;='EDT Y TAREAS'!AK32,69&lt;'EDT Y TAREAS'!AL32),'EDT Y TAREAS'!AH32/'EDT Y TAREAS'!M32,0),IF(AND(69&gt;='EDT Y TAREAS'!AK41,69&lt;'EDT Y TAREAS'!AL41),'EDT Y TAREAS'!AH41/'EDT Y TAREAS'!M41,0),IF(AND(69&gt;='EDT Y TAREAS'!AK44,69&lt;'EDT Y TAREAS'!AL44),'EDT Y TAREAS'!AH44/'EDT Y TAREAS'!M44,0),IF(AND(69&gt;='EDT Y TAREAS'!AK46,69&lt;'EDT Y TAREAS'!AL46),'EDT Y TAREAS'!AH46/'EDT Y TAREAS'!M46,0),IF(AND(69&gt;='EDT Y TAREAS'!AK48,69&lt;'EDT Y TAREAS'!AL48),'EDT Y TAREAS'!AH48/'EDT Y TAREAS'!M48,0))</x:f>
        <x:v>0.8</x:v>
      </x:c>
      <x:c r="G109" s="35" t="n">
        <x:f>SUM(IF(AND(69&gt;='EDT Y TAREAS'!AK20,69&lt;'EDT Y TAREAS'!AL20),'EDT Y TAREAS'!AI20/'EDT Y TAREAS'!M20,0),IF(AND(69&gt;='EDT Y TAREAS'!AK25,69&lt;'EDT Y TAREAS'!AL25),'EDT Y TAREAS'!AI25/'EDT Y TAREAS'!M25,0),IF(AND(69&gt;='EDT Y TAREAS'!AK33,69&lt;'EDT Y TAREAS'!AL33),'EDT Y TAREAS'!AI33/'EDT Y TAREAS'!M33,0),IF(AND(69&gt;='EDT Y TAREAS'!AK34,69&lt;'EDT Y TAREAS'!AL34),'EDT Y TAREAS'!AI34/'EDT Y TAREAS'!M34,0),IF(AND(69&gt;='EDT Y TAREAS'!AK36,69&lt;'EDT Y TAREAS'!AL36),'EDT Y TAREAS'!AI36/'EDT Y TAREAS'!M36,0),IF(AND(69&gt;='EDT Y TAREAS'!AK39,69&lt;'EDT Y TAREAS'!AL39),'EDT Y TAREAS'!AI39/'EDT Y TAREAS'!M39,0),IF(AND(69&gt;='EDT Y TAREAS'!AK40,69&lt;'EDT Y TAREAS'!AL40),'EDT Y TAREAS'!AI40/'EDT Y TAREAS'!M40,0),IF(AND(69&gt;='EDT Y TAREAS'!AK42,69&lt;'EDT Y TAREAS'!AL42),'EDT Y TAREAS'!AI42/'EDT Y TAREAS'!M42,0),IF(AND(69&gt;='EDT Y TAREAS'!AK43,69&lt;'EDT Y TAREAS'!AL43),'EDT Y TAREAS'!AI43/'EDT Y TAREAS'!M43,0),IF(AND(69&gt;='EDT Y TAREAS'!AK44,69&lt;'EDT Y TAREAS'!AL44),'EDT Y TAREAS'!AI44/'EDT Y TAREAS'!M44,0),IF(AND(69&gt;='EDT Y TAREAS'!AK45,69&lt;'EDT Y TAREAS'!AL45),'EDT Y TAREAS'!AI45/'EDT Y TAREAS'!M45,0),IF(AND(69&gt;='EDT Y TAREAS'!AK46,69&lt;'EDT Y TAREAS'!AL46),'EDT Y TAREAS'!AI46/'EDT Y TAREAS'!M46,0),IF(AND(69&gt;='EDT Y TAREAS'!AK48,69&lt;'EDT Y TAREAS'!AL48),'EDT Y TAREAS'!AI48/'EDT Y TAREAS'!M48,0),IF(AND(69&gt;='EDT Y TAREAS'!AK50,69&lt;'EDT Y TAREAS'!AL50),'EDT Y TAREAS'!AI50/'EDT Y TAREAS'!M50,0),IF(AND(69&gt;='EDT Y TAREAS'!AK52,69&lt;'EDT Y TAREAS'!AL52),'EDT Y TAREAS'!AI52/'EDT Y TAREAS'!M52,0))</x:f>
        <x:v>1.6</x:v>
      </x:c>
      <x:c r="H109" s="35" t="n">
        <x:f>SUM(IF(AND(69&gt;='EDT Y TAREAS'!AK11,69&lt;'EDT Y TAREAS'!AL11),'EDT Y TAREAS'!AJ11/'EDT Y TAREAS'!M11,0),IF(AND(69&gt;='EDT Y TAREAS'!AK24,69&lt;'EDT Y TAREAS'!AL24),'EDT Y TAREAS'!AJ24/'EDT Y TAREAS'!M24,0),IF(AND(69&gt;='EDT Y TAREAS'!AK27,69&lt;'EDT Y TAREAS'!AL27),'EDT Y TAREAS'!AJ27/'EDT Y TAREAS'!M27,0),IF(AND(69&gt;='EDT Y TAREAS'!AK28,69&lt;'EDT Y TAREAS'!AL28),'EDT Y TAREAS'!AJ28/'EDT Y TAREAS'!M28,0),IF(AND(69&gt;='EDT Y TAREAS'!AK33,69&lt;'EDT Y TAREAS'!AL33),'EDT Y TAREAS'!AJ33/'EDT Y TAREAS'!M33,0),IF(AND(69&gt;='EDT Y TAREAS'!AK35,69&lt;'EDT Y TAREAS'!AL35),'EDT Y TAREAS'!AJ35/'EDT Y TAREAS'!M35,0),IF(AND(69&gt;='EDT Y TAREAS'!AK36,69&lt;'EDT Y TAREAS'!AL36),'EDT Y TAREAS'!AJ36/'EDT Y TAREAS'!M36,0),IF(AND(69&gt;='EDT Y TAREAS'!AK37,69&lt;'EDT Y TAREAS'!AL37),'EDT Y TAREAS'!AJ37/'EDT Y TAREAS'!M37,0),IF(AND(69&gt;='EDT Y TAREAS'!AK40,69&lt;'EDT Y TAREAS'!AL40),'EDT Y TAREAS'!AJ40/'EDT Y TAREAS'!M40,0),IF(AND(69&gt;='EDT Y TAREAS'!AK42,69&lt;'EDT Y TAREAS'!AL42),'EDT Y TAREAS'!AJ42/'EDT Y TAREAS'!M42,0),IF(AND(69&gt;='EDT Y TAREAS'!AK49,69&lt;'EDT Y TAREAS'!AL49),'EDT Y TAREAS'!AJ49/'EDT Y TAREAS'!M49,0),IF(AND(69&gt;='EDT Y TAREAS'!AK50,69&lt;'EDT Y TAREAS'!AL50),'EDT Y TAREAS'!AJ50/'EDT Y TAREAS'!M50,0),IF(AND(69&gt;='EDT Y TAREAS'!AK51,69&lt;'EDT Y TAREAS'!AL51),'EDT Y TAREAS'!AJ51/'EDT Y TAREAS'!M51,0),IF(AND(69&gt;='EDT Y TAREAS'!AK52,69&lt;'EDT Y TAREAS'!AL52),'EDT Y TAREAS'!AJ52/'EDT Y TAREAS'!M52,0))</x:f>
        <x:v>1.6</x:v>
      </x:c>
      <x:c r="I109" s="10" t="n">
        <x:f>WORKDAY('RESUMEN'!$D$3-1,A109,'RESUMEN'!$J$6:$J$25)</x:f>
        <x:v>46423</x:v>
      </x:c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  <x:c r="AL109" s="3"/>
      <x:c r="AM109" s="3"/>
      <x:c r="AN109" s="3"/>
      <x:c r="AO109" s="3"/>
    </x:row>
    <x:row r="110" ht="24" customHeight="1">
      <x:c r="A110" s="3" t="n">
        <x:v>71</x:v>
      </x:c>
      <x:c r="B110" s="35" t="n">
        <x:f>SUM(IF(AND(70&gt;='EDT Y TAREAS'!AK6,70&lt;'EDT Y TAREAS'!AL6),'EDT Y TAREAS'!AD6/'EDT Y TAREAS'!M6,0),IF(AND(70&gt;='EDT Y TAREAS'!AK7,70&lt;'EDT Y TAREAS'!AL7),'EDT Y TAREAS'!AD7/'EDT Y TAREAS'!M7,0),IF(AND(70&gt;='EDT Y TAREAS'!AK8,70&lt;'EDT Y TAREAS'!AL8),'EDT Y TAREAS'!AD8/'EDT Y TAREAS'!M8,0),IF(AND(70&gt;='EDT Y TAREAS'!AK9,70&lt;'EDT Y TAREAS'!AL9),'EDT Y TAREAS'!AD9/'EDT Y TAREAS'!M9,0),IF(AND(70&gt;='EDT Y TAREAS'!AK10,70&lt;'EDT Y TAREAS'!AL10),'EDT Y TAREAS'!AD10/'EDT Y TAREAS'!M10,0),IF(AND(70&gt;='EDT Y TAREAS'!AK11,70&lt;'EDT Y TAREAS'!AL11),'EDT Y TAREAS'!AD11/'EDT Y TAREAS'!M11,0),IF(AND(70&gt;='EDT Y TAREAS'!AK12,70&lt;'EDT Y TAREAS'!AL12),'EDT Y TAREAS'!AD12/'EDT Y TAREAS'!M12,0),IF(AND(70&gt;='EDT Y TAREAS'!AK13,70&lt;'EDT Y TAREAS'!AL13),'EDT Y TAREAS'!AD13/'EDT Y TAREAS'!M13,0),IF(AND(70&gt;='EDT Y TAREAS'!AK14,70&lt;'EDT Y TAREAS'!AL14),'EDT Y TAREAS'!AD14/'EDT Y TAREAS'!M14,0),IF(AND(70&gt;='EDT Y TAREAS'!AK15,70&lt;'EDT Y TAREAS'!AL15),'EDT Y TAREAS'!AD15/'EDT Y TAREAS'!M15,0),IF(AND(70&gt;='EDT Y TAREAS'!AK16,70&lt;'EDT Y TAREAS'!AL16),'EDT Y TAREAS'!AD16/'EDT Y TAREAS'!M16,0),IF(AND(70&gt;='EDT Y TAREAS'!AK17,70&lt;'EDT Y TAREAS'!AL17),'EDT Y TAREAS'!AD17/'EDT Y TAREAS'!M17,0),IF(AND(70&gt;='EDT Y TAREAS'!AK18,70&lt;'EDT Y TAREAS'!AL18),'EDT Y TAREAS'!AD18/'EDT Y TAREAS'!M18,0),IF(AND(70&gt;='EDT Y TAREAS'!AK19,70&lt;'EDT Y TAREAS'!AL19),'EDT Y TAREAS'!AD19/'EDT Y TAREAS'!M19,0),IF(AND(70&gt;='EDT Y TAREAS'!AK20,70&lt;'EDT Y TAREAS'!AL20),'EDT Y TAREAS'!AD20/'EDT Y TAREAS'!M20,0),IF(AND(70&gt;='EDT Y TAREAS'!AK21,70&lt;'EDT Y TAREAS'!AL21),'EDT Y TAREAS'!AD21/'EDT Y TAREAS'!M21,0),IF(AND(70&gt;='EDT Y TAREAS'!AK22,70&lt;'EDT Y TAREAS'!AL22),'EDT Y TAREAS'!AD22/'EDT Y TAREAS'!M22,0),IF(AND(70&gt;='EDT Y TAREAS'!AK23,70&lt;'EDT Y TAREAS'!AL23),'EDT Y TAREAS'!AD23/'EDT Y TAREAS'!M23,0),IF(AND(70&gt;='EDT Y TAREAS'!AK26,70&lt;'EDT Y TAREAS'!AL26),'EDT Y TAREAS'!AD26/'EDT Y TAREAS'!M26,0),IF(AND(70&gt;='EDT Y TAREAS'!AK28,70&lt;'EDT Y TAREAS'!AL28),'EDT Y TAREAS'!AD28/'EDT Y TAREAS'!M28,0),IF(AND(70&gt;='EDT Y TAREAS'!AK30,70&lt;'EDT Y TAREAS'!AL30),'EDT Y TAREAS'!AD30/'EDT Y TAREAS'!M30,0),IF(AND(70&gt;='EDT Y TAREAS'!AK32,70&lt;'EDT Y TAREAS'!AL32),'EDT Y TAREAS'!AD32/'EDT Y TAREAS'!M32,0),IF(AND(70&gt;='EDT Y TAREAS'!AK34,70&lt;'EDT Y TAREAS'!AL34),'EDT Y TAREAS'!AD34/'EDT Y TAREAS'!M34,0),IF(AND(70&gt;='EDT Y TAREAS'!AK38,70&lt;'EDT Y TAREAS'!AL38),'EDT Y TAREAS'!AD38/'EDT Y TAREAS'!M38,0),IF(AND(70&gt;='EDT Y TAREAS'!AK39,70&lt;'EDT Y TAREAS'!AL39),'EDT Y TAREAS'!AD39/'EDT Y TAREAS'!M39,0),IF(AND(70&gt;='EDT Y TAREAS'!AK43,70&lt;'EDT Y TAREAS'!AL43),'EDT Y TAREAS'!AD43/'EDT Y TAREAS'!M43,0),IF(AND(70&gt;='EDT Y TAREAS'!AK44,70&lt;'EDT Y TAREAS'!AL44),'EDT Y TAREAS'!AD44/'EDT Y TAREAS'!M44,0),IF(AND(70&gt;='EDT Y TAREAS'!AK45,70&lt;'EDT Y TAREAS'!AL45),'EDT Y TAREAS'!AD45/'EDT Y TAREAS'!M45,0),IF(AND(70&gt;='EDT Y TAREAS'!AK46,70&lt;'EDT Y TAREAS'!AL46),'EDT Y TAREAS'!AD46/'EDT Y TAREAS'!M46,0),IF(AND(70&gt;='EDT Y TAREAS'!AK47,70&lt;'EDT Y TAREAS'!AL47),'EDT Y TAREAS'!AD47/'EDT Y TAREAS'!M47,0),IF(AND(70&gt;='EDT Y TAREAS'!AK49,70&lt;'EDT Y TAREAS'!AL49),'EDT Y TAREAS'!AD49/'EDT Y TAREAS'!M49,0),IF(AND(70&gt;='EDT Y TAREAS'!AK50,70&lt;'EDT Y TAREAS'!AL50),'EDT Y TAREAS'!AD50/'EDT Y TAREAS'!M50,0),IF(AND(70&gt;='EDT Y TAREAS'!AK51,70&lt;'EDT Y TAREAS'!AL51),'EDT Y TAREAS'!AD51/'EDT Y TAREAS'!M51,0),IF(AND(70&gt;='EDT Y TAREAS'!AK52,70&lt;'EDT Y TAREAS'!AL52),'EDT Y TAREAS'!AD52/'EDT Y TAREAS'!M52,0))</x:f>
        <x:v>6</x:v>
      </x:c>
      <x:c r="C110" s="35" t="n">
        <x:f>SUM(IF(AND(70&gt;='EDT Y TAREAS'!AK6,70&lt;'EDT Y TAREAS'!AL6),'EDT Y TAREAS'!AE6/'EDT Y TAREAS'!M6,0),IF(AND(70&gt;='EDT Y TAREAS'!AK8,70&lt;'EDT Y TAREAS'!AL8),'EDT Y TAREAS'!AE8/'EDT Y TAREAS'!M8,0),IF(AND(70&gt;='EDT Y TAREAS'!AK9,70&lt;'EDT Y TAREAS'!AL9),'EDT Y TAREAS'!AE9/'EDT Y TAREAS'!M9,0),IF(AND(70&gt;='EDT Y TAREAS'!AK10,70&lt;'EDT Y TAREAS'!AL10),'EDT Y TAREAS'!AE10/'EDT Y TAREAS'!M10,0),IF(AND(70&gt;='EDT Y TAREAS'!AK12,70&lt;'EDT Y TAREAS'!AL12),'EDT Y TAREAS'!AE12/'EDT Y TAREAS'!M12,0),IF(AND(70&gt;='EDT Y TAREAS'!AK16,70&lt;'EDT Y TAREAS'!AL16),'EDT Y TAREAS'!AE16/'EDT Y TAREAS'!M16,0),IF(AND(70&gt;='EDT Y TAREAS'!AK21,70&lt;'EDT Y TAREAS'!AL21),'EDT Y TAREAS'!AE21/'EDT Y TAREAS'!M21,0),IF(AND(70&gt;='EDT Y TAREAS'!AK23,70&lt;'EDT Y TAREAS'!AL23),'EDT Y TAREAS'!AE23/'EDT Y TAREAS'!M23,0),IF(AND(70&gt;='EDT Y TAREAS'!AK37,70&lt;'EDT Y TAREAS'!AL37),'EDT Y TAREAS'!AE37/'EDT Y TAREAS'!M37,0),IF(AND(70&gt;='EDT Y TAREAS'!AK38,70&lt;'EDT Y TAREAS'!AL38),'EDT Y TAREAS'!AE38/'EDT Y TAREAS'!M38,0),IF(AND(70&gt;='EDT Y TAREAS'!AK41,70&lt;'EDT Y TAREAS'!AL41),'EDT Y TAREAS'!AE41/'EDT Y TAREAS'!M41,0),IF(AND(70&gt;='EDT Y TAREAS'!AK43,70&lt;'EDT Y TAREAS'!AL43),'EDT Y TAREAS'!AE43/'EDT Y TAREAS'!M43,0),IF(AND(70&gt;='EDT Y TAREAS'!AK44,70&lt;'EDT Y TAREAS'!AL44),'EDT Y TAREAS'!AE44/'EDT Y TAREAS'!M44,0),IF(AND(70&gt;='EDT Y TAREAS'!AK46,70&lt;'EDT Y TAREAS'!AL46),'EDT Y TAREAS'!AE46/'EDT Y TAREAS'!M46,0),IF(AND(70&gt;='EDT Y TAREAS'!AK47,70&lt;'EDT Y TAREAS'!AL47),'EDT Y TAREAS'!AE47/'EDT Y TAREAS'!M47,0),IF(AND(70&gt;='EDT Y TAREAS'!AK51,70&lt;'EDT Y TAREAS'!AL51),'EDT Y TAREAS'!AE51/'EDT Y TAREAS'!M51,0),IF(AND(70&gt;='EDT Y TAREAS'!AK52,70&lt;'EDT Y TAREAS'!AL52),'EDT Y TAREAS'!AE52/'EDT Y TAREAS'!M52,0))</x:f>
        <x:v>0</x:v>
      </x:c>
      <x:c r="D110" s="35" t="n">
        <x:f>SUM(IF(AND(70&gt;='EDT Y TAREAS'!AK11,70&lt;'EDT Y TAREAS'!AL11),'EDT Y TAREAS'!AF11/'EDT Y TAREAS'!M11,0),IF(AND(70&gt;='EDT Y TAREAS'!AK24,70&lt;'EDT Y TAREAS'!AL24),'EDT Y TAREAS'!AF24/'EDT Y TAREAS'!M24,0),IF(AND(70&gt;='EDT Y TAREAS'!AK25,70&lt;'EDT Y TAREAS'!AL25),'EDT Y TAREAS'!AF25/'EDT Y TAREAS'!M25,0),IF(AND(70&gt;='EDT Y TAREAS'!AK26,70&lt;'EDT Y TAREAS'!AL26),'EDT Y TAREAS'!AF26/'EDT Y TAREAS'!M26,0),IF(AND(70&gt;='EDT Y TAREAS'!AK27,70&lt;'EDT Y TAREAS'!AL27),'EDT Y TAREAS'!AF27/'EDT Y TAREAS'!M27,0),IF(AND(70&gt;='EDT Y TAREAS'!AK28,70&lt;'EDT Y TAREAS'!AL28),'EDT Y TAREAS'!AF28/'EDT Y TAREAS'!M28,0),IF(AND(70&gt;='EDT Y TAREAS'!AK31,70&lt;'EDT Y TAREAS'!AL31),'EDT Y TAREAS'!AF31/'EDT Y TAREAS'!M31,0),IF(AND(70&gt;='EDT Y TAREAS'!AK33,70&lt;'EDT Y TAREAS'!AL33),'EDT Y TAREAS'!AF33/'EDT Y TAREAS'!M33,0),IF(AND(70&gt;='EDT Y TAREAS'!AK34,70&lt;'EDT Y TAREAS'!AL34),'EDT Y TAREAS'!AF34/'EDT Y TAREAS'!M34,0),IF(AND(70&gt;='EDT Y TAREAS'!AK35,70&lt;'EDT Y TAREAS'!AL35),'EDT Y TAREAS'!AF35/'EDT Y TAREAS'!M35,0),IF(AND(70&gt;='EDT Y TAREAS'!AK37,70&lt;'EDT Y TAREAS'!AL37),'EDT Y TAREAS'!AF37/'EDT Y TAREAS'!M37,0),IF(AND(70&gt;='EDT Y TAREAS'!AK39,70&lt;'EDT Y TAREAS'!AL39),'EDT Y TAREAS'!AF39/'EDT Y TAREAS'!M39,0),IF(AND(70&gt;='EDT Y TAREAS'!AK40,70&lt;'EDT Y TAREAS'!AL40),'EDT Y TAREAS'!AF40/'EDT Y TAREAS'!M40,0),IF(AND(70&gt;='EDT Y TAREAS'!AK42,70&lt;'EDT Y TAREAS'!AL42),'EDT Y TAREAS'!AF42/'EDT Y TAREAS'!M42,0),IF(AND(70&gt;='EDT Y TAREAS'!AK45,70&lt;'EDT Y TAREAS'!AL45),'EDT Y TAREAS'!AF45/'EDT Y TAREAS'!M45,0),IF(AND(70&gt;='EDT Y TAREAS'!AK49,70&lt;'EDT Y TAREAS'!AL49),'EDT Y TAREAS'!AF49/'EDT Y TAREAS'!M49,0),IF(AND(70&gt;='EDT Y TAREAS'!AK52,70&lt;'EDT Y TAREAS'!AL52),'EDT Y TAREAS'!AF52/'EDT Y TAREAS'!M52,0))</x:f>
        <x:v>3.2</x:v>
      </x:c>
      <x:c r="E110" s="35" t="n">
        <x:f>SUM(IF(AND(70&gt;='EDT Y TAREAS'!AK29,70&lt;'EDT Y TAREAS'!AL29),'EDT Y TAREAS'!AG29/'EDT Y TAREAS'!M29,0),IF(AND(70&gt;='EDT Y TAREAS'!AK30,70&lt;'EDT Y TAREAS'!AL30),'EDT Y TAREAS'!AG30/'EDT Y TAREAS'!M30,0),IF(AND(70&gt;='EDT Y TAREAS'!AK31,70&lt;'EDT Y TAREAS'!AL31),'EDT Y TAREAS'!AG31/'EDT Y TAREAS'!M31,0),IF(AND(70&gt;='EDT Y TAREAS'!AK32,70&lt;'EDT Y TAREAS'!AL32),'EDT Y TAREAS'!AG32/'EDT Y TAREAS'!M32,0),IF(AND(70&gt;='EDT Y TAREAS'!AK41,70&lt;'EDT Y TAREAS'!AL41),'EDT Y TAREAS'!AG41/'EDT Y TAREAS'!M41,0),IF(AND(70&gt;='EDT Y TAREAS'!AK45,70&lt;'EDT Y TAREAS'!AL45),'EDT Y TAREAS'!AG45/'EDT Y TAREAS'!M45,0),IF(AND(70&gt;='EDT Y TAREAS'!AK48,70&lt;'EDT Y TAREAS'!AL48),'EDT Y TAREAS'!AG48/'EDT Y TAREAS'!M48,0))</x:f>
        <x:v>5.6</x:v>
      </x:c>
      <x:c r="F110" s="35" t="n">
        <x:f>SUM(IF(AND(70&gt;='EDT Y TAREAS'!AK10,70&lt;'EDT Y TAREAS'!AL10),'EDT Y TAREAS'!AH10/'EDT Y TAREAS'!M10,0),IF(AND(70&gt;='EDT Y TAREAS'!AK12,70&lt;'EDT Y TAREAS'!AL12),'EDT Y TAREAS'!AH12/'EDT Y TAREAS'!M12,0),IF(AND(70&gt;='EDT Y TAREAS'!AK22,70&lt;'EDT Y TAREAS'!AL22),'EDT Y TAREAS'!AH22/'EDT Y TAREAS'!M22,0),IF(AND(70&gt;='EDT Y TAREAS'!AK23,70&lt;'EDT Y TAREAS'!AL23),'EDT Y TAREAS'!AH23/'EDT Y TAREAS'!M23,0),IF(AND(70&gt;='EDT Y TAREAS'!AK29,70&lt;'EDT Y TAREAS'!AL29),'EDT Y TAREAS'!AH29/'EDT Y TAREAS'!M29,0),IF(AND(70&gt;='EDT Y TAREAS'!AK30,70&lt;'EDT Y TAREAS'!AL30),'EDT Y TAREAS'!AH30/'EDT Y TAREAS'!M30,0),IF(AND(70&gt;='EDT Y TAREAS'!AK32,70&lt;'EDT Y TAREAS'!AL32),'EDT Y TAREAS'!AH32/'EDT Y TAREAS'!M32,0),IF(AND(70&gt;='EDT Y TAREAS'!AK41,70&lt;'EDT Y TAREAS'!AL41),'EDT Y TAREAS'!AH41/'EDT Y TAREAS'!M41,0),IF(AND(70&gt;='EDT Y TAREAS'!AK44,70&lt;'EDT Y TAREAS'!AL44),'EDT Y TAREAS'!AH44/'EDT Y TAREAS'!M44,0),IF(AND(70&gt;='EDT Y TAREAS'!AK46,70&lt;'EDT Y TAREAS'!AL46),'EDT Y TAREAS'!AH46/'EDT Y TAREAS'!M46,0),IF(AND(70&gt;='EDT Y TAREAS'!AK48,70&lt;'EDT Y TAREAS'!AL48),'EDT Y TAREAS'!AH48/'EDT Y TAREAS'!M48,0))</x:f>
        <x:v>0.8</x:v>
      </x:c>
      <x:c r="G110" s="35" t="n">
        <x:f>SUM(IF(AND(70&gt;='EDT Y TAREAS'!AK20,70&lt;'EDT Y TAREAS'!AL20),'EDT Y TAREAS'!AI20/'EDT Y TAREAS'!M20,0),IF(AND(70&gt;='EDT Y TAREAS'!AK25,70&lt;'EDT Y TAREAS'!AL25),'EDT Y TAREAS'!AI25/'EDT Y TAREAS'!M25,0),IF(AND(70&gt;='EDT Y TAREAS'!AK33,70&lt;'EDT Y TAREAS'!AL33),'EDT Y TAREAS'!AI33/'EDT Y TAREAS'!M33,0),IF(AND(70&gt;='EDT Y TAREAS'!AK34,70&lt;'EDT Y TAREAS'!AL34),'EDT Y TAREAS'!AI34/'EDT Y TAREAS'!M34,0),IF(AND(70&gt;='EDT Y TAREAS'!AK36,70&lt;'EDT Y TAREAS'!AL36),'EDT Y TAREAS'!AI36/'EDT Y TAREAS'!M36,0),IF(AND(70&gt;='EDT Y TAREAS'!AK39,70&lt;'EDT Y TAREAS'!AL39),'EDT Y TAREAS'!AI39/'EDT Y TAREAS'!M39,0),IF(AND(70&gt;='EDT Y TAREAS'!AK40,70&lt;'EDT Y TAREAS'!AL40),'EDT Y TAREAS'!AI40/'EDT Y TAREAS'!M40,0),IF(AND(70&gt;='EDT Y TAREAS'!AK42,70&lt;'EDT Y TAREAS'!AL42),'EDT Y TAREAS'!AI42/'EDT Y TAREAS'!M42,0),IF(AND(70&gt;='EDT Y TAREAS'!AK43,70&lt;'EDT Y TAREAS'!AL43),'EDT Y TAREAS'!AI43/'EDT Y TAREAS'!M43,0),IF(AND(70&gt;='EDT Y TAREAS'!AK44,70&lt;'EDT Y TAREAS'!AL44),'EDT Y TAREAS'!AI44/'EDT Y TAREAS'!M44,0),IF(AND(70&gt;='EDT Y TAREAS'!AK45,70&lt;'EDT Y TAREAS'!AL45),'EDT Y TAREAS'!AI45/'EDT Y TAREAS'!M45,0),IF(AND(70&gt;='EDT Y TAREAS'!AK46,70&lt;'EDT Y TAREAS'!AL46),'EDT Y TAREAS'!AI46/'EDT Y TAREAS'!M46,0),IF(AND(70&gt;='EDT Y TAREAS'!AK48,70&lt;'EDT Y TAREAS'!AL48),'EDT Y TAREAS'!AI48/'EDT Y TAREAS'!M48,0),IF(AND(70&gt;='EDT Y TAREAS'!AK50,70&lt;'EDT Y TAREAS'!AL50),'EDT Y TAREAS'!AI50/'EDT Y TAREAS'!M50,0),IF(AND(70&gt;='EDT Y TAREAS'!AK52,70&lt;'EDT Y TAREAS'!AL52),'EDT Y TAREAS'!AI52/'EDT Y TAREAS'!M52,0))</x:f>
        <x:v>1.6</x:v>
      </x:c>
      <x:c r="H110" s="35" t="n">
        <x:f>SUM(IF(AND(70&gt;='EDT Y TAREAS'!AK11,70&lt;'EDT Y TAREAS'!AL11),'EDT Y TAREAS'!AJ11/'EDT Y TAREAS'!M11,0),IF(AND(70&gt;='EDT Y TAREAS'!AK24,70&lt;'EDT Y TAREAS'!AL24),'EDT Y TAREAS'!AJ24/'EDT Y TAREAS'!M24,0),IF(AND(70&gt;='EDT Y TAREAS'!AK27,70&lt;'EDT Y TAREAS'!AL27),'EDT Y TAREAS'!AJ27/'EDT Y TAREAS'!M27,0),IF(AND(70&gt;='EDT Y TAREAS'!AK28,70&lt;'EDT Y TAREAS'!AL28),'EDT Y TAREAS'!AJ28/'EDT Y TAREAS'!M28,0),IF(AND(70&gt;='EDT Y TAREAS'!AK33,70&lt;'EDT Y TAREAS'!AL33),'EDT Y TAREAS'!AJ33/'EDT Y TAREAS'!M33,0),IF(AND(70&gt;='EDT Y TAREAS'!AK35,70&lt;'EDT Y TAREAS'!AL35),'EDT Y TAREAS'!AJ35/'EDT Y TAREAS'!M35,0),IF(AND(70&gt;='EDT Y TAREAS'!AK36,70&lt;'EDT Y TAREAS'!AL36),'EDT Y TAREAS'!AJ36/'EDT Y TAREAS'!M36,0),IF(AND(70&gt;='EDT Y TAREAS'!AK37,70&lt;'EDT Y TAREAS'!AL37),'EDT Y TAREAS'!AJ37/'EDT Y TAREAS'!M37,0),IF(AND(70&gt;='EDT Y TAREAS'!AK40,70&lt;'EDT Y TAREAS'!AL40),'EDT Y TAREAS'!AJ40/'EDT Y TAREAS'!M40,0),IF(AND(70&gt;='EDT Y TAREAS'!AK42,70&lt;'EDT Y TAREAS'!AL42),'EDT Y TAREAS'!AJ42/'EDT Y TAREAS'!M42,0),IF(AND(70&gt;='EDT Y TAREAS'!AK49,70&lt;'EDT Y TAREAS'!AL49),'EDT Y TAREAS'!AJ49/'EDT Y TAREAS'!M49,0),IF(AND(70&gt;='EDT Y TAREAS'!AK50,70&lt;'EDT Y TAREAS'!AL50),'EDT Y TAREAS'!AJ50/'EDT Y TAREAS'!M50,0),IF(AND(70&gt;='EDT Y TAREAS'!AK51,70&lt;'EDT Y TAREAS'!AL51),'EDT Y TAREAS'!AJ51/'EDT Y TAREAS'!M51,0),IF(AND(70&gt;='EDT Y TAREAS'!AK52,70&lt;'EDT Y TAREAS'!AL52),'EDT Y TAREAS'!AJ52/'EDT Y TAREAS'!M52,0))</x:f>
        <x:v>1.6</x:v>
      </x:c>
      <x:c r="I110" s="10" t="n">
        <x:f>WORKDAY('RESUMEN'!$D$3-1,A110,'RESUMEN'!$J$6:$J$25)</x:f>
        <x:v>46426</x:v>
      </x:c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  <x:c r="AL110" s="3"/>
      <x:c r="AM110" s="3"/>
      <x:c r="AN110" s="3"/>
      <x:c r="AO110" s="3"/>
    </x:row>
    <x:row r="111" ht="24" customHeight="1">
      <x:c r="A111" s="3" t="n">
        <x:v>72</x:v>
      </x:c>
      <x:c r="B111" s="35" t="n">
        <x:f>SUM(IF(AND(71&gt;='EDT Y TAREAS'!AK6,71&lt;'EDT Y TAREAS'!AL6),'EDT Y TAREAS'!AD6/'EDT Y TAREAS'!M6,0),IF(AND(71&gt;='EDT Y TAREAS'!AK7,71&lt;'EDT Y TAREAS'!AL7),'EDT Y TAREAS'!AD7/'EDT Y TAREAS'!M7,0),IF(AND(71&gt;='EDT Y TAREAS'!AK8,71&lt;'EDT Y TAREAS'!AL8),'EDT Y TAREAS'!AD8/'EDT Y TAREAS'!M8,0),IF(AND(71&gt;='EDT Y TAREAS'!AK9,71&lt;'EDT Y TAREAS'!AL9),'EDT Y TAREAS'!AD9/'EDT Y TAREAS'!M9,0),IF(AND(71&gt;='EDT Y TAREAS'!AK10,71&lt;'EDT Y TAREAS'!AL10),'EDT Y TAREAS'!AD10/'EDT Y TAREAS'!M10,0),IF(AND(71&gt;='EDT Y TAREAS'!AK11,71&lt;'EDT Y TAREAS'!AL11),'EDT Y TAREAS'!AD11/'EDT Y TAREAS'!M11,0),IF(AND(71&gt;='EDT Y TAREAS'!AK12,71&lt;'EDT Y TAREAS'!AL12),'EDT Y TAREAS'!AD12/'EDT Y TAREAS'!M12,0),IF(AND(71&gt;='EDT Y TAREAS'!AK13,71&lt;'EDT Y TAREAS'!AL13),'EDT Y TAREAS'!AD13/'EDT Y TAREAS'!M13,0),IF(AND(71&gt;='EDT Y TAREAS'!AK14,71&lt;'EDT Y TAREAS'!AL14),'EDT Y TAREAS'!AD14/'EDT Y TAREAS'!M14,0),IF(AND(71&gt;='EDT Y TAREAS'!AK15,71&lt;'EDT Y TAREAS'!AL15),'EDT Y TAREAS'!AD15/'EDT Y TAREAS'!M15,0),IF(AND(71&gt;='EDT Y TAREAS'!AK16,71&lt;'EDT Y TAREAS'!AL16),'EDT Y TAREAS'!AD16/'EDT Y TAREAS'!M16,0),IF(AND(71&gt;='EDT Y TAREAS'!AK17,71&lt;'EDT Y TAREAS'!AL17),'EDT Y TAREAS'!AD17/'EDT Y TAREAS'!M17,0),IF(AND(71&gt;='EDT Y TAREAS'!AK18,71&lt;'EDT Y TAREAS'!AL18),'EDT Y TAREAS'!AD18/'EDT Y TAREAS'!M18,0),IF(AND(71&gt;='EDT Y TAREAS'!AK19,71&lt;'EDT Y TAREAS'!AL19),'EDT Y TAREAS'!AD19/'EDT Y TAREAS'!M19,0),IF(AND(71&gt;='EDT Y TAREAS'!AK20,71&lt;'EDT Y TAREAS'!AL20),'EDT Y TAREAS'!AD20/'EDT Y TAREAS'!M20,0),IF(AND(71&gt;='EDT Y TAREAS'!AK21,71&lt;'EDT Y TAREAS'!AL21),'EDT Y TAREAS'!AD21/'EDT Y TAREAS'!M21,0),IF(AND(71&gt;='EDT Y TAREAS'!AK22,71&lt;'EDT Y TAREAS'!AL22),'EDT Y TAREAS'!AD22/'EDT Y TAREAS'!M22,0),IF(AND(71&gt;='EDT Y TAREAS'!AK23,71&lt;'EDT Y TAREAS'!AL23),'EDT Y TAREAS'!AD23/'EDT Y TAREAS'!M23,0),IF(AND(71&gt;='EDT Y TAREAS'!AK26,71&lt;'EDT Y TAREAS'!AL26),'EDT Y TAREAS'!AD26/'EDT Y TAREAS'!M26,0),IF(AND(71&gt;='EDT Y TAREAS'!AK28,71&lt;'EDT Y TAREAS'!AL28),'EDT Y TAREAS'!AD28/'EDT Y TAREAS'!M28,0),IF(AND(71&gt;='EDT Y TAREAS'!AK30,71&lt;'EDT Y TAREAS'!AL30),'EDT Y TAREAS'!AD30/'EDT Y TAREAS'!M30,0),IF(AND(71&gt;='EDT Y TAREAS'!AK32,71&lt;'EDT Y TAREAS'!AL32),'EDT Y TAREAS'!AD32/'EDT Y TAREAS'!M32,0),IF(AND(71&gt;='EDT Y TAREAS'!AK34,71&lt;'EDT Y TAREAS'!AL34),'EDT Y TAREAS'!AD34/'EDT Y TAREAS'!M34,0),IF(AND(71&gt;='EDT Y TAREAS'!AK38,71&lt;'EDT Y TAREAS'!AL38),'EDT Y TAREAS'!AD38/'EDT Y TAREAS'!M38,0),IF(AND(71&gt;='EDT Y TAREAS'!AK39,71&lt;'EDT Y TAREAS'!AL39),'EDT Y TAREAS'!AD39/'EDT Y TAREAS'!M39,0),IF(AND(71&gt;='EDT Y TAREAS'!AK43,71&lt;'EDT Y TAREAS'!AL43),'EDT Y TAREAS'!AD43/'EDT Y TAREAS'!M43,0),IF(AND(71&gt;='EDT Y TAREAS'!AK44,71&lt;'EDT Y TAREAS'!AL44),'EDT Y TAREAS'!AD44/'EDT Y TAREAS'!M44,0),IF(AND(71&gt;='EDT Y TAREAS'!AK45,71&lt;'EDT Y TAREAS'!AL45),'EDT Y TAREAS'!AD45/'EDT Y TAREAS'!M45,0),IF(AND(71&gt;='EDT Y TAREAS'!AK46,71&lt;'EDT Y TAREAS'!AL46),'EDT Y TAREAS'!AD46/'EDT Y TAREAS'!M46,0),IF(AND(71&gt;='EDT Y TAREAS'!AK47,71&lt;'EDT Y TAREAS'!AL47),'EDT Y TAREAS'!AD47/'EDT Y TAREAS'!M47,0),IF(AND(71&gt;='EDT Y TAREAS'!AK49,71&lt;'EDT Y TAREAS'!AL49),'EDT Y TAREAS'!AD49/'EDT Y TAREAS'!M49,0),IF(AND(71&gt;='EDT Y TAREAS'!AK50,71&lt;'EDT Y TAREAS'!AL50),'EDT Y TAREAS'!AD50/'EDT Y TAREAS'!M50,0),IF(AND(71&gt;='EDT Y TAREAS'!AK51,71&lt;'EDT Y TAREAS'!AL51),'EDT Y TAREAS'!AD51/'EDT Y TAREAS'!M51,0),IF(AND(71&gt;='EDT Y TAREAS'!AK52,71&lt;'EDT Y TAREAS'!AL52),'EDT Y TAREAS'!AD52/'EDT Y TAREAS'!M52,0))</x:f>
        <x:v>4.8</x:v>
      </x:c>
      <x:c r="C111" s="35" t="n">
        <x:f>SUM(IF(AND(71&gt;='EDT Y TAREAS'!AK6,71&lt;'EDT Y TAREAS'!AL6),'EDT Y TAREAS'!AE6/'EDT Y TAREAS'!M6,0),IF(AND(71&gt;='EDT Y TAREAS'!AK8,71&lt;'EDT Y TAREAS'!AL8),'EDT Y TAREAS'!AE8/'EDT Y TAREAS'!M8,0),IF(AND(71&gt;='EDT Y TAREAS'!AK9,71&lt;'EDT Y TAREAS'!AL9),'EDT Y TAREAS'!AE9/'EDT Y TAREAS'!M9,0),IF(AND(71&gt;='EDT Y TAREAS'!AK10,71&lt;'EDT Y TAREAS'!AL10),'EDT Y TAREAS'!AE10/'EDT Y TAREAS'!M10,0),IF(AND(71&gt;='EDT Y TAREAS'!AK12,71&lt;'EDT Y TAREAS'!AL12),'EDT Y TAREAS'!AE12/'EDT Y TAREAS'!M12,0),IF(AND(71&gt;='EDT Y TAREAS'!AK16,71&lt;'EDT Y TAREAS'!AL16),'EDT Y TAREAS'!AE16/'EDT Y TAREAS'!M16,0),IF(AND(71&gt;='EDT Y TAREAS'!AK21,71&lt;'EDT Y TAREAS'!AL21),'EDT Y TAREAS'!AE21/'EDT Y TAREAS'!M21,0),IF(AND(71&gt;='EDT Y TAREAS'!AK23,71&lt;'EDT Y TAREAS'!AL23),'EDT Y TAREAS'!AE23/'EDT Y TAREAS'!M23,0),IF(AND(71&gt;='EDT Y TAREAS'!AK37,71&lt;'EDT Y TAREAS'!AL37),'EDT Y TAREAS'!AE37/'EDT Y TAREAS'!M37,0),IF(AND(71&gt;='EDT Y TAREAS'!AK38,71&lt;'EDT Y TAREAS'!AL38),'EDT Y TAREAS'!AE38/'EDT Y TAREAS'!M38,0),IF(AND(71&gt;='EDT Y TAREAS'!AK41,71&lt;'EDT Y TAREAS'!AL41),'EDT Y TAREAS'!AE41/'EDT Y TAREAS'!M41,0),IF(AND(71&gt;='EDT Y TAREAS'!AK43,71&lt;'EDT Y TAREAS'!AL43),'EDT Y TAREAS'!AE43/'EDT Y TAREAS'!M43,0),IF(AND(71&gt;='EDT Y TAREAS'!AK44,71&lt;'EDT Y TAREAS'!AL44),'EDT Y TAREAS'!AE44/'EDT Y TAREAS'!M44,0),IF(AND(71&gt;='EDT Y TAREAS'!AK46,71&lt;'EDT Y TAREAS'!AL46),'EDT Y TAREAS'!AE46/'EDT Y TAREAS'!M46,0),IF(AND(71&gt;='EDT Y TAREAS'!AK47,71&lt;'EDT Y TAREAS'!AL47),'EDT Y TAREAS'!AE47/'EDT Y TAREAS'!M47,0),IF(AND(71&gt;='EDT Y TAREAS'!AK51,71&lt;'EDT Y TAREAS'!AL51),'EDT Y TAREAS'!AE51/'EDT Y TAREAS'!M51,0),IF(AND(71&gt;='EDT Y TAREAS'!AK52,71&lt;'EDT Y TAREAS'!AL52),'EDT Y TAREAS'!AE52/'EDT Y TAREAS'!M52,0))</x:f>
        <x:v>0</x:v>
      </x:c>
      <x:c r="D111" s="35" t="n">
        <x:f>SUM(IF(AND(71&gt;='EDT Y TAREAS'!AK11,71&lt;'EDT Y TAREAS'!AL11),'EDT Y TAREAS'!AF11/'EDT Y TAREAS'!M11,0),IF(AND(71&gt;='EDT Y TAREAS'!AK24,71&lt;'EDT Y TAREAS'!AL24),'EDT Y TAREAS'!AF24/'EDT Y TAREAS'!M24,0),IF(AND(71&gt;='EDT Y TAREAS'!AK25,71&lt;'EDT Y TAREAS'!AL25),'EDT Y TAREAS'!AF25/'EDT Y TAREAS'!M25,0),IF(AND(71&gt;='EDT Y TAREAS'!AK26,71&lt;'EDT Y TAREAS'!AL26),'EDT Y TAREAS'!AF26/'EDT Y TAREAS'!M26,0),IF(AND(71&gt;='EDT Y TAREAS'!AK27,71&lt;'EDT Y TAREAS'!AL27),'EDT Y TAREAS'!AF27/'EDT Y TAREAS'!M27,0),IF(AND(71&gt;='EDT Y TAREAS'!AK28,71&lt;'EDT Y TAREAS'!AL28),'EDT Y TAREAS'!AF28/'EDT Y TAREAS'!M28,0),IF(AND(71&gt;='EDT Y TAREAS'!AK31,71&lt;'EDT Y TAREAS'!AL31),'EDT Y TAREAS'!AF31/'EDT Y TAREAS'!M31,0),IF(AND(71&gt;='EDT Y TAREAS'!AK33,71&lt;'EDT Y TAREAS'!AL33),'EDT Y TAREAS'!AF33/'EDT Y TAREAS'!M33,0),IF(AND(71&gt;='EDT Y TAREAS'!AK34,71&lt;'EDT Y TAREAS'!AL34),'EDT Y TAREAS'!AF34/'EDT Y TAREAS'!M34,0),IF(AND(71&gt;='EDT Y TAREAS'!AK35,71&lt;'EDT Y TAREAS'!AL35),'EDT Y TAREAS'!AF35/'EDT Y TAREAS'!M35,0),IF(AND(71&gt;='EDT Y TAREAS'!AK37,71&lt;'EDT Y TAREAS'!AL37),'EDT Y TAREAS'!AF37/'EDT Y TAREAS'!M37,0),IF(AND(71&gt;='EDT Y TAREAS'!AK39,71&lt;'EDT Y TAREAS'!AL39),'EDT Y TAREAS'!AF39/'EDT Y TAREAS'!M39,0),IF(AND(71&gt;='EDT Y TAREAS'!AK40,71&lt;'EDT Y TAREAS'!AL40),'EDT Y TAREAS'!AF40/'EDT Y TAREAS'!M40,0),IF(AND(71&gt;='EDT Y TAREAS'!AK42,71&lt;'EDT Y TAREAS'!AL42),'EDT Y TAREAS'!AF42/'EDT Y TAREAS'!M42,0),IF(AND(71&gt;='EDT Y TAREAS'!AK45,71&lt;'EDT Y TAREAS'!AL45),'EDT Y TAREAS'!AF45/'EDT Y TAREAS'!M45,0),IF(AND(71&gt;='EDT Y TAREAS'!AK49,71&lt;'EDT Y TAREAS'!AL49),'EDT Y TAREAS'!AF49/'EDT Y TAREAS'!M49,0),IF(AND(71&gt;='EDT Y TAREAS'!AK52,71&lt;'EDT Y TAREAS'!AL52),'EDT Y TAREAS'!AF52/'EDT Y TAREAS'!M52,0))</x:f>
        <x:v>4</x:v>
      </x:c>
      <x:c r="E111" s="35" t="n">
        <x:f>SUM(IF(AND(71&gt;='EDT Y TAREAS'!AK29,71&lt;'EDT Y TAREAS'!AL29),'EDT Y TAREAS'!AG29/'EDT Y TAREAS'!M29,0),IF(AND(71&gt;='EDT Y TAREAS'!AK30,71&lt;'EDT Y TAREAS'!AL30),'EDT Y TAREAS'!AG30/'EDT Y TAREAS'!M30,0),IF(AND(71&gt;='EDT Y TAREAS'!AK31,71&lt;'EDT Y TAREAS'!AL31),'EDT Y TAREAS'!AG31/'EDT Y TAREAS'!M31,0),IF(AND(71&gt;='EDT Y TAREAS'!AK32,71&lt;'EDT Y TAREAS'!AL32),'EDT Y TAREAS'!AG32/'EDT Y TAREAS'!M32,0),IF(AND(71&gt;='EDT Y TAREAS'!AK41,71&lt;'EDT Y TAREAS'!AL41),'EDT Y TAREAS'!AG41/'EDT Y TAREAS'!M41,0),IF(AND(71&gt;='EDT Y TAREAS'!AK45,71&lt;'EDT Y TAREAS'!AL45),'EDT Y TAREAS'!AG45/'EDT Y TAREAS'!M45,0),IF(AND(71&gt;='EDT Y TAREAS'!AK48,71&lt;'EDT Y TAREAS'!AL48),'EDT Y TAREAS'!AG48/'EDT Y TAREAS'!M48,0))</x:f>
        <x:v>4.8</x:v>
      </x:c>
      <x:c r="F111" s="35" t="n">
        <x:f>SUM(IF(AND(71&gt;='EDT Y TAREAS'!AK10,71&lt;'EDT Y TAREAS'!AL10),'EDT Y TAREAS'!AH10/'EDT Y TAREAS'!M10,0),IF(AND(71&gt;='EDT Y TAREAS'!AK12,71&lt;'EDT Y TAREAS'!AL12),'EDT Y TAREAS'!AH12/'EDT Y TAREAS'!M12,0),IF(AND(71&gt;='EDT Y TAREAS'!AK22,71&lt;'EDT Y TAREAS'!AL22),'EDT Y TAREAS'!AH22/'EDT Y TAREAS'!M22,0),IF(AND(71&gt;='EDT Y TAREAS'!AK23,71&lt;'EDT Y TAREAS'!AL23),'EDT Y TAREAS'!AH23/'EDT Y TAREAS'!M23,0),IF(AND(71&gt;='EDT Y TAREAS'!AK29,71&lt;'EDT Y TAREAS'!AL29),'EDT Y TAREAS'!AH29/'EDT Y TAREAS'!M29,0),IF(AND(71&gt;='EDT Y TAREAS'!AK30,71&lt;'EDT Y TAREAS'!AL30),'EDT Y TAREAS'!AH30/'EDT Y TAREAS'!M30,0),IF(AND(71&gt;='EDT Y TAREAS'!AK32,71&lt;'EDT Y TAREAS'!AL32),'EDT Y TAREAS'!AH32/'EDT Y TAREAS'!M32,0),IF(AND(71&gt;='EDT Y TAREAS'!AK41,71&lt;'EDT Y TAREAS'!AL41),'EDT Y TAREAS'!AH41/'EDT Y TAREAS'!M41,0),IF(AND(71&gt;='EDT Y TAREAS'!AK44,71&lt;'EDT Y TAREAS'!AL44),'EDT Y TAREAS'!AH44/'EDT Y TAREAS'!M44,0),IF(AND(71&gt;='EDT Y TAREAS'!AK46,71&lt;'EDT Y TAREAS'!AL46),'EDT Y TAREAS'!AH46/'EDT Y TAREAS'!M46,0),IF(AND(71&gt;='EDT Y TAREAS'!AK48,71&lt;'EDT Y TAREAS'!AL48),'EDT Y TAREAS'!AH48/'EDT Y TAREAS'!M48,0))</x:f>
        <x:v>0</x:v>
      </x:c>
      <x:c r="G111" s="35" t="n">
        <x:f>SUM(IF(AND(71&gt;='EDT Y TAREAS'!AK20,71&lt;'EDT Y TAREAS'!AL20),'EDT Y TAREAS'!AI20/'EDT Y TAREAS'!M20,0),IF(AND(71&gt;='EDT Y TAREAS'!AK25,71&lt;'EDT Y TAREAS'!AL25),'EDT Y TAREAS'!AI25/'EDT Y TAREAS'!M25,0),IF(AND(71&gt;='EDT Y TAREAS'!AK33,71&lt;'EDT Y TAREAS'!AL33),'EDT Y TAREAS'!AI33/'EDT Y TAREAS'!M33,0),IF(AND(71&gt;='EDT Y TAREAS'!AK34,71&lt;'EDT Y TAREAS'!AL34),'EDT Y TAREAS'!AI34/'EDT Y TAREAS'!M34,0),IF(AND(71&gt;='EDT Y TAREAS'!AK36,71&lt;'EDT Y TAREAS'!AL36),'EDT Y TAREAS'!AI36/'EDT Y TAREAS'!M36,0),IF(AND(71&gt;='EDT Y TAREAS'!AK39,71&lt;'EDT Y TAREAS'!AL39),'EDT Y TAREAS'!AI39/'EDT Y TAREAS'!M39,0),IF(AND(71&gt;='EDT Y TAREAS'!AK40,71&lt;'EDT Y TAREAS'!AL40),'EDT Y TAREAS'!AI40/'EDT Y TAREAS'!M40,0),IF(AND(71&gt;='EDT Y TAREAS'!AK42,71&lt;'EDT Y TAREAS'!AL42),'EDT Y TAREAS'!AI42/'EDT Y TAREAS'!M42,0),IF(AND(71&gt;='EDT Y TAREAS'!AK43,71&lt;'EDT Y TAREAS'!AL43),'EDT Y TAREAS'!AI43/'EDT Y TAREAS'!M43,0),IF(AND(71&gt;='EDT Y TAREAS'!AK44,71&lt;'EDT Y TAREAS'!AL44),'EDT Y TAREAS'!AI44/'EDT Y TAREAS'!M44,0),IF(AND(71&gt;='EDT Y TAREAS'!AK45,71&lt;'EDT Y TAREAS'!AL45),'EDT Y TAREAS'!AI45/'EDT Y TAREAS'!M45,0),IF(AND(71&gt;='EDT Y TAREAS'!AK46,71&lt;'EDT Y TAREAS'!AL46),'EDT Y TAREAS'!AI46/'EDT Y TAREAS'!M46,0),IF(AND(71&gt;='EDT Y TAREAS'!AK48,71&lt;'EDT Y TAREAS'!AL48),'EDT Y TAREAS'!AI48/'EDT Y TAREAS'!M48,0),IF(AND(71&gt;='EDT Y TAREAS'!AK50,71&lt;'EDT Y TAREAS'!AL50),'EDT Y TAREAS'!AI50/'EDT Y TAREAS'!M50,0),IF(AND(71&gt;='EDT Y TAREAS'!AK52,71&lt;'EDT Y TAREAS'!AL52),'EDT Y TAREAS'!AI52/'EDT Y TAREAS'!M52,0))</x:f>
        <x:v>1.6</x:v>
      </x:c>
      <x:c r="H111" s="35" t="n">
        <x:f>SUM(IF(AND(71&gt;='EDT Y TAREAS'!AK11,71&lt;'EDT Y TAREAS'!AL11),'EDT Y TAREAS'!AJ11/'EDT Y TAREAS'!M11,0),IF(AND(71&gt;='EDT Y TAREAS'!AK24,71&lt;'EDT Y TAREAS'!AL24),'EDT Y TAREAS'!AJ24/'EDT Y TAREAS'!M24,0),IF(AND(71&gt;='EDT Y TAREAS'!AK27,71&lt;'EDT Y TAREAS'!AL27),'EDT Y TAREAS'!AJ27/'EDT Y TAREAS'!M27,0),IF(AND(71&gt;='EDT Y TAREAS'!AK28,71&lt;'EDT Y TAREAS'!AL28),'EDT Y TAREAS'!AJ28/'EDT Y TAREAS'!M28,0),IF(AND(71&gt;='EDT Y TAREAS'!AK33,71&lt;'EDT Y TAREAS'!AL33),'EDT Y TAREAS'!AJ33/'EDT Y TAREAS'!M33,0),IF(AND(71&gt;='EDT Y TAREAS'!AK35,71&lt;'EDT Y TAREAS'!AL35),'EDT Y TAREAS'!AJ35/'EDT Y TAREAS'!M35,0),IF(AND(71&gt;='EDT Y TAREAS'!AK36,71&lt;'EDT Y TAREAS'!AL36),'EDT Y TAREAS'!AJ36/'EDT Y TAREAS'!M36,0),IF(AND(71&gt;='EDT Y TAREAS'!AK37,71&lt;'EDT Y TAREAS'!AL37),'EDT Y TAREAS'!AJ37/'EDT Y TAREAS'!M37,0),IF(AND(71&gt;='EDT Y TAREAS'!AK40,71&lt;'EDT Y TAREAS'!AL40),'EDT Y TAREAS'!AJ40/'EDT Y TAREAS'!M40,0),IF(AND(71&gt;='EDT Y TAREAS'!AK42,71&lt;'EDT Y TAREAS'!AL42),'EDT Y TAREAS'!AJ42/'EDT Y TAREAS'!M42,0),IF(AND(71&gt;='EDT Y TAREAS'!AK49,71&lt;'EDT Y TAREAS'!AL49),'EDT Y TAREAS'!AJ49/'EDT Y TAREAS'!M49,0),IF(AND(71&gt;='EDT Y TAREAS'!AK50,71&lt;'EDT Y TAREAS'!AL50),'EDT Y TAREAS'!AJ50/'EDT Y TAREAS'!M50,0),IF(AND(71&gt;='EDT Y TAREAS'!AK51,71&lt;'EDT Y TAREAS'!AL51),'EDT Y TAREAS'!AJ51/'EDT Y TAREAS'!M51,0),IF(AND(71&gt;='EDT Y TAREAS'!AK52,71&lt;'EDT Y TAREAS'!AL52),'EDT Y TAREAS'!AJ52/'EDT Y TAREAS'!M52,0))</x:f>
        <x:v>1.6</x:v>
      </x:c>
      <x:c r="I111" s="10" t="n">
        <x:f>WORKDAY('RESUMEN'!$D$3-1,A111,'RESUMEN'!$J$6:$J$25)</x:f>
        <x:v>46427</x:v>
      </x:c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  <x:c r="AM111" s="3"/>
      <x:c r="AN111" s="3"/>
      <x:c r="AO111" s="3"/>
    </x:row>
    <x:row r="112" ht="24" customHeight="1">
      <x:c r="A112" s="3" t="n">
        <x:v>73</x:v>
      </x:c>
      <x:c r="B112" s="35" t="n">
        <x:f>SUM(IF(AND(72&gt;='EDT Y TAREAS'!AK6,72&lt;'EDT Y TAREAS'!AL6),'EDT Y TAREAS'!AD6/'EDT Y TAREAS'!M6,0),IF(AND(72&gt;='EDT Y TAREAS'!AK7,72&lt;'EDT Y TAREAS'!AL7),'EDT Y TAREAS'!AD7/'EDT Y TAREAS'!M7,0),IF(AND(72&gt;='EDT Y TAREAS'!AK8,72&lt;'EDT Y TAREAS'!AL8),'EDT Y TAREAS'!AD8/'EDT Y TAREAS'!M8,0),IF(AND(72&gt;='EDT Y TAREAS'!AK9,72&lt;'EDT Y TAREAS'!AL9),'EDT Y TAREAS'!AD9/'EDT Y TAREAS'!M9,0),IF(AND(72&gt;='EDT Y TAREAS'!AK10,72&lt;'EDT Y TAREAS'!AL10),'EDT Y TAREAS'!AD10/'EDT Y TAREAS'!M10,0),IF(AND(72&gt;='EDT Y TAREAS'!AK11,72&lt;'EDT Y TAREAS'!AL11),'EDT Y TAREAS'!AD11/'EDT Y TAREAS'!M11,0),IF(AND(72&gt;='EDT Y TAREAS'!AK12,72&lt;'EDT Y TAREAS'!AL12),'EDT Y TAREAS'!AD12/'EDT Y TAREAS'!M12,0),IF(AND(72&gt;='EDT Y TAREAS'!AK13,72&lt;'EDT Y TAREAS'!AL13),'EDT Y TAREAS'!AD13/'EDT Y TAREAS'!M13,0),IF(AND(72&gt;='EDT Y TAREAS'!AK14,72&lt;'EDT Y TAREAS'!AL14),'EDT Y TAREAS'!AD14/'EDT Y TAREAS'!M14,0),IF(AND(72&gt;='EDT Y TAREAS'!AK15,72&lt;'EDT Y TAREAS'!AL15),'EDT Y TAREAS'!AD15/'EDT Y TAREAS'!M15,0),IF(AND(72&gt;='EDT Y TAREAS'!AK16,72&lt;'EDT Y TAREAS'!AL16),'EDT Y TAREAS'!AD16/'EDT Y TAREAS'!M16,0),IF(AND(72&gt;='EDT Y TAREAS'!AK17,72&lt;'EDT Y TAREAS'!AL17),'EDT Y TAREAS'!AD17/'EDT Y TAREAS'!M17,0),IF(AND(72&gt;='EDT Y TAREAS'!AK18,72&lt;'EDT Y TAREAS'!AL18),'EDT Y TAREAS'!AD18/'EDT Y TAREAS'!M18,0),IF(AND(72&gt;='EDT Y TAREAS'!AK19,72&lt;'EDT Y TAREAS'!AL19),'EDT Y TAREAS'!AD19/'EDT Y TAREAS'!M19,0),IF(AND(72&gt;='EDT Y TAREAS'!AK20,72&lt;'EDT Y TAREAS'!AL20),'EDT Y TAREAS'!AD20/'EDT Y TAREAS'!M20,0),IF(AND(72&gt;='EDT Y TAREAS'!AK21,72&lt;'EDT Y TAREAS'!AL21),'EDT Y TAREAS'!AD21/'EDT Y TAREAS'!M21,0),IF(AND(72&gt;='EDT Y TAREAS'!AK22,72&lt;'EDT Y TAREAS'!AL22),'EDT Y TAREAS'!AD22/'EDT Y TAREAS'!M22,0),IF(AND(72&gt;='EDT Y TAREAS'!AK23,72&lt;'EDT Y TAREAS'!AL23),'EDT Y TAREAS'!AD23/'EDT Y TAREAS'!M23,0),IF(AND(72&gt;='EDT Y TAREAS'!AK26,72&lt;'EDT Y TAREAS'!AL26),'EDT Y TAREAS'!AD26/'EDT Y TAREAS'!M26,0),IF(AND(72&gt;='EDT Y TAREAS'!AK28,72&lt;'EDT Y TAREAS'!AL28),'EDT Y TAREAS'!AD28/'EDT Y TAREAS'!M28,0),IF(AND(72&gt;='EDT Y TAREAS'!AK30,72&lt;'EDT Y TAREAS'!AL30),'EDT Y TAREAS'!AD30/'EDT Y TAREAS'!M30,0),IF(AND(72&gt;='EDT Y TAREAS'!AK32,72&lt;'EDT Y TAREAS'!AL32),'EDT Y TAREAS'!AD32/'EDT Y TAREAS'!M32,0),IF(AND(72&gt;='EDT Y TAREAS'!AK34,72&lt;'EDT Y TAREAS'!AL34),'EDT Y TAREAS'!AD34/'EDT Y TAREAS'!M34,0),IF(AND(72&gt;='EDT Y TAREAS'!AK38,72&lt;'EDT Y TAREAS'!AL38),'EDT Y TAREAS'!AD38/'EDT Y TAREAS'!M38,0),IF(AND(72&gt;='EDT Y TAREAS'!AK39,72&lt;'EDT Y TAREAS'!AL39),'EDT Y TAREAS'!AD39/'EDT Y TAREAS'!M39,0),IF(AND(72&gt;='EDT Y TAREAS'!AK43,72&lt;'EDT Y TAREAS'!AL43),'EDT Y TAREAS'!AD43/'EDT Y TAREAS'!M43,0),IF(AND(72&gt;='EDT Y TAREAS'!AK44,72&lt;'EDT Y TAREAS'!AL44),'EDT Y TAREAS'!AD44/'EDT Y TAREAS'!M44,0),IF(AND(72&gt;='EDT Y TAREAS'!AK45,72&lt;'EDT Y TAREAS'!AL45),'EDT Y TAREAS'!AD45/'EDT Y TAREAS'!M45,0),IF(AND(72&gt;='EDT Y TAREAS'!AK46,72&lt;'EDT Y TAREAS'!AL46),'EDT Y TAREAS'!AD46/'EDT Y TAREAS'!M46,0),IF(AND(72&gt;='EDT Y TAREAS'!AK47,72&lt;'EDT Y TAREAS'!AL47),'EDT Y TAREAS'!AD47/'EDT Y TAREAS'!M47,0),IF(AND(72&gt;='EDT Y TAREAS'!AK49,72&lt;'EDT Y TAREAS'!AL49),'EDT Y TAREAS'!AD49/'EDT Y TAREAS'!M49,0),IF(AND(72&gt;='EDT Y TAREAS'!AK50,72&lt;'EDT Y TAREAS'!AL50),'EDT Y TAREAS'!AD50/'EDT Y TAREAS'!M50,0),IF(AND(72&gt;='EDT Y TAREAS'!AK51,72&lt;'EDT Y TAREAS'!AL51),'EDT Y TAREAS'!AD51/'EDT Y TAREAS'!M51,0),IF(AND(72&gt;='EDT Y TAREAS'!AK52,72&lt;'EDT Y TAREAS'!AL52),'EDT Y TAREAS'!AD52/'EDT Y TAREAS'!M52,0))</x:f>
        <x:v>4.8</x:v>
      </x:c>
      <x:c r="C112" s="35" t="n">
        <x:f>SUM(IF(AND(72&gt;='EDT Y TAREAS'!AK6,72&lt;'EDT Y TAREAS'!AL6),'EDT Y TAREAS'!AE6/'EDT Y TAREAS'!M6,0),IF(AND(72&gt;='EDT Y TAREAS'!AK8,72&lt;'EDT Y TAREAS'!AL8),'EDT Y TAREAS'!AE8/'EDT Y TAREAS'!M8,0),IF(AND(72&gt;='EDT Y TAREAS'!AK9,72&lt;'EDT Y TAREAS'!AL9),'EDT Y TAREAS'!AE9/'EDT Y TAREAS'!M9,0),IF(AND(72&gt;='EDT Y TAREAS'!AK10,72&lt;'EDT Y TAREAS'!AL10),'EDT Y TAREAS'!AE10/'EDT Y TAREAS'!M10,0),IF(AND(72&gt;='EDT Y TAREAS'!AK12,72&lt;'EDT Y TAREAS'!AL12),'EDT Y TAREAS'!AE12/'EDT Y TAREAS'!M12,0),IF(AND(72&gt;='EDT Y TAREAS'!AK16,72&lt;'EDT Y TAREAS'!AL16),'EDT Y TAREAS'!AE16/'EDT Y TAREAS'!M16,0),IF(AND(72&gt;='EDT Y TAREAS'!AK21,72&lt;'EDT Y TAREAS'!AL21),'EDT Y TAREAS'!AE21/'EDT Y TAREAS'!M21,0),IF(AND(72&gt;='EDT Y TAREAS'!AK23,72&lt;'EDT Y TAREAS'!AL23),'EDT Y TAREAS'!AE23/'EDT Y TAREAS'!M23,0),IF(AND(72&gt;='EDT Y TAREAS'!AK37,72&lt;'EDT Y TAREAS'!AL37),'EDT Y TAREAS'!AE37/'EDT Y TAREAS'!M37,0),IF(AND(72&gt;='EDT Y TAREAS'!AK38,72&lt;'EDT Y TAREAS'!AL38),'EDT Y TAREAS'!AE38/'EDT Y TAREAS'!M38,0),IF(AND(72&gt;='EDT Y TAREAS'!AK41,72&lt;'EDT Y TAREAS'!AL41),'EDT Y TAREAS'!AE41/'EDT Y TAREAS'!M41,0),IF(AND(72&gt;='EDT Y TAREAS'!AK43,72&lt;'EDT Y TAREAS'!AL43),'EDT Y TAREAS'!AE43/'EDT Y TAREAS'!M43,0),IF(AND(72&gt;='EDT Y TAREAS'!AK44,72&lt;'EDT Y TAREAS'!AL44),'EDT Y TAREAS'!AE44/'EDT Y TAREAS'!M44,0),IF(AND(72&gt;='EDT Y TAREAS'!AK46,72&lt;'EDT Y TAREAS'!AL46),'EDT Y TAREAS'!AE46/'EDT Y TAREAS'!M46,0),IF(AND(72&gt;='EDT Y TAREAS'!AK47,72&lt;'EDT Y TAREAS'!AL47),'EDT Y TAREAS'!AE47/'EDT Y TAREAS'!M47,0),IF(AND(72&gt;='EDT Y TAREAS'!AK51,72&lt;'EDT Y TAREAS'!AL51),'EDT Y TAREAS'!AE51/'EDT Y TAREAS'!M51,0),IF(AND(72&gt;='EDT Y TAREAS'!AK52,72&lt;'EDT Y TAREAS'!AL52),'EDT Y TAREAS'!AE52/'EDT Y TAREAS'!M52,0))</x:f>
        <x:v>0</x:v>
      </x:c>
      <x:c r="D112" s="35" t="n">
        <x:f>SUM(IF(AND(72&gt;='EDT Y TAREAS'!AK11,72&lt;'EDT Y TAREAS'!AL11),'EDT Y TAREAS'!AF11/'EDT Y TAREAS'!M11,0),IF(AND(72&gt;='EDT Y TAREAS'!AK24,72&lt;'EDT Y TAREAS'!AL24),'EDT Y TAREAS'!AF24/'EDT Y TAREAS'!M24,0),IF(AND(72&gt;='EDT Y TAREAS'!AK25,72&lt;'EDT Y TAREAS'!AL25),'EDT Y TAREAS'!AF25/'EDT Y TAREAS'!M25,0),IF(AND(72&gt;='EDT Y TAREAS'!AK26,72&lt;'EDT Y TAREAS'!AL26),'EDT Y TAREAS'!AF26/'EDT Y TAREAS'!M26,0),IF(AND(72&gt;='EDT Y TAREAS'!AK27,72&lt;'EDT Y TAREAS'!AL27),'EDT Y TAREAS'!AF27/'EDT Y TAREAS'!M27,0),IF(AND(72&gt;='EDT Y TAREAS'!AK28,72&lt;'EDT Y TAREAS'!AL28),'EDT Y TAREAS'!AF28/'EDT Y TAREAS'!M28,0),IF(AND(72&gt;='EDT Y TAREAS'!AK31,72&lt;'EDT Y TAREAS'!AL31),'EDT Y TAREAS'!AF31/'EDT Y TAREAS'!M31,0),IF(AND(72&gt;='EDT Y TAREAS'!AK33,72&lt;'EDT Y TAREAS'!AL33),'EDT Y TAREAS'!AF33/'EDT Y TAREAS'!M33,0),IF(AND(72&gt;='EDT Y TAREAS'!AK34,72&lt;'EDT Y TAREAS'!AL34),'EDT Y TAREAS'!AF34/'EDT Y TAREAS'!M34,0),IF(AND(72&gt;='EDT Y TAREAS'!AK35,72&lt;'EDT Y TAREAS'!AL35),'EDT Y TAREAS'!AF35/'EDT Y TAREAS'!M35,0),IF(AND(72&gt;='EDT Y TAREAS'!AK37,72&lt;'EDT Y TAREAS'!AL37),'EDT Y TAREAS'!AF37/'EDT Y TAREAS'!M37,0),IF(AND(72&gt;='EDT Y TAREAS'!AK39,72&lt;'EDT Y TAREAS'!AL39),'EDT Y TAREAS'!AF39/'EDT Y TAREAS'!M39,0),IF(AND(72&gt;='EDT Y TAREAS'!AK40,72&lt;'EDT Y TAREAS'!AL40),'EDT Y TAREAS'!AF40/'EDT Y TAREAS'!M40,0),IF(AND(72&gt;='EDT Y TAREAS'!AK42,72&lt;'EDT Y TAREAS'!AL42),'EDT Y TAREAS'!AF42/'EDT Y TAREAS'!M42,0),IF(AND(72&gt;='EDT Y TAREAS'!AK45,72&lt;'EDT Y TAREAS'!AL45),'EDT Y TAREAS'!AF45/'EDT Y TAREAS'!M45,0),IF(AND(72&gt;='EDT Y TAREAS'!AK49,72&lt;'EDT Y TAREAS'!AL49),'EDT Y TAREAS'!AF49/'EDT Y TAREAS'!M49,0),IF(AND(72&gt;='EDT Y TAREAS'!AK52,72&lt;'EDT Y TAREAS'!AL52),'EDT Y TAREAS'!AF52/'EDT Y TAREAS'!M52,0))</x:f>
        <x:v>4</x:v>
      </x:c>
      <x:c r="E112" s="35" t="n">
        <x:f>SUM(IF(AND(72&gt;='EDT Y TAREAS'!AK29,72&lt;'EDT Y TAREAS'!AL29),'EDT Y TAREAS'!AG29/'EDT Y TAREAS'!M29,0),IF(AND(72&gt;='EDT Y TAREAS'!AK30,72&lt;'EDT Y TAREAS'!AL30),'EDT Y TAREAS'!AG30/'EDT Y TAREAS'!M30,0),IF(AND(72&gt;='EDT Y TAREAS'!AK31,72&lt;'EDT Y TAREAS'!AL31),'EDT Y TAREAS'!AG31/'EDT Y TAREAS'!M31,0),IF(AND(72&gt;='EDT Y TAREAS'!AK32,72&lt;'EDT Y TAREAS'!AL32),'EDT Y TAREAS'!AG32/'EDT Y TAREAS'!M32,0),IF(AND(72&gt;='EDT Y TAREAS'!AK41,72&lt;'EDT Y TAREAS'!AL41),'EDT Y TAREAS'!AG41/'EDT Y TAREAS'!M41,0),IF(AND(72&gt;='EDT Y TAREAS'!AK45,72&lt;'EDT Y TAREAS'!AL45),'EDT Y TAREAS'!AG45/'EDT Y TAREAS'!M45,0),IF(AND(72&gt;='EDT Y TAREAS'!AK48,72&lt;'EDT Y TAREAS'!AL48),'EDT Y TAREAS'!AG48/'EDT Y TAREAS'!M48,0))</x:f>
        <x:v>4.8</x:v>
      </x:c>
      <x:c r="F112" s="35" t="n">
        <x:f>SUM(IF(AND(72&gt;='EDT Y TAREAS'!AK10,72&lt;'EDT Y TAREAS'!AL10),'EDT Y TAREAS'!AH10/'EDT Y TAREAS'!M10,0),IF(AND(72&gt;='EDT Y TAREAS'!AK12,72&lt;'EDT Y TAREAS'!AL12),'EDT Y TAREAS'!AH12/'EDT Y TAREAS'!M12,0),IF(AND(72&gt;='EDT Y TAREAS'!AK22,72&lt;'EDT Y TAREAS'!AL22),'EDT Y TAREAS'!AH22/'EDT Y TAREAS'!M22,0),IF(AND(72&gt;='EDT Y TAREAS'!AK23,72&lt;'EDT Y TAREAS'!AL23),'EDT Y TAREAS'!AH23/'EDT Y TAREAS'!M23,0),IF(AND(72&gt;='EDT Y TAREAS'!AK29,72&lt;'EDT Y TAREAS'!AL29),'EDT Y TAREAS'!AH29/'EDT Y TAREAS'!M29,0),IF(AND(72&gt;='EDT Y TAREAS'!AK30,72&lt;'EDT Y TAREAS'!AL30),'EDT Y TAREAS'!AH30/'EDT Y TAREAS'!M30,0),IF(AND(72&gt;='EDT Y TAREAS'!AK32,72&lt;'EDT Y TAREAS'!AL32),'EDT Y TAREAS'!AH32/'EDT Y TAREAS'!M32,0),IF(AND(72&gt;='EDT Y TAREAS'!AK41,72&lt;'EDT Y TAREAS'!AL41),'EDT Y TAREAS'!AH41/'EDT Y TAREAS'!M41,0),IF(AND(72&gt;='EDT Y TAREAS'!AK44,72&lt;'EDT Y TAREAS'!AL44),'EDT Y TAREAS'!AH44/'EDT Y TAREAS'!M44,0),IF(AND(72&gt;='EDT Y TAREAS'!AK46,72&lt;'EDT Y TAREAS'!AL46),'EDT Y TAREAS'!AH46/'EDT Y TAREAS'!M46,0),IF(AND(72&gt;='EDT Y TAREAS'!AK48,72&lt;'EDT Y TAREAS'!AL48),'EDT Y TAREAS'!AH48/'EDT Y TAREAS'!M48,0))</x:f>
        <x:v>0</x:v>
      </x:c>
      <x:c r="G112" s="35" t="n">
        <x:f>SUM(IF(AND(72&gt;='EDT Y TAREAS'!AK20,72&lt;'EDT Y TAREAS'!AL20),'EDT Y TAREAS'!AI20/'EDT Y TAREAS'!M20,0),IF(AND(72&gt;='EDT Y TAREAS'!AK25,72&lt;'EDT Y TAREAS'!AL25),'EDT Y TAREAS'!AI25/'EDT Y TAREAS'!M25,0),IF(AND(72&gt;='EDT Y TAREAS'!AK33,72&lt;'EDT Y TAREAS'!AL33),'EDT Y TAREAS'!AI33/'EDT Y TAREAS'!M33,0),IF(AND(72&gt;='EDT Y TAREAS'!AK34,72&lt;'EDT Y TAREAS'!AL34),'EDT Y TAREAS'!AI34/'EDT Y TAREAS'!M34,0),IF(AND(72&gt;='EDT Y TAREAS'!AK36,72&lt;'EDT Y TAREAS'!AL36),'EDT Y TAREAS'!AI36/'EDT Y TAREAS'!M36,0),IF(AND(72&gt;='EDT Y TAREAS'!AK39,72&lt;'EDT Y TAREAS'!AL39),'EDT Y TAREAS'!AI39/'EDT Y TAREAS'!M39,0),IF(AND(72&gt;='EDT Y TAREAS'!AK40,72&lt;'EDT Y TAREAS'!AL40),'EDT Y TAREAS'!AI40/'EDT Y TAREAS'!M40,0),IF(AND(72&gt;='EDT Y TAREAS'!AK42,72&lt;'EDT Y TAREAS'!AL42),'EDT Y TAREAS'!AI42/'EDT Y TAREAS'!M42,0),IF(AND(72&gt;='EDT Y TAREAS'!AK43,72&lt;'EDT Y TAREAS'!AL43),'EDT Y TAREAS'!AI43/'EDT Y TAREAS'!M43,0),IF(AND(72&gt;='EDT Y TAREAS'!AK44,72&lt;'EDT Y TAREAS'!AL44),'EDT Y TAREAS'!AI44/'EDT Y TAREAS'!M44,0),IF(AND(72&gt;='EDT Y TAREAS'!AK45,72&lt;'EDT Y TAREAS'!AL45),'EDT Y TAREAS'!AI45/'EDT Y TAREAS'!M45,0),IF(AND(72&gt;='EDT Y TAREAS'!AK46,72&lt;'EDT Y TAREAS'!AL46),'EDT Y TAREAS'!AI46/'EDT Y TAREAS'!M46,0),IF(AND(72&gt;='EDT Y TAREAS'!AK48,72&lt;'EDT Y TAREAS'!AL48),'EDT Y TAREAS'!AI48/'EDT Y TAREAS'!M48,0),IF(AND(72&gt;='EDT Y TAREAS'!AK50,72&lt;'EDT Y TAREAS'!AL50),'EDT Y TAREAS'!AI50/'EDT Y TAREAS'!M50,0),IF(AND(72&gt;='EDT Y TAREAS'!AK52,72&lt;'EDT Y TAREAS'!AL52),'EDT Y TAREAS'!AI52/'EDT Y TAREAS'!M52,0))</x:f>
        <x:v>1.6</x:v>
      </x:c>
      <x:c r="H112" s="35" t="n">
        <x:f>SUM(IF(AND(72&gt;='EDT Y TAREAS'!AK11,72&lt;'EDT Y TAREAS'!AL11),'EDT Y TAREAS'!AJ11/'EDT Y TAREAS'!M11,0),IF(AND(72&gt;='EDT Y TAREAS'!AK24,72&lt;'EDT Y TAREAS'!AL24),'EDT Y TAREAS'!AJ24/'EDT Y TAREAS'!M24,0),IF(AND(72&gt;='EDT Y TAREAS'!AK27,72&lt;'EDT Y TAREAS'!AL27),'EDT Y TAREAS'!AJ27/'EDT Y TAREAS'!M27,0),IF(AND(72&gt;='EDT Y TAREAS'!AK28,72&lt;'EDT Y TAREAS'!AL28),'EDT Y TAREAS'!AJ28/'EDT Y TAREAS'!M28,0),IF(AND(72&gt;='EDT Y TAREAS'!AK33,72&lt;'EDT Y TAREAS'!AL33),'EDT Y TAREAS'!AJ33/'EDT Y TAREAS'!M33,0),IF(AND(72&gt;='EDT Y TAREAS'!AK35,72&lt;'EDT Y TAREAS'!AL35),'EDT Y TAREAS'!AJ35/'EDT Y TAREAS'!M35,0),IF(AND(72&gt;='EDT Y TAREAS'!AK36,72&lt;'EDT Y TAREAS'!AL36),'EDT Y TAREAS'!AJ36/'EDT Y TAREAS'!M36,0),IF(AND(72&gt;='EDT Y TAREAS'!AK37,72&lt;'EDT Y TAREAS'!AL37),'EDT Y TAREAS'!AJ37/'EDT Y TAREAS'!M37,0),IF(AND(72&gt;='EDT Y TAREAS'!AK40,72&lt;'EDT Y TAREAS'!AL40),'EDT Y TAREAS'!AJ40/'EDT Y TAREAS'!M40,0),IF(AND(72&gt;='EDT Y TAREAS'!AK42,72&lt;'EDT Y TAREAS'!AL42),'EDT Y TAREAS'!AJ42/'EDT Y TAREAS'!M42,0),IF(AND(72&gt;='EDT Y TAREAS'!AK49,72&lt;'EDT Y TAREAS'!AL49),'EDT Y TAREAS'!AJ49/'EDT Y TAREAS'!M49,0),IF(AND(72&gt;='EDT Y TAREAS'!AK50,72&lt;'EDT Y TAREAS'!AL50),'EDT Y TAREAS'!AJ50/'EDT Y TAREAS'!M50,0),IF(AND(72&gt;='EDT Y TAREAS'!AK51,72&lt;'EDT Y TAREAS'!AL51),'EDT Y TAREAS'!AJ51/'EDT Y TAREAS'!M51,0),IF(AND(72&gt;='EDT Y TAREAS'!AK52,72&lt;'EDT Y TAREAS'!AL52),'EDT Y TAREAS'!AJ52/'EDT Y TAREAS'!M52,0))</x:f>
        <x:v>1.6</x:v>
      </x:c>
      <x:c r="I112" s="10" t="n">
        <x:f>WORKDAY('RESUMEN'!$D$3-1,A112,'RESUMEN'!$J$6:$J$25)</x:f>
        <x:v>46428</x:v>
      </x:c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  <x:c r="AM112" s="3"/>
      <x:c r="AN112" s="3"/>
      <x:c r="AO112" s="3"/>
    </x:row>
    <x:row r="113" ht="24" customHeight="1">
      <x:c r="A113" s="3" t="n">
        <x:v>74</x:v>
      </x:c>
      <x:c r="B113" s="35" t="n">
        <x:f>SUM(IF(AND(73&gt;='EDT Y TAREAS'!AK6,73&lt;'EDT Y TAREAS'!AL6),'EDT Y TAREAS'!AD6/'EDT Y TAREAS'!M6,0),IF(AND(73&gt;='EDT Y TAREAS'!AK7,73&lt;'EDT Y TAREAS'!AL7),'EDT Y TAREAS'!AD7/'EDT Y TAREAS'!M7,0),IF(AND(73&gt;='EDT Y TAREAS'!AK8,73&lt;'EDT Y TAREAS'!AL8),'EDT Y TAREAS'!AD8/'EDT Y TAREAS'!M8,0),IF(AND(73&gt;='EDT Y TAREAS'!AK9,73&lt;'EDT Y TAREAS'!AL9),'EDT Y TAREAS'!AD9/'EDT Y TAREAS'!M9,0),IF(AND(73&gt;='EDT Y TAREAS'!AK10,73&lt;'EDT Y TAREAS'!AL10),'EDT Y TAREAS'!AD10/'EDT Y TAREAS'!M10,0),IF(AND(73&gt;='EDT Y TAREAS'!AK11,73&lt;'EDT Y TAREAS'!AL11),'EDT Y TAREAS'!AD11/'EDT Y TAREAS'!M11,0),IF(AND(73&gt;='EDT Y TAREAS'!AK12,73&lt;'EDT Y TAREAS'!AL12),'EDT Y TAREAS'!AD12/'EDT Y TAREAS'!M12,0),IF(AND(73&gt;='EDT Y TAREAS'!AK13,73&lt;'EDT Y TAREAS'!AL13),'EDT Y TAREAS'!AD13/'EDT Y TAREAS'!M13,0),IF(AND(73&gt;='EDT Y TAREAS'!AK14,73&lt;'EDT Y TAREAS'!AL14),'EDT Y TAREAS'!AD14/'EDT Y TAREAS'!M14,0),IF(AND(73&gt;='EDT Y TAREAS'!AK15,73&lt;'EDT Y TAREAS'!AL15),'EDT Y TAREAS'!AD15/'EDT Y TAREAS'!M15,0),IF(AND(73&gt;='EDT Y TAREAS'!AK16,73&lt;'EDT Y TAREAS'!AL16),'EDT Y TAREAS'!AD16/'EDT Y TAREAS'!M16,0),IF(AND(73&gt;='EDT Y TAREAS'!AK17,73&lt;'EDT Y TAREAS'!AL17),'EDT Y TAREAS'!AD17/'EDT Y TAREAS'!M17,0),IF(AND(73&gt;='EDT Y TAREAS'!AK18,73&lt;'EDT Y TAREAS'!AL18),'EDT Y TAREAS'!AD18/'EDT Y TAREAS'!M18,0),IF(AND(73&gt;='EDT Y TAREAS'!AK19,73&lt;'EDT Y TAREAS'!AL19),'EDT Y TAREAS'!AD19/'EDT Y TAREAS'!M19,0),IF(AND(73&gt;='EDT Y TAREAS'!AK20,73&lt;'EDT Y TAREAS'!AL20),'EDT Y TAREAS'!AD20/'EDT Y TAREAS'!M20,0),IF(AND(73&gt;='EDT Y TAREAS'!AK21,73&lt;'EDT Y TAREAS'!AL21),'EDT Y TAREAS'!AD21/'EDT Y TAREAS'!M21,0),IF(AND(73&gt;='EDT Y TAREAS'!AK22,73&lt;'EDT Y TAREAS'!AL22),'EDT Y TAREAS'!AD22/'EDT Y TAREAS'!M22,0),IF(AND(73&gt;='EDT Y TAREAS'!AK23,73&lt;'EDT Y TAREAS'!AL23),'EDT Y TAREAS'!AD23/'EDT Y TAREAS'!M23,0),IF(AND(73&gt;='EDT Y TAREAS'!AK26,73&lt;'EDT Y TAREAS'!AL26),'EDT Y TAREAS'!AD26/'EDT Y TAREAS'!M26,0),IF(AND(73&gt;='EDT Y TAREAS'!AK28,73&lt;'EDT Y TAREAS'!AL28),'EDT Y TAREAS'!AD28/'EDT Y TAREAS'!M28,0),IF(AND(73&gt;='EDT Y TAREAS'!AK30,73&lt;'EDT Y TAREAS'!AL30),'EDT Y TAREAS'!AD30/'EDT Y TAREAS'!M30,0),IF(AND(73&gt;='EDT Y TAREAS'!AK32,73&lt;'EDT Y TAREAS'!AL32),'EDT Y TAREAS'!AD32/'EDT Y TAREAS'!M32,0),IF(AND(73&gt;='EDT Y TAREAS'!AK34,73&lt;'EDT Y TAREAS'!AL34),'EDT Y TAREAS'!AD34/'EDT Y TAREAS'!M34,0),IF(AND(73&gt;='EDT Y TAREAS'!AK38,73&lt;'EDT Y TAREAS'!AL38),'EDT Y TAREAS'!AD38/'EDT Y TAREAS'!M38,0),IF(AND(73&gt;='EDT Y TAREAS'!AK39,73&lt;'EDT Y TAREAS'!AL39),'EDT Y TAREAS'!AD39/'EDT Y TAREAS'!M39,0),IF(AND(73&gt;='EDT Y TAREAS'!AK43,73&lt;'EDT Y TAREAS'!AL43),'EDT Y TAREAS'!AD43/'EDT Y TAREAS'!M43,0),IF(AND(73&gt;='EDT Y TAREAS'!AK44,73&lt;'EDT Y TAREAS'!AL44),'EDT Y TAREAS'!AD44/'EDT Y TAREAS'!M44,0),IF(AND(73&gt;='EDT Y TAREAS'!AK45,73&lt;'EDT Y TAREAS'!AL45),'EDT Y TAREAS'!AD45/'EDT Y TAREAS'!M45,0),IF(AND(73&gt;='EDT Y TAREAS'!AK46,73&lt;'EDT Y TAREAS'!AL46),'EDT Y TAREAS'!AD46/'EDT Y TAREAS'!M46,0),IF(AND(73&gt;='EDT Y TAREAS'!AK47,73&lt;'EDT Y TAREAS'!AL47),'EDT Y TAREAS'!AD47/'EDT Y TAREAS'!M47,0),IF(AND(73&gt;='EDT Y TAREAS'!AK49,73&lt;'EDT Y TAREAS'!AL49),'EDT Y TAREAS'!AD49/'EDT Y TAREAS'!M49,0),IF(AND(73&gt;='EDT Y TAREAS'!AK50,73&lt;'EDT Y TAREAS'!AL50),'EDT Y TAREAS'!AD50/'EDT Y TAREAS'!M50,0),IF(AND(73&gt;='EDT Y TAREAS'!AK51,73&lt;'EDT Y TAREAS'!AL51),'EDT Y TAREAS'!AD51/'EDT Y TAREAS'!M51,0),IF(AND(73&gt;='EDT Y TAREAS'!AK52,73&lt;'EDT Y TAREAS'!AL52),'EDT Y TAREAS'!AD52/'EDT Y TAREAS'!M52,0))</x:f>
        <x:v>4.8</x:v>
      </x:c>
      <x:c r="C113" s="35" t="n">
        <x:f>SUM(IF(AND(73&gt;='EDT Y TAREAS'!AK6,73&lt;'EDT Y TAREAS'!AL6),'EDT Y TAREAS'!AE6/'EDT Y TAREAS'!M6,0),IF(AND(73&gt;='EDT Y TAREAS'!AK8,73&lt;'EDT Y TAREAS'!AL8),'EDT Y TAREAS'!AE8/'EDT Y TAREAS'!M8,0),IF(AND(73&gt;='EDT Y TAREAS'!AK9,73&lt;'EDT Y TAREAS'!AL9),'EDT Y TAREAS'!AE9/'EDT Y TAREAS'!M9,0),IF(AND(73&gt;='EDT Y TAREAS'!AK10,73&lt;'EDT Y TAREAS'!AL10),'EDT Y TAREAS'!AE10/'EDT Y TAREAS'!M10,0),IF(AND(73&gt;='EDT Y TAREAS'!AK12,73&lt;'EDT Y TAREAS'!AL12),'EDT Y TAREAS'!AE12/'EDT Y TAREAS'!M12,0),IF(AND(73&gt;='EDT Y TAREAS'!AK16,73&lt;'EDT Y TAREAS'!AL16),'EDT Y TAREAS'!AE16/'EDT Y TAREAS'!M16,0),IF(AND(73&gt;='EDT Y TAREAS'!AK21,73&lt;'EDT Y TAREAS'!AL21),'EDT Y TAREAS'!AE21/'EDT Y TAREAS'!M21,0),IF(AND(73&gt;='EDT Y TAREAS'!AK23,73&lt;'EDT Y TAREAS'!AL23),'EDT Y TAREAS'!AE23/'EDT Y TAREAS'!M23,0),IF(AND(73&gt;='EDT Y TAREAS'!AK37,73&lt;'EDT Y TAREAS'!AL37),'EDT Y TAREAS'!AE37/'EDT Y TAREAS'!M37,0),IF(AND(73&gt;='EDT Y TAREAS'!AK38,73&lt;'EDT Y TAREAS'!AL38),'EDT Y TAREAS'!AE38/'EDT Y TAREAS'!M38,0),IF(AND(73&gt;='EDT Y TAREAS'!AK41,73&lt;'EDT Y TAREAS'!AL41),'EDT Y TAREAS'!AE41/'EDT Y TAREAS'!M41,0),IF(AND(73&gt;='EDT Y TAREAS'!AK43,73&lt;'EDT Y TAREAS'!AL43),'EDT Y TAREAS'!AE43/'EDT Y TAREAS'!M43,0),IF(AND(73&gt;='EDT Y TAREAS'!AK44,73&lt;'EDT Y TAREAS'!AL44),'EDT Y TAREAS'!AE44/'EDT Y TAREAS'!M44,0),IF(AND(73&gt;='EDT Y TAREAS'!AK46,73&lt;'EDT Y TAREAS'!AL46),'EDT Y TAREAS'!AE46/'EDT Y TAREAS'!M46,0),IF(AND(73&gt;='EDT Y TAREAS'!AK47,73&lt;'EDT Y TAREAS'!AL47),'EDT Y TAREAS'!AE47/'EDT Y TAREAS'!M47,0),IF(AND(73&gt;='EDT Y TAREAS'!AK51,73&lt;'EDT Y TAREAS'!AL51),'EDT Y TAREAS'!AE51/'EDT Y TAREAS'!M51,0),IF(AND(73&gt;='EDT Y TAREAS'!AK52,73&lt;'EDT Y TAREAS'!AL52),'EDT Y TAREAS'!AE52/'EDT Y TAREAS'!M52,0))</x:f>
        <x:v>0</x:v>
      </x:c>
      <x:c r="D113" s="35" t="n">
        <x:f>SUM(IF(AND(73&gt;='EDT Y TAREAS'!AK11,73&lt;'EDT Y TAREAS'!AL11),'EDT Y TAREAS'!AF11/'EDT Y TAREAS'!M11,0),IF(AND(73&gt;='EDT Y TAREAS'!AK24,73&lt;'EDT Y TAREAS'!AL24),'EDT Y TAREAS'!AF24/'EDT Y TAREAS'!M24,0),IF(AND(73&gt;='EDT Y TAREAS'!AK25,73&lt;'EDT Y TAREAS'!AL25),'EDT Y TAREAS'!AF25/'EDT Y TAREAS'!M25,0),IF(AND(73&gt;='EDT Y TAREAS'!AK26,73&lt;'EDT Y TAREAS'!AL26),'EDT Y TAREAS'!AF26/'EDT Y TAREAS'!M26,0),IF(AND(73&gt;='EDT Y TAREAS'!AK27,73&lt;'EDT Y TAREAS'!AL27),'EDT Y TAREAS'!AF27/'EDT Y TAREAS'!M27,0),IF(AND(73&gt;='EDT Y TAREAS'!AK28,73&lt;'EDT Y TAREAS'!AL28),'EDT Y TAREAS'!AF28/'EDT Y TAREAS'!M28,0),IF(AND(73&gt;='EDT Y TAREAS'!AK31,73&lt;'EDT Y TAREAS'!AL31),'EDT Y TAREAS'!AF31/'EDT Y TAREAS'!M31,0),IF(AND(73&gt;='EDT Y TAREAS'!AK33,73&lt;'EDT Y TAREAS'!AL33),'EDT Y TAREAS'!AF33/'EDT Y TAREAS'!M33,0),IF(AND(73&gt;='EDT Y TAREAS'!AK34,73&lt;'EDT Y TAREAS'!AL34),'EDT Y TAREAS'!AF34/'EDT Y TAREAS'!M34,0),IF(AND(73&gt;='EDT Y TAREAS'!AK35,73&lt;'EDT Y TAREAS'!AL35),'EDT Y TAREAS'!AF35/'EDT Y TAREAS'!M35,0),IF(AND(73&gt;='EDT Y TAREAS'!AK37,73&lt;'EDT Y TAREAS'!AL37),'EDT Y TAREAS'!AF37/'EDT Y TAREAS'!M37,0),IF(AND(73&gt;='EDT Y TAREAS'!AK39,73&lt;'EDT Y TAREAS'!AL39),'EDT Y TAREAS'!AF39/'EDT Y TAREAS'!M39,0),IF(AND(73&gt;='EDT Y TAREAS'!AK40,73&lt;'EDT Y TAREAS'!AL40),'EDT Y TAREAS'!AF40/'EDT Y TAREAS'!M40,0),IF(AND(73&gt;='EDT Y TAREAS'!AK42,73&lt;'EDT Y TAREAS'!AL42),'EDT Y TAREAS'!AF42/'EDT Y TAREAS'!M42,0),IF(AND(73&gt;='EDT Y TAREAS'!AK45,73&lt;'EDT Y TAREAS'!AL45),'EDT Y TAREAS'!AF45/'EDT Y TAREAS'!M45,0),IF(AND(73&gt;='EDT Y TAREAS'!AK49,73&lt;'EDT Y TAREAS'!AL49),'EDT Y TAREAS'!AF49/'EDT Y TAREAS'!M49,0),IF(AND(73&gt;='EDT Y TAREAS'!AK52,73&lt;'EDT Y TAREAS'!AL52),'EDT Y TAREAS'!AF52/'EDT Y TAREAS'!M52,0))</x:f>
        <x:v>4</x:v>
      </x:c>
      <x:c r="E113" s="35" t="n">
        <x:f>SUM(IF(AND(73&gt;='EDT Y TAREAS'!AK29,73&lt;'EDT Y TAREAS'!AL29),'EDT Y TAREAS'!AG29/'EDT Y TAREAS'!M29,0),IF(AND(73&gt;='EDT Y TAREAS'!AK30,73&lt;'EDT Y TAREAS'!AL30),'EDT Y TAREAS'!AG30/'EDT Y TAREAS'!M30,0),IF(AND(73&gt;='EDT Y TAREAS'!AK31,73&lt;'EDT Y TAREAS'!AL31),'EDT Y TAREAS'!AG31/'EDT Y TAREAS'!M31,0),IF(AND(73&gt;='EDT Y TAREAS'!AK32,73&lt;'EDT Y TAREAS'!AL32),'EDT Y TAREAS'!AG32/'EDT Y TAREAS'!M32,0),IF(AND(73&gt;='EDT Y TAREAS'!AK41,73&lt;'EDT Y TAREAS'!AL41),'EDT Y TAREAS'!AG41/'EDT Y TAREAS'!M41,0),IF(AND(73&gt;='EDT Y TAREAS'!AK45,73&lt;'EDT Y TAREAS'!AL45),'EDT Y TAREAS'!AG45/'EDT Y TAREAS'!M45,0),IF(AND(73&gt;='EDT Y TAREAS'!AK48,73&lt;'EDT Y TAREAS'!AL48),'EDT Y TAREAS'!AG48/'EDT Y TAREAS'!M48,0))</x:f>
        <x:v>4.8</x:v>
      </x:c>
      <x:c r="F113" s="35" t="n">
        <x:f>SUM(IF(AND(73&gt;='EDT Y TAREAS'!AK10,73&lt;'EDT Y TAREAS'!AL10),'EDT Y TAREAS'!AH10/'EDT Y TAREAS'!M10,0),IF(AND(73&gt;='EDT Y TAREAS'!AK12,73&lt;'EDT Y TAREAS'!AL12),'EDT Y TAREAS'!AH12/'EDT Y TAREAS'!M12,0),IF(AND(73&gt;='EDT Y TAREAS'!AK22,73&lt;'EDT Y TAREAS'!AL22),'EDT Y TAREAS'!AH22/'EDT Y TAREAS'!M22,0),IF(AND(73&gt;='EDT Y TAREAS'!AK23,73&lt;'EDT Y TAREAS'!AL23),'EDT Y TAREAS'!AH23/'EDT Y TAREAS'!M23,0),IF(AND(73&gt;='EDT Y TAREAS'!AK29,73&lt;'EDT Y TAREAS'!AL29),'EDT Y TAREAS'!AH29/'EDT Y TAREAS'!M29,0),IF(AND(73&gt;='EDT Y TAREAS'!AK30,73&lt;'EDT Y TAREAS'!AL30),'EDT Y TAREAS'!AH30/'EDT Y TAREAS'!M30,0),IF(AND(73&gt;='EDT Y TAREAS'!AK32,73&lt;'EDT Y TAREAS'!AL32),'EDT Y TAREAS'!AH32/'EDT Y TAREAS'!M32,0),IF(AND(73&gt;='EDT Y TAREAS'!AK41,73&lt;'EDT Y TAREAS'!AL41),'EDT Y TAREAS'!AH41/'EDT Y TAREAS'!M41,0),IF(AND(73&gt;='EDT Y TAREAS'!AK44,73&lt;'EDT Y TAREAS'!AL44),'EDT Y TAREAS'!AH44/'EDT Y TAREAS'!M44,0),IF(AND(73&gt;='EDT Y TAREAS'!AK46,73&lt;'EDT Y TAREAS'!AL46),'EDT Y TAREAS'!AH46/'EDT Y TAREAS'!M46,0),IF(AND(73&gt;='EDT Y TAREAS'!AK48,73&lt;'EDT Y TAREAS'!AL48),'EDT Y TAREAS'!AH48/'EDT Y TAREAS'!M48,0))</x:f>
        <x:v>0</x:v>
      </x:c>
      <x:c r="G113" s="35" t="n">
        <x:f>SUM(IF(AND(73&gt;='EDT Y TAREAS'!AK20,73&lt;'EDT Y TAREAS'!AL20),'EDT Y TAREAS'!AI20/'EDT Y TAREAS'!M20,0),IF(AND(73&gt;='EDT Y TAREAS'!AK25,73&lt;'EDT Y TAREAS'!AL25),'EDT Y TAREAS'!AI25/'EDT Y TAREAS'!M25,0),IF(AND(73&gt;='EDT Y TAREAS'!AK33,73&lt;'EDT Y TAREAS'!AL33),'EDT Y TAREAS'!AI33/'EDT Y TAREAS'!M33,0),IF(AND(73&gt;='EDT Y TAREAS'!AK34,73&lt;'EDT Y TAREAS'!AL34),'EDT Y TAREAS'!AI34/'EDT Y TAREAS'!M34,0),IF(AND(73&gt;='EDT Y TAREAS'!AK36,73&lt;'EDT Y TAREAS'!AL36),'EDT Y TAREAS'!AI36/'EDT Y TAREAS'!M36,0),IF(AND(73&gt;='EDT Y TAREAS'!AK39,73&lt;'EDT Y TAREAS'!AL39),'EDT Y TAREAS'!AI39/'EDT Y TAREAS'!M39,0),IF(AND(73&gt;='EDT Y TAREAS'!AK40,73&lt;'EDT Y TAREAS'!AL40),'EDT Y TAREAS'!AI40/'EDT Y TAREAS'!M40,0),IF(AND(73&gt;='EDT Y TAREAS'!AK42,73&lt;'EDT Y TAREAS'!AL42),'EDT Y TAREAS'!AI42/'EDT Y TAREAS'!M42,0),IF(AND(73&gt;='EDT Y TAREAS'!AK43,73&lt;'EDT Y TAREAS'!AL43),'EDT Y TAREAS'!AI43/'EDT Y TAREAS'!M43,0),IF(AND(73&gt;='EDT Y TAREAS'!AK44,73&lt;'EDT Y TAREAS'!AL44),'EDT Y TAREAS'!AI44/'EDT Y TAREAS'!M44,0),IF(AND(73&gt;='EDT Y TAREAS'!AK45,73&lt;'EDT Y TAREAS'!AL45),'EDT Y TAREAS'!AI45/'EDT Y TAREAS'!M45,0),IF(AND(73&gt;='EDT Y TAREAS'!AK46,73&lt;'EDT Y TAREAS'!AL46),'EDT Y TAREAS'!AI46/'EDT Y TAREAS'!M46,0),IF(AND(73&gt;='EDT Y TAREAS'!AK48,73&lt;'EDT Y TAREAS'!AL48),'EDT Y TAREAS'!AI48/'EDT Y TAREAS'!M48,0),IF(AND(73&gt;='EDT Y TAREAS'!AK50,73&lt;'EDT Y TAREAS'!AL50),'EDT Y TAREAS'!AI50/'EDT Y TAREAS'!M50,0),IF(AND(73&gt;='EDT Y TAREAS'!AK52,73&lt;'EDT Y TAREAS'!AL52),'EDT Y TAREAS'!AI52/'EDT Y TAREAS'!M52,0))</x:f>
        <x:v>1.6</x:v>
      </x:c>
      <x:c r="H113" s="35" t="n">
        <x:f>SUM(IF(AND(73&gt;='EDT Y TAREAS'!AK11,73&lt;'EDT Y TAREAS'!AL11),'EDT Y TAREAS'!AJ11/'EDT Y TAREAS'!M11,0),IF(AND(73&gt;='EDT Y TAREAS'!AK24,73&lt;'EDT Y TAREAS'!AL24),'EDT Y TAREAS'!AJ24/'EDT Y TAREAS'!M24,0),IF(AND(73&gt;='EDT Y TAREAS'!AK27,73&lt;'EDT Y TAREAS'!AL27),'EDT Y TAREAS'!AJ27/'EDT Y TAREAS'!M27,0),IF(AND(73&gt;='EDT Y TAREAS'!AK28,73&lt;'EDT Y TAREAS'!AL28),'EDT Y TAREAS'!AJ28/'EDT Y TAREAS'!M28,0),IF(AND(73&gt;='EDT Y TAREAS'!AK33,73&lt;'EDT Y TAREAS'!AL33),'EDT Y TAREAS'!AJ33/'EDT Y TAREAS'!M33,0),IF(AND(73&gt;='EDT Y TAREAS'!AK35,73&lt;'EDT Y TAREAS'!AL35),'EDT Y TAREAS'!AJ35/'EDT Y TAREAS'!M35,0),IF(AND(73&gt;='EDT Y TAREAS'!AK36,73&lt;'EDT Y TAREAS'!AL36),'EDT Y TAREAS'!AJ36/'EDT Y TAREAS'!M36,0),IF(AND(73&gt;='EDT Y TAREAS'!AK37,73&lt;'EDT Y TAREAS'!AL37),'EDT Y TAREAS'!AJ37/'EDT Y TAREAS'!M37,0),IF(AND(73&gt;='EDT Y TAREAS'!AK40,73&lt;'EDT Y TAREAS'!AL40),'EDT Y TAREAS'!AJ40/'EDT Y TAREAS'!M40,0),IF(AND(73&gt;='EDT Y TAREAS'!AK42,73&lt;'EDT Y TAREAS'!AL42),'EDT Y TAREAS'!AJ42/'EDT Y TAREAS'!M42,0),IF(AND(73&gt;='EDT Y TAREAS'!AK49,73&lt;'EDT Y TAREAS'!AL49),'EDT Y TAREAS'!AJ49/'EDT Y TAREAS'!M49,0),IF(AND(73&gt;='EDT Y TAREAS'!AK50,73&lt;'EDT Y TAREAS'!AL50),'EDT Y TAREAS'!AJ50/'EDT Y TAREAS'!M50,0),IF(AND(73&gt;='EDT Y TAREAS'!AK51,73&lt;'EDT Y TAREAS'!AL51),'EDT Y TAREAS'!AJ51/'EDT Y TAREAS'!M51,0),IF(AND(73&gt;='EDT Y TAREAS'!AK52,73&lt;'EDT Y TAREAS'!AL52),'EDT Y TAREAS'!AJ52/'EDT Y TAREAS'!M52,0))</x:f>
        <x:v>1.6</x:v>
      </x:c>
      <x:c r="I113" s="10" t="n">
        <x:f>WORKDAY('RESUMEN'!$D$3-1,A113,'RESUMEN'!$J$6:$J$25)</x:f>
        <x:v>46429</x:v>
      </x:c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  <x:c r="AM113" s="3"/>
      <x:c r="AN113" s="3"/>
      <x:c r="AO113" s="3"/>
    </x:row>
    <x:row r="114" ht="24" customHeight="1">
      <x:c r="A114" s="3" t="n">
        <x:v>75</x:v>
      </x:c>
      <x:c r="B114" s="35" t="n">
        <x:f>SUM(IF(AND(74&gt;='EDT Y TAREAS'!AK6,74&lt;'EDT Y TAREAS'!AL6),'EDT Y TAREAS'!AD6/'EDT Y TAREAS'!M6,0),IF(AND(74&gt;='EDT Y TAREAS'!AK7,74&lt;'EDT Y TAREAS'!AL7),'EDT Y TAREAS'!AD7/'EDT Y TAREAS'!M7,0),IF(AND(74&gt;='EDT Y TAREAS'!AK8,74&lt;'EDT Y TAREAS'!AL8),'EDT Y TAREAS'!AD8/'EDT Y TAREAS'!M8,0),IF(AND(74&gt;='EDT Y TAREAS'!AK9,74&lt;'EDT Y TAREAS'!AL9),'EDT Y TAREAS'!AD9/'EDT Y TAREAS'!M9,0),IF(AND(74&gt;='EDT Y TAREAS'!AK10,74&lt;'EDT Y TAREAS'!AL10),'EDT Y TAREAS'!AD10/'EDT Y TAREAS'!M10,0),IF(AND(74&gt;='EDT Y TAREAS'!AK11,74&lt;'EDT Y TAREAS'!AL11),'EDT Y TAREAS'!AD11/'EDT Y TAREAS'!M11,0),IF(AND(74&gt;='EDT Y TAREAS'!AK12,74&lt;'EDT Y TAREAS'!AL12),'EDT Y TAREAS'!AD12/'EDT Y TAREAS'!M12,0),IF(AND(74&gt;='EDT Y TAREAS'!AK13,74&lt;'EDT Y TAREAS'!AL13),'EDT Y TAREAS'!AD13/'EDT Y TAREAS'!M13,0),IF(AND(74&gt;='EDT Y TAREAS'!AK14,74&lt;'EDT Y TAREAS'!AL14),'EDT Y TAREAS'!AD14/'EDT Y TAREAS'!M14,0),IF(AND(74&gt;='EDT Y TAREAS'!AK15,74&lt;'EDT Y TAREAS'!AL15),'EDT Y TAREAS'!AD15/'EDT Y TAREAS'!M15,0),IF(AND(74&gt;='EDT Y TAREAS'!AK16,74&lt;'EDT Y TAREAS'!AL16),'EDT Y TAREAS'!AD16/'EDT Y TAREAS'!M16,0),IF(AND(74&gt;='EDT Y TAREAS'!AK17,74&lt;'EDT Y TAREAS'!AL17),'EDT Y TAREAS'!AD17/'EDT Y TAREAS'!M17,0),IF(AND(74&gt;='EDT Y TAREAS'!AK18,74&lt;'EDT Y TAREAS'!AL18),'EDT Y TAREAS'!AD18/'EDT Y TAREAS'!M18,0),IF(AND(74&gt;='EDT Y TAREAS'!AK19,74&lt;'EDT Y TAREAS'!AL19),'EDT Y TAREAS'!AD19/'EDT Y TAREAS'!M19,0),IF(AND(74&gt;='EDT Y TAREAS'!AK20,74&lt;'EDT Y TAREAS'!AL20),'EDT Y TAREAS'!AD20/'EDT Y TAREAS'!M20,0),IF(AND(74&gt;='EDT Y TAREAS'!AK21,74&lt;'EDT Y TAREAS'!AL21),'EDT Y TAREAS'!AD21/'EDT Y TAREAS'!M21,0),IF(AND(74&gt;='EDT Y TAREAS'!AK22,74&lt;'EDT Y TAREAS'!AL22),'EDT Y TAREAS'!AD22/'EDT Y TAREAS'!M22,0),IF(AND(74&gt;='EDT Y TAREAS'!AK23,74&lt;'EDT Y TAREAS'!AL23),'EDT Y TAREAS'!AD23/'EDT Y TAREAS'!M23,0),IF(AND(74&gt;='EDT Y TAREAS'!AK26,74&lt;'EDT Y TAREAS'!AL26),'EDT Y TAREAS'!AD26/'EDT Y TAREAS'!M26,0),IF(AND(74&gt;='EDT Y TAREAS'!AK28,74&lt;'EDT Y TAREAS'!AL28),'EDT Y TAREAS'!AD28/'EDT Y TAREAS'!M28,0),IF(AND(74&gt;='EDT Y TAREAS'!AK30,74&lt;'EDT Y TAREAS'!AL30),'EDT Y TAREAS'!AD30/'EDT Y TAREAS'!M30,0),IF(AND(74&gt;='EDT Y TAREAS'!AK32,74&lt;'EDT Y TAREAS'!AL32),'EDT Y TAREAS'!AD32/'EDT Y TAREAS'!M32,0),IF(AND(74&gt;='EDT Y TAREAS'!AK34,74&lt;'EDT Y TAREAS'!AL34),'EDT Y TAREAS'!AD34/'EDT Y TAREAS'!M34,0),IF(AND(74&gt;='EDT Y TAREAS'!AK38,74&lt;'EDT Y TAREAS'!AL38),'EDT Y TAREAS'!AD38/'EDT Y TAREAS'!M38,0),IF(AND(74&gt;='EDT Y TAREAS'!AK39,74&lt;'EDT Y TAREAS'!AL39),'EDT Y TAREAS'!AD39/'EDT Y TAREAS'!M39,0),IF(AND(74&gt;='EDT Y TAREAS'!AK43,74&lt;'EDT Y TAREAS'!AL43),'EDT Y TAREAS'!AD43/'EDT Y TAREAS'!M43,0),IF(AND(74&gt;='EDT Y TAREAS'!AK44,74&lt;'EDT Y TAREAS'!AL44),'EDT Y TAREAS'!AD44/'EDT Y TAREAS'!M44,0),IF(AND(74&gt;='EDT Y TAREAS'!AK45,74&lt;'EDT Y TAREAS'!AL45),'EDT Y TAREAS'!AD45/'EDT Y TAREAS'!M45,0),IF(AND(74&gt;='EDT Y TAREAS'!AK46,74&lt;'EDT Y TAREAS'!AL46),'EDT Y TAREAS'!AD46/'EDT Y TAREAS'!M46,0),IF(AND(74&gt;='EDT Y TAREAS'!AK47,74&lt;'EDT Y TAREAS'!AL47),'EDT Y TAREAS'!AD47/'EDT Y TAREAS'!M47,0),IF(AND(74&gt;='EDT Y TAREAS'!AK49,74&lt;'EDT Y TAREAS'!AL49),'EDT Y TAREAS'!AD49/'EDT Y TAREAS'!M49,0),IF(AND(74&gt;='EDT Y TAREAS'!AK50,74&lt;'EDT Y TAREAS'!AL50),'EDT Y TAREAS'!AD50/'EDT Y TAREAS'!M50,0),IF(AND(74&gt;='EDT Y TAREAS'!AK51,74&lt;'EDT Y TAREAS'!AL51),'EDT Y TAREAS'!AD51/'EDT Y TAREAS'!M51,0),IF(AND(74&gt;='EDT Y TAREAS'!AK52,74&lt;'EDT Y TAREAS'!AL52),'EDT Y TAREAS'!AD52/'EDT Y TAREAS'!M52,0))</x:f>
        <x:v>4.8</x:v>
      </x:c>
      <x:c r="C114" s="35" t="n">
        <x:f>SUM(IF(AND(74&gt;='EDT Y TAREAS'!AK6,74&lt;'EDT Y TAREAS'!AL6),'EDT Y TAREAS'!AE6/'EDT Y TAREAS'!M6,0),IF(AND(74&gt;='EDT Y TAREAS'!AK8,74&lt;'EDT Y TAREAS'!AL8),'EDT Y TAREAS'!AE8/'EDT Y TAREAS'!M8,0),IF(AND(74&gt;='EDT Y TAREAS'!AK9,74&lt;'EDT Y TAREAS'!AL9),'EDT Y TAREAS'!AE9/'EDT Y TAREAS'!M9,0),IF(AND(74&gt;='EDT Y TAREAS'!AK10,74&lt;'EDT Y TAREAS'!AL10),'EDT Y TAREAS'!AE10/'EDT Y TAREAS'!M10,0),IF(AND(74&gt;='EDT Y TAREAS'!AK12,74&lt;'EDT Y TAREAS'!AL12),'EDT Y TAREAS'!AE12/'EDT Y TAREAS'!M12,0),IF(AND(74&gt;='EDT Y TAREAS'!AK16,74&lt;'EDT Y TAREAS'!AL16),'EDT Y TAREAS'!AE16/'EDT Y TAREAS'!M16,0),IF(AND(74&gt;='EDT Y TAREAS'!AK21,74&lt;'EDT Y TAREAS'!AL21),'EDT Y TAREAS'!AE21/'EDT Y TAREAS'!M21,0),IF(AND(74&gt;='EDT Y TAREAS'!AK23,74&lt;'EDT Y TAREAS'!AL23),'EDT Y TAREAS'!AE23/'EDT Y TAREAS'!M23,0),IF(AND(74&gt;='EDT Y TAREAS'!AK37,74&lt;'EDT Y TAREAS'!AL37),'EDT Y TAREAS'!AE37/'EDT Y TAREAS'!M37,0),IF(AND(74&gt;='EDT Y TAREAS'!AK38,74&lt;'EDT Y TAREAS'!AL38),'EDT Y TAREAS'!AE38/'EDT Y TAREAS'!M38,0),IF(AND(74&gt;='EDT Y TAREAS'!AK41,74&lt;'EDT Y TAREAS'!AL41),'EDT Y TAREAS'!AE41/'EDT Y TAREAS'!M41,0),IF(AND(74&gt;='EDT Y TAREAS'!AK43,74&lt;'EDT Y TAREAS'!AL43),'EDT Y TAREAS'!AE43/'EDT Y TAREAS'!M43,0),IF(AND(74&gt;='EDT Y TAREAS'!AK44,74&lt;'EDT Y TAREAS'!AL44),'EDT Y TAREAS'!AE44/'EDT Y TAREAS'!M44,0),IF(AND(74&gt;='EDT Y TAREAS'!AK46,74&lt;'EDT Y TAREAS'!AL46),'EDT Y TAREAS'!AE46/'EDT Y TAREAS'!M46,0),IF(AND(74&gt;='EDT Y TAREAS'!AK47,74&lt;'EDT Y TAREAS'!AL47),'EDT Y TAREAS'!AE47/'EDT Y TAREAS'!M47,0),IF(AND(74&gt;='EDT Y TAREAS'!AK51,74&lt;'EDT Y TAREAS'!AL51),'EDT Y TAREAS'!AE51/'EDT Y TAREAS'!M51,0),IF(AND(74&gt;='EDT Y TAREAS'!AK52,74&lt;'EDT Y TAREAS'!AL52),'EDT Y TAREAS'!AE52/'EDT Y TAREAS'!M52,0))</x:f>
        <x:v>0</x:v>
      </x:c>
      <x:c r="D114" s="35" t="n">
        <x:f>SUM(IF(AND(74&gt;='EDT Y TAREAS'!AK11,74&lt;'EDT Y TAREAS'!AL11),'EDT Y TAREAS'!AF11/'EDT Y TAREAS'!M11,0),IF(AND(74&gt;='EDT Y TAREAS'!AK24,74&lt;'EDT Y TAREAS'!AL24),'EDT Y TAREAS'!AF24/'EDT Y TAREAS'!M24,0),IF(AND(74&gt;='EDT Y TAREAS'!AK25,74&lt;'EDT Y TAREAS'!AL25),'EDT Y TAREAS'!AF25/'EDT Y TAREAS'!M25,0),IF(AND(74&gt;='EDT Y TAREAS'!AK26,74&lt;'EDT Y TAREAS'!AL26),'EDT Y TAREAS'!AF26/'EDT Y TAREAS'!M26,0),IF(AND(74&gt;='EDT Y TAREAS'!AK27,74&lt;'EDT Y TAREAS'!AL27),'EDT Y TAREAS'!AF27/'EDT Y TAREAS'!M27,0),IF(AND(74&gt;='EDT Y TAREAS'!AK28,74&lt;'EDT Y TAREAS'!AL28),'EDT Y TAREAS'!AF28/'EDT Y TAREAS'!M28,0),IF(AND(74&gt;='EDT Y TAREAS'!AK31,74&lt;'EDT Y TAREAS'!AL31),'EDT Y TAREAS'!AF31/'EDT Y TAREAS'!M31,0),IF(AND(74&gt;='EDT Y TAREAS'!AK33,74&lt;'EDT Y TAREAS'!AL33),'EDT Y TAREAS'!AF33/'EDT Y TAREAS'!M33,0),IF(AND(74&gt;='EDT Y TAREAS'!AK34,74&lt;'EDT Y TAREAS'!AL34),'EDT Y TAREAS'!AF34/'EDT Y TAREAS'!M34,0),IF(AND(74&gt;='EDT Y TAREAS'!AK35,74&lt;'EDT Y TAREAS'!AL35),'EDT Y TAREAS'!AF35/'EDT Y TAREAS'!M35,0),IF(AND(74&gt;='EDT Y TAREAS'!AK37,74&lt;'EDT Y TAREAS'!AL37),'EDT Y TAREAS'!AF37/'EDT Y TAREAS'!M37,0),IF(AND(74&gt;='EDT Y TAREAS'!AK39,74&lt;'EDT Y TAREAS'!AL39),'EDT Y TAREAS'!AF39/'EDT Y TAREAS'!M39,0),IF(AND(74&gt;='EDT Y TAREAS'!AK40,74&lt;'EDT Y TAREAS'!AL40),'EDT Y TAREAS'!AF40/'EDT Y TAREAS'!M40,0),IF(AND(74&gt;='EDT Y TAREAS'!AK42,74&lt;'EDT Y TAREAS'!AL42),'EDT Y TAREAS'!AF42/'EDT Y TAREAS'!M42,0),IF(AND(74&gt;='EDT Y TAREAS'!AK45,74&lt;'EDT Y TAREAS'!AL45),'EDT Y TAREAS'!AF45/'EDT Y TAREAS'!M45,0),IF(AND(74&gt;='EDT Y TAREAS'!AK49,74&lt;'EDT Y TAREAS'!AL49),'EDT Y TAREAS'!AF49/'EDT Y TAREAS'!M49,0),IF(AND(74&gt;='EDT Y TAREAS'!AK52,74&lt;'EDT Y TAREAS'!AL52),'EDT Y TAREAS'!AF52/'EDT Y TAREAS'!M52,0))</x:f>
        <x:v>4</x:v>
      </x:c>
      <x:c r="E114" s="35" t="n">
        <x:f>SUM(IF(AND(74&gt;='EDT Y TAREAS'!AK29,74&lt;'EDT Y TAREAS'!AL29),'EDT Y TAREAS'!AG29/'EDT Y TAREAS'!M29,0),IF(AND(74&gt;='EDT Y TAREAS'!AK30,74&lt;'EDT Y TAREAS'!AL30),'EDT Y TAREAS'!AG30/'EDT Y TAREAS'!M30,0),IF(AND(74&gt;='EDT Y TAREAS'!AK31,74&lt;'EDT Y TAREAS'!AL31),'EDT Y TAREAS'!AG31/'EDT Y TAREAS'!M31,0),IF(AND(74&gt;='EDT Y TAREAS'!AK32,74&lt;'EDT Y TAREAS'!AL32),'EDT Y TAREAS'!AG32/'EDT Y TAREAS'!M32,0),IF(AND(74&gt;='EDT Y TAREAS'!AK41,74&lt;'EDT Y TAREAS'!AL41),'EDT Y TAREAS'!AG41/'EDT Y TAREAS'!M41,0),IF(AND(74&gt;='EDT Y TAREAS'!AK45,74&lt;'EDT Y TAREAS'!AL45),'EDT Y TAREAS'!AG45/'EDT Y TAREAS'!M45,0),IF(AND(74&gt;='EDT Y TAREAS'!AK48,74&lt;'EDT Y TAREAS'!AL48),'EDT Y TAREAS'!AG48/'EDT Y TAREAS'!M48,0))</x:f>
        <x:v>4.8</x:v>
      </x:c>
      <x:c r="F114" s="35" t="n">
        <x:f>SUM(IF(AND(74&gt;='EDT Y TAREAS'!AK10,74&lt;'EDT Y TAREAS'!AL10),'EDT Y TAREAS'!AH10/'EDT Y TAREAS'!M10,0),IF(AND(74&gt;='EDT Y TAREAS'!AK12,74&lt;'EDT Y TAREAS'!AL12),'EDT Y TAREAS'!AH12/'EDT Y TAREAS'!M12,0),IF(AND(74&gt;='EDT Y TAREAS'!AK22,74&lt;'EDT Y TAREAS'!AL22),'EDT Y TAREAS'!AH22/'EDT Y TAREAS'!M22,0),IF(AND(74&gt;='EDT Y TAREAS'!AK23,74&lt;'EDT Y TAREAS'!AL23),'EDT Y TAREAS'!AH23/'EDT Y TAREAS'!M23,0),IF(AND(74&gt;='EDT Y TAREAS'!AK29,74&lt;'EDT Y TAREAS'!AL29),'EDT Y TAREAS'!AH29/'EDT Y TAREAS'!M29,0),IF(AND(74&gt;='EDT Y TAREAS'!AK30,74&lt;'EDT Y TAREAS'!AL30),'EDT Y TAREAS'!AH30/'EDT Y TAREAS'!M30,0),IF(AND(74&gt;='EDT Y TAREAS'!AK32,74&lt;'EDT Y TAREAS'!AL32),'EDT Y TAREAS'!AH32/'EDT Y TAREAS'!M32,0),IF(AND(74&gt;='EDT Y TAREAS'!AK41,74&lt;'EDT Y TAREAS'!AL41),'EDT Y TAREAS'!AH41/'EDT Y TAREAS'!M41,0),IF(AND(74&gt;='EDT Y TAREAS'!AK44,74&lt;'EDT Y TAREAS'!AL44),'EDT Y TAREAS'!AH44/'EDT Y TAREAS'!M44,0),IF(AND(74&gt;='EDT Y TAREAS'!AK46,74&lt;'EDT Y TAREAS'!AL46),'EDT Y TAREAS'!AH46/'EDT Y TAREAS'!M46,0),IF(AND(74&gt;='EDT Y TAREAS'!AK48,74&lt;'EDT Y TAREAS'!AL48),'EDT Y TAREAS'!AH48/'EDT Y TAREAS'!M48,0))</x:f>
        <x:v>0</x:v>
      </x:c>
      <x:c r="G114" s="35" t="n">
        <x:f>SUM(IF(AND(74&gt;='EDT Y TAREAS'!AK20,74&lt;'EDT Y TAREAS'!AL20),'EDT Y TAREAS'!AI20/'EDT Y TAREAS'!M20,0),IF(AND(74&gt;='EDT Y TAREAS'!AK25,74&lt;'EDT Y TAREAS'!AL25),'EDT Y TAREAS'!AI25/'EDT Y TAREAS'!M25,0),IF(AND(74&gt;='EDT Y TAREAS'!AK33,74&lt;'EDT Y TAREAS'!AL33),'EDT Y TAREAS'!AI33/'EDT Y TAREAS'!M33,0),IF(AND(74&gt;='EDT Y TAREAS'!AK34,74&lt;'EDT Y TAREAS'!AL34),'EDT Y TAREAS'!AI34/'EDT Y TAREAS'!M34,0),IF(AND(74&gt;='EDT Y TAREAS'!AK36,74&lt;'EDT Y TAREAS'!AL36),'EDT Y TAREAS'!AI36/'EDT Y TAREAS'!M36,0),IF(AND(74&gt;='EDT Y TAREAS'!AK39,74&lt;'EDT Y TAREAS'!AL39),'EDT Y TAREAS'!AI39/'EDT Y TAREAS'!M39,0),IF(AND(74&gt;='EDT Y TAREAS'!AK40,74&lt;'EDT Y TAREAS'!AL40),'EDT Y TAREAS'!AI40/'EDT Y TAREAS'!M40,0),IF(AND(74&gt;='EDT Y TAREAS'!AK42,74&lt;'EDT Y TAREAS'!AL42),'EDT Y TAREAS'!AI42/'EDT Y TAREAS'!M42,0),IF(AND(74&gt;='EDT Y TAREAS'!AK43,74&lt;'EDT Y TAREAS'!AL43),'EDT Y TAREAS'!AI43/'EDT Y TAREAS'!M43,0),IF(AND(74&gt;='EDT Y TAREAS'!AK44,74&lt;'EDT Y TAREAS'!AL44),'EDT Y TAREAS'!AI44/'EDT Y TAREAS'!M44,0),IF(AND(74&gt;='EDT Y TAREAS'!AK45,74&lt;'EDT Y TAREAS'!AL45),'EDT Y TAREAS'!AI45/'EDT Y TAREAS'!M45,0),IF(AND(74&gt;='EDT Y TAREAS'!AK46,74&lt;'EDT Y TAREAS'!AL46),'EDT Y TAREAS'!AI46/'EDT Y TAREAS'!M46,0),IF(AND(74&gt;='EDT Y TAREAS'!AK48,74&lt;'EDT Y TAREAS'!AL48),'EDT Y TAREAS'!AI48/'EDT Y TAREAS'!M48,0),IF(AND(74&gt;='EDT Y TAREAS'!AK50,74&lt;'EDT Y TAREAS'!AL50),'EDT Y TAREAS'!AI50/'EDT Y TAREAS'!M50,0),IF(AND(74&gt;='EDT Y TAREAS'!AK52,74&lt;'EDT Y TAREAS'!AL52),'EDT Y TAREAS'!AI52/'EDT Y TAREAS'!M52,0))</x:f>
        <x:v>1.6</x:v>
      </x:c>
      <x:c r="H114" s="35" t="n">
        <x:f>SUM(IF(AND(74&gt;='EDT Y TAREAS'!AK11,74&lt;'EDT Y TAREAS'!AL11),'EDT Y TAREAS'!AJ11/'EDT Y TAREAS'!M11,0),IF(AND(74&gt;='EDT Y TAREAS'!AK24,74&lt;'EDT Y TAREAS'!AL24),'EDT Y TAREAS'!AJ24/'EDT Y TAREAS'!M24,0),IF(AND(74&gt;='EDT Y TAREAS'!AK27,74&lt;'EDT Y TAREAS'!AL27),'EDT Y TAREAS'!AJ27/'EDT Y TAREAS'!M27,0),IF(AND(74&gt;='EDT Y TAREAS'!AK28,74&lt;'EDT Y TAREAS'!AL28),'EDT Y TAREAS'!AJ28/'EDT Y TAREAS'!M28,0),IF(AND(74&gt;='EDT Y TAREAS'!AK33,74&lt;'EDT Y TAREAS'!AL33),'EDT Y TAREAS'!AJ33/'EDT Y TAREAS'!M33,0),IF(AND(74&gt;='EDT Y TAREAS'!AK35,74&lt;'EDT Y TAREAS'!AL35),'EDT Y TAREAS'!AJ35/'EDT Y TAREAS'!M35,0),IF(AND(74&gt;='EDT Y TAREAS'!AK36,74&lt;'EDT Y TAREAS'!AL36),'EDT Y TAREAS'!AJ36/'EDT Y TAREAS'!M36,0),IF(AND(74&gt;='EDT Y TAREAS'!AK37,74&lt;'EDT Y TAREAS'!AL37),'EDT Y TAREAS'!AJ37/'EDT Y TAREAS'!M37,0),IF(AND(74&gt;='EDT Y TAREAS'!AK40,74&lt;'EDT Y TAREAS'!AL40),'EDT Y TAREAS'!AJ40/'EDT Y TAREAS'!M40,0),IF(AND(74&gt;='EDT Y TAREAS'!AK42,74&lt;'EDT Y TAREAS'!AL42),'EDT Y TAREAS'!AJ42/'EDT Y TAREAS'!M42,0),IF(AND(74&gt;='EDT Y TAREAS'!AK49,74&lt;'EDT Y TAREAS'!AL49),'EDT Y TAREAS'!AJ49/'EDT Y TAREAS'!M49,0),IF(AND(74&gt;='EDT Y TAREAS'!AK50,74&lt;'EDT Y TAREAS'!AL50),'EDT Y TAREAS'!AJ50/'EDT Y TAREAS'!M50,0),IF(AND(74&gt;='EDT Y TAREAS'!AK51,74&lt;'EDT Y TAREAS'!AL51),'EDT Y TAREAS'!AJ51/'EDT Y TAREAS'!M51,0),IF(AND(74&gt;='EDT Y TAREAS'!AK52,74&lt;'EDT Y TAREAS'!AL52),'EDT Y TAREAS'!AJ52/'EDT Y TAREAS'!M52,0))</x:f>
        <x:v>1.6</x:v>
      </x:c>
      <x:c r="I114" s="10" t="n">
        <x:f>WORKDAY('RESUMEN'!$D$3-1,A114,'RESUMEN'!$J$6:$J$25)</x:f>
        <x:v>46430</x:v>
      </x:c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  <x:c r="AL114" s="3"/>
      <x:c r="AM114" s="3"/>
      <x:c r="AN114" s="3"/>
      <x:c r="AO114" s="3"/>
    </x:row>
    <x:row r="115" ht="24" customHeight="1">
      <x:c r="A115" s="3" t="n">
        <x:v>76</x:v>
      </x:c>
      <x:c r="B115" s="35" t="n">
        <x:f>SUM(IF(AND(75&gt;='EDT Y TAREAS'!AK6,75&lt;'EDT Y TAREAS'!AL6),'EDT Y TAREAS'!AD6/'EDT Y TAREAS'!M6,0),IF(AND(75&gt;='EDT Y TAREAS'!AK7,75&lt;'EDT Y TAREAS'!AL7),'EDT Y TAREAS'!AD7/'EDT Y TAREAS'!M7,0),IF(AND(75&gt;='EDT Y TAREAS'!AK8,75&lt;'EDT Y TAREAS'!AL8),'EDT Y TAREAS'!AD8/'EDT Y TAREAS'!M8,0),IF(AND(75&gt;='EDT Y TAREAS'!AK9,75&lt;'EDT Y TAREAS'!AL9),'EDT Y TAREAS'!AD9/'EDT Y TAREAS'!M9,0),IF(AND(75&gt;='EDT Y TAREAS'!AK10,75&lt;'EDT Y TAREAS'!AL10),'EDT Y TAREAS'!AD10/'EDT Y TAREAS'!M10,0),IF(AND(75&gt;='EDT Y TAREAS'!AK11,75&lt;'EDT Y TAREAS'!AL11),'EDT Y TAREAS'!AD11/'EDT Y TAREAS'!M11,0),IF(AND(75&gt;='EDT Y TAREAS'!AK12,75&lt;'EDT Y TAREAS'!AL12),'EDT Y TAREAS'!AD12/'EDT Y TAREAS'!M12,0),IF(AND(75&gt;='EDT Y TAREAS'!AK13,75&lt;'EDT Y TAREAS'!AL13),'EDT Y TAREAS'!AD13/'EDT Y TAREAS'!M13,0),IF(AND(75&gt;='EDT Y TAREAS'!AK14,75&lt;'EDT Y TAREAS'!AL14),'EDT Y TAREAS'!AD14/'EDT Y TAREAS'!M14,0),IF(AND(75&gt;='EDT Y TAREAS'!AK15,75&lt;'EDT Y TAREAS'!AL15),'EDT Y TAREAS'!AD15/'EDT Y TAREAS'!M15,0),IF(AND(75&gt;='EDT Y TAREAS'!AK16,75&lt;'EDT Y TAREAS'!AL16),'EDT Y TAREAS'!AD16/'EDT Y TAREAS'!M16,0),IF(AND(75&gt;='EDT Y TAREAS'!AK17,75&lt;'EDT Y TAREAS'!AL17),'EDT Y TAREAS'!AD17/'EDT Y TAREAS'!M17,0),IF(AND(75&gt;='EDT Y TAREAS'!AK18,75&lt;'EDT Y TAREAS'!AL18),'EDT Y TAREAS'!AD18/'EDT Y TAREAS'!M18,0),IF(AND(75&gt;='EDT Y TAREAS'!AK19,75&lt;'EDT Y TAREAS'!AL19),'EDT Y TAREAS'!AD19/'EDT Y TAREAS'!M19,0),IF(AND(75&gt;='EDT Y TAREAS'!AK20,75&lt;'EDT Y TAREAS'!AL20),'EDT Y TAREAS'!AD20/'EDT Y TAREAS'!M20,0),IF(AND(75&gt;='EDT Y TAREAS'!AK21,75&lt;'EDT Y TAREAS'!AL21),'EDT Y TAREAS'!AD21/'EDT Y TAREAS'!M21,0),IF(AND(75&gt;='EDT Y TAREAS'!AK22,75&lt;'EDT Y TAREAS'!AL22),'EDT Y TAREAS'!AD22/'EDT Y TAREAS'!M22,0),IF(AND(75&gt;='EDT Y TAREAS'!AK23,75&lt;'EDT Y TAREAS'!AL23),'EDT Y TAREAS'!AD23/'EDT Y TAREAS'!M23,0),IF(AND(75&gt;='EDT Y TAREAS'!AK26,75&lt;'EDT Y TAREAS'!AL26),'EDT Y TAREAS'!AD26/'EDT Y TAREAS'!M26,0),IF(AND(75&gt;='EDT Y TAREAS'!AK28,75&lt;'EDT Y TAREAS'!AL28),'EDT Y TAREAS'!AD28/'EDT Y TAREAS'!M28,0),IF(AND(75&gt;='EDT Y TAREAS'!AK30,75&lt;'EDT Y TAREAS'!AL30),'EDT Y TAREAS'!AD30/'EDT Y TAREAS'!M30,0),IF(AND(75&gt;='EDT Y TAREAS'!AK32,75&lt;'EDT Y TAREAS'!AL32),'EDT Y TAREAS'!AD32/'EDT Y TAREAS'!M32,0),IF(AND(75&gt;='EDT Y TAREAS'!AK34,75&lt;'EDT Y TAREAS'!AL34),'EDT Y TAREAS'!AD34/'EDT Y TAREAS'!M34,0),IF(AND(75&gt;='EDT Y TAREAS'!AK38,75&lt;'EDT Y TAREAS'!AL38),'EDT Y TAREAS'!AD38/'EDT Y TAREAS'!M38,0),IF(AND(75&gt;='EDT Y TAREAS'!AK39,75&lt;'EDT Y TAREAS'!AL39),'EDT Y TAREAS'!AD39/'EDT Y TAREAS'!M39,0),IF(AND(75&gt;='EDT Y TAREAS'!AK43,75&lt;'EDT Y TAREAS'!AL43),'EDT Y TAREAS'!AD43/'EDT Y TAREAS'!M43,0),IF(AND(75&gt;='EDT Y TAREAS'!AK44,75&lt;'EDT Y TAREAS'!AL44),'EDT Y TAREAS'!AD44/'EDT Y TAREAS'!M44,0),IF(AND(75&gt;='EDT Y TAREAS'!AK45,75&lt;'EDT Y TAREAS'!AL45),'EDT Y TAREAS'!AD45/'EDT Y TAREAS'!M45,0),IF(AND(75&gt;='EDT Y TAREAS'!AK46,75&lt;'EDT Y TAREAS'!AL46),'EDT Y TAREAS'!AD46/'EDT Y TAREAS'!M46,0),IF(AND(75&gt;='EDT Y TAREAS'!AK47,75&lt;'EDT Y TAREAS'!AL47),'EDT Y TAREAS'!AD47/'EDT Y TAREAS'!M47,0),IF(AND(75&gt;='EDT Y TAREAS'!AK49,75&lt;'EDT Y TAREAS'!AL49),'EDT Y TAREAS'!AD49/'EDT Y TAREAS'!M49,0),IF(AND(75&gt;='EDT Y TAREAS'!AK50,75&lt;'EDT Y TAREAS'!AL50),'EDT Y TAREAS'!AD50/'EDT Y TAREAS'!M50,0),IF(AND(75&gt;='EDT Y TAREAS'!AK51,75&lt;'EDT Y TAREAS'!AL51),'EDT Y TAREAS'!AD51/'EDT Y TAREAS'!M51,0),IF(AND(75&gt;='EDT Y TAREAS'!AK52,75&lt;'EDT Y TAREAS'!AL52),'EDT Y TAREAS'!AD52/'EDT Y TAREAS'!M52,0))</x:f>
        <x:v>4.8</x:v>
      </x:c>
      <x:c r="C115" s="35" t="n">
        <x:f>SUM(IF(AND(75&gt;='EDT Y TAREAS'!AK6,75&lt;'EDT Y TAREAS'!AL6),'EDT Y TAREAS'!AE6/'EDT Y TAREAS'!M6,0),IF(AND(75&gt;='EDT Y TAREAS'!AK8,75&lt;'EDT Y TAREAS'!AL8),'EDT Y TAREAS'!AE8/'EDT Y TAREAS'!M8,0),IF(AND(75&gt;='EDT Y TAREAS'!AK9,75&lt;'EDT Y TAREAS'!AL9),'EDT Y TAREAS'!AE9/'EDT Y TAREAS'!M9,0),IF(AND(75&gt;='EDT Y TAREAS'!AK10,75&lt;'EDT Y TAREAS'!AL10),'EDT Y TAREAS'!AE10/'EDT Y TAREAS'!M10,0),IF(AND(75&gt;='EDT Y TAREAS'!AK12,75&lt;'EDT Y TAREAS'!AL12),'EDT Y TAREAS'!AE12/'EDT Y TAREAS'!M12,0),IF(AND(75&gt;='EDT Y TAREAS'!AK16,75&lt;'EDT Y TAREAS'!AL16),'EDT Y TAREAS'!AE16/'EDT Y TAREAS'!M16,0),IF(AND(75&gt;='EDT Y TAREAS'!AK21,75&lt;'EDT Y TAREAS'!AL21),'EDT Y TAREAS'!AE21/'EDT Y TAREAS'!M21,0),IF(AND(75&gt;='EDT Y TAREAS'!AK23,75&lt;'EDT Y TAREAS'!AL23),'EDT Y TAREAS'!AE23/'EDT Y TAREAS'!M23,0),IF(AND(75&gt;='EDT Y TAREAS'!AK37,75&lt;'EDT Y TAREAS'!AL37),'EDT Y TAREAS'!AE37/'EDT Y TAREAS'!M37,0),IF(AND(75&gt;='EDT Y TAREAS'!AK38,75&lt;'EDT Y TAREAS'!AL38),'EDT Y TAREAS'!AE38/'EDT Y TAREAS'!M38,0),IF(AND(75&gt;='EDT Y TAREAS'!AK41,75&lt;'EDT Y TAREAS'!AL41),'EDT Y TAREAS'!AE41/'EDT Y TAREAS'!M41,0),IF(AND(75&gt;='EDT Y TAREAS'!AK43,75&lt;'EDT Y TAREAS'!AL43),'EDT Y TAREAS'!AE43/'EDT Y TAREAS'!M43,0),IF(AND(75&gt;='EDT Y TAREAS'!AK44,75&lt;'EDT Y TAREAS'!AL44),'EDT Y TAREAS'!AE44/'EDT Y TAREAS'!M44,0),IF(AND(75&gt;='EDT Y TAREAS'!AK46,75&lt;'EDT Y TAREAS'!AL46),'EDT Y TAREAS'!AE46/'EDT Y TAREAS'!M46,0),IF(AND(75&gt;='EDT Y TAREAS'!AK47,75&lt;'EDT Y TAREAS'!AL47),'EDT Y TAREAS'!AE47/'EDT Y TAREAS'!M47,0),IF(AND(75&gt;='EDT Y TAREAS'!AK51,75&lt;'EDT Y TAREAS'!AL51),'EDT Y TAREAS'!AE51/'EDT Y TAREAS'!M51,0),IF(AND(75&gt;='EDT Y TAREAS'!AK52,75&lt;'EDT Y TAREAS'!AL52),'EDT Y TAREAS'!AE52/'EDT Y TAREAS'!M52,0))</x:f>
        <x:v>0</x:v>
      </x:c>
      <x:c r="D115" s="35" t="n">
        <x:f>SUM(IF(AND(75&gt;='EDT Y TAREAS'!AK11,75&lt;'EDT Y TAREAS'!AL11),'EDT Y TAREAS'!AF11/'EDT Y TAREAS'!M11,0),IF(AND(75&gt;='EDT Y TAREAS'!AK24,75&lt;'EDT Y TAREAS'!AL24),'EDT Y TAREAS'!AF24/'EDT Y TAREAS'!M24,0),IF(AND(75&gt;='EDT Y TAREAS'!AK25,75&lt;'EDT Y TAREAS'!AL25),'EDT Y TAREAS'!AF25/'EDT Y TAREAS'!M25,0),IF(AND(75&gt;='EDT Y TAREAS'!AK26,75&lt;'EDT Y TAREAS'!AL26),'EDT Y TAREAS'!AF26/'EDT Y TAREAS'!M26,0),IF(AND(75&gt;='EDT Y TAREAS'!AK27,75&lt;'EDT Y TAREAS'!AL27),'EDT Y TAREAS'!AF27/'EDT Y TAREAS'!M27,0),IF(AND(75&gt;='EDT Y TAREAS'!AK28,75&lt;'EDT Y TAREAS'!AL28),'EDT Y TAREAS'!AF28/'EDT Y TAREAS'!M28,0),IF(AND(75&gt;='EDT Y TAREAS'!AK31,75&lt;'EDT Y TAREAS'!AL31),'EDT Y TAREAS'!AF31/'EDT Y TAREAS'!M31,0),IF(AND(75&gt;='EDT Y TAREAS'!AK33,75&lt;'EDT Y TAREAS'!AL33),'EDT Y TAREAS'!AF33/'EDT Y TAREAS'!M33,0),IF(AND(75&gt;='EDT Y TAREAS'!AK34,75&lt;'EDT Y TAREAS'!AL34),'EDT Y TAREAS'!AF34/'EDT Y TAREAS'!M34,0),IF(AND(75&gt;='EDT Y TAREAS'!AK35,75&lt;'EDT Y TAREAS'!AL35),'EDT Y TAREAS'!AF35/'EDT Y TAREAS'!M35,0),IF(AND(75&gt;='EDT Y TAREAS'!AK37,75&lt;'EDT Y TAREAS'!AL37),'EDT Y TAREAS'!AF37/'EDT Y TAREAS'!M37,0),IF(AND(75&gt;='EDT Y TAREAS'!AK39,75&lt;'EDT Y TAREAS'!AL39),'EDT Y TAREAS'!AF39/'EDT Y TAREAS'!M39,0),IF(AND(75&gt;='EDT Y TAREAS'!AK40,75&lt;'EDT Y TAREAS'!AL40),'EDT Y TAREAS'!AF40/'EDT Y TAREAS'!M40,0),IF(AND(75&gt;='EDT Y TAREAS'!AK42,75&lt;'EDT Y TAREAS'!AL42),'EDT Y TAREAS'!AF42/'EDT Y TAREAS'!M42,0),IF(AND(75&gt;='EDT Y TAREAS'!AK45,75&lt;'EDT Y TAREAS'!AL45),'EDT Y TAREAS'!AF45/'EDT Y TAREAS'!M45,0),IF(AND(75&gt;='EDT Y TAREAS'!AK49,75&lt;'EDT Y TAREAS'!AL49),'EDT Y TAREAS'!AF49/'EDT Y TAREAS'!M49,0),IF(AND(75&gt;='EDT Y TAREAS'!AK52,75&lt;'EDT Y TAREAS'!AL52),'EDT Y TAREAS'!AF52/'EDT Y TAREAS'!M52,0))</x:f>
        <x:v>4</x:v>
      </x:c>
      <x:c r="E115" s="35" t="n">
        <x:f>SUM(IF(AND(75&gt;='EDT Y TAREAS'!AK29,75&lt;'EDT Y TAREAS'!AL29),'EDT Y TAREAS'!AG29/'EDT Y TAREAS'!M29,0),IF(AND(75&gt;='EDT Y TAREAS'!AK30,75&lt;'EDT Y TAREAS'!AL30),'EDT Y TAREAS'!AG30/'EDT Y TAREAS'!M30,0),IF(AND(75&gt;='EDT Y TAREAS'!AK31,75&lt;'EDT Y TAREAS'!AL31),'EDT Y TAREAS'!AG31/'EDT Y TAREAS'!M31,0),IF(AND(75&gt;='EDT Y TAREAS'!AK32,75&lt;'EDT Y TAREAS'!AL32),'EDT Y TAREAS'!AG32/'EDT Y TAREAS'!M32,0),IF(AND(75&gt;='EDT Y TAREAS'!AK41,75&lt;'EDT Y TAREAS'!AL41),'EDT Y TAREAS'!AG41/'EDT Y TAREAS'!M41,0),IF(AND(75&gt;='EDT Y TAREAS'!AK45,75&lt;'EDT Y TAREAS'!AL45),'EDT Y TAREAS'!AG45/'EDT Y TAREAS'!M45,0),IF(AND(75&gt;='EDT Y TAREAS'!AK48,75&lt;'EDT Y TAREAS'!AL48),'EDT Y TAREAS'!AG48/'EDT Y TAREAS'!M48,0))</x:f>
        <x:v>4.8</x:v>
      </x:c>
      <x:c r="F115" s="35" t="n">
        <x:f>SUM(IF(AND(75&gt;='EDT Y TAREAS'!AK10,75&lt;'EDT Y TAREAS'!AL10),'EDT Y TAREAS'!AH10/'EDT Y TAREAS'!M10,0),IF(AND(75&gt;='EDT Y TAREAS'!AK12,75&lt;'EDT Y TAREAS'!AL12),'EDT Y TAREAS'!AH12/'EDT Y TAREAS'!M12,0),IF(AND(75&gt;='EDT Y TAREAS'!AK22,75&lt;'EDT Y TAREAS'!AL22),'EDT Y TAREAS'!AH22/'EDT Y TAREAS'!M22,0),IF(AND(75&gt;='EDT Y TAREAS'!AK23,75&lt;'EDT Y TAREAS'!AL23),'EDT Y TAREAS'!AH23/'EDT Y TAREAS'!M23,0),IF(AND(75&gt;='EDT Y TAREAS'!AK29,75&lt;'EDT Y TAREAS'!AL29),'EDT Y TAREAS'!AH29/'EDT Y TAREAS'!M29,0),IF(AND(75&gt;='EDT Y TAREAS'!AK30,75&lt;'EDT Y TAREAS'!AL30),'EDT Y TAREAS'!AH30/'EDT Y TAREAS'!M30,0),IF(AND(75&gt;='EDT Y TAREAS'!AK32,75&lt;'EDT Y TAREAS'!AL32),'EDT Y TAREAS'!AH32/'EDT Y TAREAS'!M32,0),IF(AND(75&gt;='EDT Y TAREAS'!AK41,75&lt;'EDT Y TAREAS'!AL41),'EDT Y TAREAS'!AH41/'EDT Y TAREAS'!M41,0),IF(AND(75&gt;='EDT Y TAREAS'!AK44,75&lt;'EDT Y TAREAS'!AL44),'EDT Y TAREAS'!AH44/'EDT Y TAREAS'!M44,0),IF(AND(75&gt;='EDT Y TAREAS'!AK46,75&lt;'EDT Y TAREAS'!AL46),'EDT Y TAREAS'!AH46/'EDT Y TAREAS'!M46,0),IF(AND(75&gt;='EDT Y TAREAS'!AK48,75&lt;'EDT Y TAREAS'!AL48),'EDT Y TAREAS'!AH48/'EDT Y TAREAS'!M48,0))</x:f>
        <x:v>0</x:v>
      </x:c>
      <x:c r="G115" s="35" t="n">
        <x:f>SUM(IF(AND(75&gt;='EDT Y TAREAS'!AK20,75&lt;'EDT Y TAREAS'!AL20),'EDT Y TAREAS'!AI20/'EDT Y TAREAS'!M20,0),IF(AND(75&gt;='EDT Y TAREAS'!AK25,75&lt;'EDT Y TAREAS'!AL25),'EDT Y TAREAS'!AI25/'EDT Y TAREAS'!M25,0),IF(AND(75&gt;='EDT Y TAREAS'!AK33,75&lt;'EDT Y TAREAS'!AL33),'EDT Y TAREAS'!AI33/'EDT Y TAREAS'!M33,0),IF(AND(75&gt;='EDT Y TAREAS'!AK34,75&lt;'EDT Y TAREAS'!AL34),'EDT Y TAREAS'!AI34/'EDT Y TAREAS'!M34,0),IF(AND(75&gt;='EDT Y TAREAS'!AK36,75&lt;'EDT Y TAREAS'!AL36),'EDT Y TAREAS'!AI36/'EDT Y TAREAS'!M36,0),IF(AND(75&gt;='EDT Y TAREAS'!AK39,75&lt;'EDT Y TAREAS'!AL39),'EDT Y TAREAS'!AI39/'EDT Y TAREAS'!M39,0),IF(AND(75&gt;='EDT Y TAREAS'!AK40,75&lt;'EDT Y TAREAS'!AL40),'EDT Y TAREAS'!AI40/'EDT Y TAREAS'!M40,0),IF(AND(75&gt;='EDT Y TAREAS'!AK42,75&lt;'EDT Y TAREAS'!AL42),'EDT Y TAREAS'!AI42/'EDT Y TAREAS'!M42,0),IF(AND(75&gt;='EDT Y TAREAS'!AK43,75&lt;'EDT Y TAREAS'!AL43),'EDT Y TAREAS'!AI43/'EDT Y TAREAS'!M43,0),IF(AND(75&gt;='EDT Y TAREAS'!AK44,75&lt;'EDT Y TAREAS'!AL44),'EDT Y TAREAS'!AI44/'EDT Y TAREAS'!M44,0),IF(AND(75&gt;='EDT Y TAREAS'!AK45,75&lt;'EDT Y TAREAS'!AL45),'EDT Y TAREAS'!AI45/'EDT Y TAREAS'!M45,0),IF(AND(75&gt;='EDT Y TAREAS'!AK46,75&lt;'EDT Y TAREAS'!AL46),'EDT Y TAREAS'!AI46/'EDT Y TAREAS'!M46,0),IF(AND(75&gt;='EDT Y TAREAS'!AK48,75&lt;'EDT Y TAREAS'!AL48),'EDT Y TAREAS'!AI48/'EDT Y TAREAS'!M48,0),IF(AND(75&gt;='EDT Y TAREAS'!AK50,75&lt;'EDT Y TAREAS'!AL50),'EDT Y TAREAS'!AI50/'EDT Y TAREAS'!M50,0),IF(AND(75&gt;='EDT Y TAREAS'!AK52,75&lt;'EDT Y TAREAS'!AL52),'EDT Y TAREAS'!AI52/'EDT Y TAREAS'!M52,0))</x:f>
        <x:v>1.6</x:v>
      </x:c>
      <x:c r="H115" s="35" t="n">
        <x:f>SUM(IF(AND(75&gt;='EDT Y TAREAS'!AK11,75&lt;'EDT Y TAREAS'!AL11),'EDT Y TAREAS'!AJ11/'EDT Y TAREAS'!M11,0),IF(AND(75&gt;='EDT Y TAREAS'!AK24,75&lt;'EDT Y TAREAS'!AL24),'EDT Y TAREAS'!AJ24/'EDT Y TAREAS'!M24,0),IF(AND(75&gt;='EDT Y TAREAS'!AK27,75&lt;'EDT Y TAREAS'!AL27),'EDT Y TAREAS'!AJ27/'EDT Y TAREAS'!M27,0),IF(AND(75&gt;='EDT Y TAREAS'!AK28,75&lt;'EDT Y TAREAS'!AL28),'EDT Y TAREAS'!AJ28/'EDT Y TAREAS'!M28,0),IF(AND(75&gt;='EDT Y TAREAS'!AK33,75&lt;'EDT Y TAREAS'!AL33),'EDT Y TAREAS'!AJ33/'EDT Y TAREAS'!M33,0),IF(AND(75&gt;='EDT Y TAREAS'!AK35,75&lt;'EDT Y TAREAS'!AL35),'EDT Y TAREAS'!AJ35/'EDT Y TAREAS'!M35,0),IF(AND(75&gt;='EDT Y TAREAS'!AK36,75&lt;'EDT Y TAREAS'!AL36),'EDT Y TAREAS'!AJ36/'EDT Y TAREAS'!M36,0),IF(AND(75&gt;='EDT Y TAREAS'!AK37,75&lt;'EDT Y TAREAS'!AL37),'EDT Y TAREAS'!AJ37/'EDT Y TAREAS'!M37,0),IF(AND(75&gt;='EDT Y TAREAS'!AK40,75&lt;'EDT Y TAREAS'!AL40),'EDT Y TAREAS'!AJ40/'EDT Y TAREAS'!M40,0),IF(AND(75&gt;='EDT Y TAREAS'!AK42,75&lt;'EDT Y TAREAS'!AL42),'EDT Y TAREAS'!AJ42/'EDT Y TAREAS'!M42,0),IF(AND(75&gt;='EDT Y TAREAS'!AK49,75&lt;'EDT Y TAREAS'!AL49),'EDT Y TAREAS'!AJ49/'EDT Y TAREAS'!M49,0),IF(AND(75&gt;='EDT Y TAREAS'!AK50,75&lt;'EDT Y TAREAS'!AL50),'EDT Y TAREAS'!AJ50/'EDT Y TAREAS'!M50,0),IF(AND(75&gt;='EDT Y TAREAS'!AK51,75&lt;'EDT Y TAREAS'!AL51),'EDT Y TAREAS'!AJ51/'EDT Y TAREAS'!M51,0),IF(AND(75&gt;='EDT Y TAREAS'!AK52,75&lt;'EDT Y TAREAS'!AL52),'EDT Y TAREAS'!AJ52/'EDT Y TAREAS'!M52,0))</x:f>
        <x:v>1.6</x:v>
      </x:c>
      <x:c r="I115" s="10" t="n">
        <x:f>WORKDAY('RESUMEN'!$D$3-1,A115,'RESUMEN'!$J$6:$J$25)</x:f>
        <x:v>46433</x:v>
      </x:c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  <x:c r="AL115" s="3"/>
      <x:c r="AM115" s="3"/>
      <x:c r="AN115" s="3"/>
      <x:c r="AO115" s="3"/>
    </x:row>
    <x:row r="116" ht="24" customHeight="1">
      <x:c r="A116" s="3" t="n">
        <x:v>77</x:v>
      </x:c>
      <x:c r="B116" s="35" t="n">
        <x:f>SUM(IF(AND(76&gt;='EDT Y TAREAS'!AK6,76&lt;'EDT Y TAREAS'!AL6),'EDT Y TAREAS'!AD6/'EDT Y TAREAS'!M6,0),IF(AND(76&gt;='EDT Y TAREAS'!AK7,76&lt;'EDT Y TAREAS'!AL7),'EDT Y TAREAS'!AD7/'EDT Y TAREAS'!M7,0),IF(AND(76&gt;='EDT Y TAREAS'!AK8,76&lt;'EDT Y TAREAS'!AL8),'EDT Y TAREAS'!AD8/'EDT Y TAREAS'!M8,0),IF(AND(76&gt;='EDT Y TAREAS'!AK9,76&lt;'EDT Y TAREAS'!AL9),'EDT Y TAREAS'!AD9/'EDT Y TAREAS'!M9,0),IF(AND(76&gt;='EDT Y TAREAS'!AK10,76&lt;'EDT Y TAREAS'!AL10),'EDT Y TAREAS'!AD10/'EDT Y TAREAS'!M10,0),IF(AND(76&gt;='EDT Y TAREAS'!AK11,76&lt;'EDT Y TAREAS'!AL11),'EDT Y TAREAS'!AD11/'EDT Y TAREAS'!M11,0),IF(AND(76&gt;='EDT Y TAREAS'!AK12,76&lt;'EDT Y TAREAS'!AL12),'EDT Y TAREAS'!AD12/'EDT Y TAREAS'!M12,0),IF(AND(76&gt;='EDT Y TAREAS'!AK13,76&lt;'EDT Y TAREAS'!AL13),'EDT Y TAREAS'!AD13/'EDT Y TAREAS'!M13,0),IF(AND(76&gt;='EDT Y TAREAS'!AK14,76&lt;'EDT Y TAREAS'!AL14),'EDT Y TAREAS'!AD14/'EDT Y TAREAS'!M14,0),IF(AND(76&gt;='EDT Y TAREAS'!AK15,76&lt;'EDT Y TAREAS'!AL15),'EDT Y TAREAS'!AD15/'EDT Y TAREAS'!M15,0),IF(AND(76&gt;='EDT Y TAREAS'!AK16,76&lt;'EDT Y TAREAS'!AL16),'EDT Y TAREAS'!AD16/'EDT Y TAREAS'!M16,0),IF(AND(76&gt;='EDT Y TAREAS'!AK17,76&lt;'EDT Y TAREAS'!AL17),'EDT Y TAREAS'!AD17/'EDT Y TAREAS'!M17,0),IF(AND(76&gt;='EDT Y TAREAS'!AK18,76&lt;'EDT Y TAREAS'!AL18),'EDT Y TAREAS'!AD18/'EDT Y TAREAS'!M18,0),IF(AND(76&gt;='EDT Y TAREAS'!AK19,76&lt;'EDT Y TAREAS'!AL19),'EDT Y TAREAS'!AD19/'EDT Y TAREAS'!M19,0),IF(AND(76&gt;='EDT Y TAREAS'!AK20,76&lt;'EDT Y TAREAS'!AL20),'EDT Y TAREAS'!AD20/'EDT Y TAREAS'!M20,0),IF(AND(76&gt;='EDT Y TAREAS'!AK21,76&lt;'EDT Y TAREAS'!AL21),'EDT Y TAREAS'!AD21/'EDT Y TAREAS'!M21,0),IF(AND(76&gt;='EDT Y TAREAS'!AK22,76&lt;'EDT Y TAREAS'!AL22),'EDT Y TAREAS'!AD22/'EDT Y TAREAS'!M22,0),IF(AND(76&gt;='EDT Y TAREAS'!AK23,76&lt;'EDT Y TAREAS'!AL23),'EDT Y TAREAS'!AD23/'EDT Y TAREAS'!M23,0),IF(AND(76&gt;='EDT Y TAREAS'!AK26,76&lt;'EDT Y TAREAS'!AL26),'EDT Y TAREAS'!AD26/'EDT Y TAREAS'!M26,0),IF(AND(76&gt;='EDT Y TAREAS'!AK28,76&lt;'EDT Y TAREAS'!AL28),'EDT Y TAREAS'!AD28/'EDT Y TAREAS'!M28,0),IF(AND(76&gt;='EDT Y TAREAS'!AK30,76&lt;'EDT Y TAREAS'!AL30),'EDT Y TAREAS'!AD30/'EDT Y TAREAS'!M30,0),IF(AND(76&gt;='EDT Y TAREAS'!AK32,76&lt;'EDT Y TAREAS'!AL32),'EDT Y TAREAS'!AD32/'EDT Y TAREAS'!M32,0),IF(AND(76&gt;='EDT Y TAREAS'!AK34,76&lt;'EDT Y TAREAS'!AL34),'EDT Y TAREAS'!AD34/'EDT Y TAREAS'!M34,0),IF(AND(76&gt;='EDT Y TAREAS'!AK38,76&lt;'EDT Y TAREAS'!AL38),'EDT Y TAREAS'!AD38/'EDT Y TAREAS'!M38,0),IF(AND(76&gt;='EDT Y TAREAS'!AK39,76&lt;'EDT Y TAREAS'!AL39),'EDT Y TAREAS'!AD39/'EDT Y TAREAS'!M39,0),IF(AND(76&gt;='EDT Y TAREAS'!AK43,76&lt;'EDT Y TAREAS'!AL43),'EDT Y TAREAS'!AD43/'EDT Y TAREAS'!M43,0),IF(AND(76&gt;='EDT Y TAREAS'!AK44,76&lt;'EDT Y TAREAS'!AL44),'EDT Y TAREAS'!AD44/'EDT Y TAREAS'!M44,0),IF(AND(76&gt;='EDT Y TAREAS'!AK45,76&lt;'EDT Y TAREAS'!AL45),'EDT Y TAREAS'!AD45/'EDT Y TAREAS'!M45,0),IF(AND(76&gt;='EDT Y TAREAS'!AK46,76&lt;'EDT Y TAREAS'!AL46),'EDT Y TAREAS'!AD46/'EDT Y TAREAS'!M46,0),IF(AND(76&gt;='EDT Y TAREAS'!AK47,76&lt;'EDT Y TAREAS'!AL47),'EDT Y TAREAS'!AD47/'EDT Y TAREAS'!M47,0),IF(AND(76&gt;='EDT Y TAREAS'!AK49,76&lt;'EDT Y TAREAS'!AL49),'EDT Y TAREAS'!AD49/'EDT Y TAREAS'!M49,0),IF(AND(76&gt;='EDT Y TAREAS'!AK50,76&lt;'EDT Y TAREAS'!AL50),'EDT Y TAREAS'!AD50/'EDT Y TAREAS'!M50,0),IF(AND(76&gt;='EDT Y TAREAS'!AK51,76&lt;'EDT Y TAREAS'!AL51),'EDT Y TAREAS'!AD51/'EDT Y TAREAS'!M51,0),IF(AND(76&gt;='EDT Y TAREAS'!AK52,76&lt;'EDT Y TAREAS'!AL52),'EDT Y TAREAS'!AD52/'EDT Y TAREAS'!M52,0))</x:f>
        <x:v>4</x:v>
      </x:c>
      <x:c r="C116" s="35" t="n">
        <x:f>SUM(IF(AND(76&gt;='EDT Y TAREAS'!AK6,76&lt;'EDT Y TAREAS'!AL6),'EDT Y TAREAS'!AE6/'EDT Y TAREAS'!M6,0),IF(AND(76&gt;='EDT Y TAREAS'!AK8,76&lt;'EDT Y TAREAS'!AL8),'EDT Y TAREAS'!AE8/'EDT Y TAREAS'!M8,0),IF(AND(76&gt;='EDT Y TAREAS'!AK9,76&lt;'EDT Y TAREAS'!AL9),'EDT Y TAREAS'!AE9/'EDT Y TAREAS'!M9,0),IF(AND(76&gt;='EDT Y TAREAS'!AK10,76&lt;'EDT Y TAREAS'!AL10),'EDT Y TAREAS'!AE10/'EDT Y TAREAS'!M10,0),IF(AND(76&gt;='EDT Y TAREAS'!AK12,76&lt;'EDT Y TAREAS'!AL12),'EDT Y TAREAS'!AE12/'EDT Y TAREAS'!M12,0),IF(AND(76&gt;='EDT Y TAREAS'!AK16,76&lt;'EDT Y TAREAS'!AL16),'EDT Y TAREAS'!AE16/'EDT Y TAREAS'!M16,0),IF(AND(76&gt;='EDT Y TAREAS'!AK21,76&lt;'EDT Y TAREAS'!AL21),'EDT Y TAREAS'!AE21/'EDT Y TAREAS'!M21,0),IF(AND(76&gt;='EDT Y TAREAS'!AK23,76&lt;'EDT Y TAREAS'!AL23),'EDT Y TAREAS'!AE23/'EDT Y TAREAS'!M23,0),IF(AND(76&gt;='EDT Y TAREAS'!AK37,76&lt;'EDT Y TAREAS'!AL37),'EDT Y TAREAS'!AE37/'EDT Y TAREAS'!M37,0),IF(AND(76&gt;='EDT Y TAREAS'!AK38,76&lt;'EDT Y TAREAS'!AL38),'EDT Y TAREAS'!AE38/'EDT Y TAREAS'!M38,0),IF(AND(76&gt;='EDT Y TAREAS'!AK41,76&lt;'EDT Y TAREAS'!AL41),'EDT Y TAREAS'!AE41/'EDT Y TAREAS'!M41,0),IF(AND(76&gt;='EDT Y TAREAS'!AK43,76&lt;'EDT Y TAREAS'!AL43),'EDT Y TAREAS'!AE43/'EDT Y TAREAS'!M43,0),IF(AND(76&gt;='EDT Y TAREAS'!AK44,76&lt;'EDT Y TAREAS'!AL44),'EDT Y TAREAS'!AE44/'EDT Y TAREAS'!M44,0),IF(AND(76&gt;='EDT Y TAREAS'!AK46,76&lt;'EDT Y TAREAS'!AL46),'EDT Y TAREAS'!AE46/'EDT Y TAREAS'!M46,0),IF(AND(76&gt;='EDT Y TAREAS'!AK47,76&lt;'EDT Y TAREAS'!AL47),'EDT Y TAREAS'!AE47/'EDT Y TAREAS'!M47,0),IF(AND(76&gt;='EDT Y TAREAS'!AK51,76&lt;'EDT Y TAREAS'!AL51),'EDT Y TAREAS'!AE51/'EDT Y TAREAS'!M51,0),IF(AND(76&gt;='EDT Y TAREAS'!AK52,76&lt;'EDT Y TAREAS'!AL52),'EDT Y TAREAS'!AE52/'EDT Y TAREAS'!M52,0))</x:f>
        <x:v>0</x:v>
      </x:c>
      <x:c r="D116" s="35" t="n">
        <x:f>SUM(IF(AND(76&gt;='EDT Y TAREAS'!AK11,76&lt;'EDT Y TAREAS'!AL11),'EDT Y TAREAS'!AF11/'EDT Y TAREAS'!M11,0),IF(AND(76&gt;='EDT Y TAREAS'!AK24,76&lt;'EDT Y TAREAS'!AL24),'EDT Y TAREAS'!AF24/'EDT Y TAREAS'!M24,0),IF(AND(76&gt;='EDT Y TAREAS'!AK25,76&lt;'EDT Y TAREAS'!AL25),'EDT Y TAREAS'!AF25/'EDT Y TAREAS'!M25,0),IF(AND(76&gt;='EDT Y TAREAS'!AK26,76&lt;'EDT Y TAREAS'!AL26),'EDT Y TAREAS'!AF26/'EDT Y TAREAS'!M26,0),IF(AND(76&gt;='EDT Y TAREAS'!AK27,76&lt;'EDT Y TAREAS'!AL27),'EDT Y TAREAS'!AF27/'EDT Y TAREAS'!M27,0),IF(AND(76&gt;='EDT Y TAREAS'!AK28,76&lt;'EDT Y TAREAS'!AL28),'EDT Y TAREAS'!AF28/'EDT Y TAREAS'!M28,0),IF(AND(76&gt;='EDT Y TAREAS'!AK31,76&lt;'EDT Y TAREAS'!AL31),'EDT Y TAREAS'!AF31/'EDT Y TAREAS'!M31,0),IF(AND(76&gt;='EDT Y TAREAS'!AK33,76&lt;'EDT Y TAREAS'!AL33),'EDT Y TAREAS'!AF33/'EDT Y TAREAS'!M33,0),IF(AND(76&gt;='EDT Y TAREAS'!AK34,76&lt;'EDT Y TAREAS'!AL34),'EDT Y TAREAS'!AF34/'EDT Y TAREAS'!M34,0),IF(AND(76&gt;='EDT Y TAREAS'!AK35,76&lt;'EDT Y TAREAS'!AL35),'EDT Y TAREAS'!AF35/'EDT Y TAREAS'!M35,0),IF(AND(76&gt;='EDT Y TAREAS'!AK37,76&lt;'EDT Y TAREAS'!AL37),'EDT Y TAREAS'!AF37/'EDT Y TAREAS'!M37,0),IF(AND(76&gt;='EDT Y TAREAS'!AK39,76&lt;'EDT Y TAREAS'!AL39),'EDT Y TAREAS'!AF39/'EDT Y TAREAS'!M39,0),IF(AND(76&gt;='EDT Y TAREAS'!AK40,76&lt;'EDT Y TAREAS'!AL40),'EDT Y TAREAS'!AF40/'EDT Y TAREAS'!M40,0),IF(AND(76&gt;='EDT Y TAREAS'!AK42,76&lt;'EDT Y TAREAS'!AL42),'EDT Y TAREAS'!AF42/'EDT Y TAREAS'!M42,0),IF(AND(76&gt;='EDT Y TAREAS'!AK45,76&lt;'EDT Y TAREAS'!AL45),'EDT Y TAREAS'!AF45/'EDT Y TAREAS'!M45,0),IF(AND(76&gt;='EDT Y TAREAS'!AK49,76&lt;'EDT Y TAREAS'!AL49),'EDT Y TAREAS'!AF49/'EDT Y TAREAS'!M49,0),IF(AND(76&gt;='EDT Y TAREAS'!AK52,76&lt;'EDT Y TAREAS'!AL52),'EDT Y TAREAS'!AF52/'EDT Y TAREAS'!M52,0))</x:f>
        <x:v>5.6</x:v>
      </x:c>
      <x:c r="E116" s="35" t="n">
        <x:f>SUM(IF(AND(76&gt;='EDT Y TAREAS'!AK29,76&lt;'EDT Y TAREAS'!AL29),'EDT Y TAREAS'!AG29/'EDT Y TAREAS'!M29,0),IF(AND(76&gt;='EDT Y TAREAS'!AK30,76&lt;'EDT Y TAREAS'!AL30),'EDT Y TAREAS'!AG30/'EDT Y TAREAS'!M30,0),IF(AND(76&gt;='EDT Y TAREAS'!AK31,76&lt;'EDT Y TAREAS'!AL31),'EDT Y TAREAS'!AG31/'EDT Y TAREAS'!M31,0),IF(AND(76&gt;='EDT Y TAREAS'!AK32,76&lt;'EDT Y TAREAS'!AL32),'EDT Y TAREAS'!AG32/'EDT Y TAREAS'!M32,0),IF(AND(76&gt;='EDT Y TAREAS'!AK41,76&lt;'EDT Y TAREAS'!AL41),'EDT Y TAREAS'!AG41/'EDT Y TAREAS'!M41,0),IF(AND(76&gt;='EDT Y TAREAS'!AK45,76&lt;'EDT Y TAREAS'!AL45),'EDT Y TAREAS'!AG45/'EDT Y TAREAS'!M45,0),IF(AND(76&gt;='EDT Y TAREAS'!AK48,76&lt;'EDT Y TAREAS'!AL48),'EDT Y TAREAS'!AG48/'EDT Y TAREAS'!M48,0))</x:f>
        <x:v>4.8</x:v>
      </x:c>
      <x:c r="F116" s="35" t="n">
        <x:f>SUM(IF(AND(76&gt;='EDT Y TAREAS'!AK10,76&lt;'EDT Y TAREAS'!AL10),'EDT Y TAREAS'!AH10/'EDT Y TAREAS'!M10,0),IF(AND(76&gt;='EDT Y TAREAS'!AK12,76&lt;'EDT Y TAREAS'!AL12),'EDT Y TAREAS'!AH12/'EDT Y TAREAS'!M12,0),IF(AND(76&gt;='EDT Y TAREAS'!AK22,76&lt;'EDT Y TAREAS'!AL22),'EDT Y TAREAS'!AH22/'EDT Y TAREAS'!M22,0),IF(AND(76&gt;='EDT Y TAREAS'!AK23,76&lt;'EDT Y TAREAS'!AL23),'EDT Y TAREAS'!AH23/'EDT Y TAREAS'!M23,0),IF(AND(76&gt;='EDT Y TAREAS'!AK29,76&lt;'EDT Y TAREAS'!AL29),'EDT Y TAREAS'!AH29/'EDT Y TAREAS'!M29,0),IF(AND(76&gt;='EDT Y TAREAS'!AK30,76&lt;'EDT Y TAREAS'!AL30),'EDT Y TAREAS'!AH30/'EDT Y TAREAS'!M30,0),IF(AND(76&gt;='EDT Y TAREAS'!AK32,76&lt;'EDT Y TAREAS'!AL32),'EDT Y TAREAS'!AH32/'EDT Y TAREAS'!M32,0),IF(AND(76&gt;='EDT Y TAREAS'!AK41,76&lt;'EDT Y TAREAS'!AL41),'EDT Y TAREAS'!AH41/'EDT Y TAREAS'!M41,0),IF(AND(76&gt;='EDT Y TAREAS'!AK44,76&lt;'EDT Y TAREAS'!AL44),'EDT Y TAREAS'!AH44/'EDT Y TAREAS'!M44,0),IF(AND(76&gt;='EDT Y TAREAS'!AK46,76&lt;'EDT Y TAREAS'!AL46),'EDT Y TAREAS'!AH46/'EDT Y TAREAS'!M46,0),IF(AND(76&gt;='EDT Y TAREAS'!AK48,76&lt;'EDT Y TAREAS'!AL48),'EDT Y TAREAS'!AH48/'EDT Y TAREAS'!M48,0))</x:f>
        <x:v>0</x:v>
      </x:c>
      <x:c r="G116" s="35" t="n">
        <x:f>SUM(IF(AND(76&gt;='EDT Y TAREAS'!AK20,76&lt;'EDT Y TAREAS'!AL20),'EDT Y TAREAS'!AI20/'EDT Y TAREAS'!M20,0),IF(AND(76&gt;='EDT Y TAREAS'!AK25,76&lt;'EDT Y TAREAS'!AL25),'EDT Y TAREAS'!AI25/'EDT Y TAREAS'!M25,0),IF(AND(76&gt;='EDT Y TAREAS'!AK33,76&lt;'EDT Y TAREAS'!AL33),'EDT Y TAREAS'!AI33/'EDT Y TAREAS'!M33,0),IF(AND(76&gt;='EDT Y TAREAS'!AK34,76&lt;'EDT Y TAREAS'!AL34),'EDT Y TAREAS'!AI34/'EDT Y TAREAS'!M34,0),IF(AND(76&gt;='EDT Y TAREAS'!AK36,76&lt;'EDT Y TAREAS'!AL36),'EDT Y TAREAS'!AI36/'EDT Y TAREAS'!M36,0),IF(AND(76&gt;='EDT Y TAREAS'!AK39,76&lt;'EDT Y TAREAS'!AL39),'EDT Y TAREAS'!AI39/'EDT Y TAREAS'!M39,0),IF(AND(76&gt;='EDT Y TAREAS'!AK40,76&lt;'EDT Y TAREAS'!AL40),'EDT Y TAREAS'!AI40/'EDT Y TAREAS'!M40,0),IF(AND(76&gt;='EDT Y TAREAS'!AK42,76&lt;'EDT Y TAREAS'!AL42),'EDT Y TAREAS'!AI42/'EDT Y TAREAS'!M42,0),IF(AND(76&gt;='EDT Y TAREAS'!AK43,76&lt;'EDT Y TAREAS'!AL43),'EDT Y TAREAS'!AI43/'EDT Y TAREAS'!M43,0),IF(AND(76&gt;='EDT Y TAREAS'!AK44,76&lt;'EDT Y TAREAS'!AL44),'EDT Y TAREAS'!AI44/'EDT Y TAREAS'!M44,0),IF(AND(76&gt;='EDT Y TAREAS'!AK45,76&lt;'EDT Y TAREAS'!AL45),'EDT Y TAREAS'!AI45/'EDT Y TAREAS'!M45,0),IF(AND(76&gt;='EDT Y TAREAS'!AK46,76&lt;'EDT Y TAREAS'!AL46),'EDT Y TAREAS'!AI46/'EDT Y TAREAS'!M46,0),IF(AND(76&gt;='EDT Y TAREAS'!AK48,76&lt;'EDT Y TAREAS'!AL48),'EDT Y TAREAS'!AI48/'EDT Y TAREAS'!M48,0),IF(AND(76&gt;='EDT Y TAREAS'!AK50,76&lt;'EDT Y TAREAS'!AL50),'EDT Y TAREAS'!AI50/'EDT Y TAREAS'!M50,0),IF(AND(76&gt;='EDT Y TAREAS'!AK52,76&lt;'EDT Y TAREAS'!AL52),'EDT Y TAREAS'!AI52/'EDT Y TAREAS'!M52,0))</x:f>
        <x:v>0</x:v>
      </x:c>
      <x:c r="H116" s="35" t="n">
        <x:f>SUM(IF(AND(76&gt;='EDT Y TAREAS'!AK11,76&lt;'EDT Y TAREAS'!AL11),'EDT Y TAREAS'!AJ11/'EDT Y TAREAS'!M11,0),IF(AND(76&gt;='EDT Y TAREAS'!AK24,76&lt;'EDT Y TAREAS'!AL24),'EDT Y TAREAS'!AJ24/'EDT Y TAREAS'!M24,0),IF(AND(76&gt;='EDT Y TAREAS'!AK27,76&lt;'EDT Y TAREAS'!AL27),'EDT Y TAREAS'!AJ27/'EDT Y TAREAS'!M27,0),IF(AND(76&gt;='EDT Y TAREAS'!AK28,76&lt;'EDT Y TAREAS'!AL28),'EDT Y TAREAS'!AJ28/'EDT Y TAREAS'!M28,0),IF(AND(76&gt;='EDT Y TAREAS'!AK33,76&lt;'EDT Y TAREAS'!AL33),'EDT Y TAREAS'!AJ33/'EDT Y TAREAS'!M33,0),IF(AND(76&gt;='EDT Y TAREAS'!AK35,76&lt;'EDT Y TAREAS'!AL35),'EDT Y TAREAS'!AJ35/'EDT Y TAREAS'!M35,0),IF(AND(76&gt;='EDT Y TAREAS'!AK36,76&lt;'EDT Y TAREAS'!AL36),'EDT Y TAREAS'!AJ36/'EDT Y TAREAS'!M36,0),IF(AND(76&gt;='EDT Y TAREAS'!AK37,76&lt;'EDT Y TAREAS'!AL37),'EDT Y TAREAS'!AJ37/'EDT Y TAREAS'!M37,0),IF(AND(76&gt;='EDT Y TAREAS'!AK40,76&lt;'EDT Y TAREAS'!AL40),'EDT Y TAREAS'!AJ40/'EDT Y TAREAS'!M40,0),IF(AND(76&gt;='EDT Y TAREAS'!AK42,76&lt;'EDT Y TAREAS'!AL42),'EDT Y TAREAS'!AJ42/'EDT Y TAREAS'!M42,0),IF(AND(76&gt;='EDT Y TAREAS'!AK49,76&lt;'EDT Y TAREAS'!AL49),'EDT Y TAREAS'!AJ49/'EDT Y TAREAS'!M49,0),IF(AND(76&gt;='EDT Y TAREAS'!AK50,76&lt;'EDT Y TAREAS'!AL50),'EDT Y TAREAS'!AJ50/'EDT Y TAREAS'!M50,0),IF(AND(76&gt;='EDT Y TAREAS'!AK51,76&lt;'EDT Y TAREAS'!AL51),'EDT Y TAREAS'!AJ51/'EDT Y TAREAS'!M51,0),IF(AND(76&gt;='EDT Y TAREAS'!AK52,76&lt;'EDT Y TAREAS'!AL52),'EDT Y TAREAS'!AJ52/'EDT Y TAREAS'!M52,0))</x:f>
        <x:v>1.6</x:v>
      </x:c>
      <x:c r="I116" s="10" t="n">
        <x:f>WORKDAY('RESUMEN'!$D$3-1,A116,'RESUMEN'!$J$6:$J$25)</x:f>
        <x:v>46434</x:v>
      </x:c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  <x:c r="AO116" s="3"/>
    </x:row>
    <x:row r="117" ht="24" customHeight="1">
      <x:c r="A117" s="3" t="n">
        <x:v>78</x:v>
      </x:c>
      <x:c r="B117" s="35" t="n">
        <x:f>SUM(IF(AND(77&gt;='EDT Y TAREAS'!AK6,77&lt;'EDT Y TAREAS'!AL6),'EDT Y TAREAS'!AD6/'EDT Y TAREAS'!M6,0),IF(AND(77&gt;='EDT Y TAREAS'!AK7,77&lt;'EDT Y TAREAS'!AL7),'EDT Y TAREAS'!AD7/'EDT Y TAREAS'!M7,0),IF(AND(77&gt;='EDT Y TAREAS'!AK8,77&lt;'EDT Y TAREAS'!AL8),'EDT Y TAREAS'!AD8/'EDT Y TAREAS'!M8,0),IF(AND(77&gt;='EDT Y TAREAS'!AK9,77&lt;'EDT Y TAREAS'!AL9),'EDT Y TAREAS'!AD9/'EDT Y TAREAS'!M9,0),IF(AND(77&gt;='EDT Y TAREAS'!AK10,77&lt;'EDT Y TAREAS'!AL10),'EDT Y TAREAS'!AD10/'EDT Y TAREAS'!M10,0),IF(AND(77&gt;='EDT Y TAREAS'!AK11,77&lt;'EDT Y TAREAS'!AL11),'EDT Y TAREAS'!AD11/'EDT Y TAREAS'!M11,0),IF(AND(77&gt;='EDT Y TAREAS'!AK12,77&lt;'EDT Y TAREAS'!AL12),'EDT Y TAREAS'!AD12/'EDT Y TAREAS'!M12,0),IF(AND(77&gt;='EDT Y TAREAS'!AK13,77&lt;'EDT Y TAREAS'!AL13),'EDT Y TAREAS'!AD13/'EDT Y TAREAS'!M13,0),IF(AND(77&gt;='EDT Y TAREAS'!AK14,77&lt;'EDT Y TAREAS'!AL14),'EDT Y TAREAS'!AD14/'EDT Y TAREAS'!M14,0),IF(AND(77&gt;='EDT Y TAREAS'!AK15,77&lt;'EDT Y TAREAS'!AL15),'EDT Y TAREAS'!AD15/'EDT Y TAREAS'!M15,0),IF(AND(77&gt;='EDT Y TAREAS'!AK16,77&lt;'EDT Y TAREAS'!AL16),'EDT Y TAREAS'!AD16/'EDT Y TAREAS'!M16,0),IF(AND(77&gt;='EDT Y TAREAS'!AK17,77&lt;'EDT Y TAREAS'!AL17),'EDT Y TAREAS'!AD17/'EDT Y TAREAS'!M17,0),IF(AND(77&gt;='EDT Y TAREAS'!AK18,77&lt;'EDT Y TAREAS'!AL18),'EDT Y TAREAS'!AD18/'EDT Y TAREAS'!M18,0),IF(AND(77&gt;='EDT Y TAREAS'!AK19,77&lt;'EDT Y TAREAS'!AL19),'EDT Y TAREAS'!AD19/'EDT Y TAREAS'!M19,0),IF(AND(77&gt;='EDT Y TAREAS'!AK20,77&lt;'EDT Y TAREAS'!AL20),'EDT Y TAREAS'!AD20/'EDT Y TAREAS'!M20,0),IF(AND(77&gt;='EDT Y TAREAS'!AK21,77&lt;'EDT Y TAREAS'!AL21),'EDT Y TAREAS'!AD21/'EDT Y TAREAS'!M21,0),IF(AND(77&gt;='EDT Y TAREAS'!AK22,77&lt;'EDT Y TAREAS'!AL22),'EDT Y TAREAS'!AD22/'EDT Y TAREAS'!M22,0),IF(AND(77&gt;='EDT Y TAREAS'!AK23,77&lt;'EDT Y TAREAS'!AL23),'EDT Y TAREAS'!AD23/'EDT Y TAREAS'!M23,0),IF(AND(77&gt;='EDT Y TAREAS'!AK26,77&lt;'EDT Y TAREAS'!AL26),'EDT Y TAREAS'!AD26/'EDT Y TAREAS'!M26,0),IF(AND(77&gt;='EDT Y TAREAS'!AK28,77&lt;'EDT Y TAREAS'!AL28),'EDT Y TAREAS'!AD28/'EDT Y TAREAS'!M28,0),IF(AND(77&gt;='EDT Y TAREAS'!AK30,77&lt;'EDT Y TAREAS'!AL30),'EDT Y TAREAS'!AD30/'EDT Y TAREAS'!M30,0),IF(AND(77&gt;='EDT Y TAREAS'!AK32,77&lt;'EDT Y TAREAS'!AL32),'EDT Y TAREAS'!AD32/'EDT Y TAREAS'!M32,0),IF(AND(77&gt;='EDT Y TAREAS'!AK34,77&lt;'EDT Y TAREAS'!AL34),'EDT Y TAREAS'!AD34/'EDT Y TAREAS'!M34,0),IF(AND(77&gt;='EDT Y TAREAS'!AK38,77&lt;'EDT Y TAREAS'!AL38),'EDT Y TAREAS'!AD38/'EDT Y TAREAS'!M38,0),IF(AND(77&gt;='EDT Y TAREAS'!AK39,77&lt;'EDT Y TAREAS'!AL39),'EDT Y TAREAS'!AD39/'EDT Y TAREAS'!M39,0),IF(AND(77&gt;='EDT Y TAREAS'!AK43,77&lt;'EDT Y TAREAS'!AL43),'EDT Y TAREAS'!AD43/'EDT Y TAREAS'!M43,0),IF(AND(77&gt;='EDT Y TAREAS'!AK44,77&lt;'EDT Y TAREAS'!AL44),'EDT Y TAREAS'!AD44/'EDT Y TAREAS'!M44,0),IF(AND(77&gt;='EDT Y TAREAS'!AK45,77&lt;'EDT Y TAREAS'!AL45),'EDT Y TAREAS'!AD45/'EDT Y TAREAS'!M45,0),IF(AND(77&gt;='EDT Y TAREAS'!AK46,77&lt;'EDT Y TAREAS'!AL46),'EDT Y TAREAS'!AD46/'EDT Y TAREAS'!M46,0),IF(AND(77&gt;='EDT Y TAREAS'!AK47,77&lt;'EDT Y TAREAS'!AL47),'EDT Y TAREAS'!AD47/'EDT Y TAREAS'!M47,0),IF(AND(77&gt;='EDT Y TAREAS'!AK49,77&lt;'EDT Y TAREAS'!AL49),'EDT Y TAREAS'!AD49/'EDT Y TAREAS'!M49,0),IF(AND(77&gt;='EDT Y TAREAS'!AK50,77&lt;'EDT Y TAREAS'!AL50),'EDT Y TAREAS'!AD50/'EDT Y TAREAS'!M50,0),IF(AND(77&gt;='EDT Y TAREAS'!AK51,77&lt;'EDT Y TAREAS'!AL51),'EDT Y TAREAS'!AD51/'EDT Y TAREAS'!M51,0),IF(AND(77&gt;='EDT Y TAREAS'!AK52,77&lt;'EDT Y TAREAS'!AL52),'EDT Y TAREAS'!AD52/'EDT Y TAREAS'!M52,0))</x:f>
        <x:v>4</x:v>
      </x:c>
      <x:c r="C117" s="35" t="n">
        <x:f>SUM(IF(AND(77&gt;='EDT Y TAREAS'!AK6,77&lt;'EDT Y TAREAS'!AL6),'EDT Y TAREAS'!AE6/'EDT Y TAREAS'!M6,0),IF(AND(77&gt;='EDT Y TAREAS'!AK8,77&lt;'EDT Y TAREAS'!AL8),'EDT Y TAREAS'!AE8/'EDT Y TAREAS'!M8,0),IF(AND(77&gt;='EDT Y TAREAS'!AK9,77&lt;'EDT Y TAREAS'!AL9),'EDT Y TAREAS'!AE9/'EDT Y TAREAS'!M9,0),IF(AND(77&gt;='EDT Y TAREAS'!AK10,77&lt;'EDT Y TAREAS'!AL10),'EDT Y TAREAS'!AE10/'EDT Y TAREAS'!M10,0),IF(AND(77&gt;='EDT Y TAREAS'!AK12,77&lt;'EDT Y TAREAS'!AL12),'EDT Y TAREAS'!AE12/'EDT Y TAREAS'!M12,0),IF(AND(77&gt;='EDT Y TAREAS'!AK16,77&lt;'EDT Y TAREAS'!AL16),'EDT Y TAREAS'!AE16/'EDT Y TAREAS'!M16,0),IF(AND(77&gt;='EDT Y TAREAS'!AK21,77&lt;'EDT Y TAREAS'!AL21),'EDT Y TAREAS'!AE21/'EDT Y TAREAS'!M21,0),IF(AND(77&gt;='EDT Y TAREAS'!AK23,77&lt;'EDT Y TAREAS'!AL23),'EDT Y TAREAS'!AE23/'EDT Y TAREAS'!M23,0),IF(AND(77&gt;='EDT Y TAREAS'!AK37,77&lt;'EDT Y TAREAS'!AL37),'EDT Y TAREAS'!AE37/'EDT Y TAREAS'!M37,0),IF(AND(77&gt;='EDT Y TAREAS'!AK38,77&lt;'EDT Y TAREAS'!AL38),'EDT Y TAREAS'!AE38/'EDT Y TAREAS'!M38,0),IF(AND(77&gt;='EDT Y TAREAS'!AK41,77&lt;'EDT Y TAREAS'!AL41),'EDT Y TAREAS'!AE41/'EDT Y TAREAS'!M41,0),IF(AND(77&gt;='EDT Y TAREAS'!AK43,77&lt;'EDT Y TAREAS'!AL43),'EDT Y TAREAS'!AE43/'EDT Y TAREAS'!M43,0),IF(AND(77&gt;='EDT Y TAREAS'!AK44,77&lt;'EDT Y TAREAS'!AL44),'EDT Y TAREAS'!AE44/'EDT Y TAREAS'!M44,0),IF(AND(77&gt;='EDT Y TAREAS'!AK46,77&lt;'EDT Y TAREAS'!AL46),'EDT Y TAREAS'!AE46/'EDT Y TAREAS'!M46,0),IF(AND(77&gt;='EDT Y TAREAS'!AK47,77&lt;'EDT Y TAREAS'!AL47),'EDT Y TAREAS'!AE47/'EDT Y TAREAS'!M47,0),IF(AND(77&gt;='EDT Y TAREAS'!AK51,77&lt;'EDT Y TAREAS'!AL51),'EDT Y TAREAS'!AE51/'EDT Y TAREAS'!M51,0),IF(AND(77&gt;='EDT Y TAREAS'!AK52,77&lt;'EDT Y TAREAS'!AL52),'EDT Y TAREAS'!AE52/'EDT Y TAREAS'!M52,0))</x:f>
        <x:v>0</x:v>
      </x:c>
      <x:c r="D117" s="35" t="n">
        <x:f>SUM(IF(AND(77&gt;='EDT Y TAREAS'!AK11,77&lt;'EDT Y TAREAS'!AL11),'EDT Y TAREAS'!AF11/'EDT Y TAREAS'!M11,0),IF(AND(77&gt;='EDT Y TAREAS'!AK24,77&lt;'EDT Y TAREAS'!AL24),'EDT Y TAREAS'!AF24/'EDT Y TAREAS'!M24,0),IF(AND(77&gt;='EDT Y TAREAS'!AK25,77&lt;'EDT Y TAREAS'!AL25),'EDT Y TAREAS'!AF25/'EDT Y TAREAS'!M25,0),IF(AND(77&gt;='EDT Y TAREAS'!AK26,77&lt;'EDT Y TAREAS'!AL26),'EDT Y TAREAS'!AF26/'EDT Y TAREAS'!M26,0),IF(AND(77&gt;='EDT Y TAREAS'!AK27,77&lt;'EDT Y TAREAS'!AL27),'EDT Y TAREAS'!AF27/'EDT Y TAREAS'!M27,0),IF(AND(77&gt;='EDT Y TAREAS'!AK28,77&lt;'EDT Y TAREAS'!AL28),'EDT Y TAREAS'!AF28/'EDT Y TAREAS'!M28,0),IF(AND(77&gt;='EDT Y TAREAS'!AK31,77&lt;'EDT Y TAREAS'!AL31),'EDT Y TAREAS'!AF31/'EDT Y TAREAS'!M31,0),IF(AND(77&gt;='EDT Y TAREAS'!AK33,77&lt;'EDT Y TAREAS'!AL33),'EDT Y TAREAS'!AF33/'EDT Y TAREAS'!M33,0),IF(AND(77&gt;='EDT Y TAREAS'!AK34,77&lt;'EDT Y TAREAS'!AL34),'EDT Y TAREAS'!AF34/'EDT Y TAREAS'!M34,0),IF(AND(77&gt;='EDT Y TAREAS'!AK35,77&lt;'EDT Y TAREAS'!AL35),'EDT Y TAREAS'!AF35/'EDT Y TAREAS'!M35,0),IF(AND(77&gt;='EDT Y TAREAS'!AK37,77&lt;'EDT Y TAREAS'!AL37),'EDT Y TAREAS'!AF37/'EDT Y TAREAS'!M37,0),IF(AND(77&gt;='EDT Y TAREAS'!AK39,77&lt;'EDT Y TAREAS'!AL39),'EDT Y TAREAS'!AF39/'EDT Y TAREAS'!M39,0),IF(AND(77&gt;='EDT Y TAREAS'!AK40,77&lt;'EDT Y TAREAS'!AL40),'EDT Y TAREAS'!AF40/'EDT Y TAREAS'!M40,0),IF(AND(77&gt;='EDT Y TAREAS'!AK42,77&lt;'EDT Y TAREAS'!AL42),'EDT Y TAREAS'!AF42/'EDT Y TAREAS'!M42,0),IF(AND(77&gt;='EDT Y TAREAS'!AK45,77&lt;'EDT Y TAREAS'!AL45),'EDT Y TAREAS'!AF45/'EDT Y TAREAS'!M45,0),IF(AND(77&gt;='EDT Y TAREAS'!AK49,77&lt;'EDT Y TAREAS'!AL49),'EDT Y TAREAS'!AF49/'EDT Y TAREAS'!M49,0),IF(AND(77&gt;='EDT Y TAREAS'!AK52,77&lt;'EDT Y TAREAS'!AL52),'EDT Y TAREAS'!AF52/'EDT Y TAREAS'!M52,0))</x:f>
        <x:v>5.6</x:v>
      </x:c>
      <x:c r="E117" s="35" t="n">
        <x:f>SUM(IF(AND(77&gt;='EDT Y TAREAS'!AK29,77&lt;'EDT Y TAREAS'!AL29),'EDT Y TAREAS'!AG29/'EDT Y TAREAS'!M29,0),IF(AND(77&gt;='EDT Y TAREAS'!AK30,77&lt;'EDT Y TAREAS'!AL30),'EDT Y TAREAS'!AG30/'EDT Y TAREAS'!M30,0),IF(AND(77&gt;='EDT Y TAREAS'!AK31,77&lt;'EDT Y TAREAS'!AL31),'EDT Y TAREAS'!AG31/'EDT Y TAREAS'!M31,0),IF(AND(77&gt;='EDT Y TAREAS'!AK32,77&lt;'EDT Y TAREAS'!AL32),'EDT Y TAREAS'!AG32/'EDT Y TAREAS'!M32,0),IF(AND(77&gt;='EDT Y TAREAS'!AK41,77&lt;'EDT Y TAREAS'!AL41),'EDT Y TAREAS'!AG41/'EDT Y TAREAS'!M41,0),IF(AND(77&gt;='EDT Y TAREAS'!AK45,77&lt;'EDT Y TAREAS'!AL45),'EDT Y TAREAS'!AG45/'EDT Y TAREAS'!M45,0),IF(AND(77&gt;='EDT Y TAREAS'!AK48,77&lt;'EDT Y TAREAS'!AL48),'EDT Y TAREAS'!AG48/'EDT Y TAREAS'!M48,0))</x:f>
        <x:v>4.8</x:v>
      </x:c>
      <x:c r="F117" s="35" t="n">
        <x:f>SUM(IF(AND(77&gt;='EDT Y TAREAS'!AK10,77&lt;'EDT Y TAREAS'!AL10),'EDT Y TAREAS'!AH10/'EDT Y TAREAS'!M10,0),IF(AND(77&gt;='EDT Y TAREAS'!AK12,77&lt;'EDT Y TAREAS'!AL12),'EDT Y TAREAS'!AH12/'EDT Y TAREAS'!M12,0),IF(AND(77&gt;='EDT Y TAREAS'!AK22,77&lt;'EDT Y TAREAS'!AL22),'EDT Y TAREAS'!AH22/'EDT Y TAREAS'!M22,0),IF(AND(77&gt;='EDT Y TAREAS'!AK23,77&lt;'EDT Y TAREAS'!AL23),'EDT Y TAREAS'!AH23/'EDT Y TAREAS'!M23,0),IF(AND(77&gt;='EDT Y TAREAS'!AK29,77&lt;'EDT Y TAREAS'!AL29),'EDT Y TAREAS'!AH29/'EDT Y TAREAS'!M29,0),IF(AND(77&gt;='EDT Y TAREAS'!AK30,77&lt;'EDT Y TAREAS'!AL30),'EDT Y TAREAS'!AH30/'EDT Y TAREAS'!M30,0),IF(AND(77&gt;='EDT Y TAREAS'!AK32,77&lt;'EDT Y TAREAS'!AL32),'EDT Y TAREAS'!AH32/'EDT Y TAREAS'!M32,0),IF(AND(77&gt;='EDT Y TAREAS'!AK41,77&lt;'EDT Y TAREAS'!AL41),'EDT Y TAREAS'!AH41/'EDT Y TAREAS'!M41,0),IF(AND(77&gt;='EDT Y TAREAS'!AK44,77&lt;'EDT Y TAREAS'!AL44),'EDT Y TAREAS'!AH44/'EDT Y TAREAS'!M44,0),IF(AND(77&gt;='EDT Y TAREAS'!AK46,77&lt;'EDT Y TAREAS'!AL46),'EDT Y TAREAS'!AH46/'EDT Y TAREAS'!M46,0),IF(AND(77&gt;='EDT Y TAREAS'!AK48,77&lt;'EDT Y TAREAS'!AL48),'EDT Y TAREAS'!AH48/'EDT Y TAREAS'!M48,0))</x:f>
        <x:v>0</x:v>
      </x:c>
      <x:c r="G117" s="35" t="n">
        <x:f>SUM(IF(AND(77&gt;='EDT Y TAREAS'!AK20,77&lt;'EDT Y TAREAS'!AL20),'EDT Y TAREAS'!AI20/'EDT Y TAREAS'!M20,0),IF(AND(77&gt;='EDT Y TAREAS'!AK25,77&lt;'EDT Y TAREAS'!AL25),'EDT Y TAREAS'!AI25/'EDT Y TAREAS'!M25,0),IF(AND(77&gt;='EDT Y TAREAS'!AK33,77&lt;'EDT Y TAREAS'!AL33),'EDT Y TAREAS'!AI33/'EDT Y TAREAS'!M33,0),IF(AND(77&gt;='EDT Y TAREAS'!AK34,77&lt;'EDT Y TAREAS'!AL34),'EDT Y TAREAS'!AI34/'EDT Y TAREAS'!M34,0),IF(AND(77&gt;='EDT Y TAREAS'!AK36,77&lt;'EDT Y TAREAS'!AL36),'EDT Y TAREAS'!AI36/'EDT Y TAREAS'!M36,0),IF(AND(77&gt;='EDT Y TAREAS'!AK39,77&lt;'EDT Y TAREAS'!AL39),'EDT Y TAREAS'!AI39/'EDT Y TAREAS'!M39,0),IF(AND(77&gt;='EDT Y TAREAS'!AK40,77&lt;'EDT Y TAREAS'!AL40),'EDT Y TAREAS'!AI40/'EDT Y TAREAS'!M40,0),IF(AND(77&gt;='EDT Y TAREAS'!AK42,77&lt;'EDT Y TAREAS'!AL42),'EDT Y TAREAS'!AI42/'EDT Y TAREAS'!M42,0),IF(AND(77&gt;='EDT Y TAREAS'!AK43,77&lt;'EDT Y TAREAS'!AL43),'EDT Y TAREAS'!AI43/'EDT Y TAREAS'!M43,0),IF(AND(77&gt;='EDT Y TAREAS'!AK44,77&lt;'EDT Y TAREAS'!AL44),'EDT Y TAREAS'!AI44/'EDT Y TAREAS'!M44,0),IF(AND(77&gt;='EDT Y TAREAS'!AK45,77&lt;'EDT Y TAREAS'!AL45),'EDT Y TAREAS'!AI45/'EDT Y TAREAS'!M45,0),IF(AND(77&gt;='EDT Y TAREAS'!AK46,77&lt;'EDT Y TAREAS'!AL46),'EDT Y TAREAS'!AI46/'EDT Y TAREAS'!M46,0),IF(AND(77&gt;='EDT Y TAREAS'!AK48,77&lt;'EDT Y TAREAS'!AL48),'EDT Y TAREAS'!AI48/'EDT Y TAREAS'!M48,0),IF(AND(77&gt;='EDT Y TAREAS'!AK50,77&lt;'EDT Y TAREAS'!AL50),'EDT Y TAREAS'!AI50/'EDT Y TAREAS'!M50,0),IF(AND(77&gt;='EDT Y TAREAS'!AK52,77&lt;'EDT Y TAREAS'!AL52),'EDT Y TAREAS'!AI52/'EDT Y TAREAS'!M52,0))</x:f>
        <x:v>0</x:v>
      </x:c>
      <x:c r="H117" s="35" t="n">
        <x:f>SUM(IF(AND(77&gt;='EDT Y TAREAS'!AK11,77&lt;'EDT Y TAREAS'!AL11),'EDT Y TAREAS'!AJ11/'EDT Y TAREAS'!M11,0),IF(AND(77&gt;='EDT Y TAREAS'!AK24,77&lt;'EDT Y TAREAS'!AL24),'EDT Y TAREAS'!AJ24/'EDT Y TAREAS'!M24,0),IF(AND(77&gt;='EDT Y TAREAS'!AK27,77&lt;'EDT Y TAREAS'!AL27),'EDT Y TAREAS'!AJ27/'EDT Y TAREAS'!M27,0),IF(AND(77&gt;='EDT Y TAREAS'!AK28,77&lt;'EDT Y TAREAS'!AL28),'EDT Y TAREAS'!AJ28/'EDT Y TAREAS'!M28,0),IF(AND(77&gt;='EDT Y TAREAS'!AK33,77&lt;'EDT Y TAREAS'!AL33),'EDT Y TAREAS'!AJ33/'EDT Y TAREAS'!M33,0),IF(AND(77&gt;='EDT Y TAREAS'!AK35,77&lt;'EDT Y TAREAS'!AL35),'EDT Y TAREAS'!AJ35/'EDT Y TAREAS'!M35,0),IF(AND(77&gt;='EDT Y TAREAS'!AK36,77&lt;'EDT Y TAREAS'!AL36),'EDT Y TAREAS'!AJ36/'EDT Y TAREAS'!M36,0),IF(AND(77&gt;='EDT Y TAREAS'!AK37,77&lt;'EDT Y TAREAS'!AL37),'EDT Y TAREAS'!AJ37/'EDT Y TAREAS'!M37,0),IF(AND(77&gt;='EDT Y TAREAS'!AK40,77&lt;'EDT Y TAREAS'!AL40),'EDT Y TAREAS'!AJ40/'EDT Y TAREAS'!M40,0),IF(AND(77&gt;='EDT Y TAREAS'!AK42,77&lt;'EDT Y TAREAS'!AL42),'EDT Y TAREAS'!AJ42/'EDT Y TAREAS'!M42,0),IF(AND(77&gt;='EDT Y TAREAS'!AK49,77&lt;'EDT Y TAREAS'!AL49),'EDT Y TAREAS'!AJ49/'EDT Y TAREAS'!M49,0),IF(AND(77&gt;='EDT Y TAREAS'!AK50,77&lt;'EDT Y TAREAS'!AL50),'EDT Y TAREAS'!AJ50/'EDT Y TAREAS'!M50,0),IF(AND(77&gt;='EDT Y TAREAS'!AK51,77&lt;'EDT Y TAREAS'!AL51),'EDT Y TAREAS'!AJ51/'EDT Y TAREAS'!M51,0),IF(AND(77&gt;='EDT Y TAREAS'!AK52,77&lt;'EDT Y TAREAS'!AL52),'EDT Y TAREAS'!AJ52/'EDT Y TAREAS'!M52,0))</x:f>
        <x:v>1.6</x:v>
      </x:c>
      <x:c r="I117" s="10" t="n">
        <x:f>WORKDAY('RESUMEN'!$D$3-1,A117,'RESUMEN'!$J$6:$J$25)</x:f>
        <x:v>46435</x:v>
      </x:c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  <x:c r="AL117" s="3"/>
      <x:c r="AM117" s="3"/>
      <x:c r="AN117" s="3"/>
      <x:c r="AO117" s="3"/>
    </x:row>
    <x:row r="118" ht="24" customHeight="1">
      <x:c r="A118" s="3" t="n">
        <x:v>79</x:v>
      </x:c>
      <x:c r="B118" s="35" t="n">
        <x:f>SUM(IF(AND(78&gt;='EDT Y TAREAS'!AK6,78&lt;'EDT Y TAREAS'!AL6),'EDT Y TAREAS'!AD6/'EDT Y TAREAS'!M6,0),IF(AND(78&gt;='EDT Y TAREAS'!AK7,78&lt;'EDT Y TAREAS'!AL7),'EDT Y TAREAS'!AD7/'EDT Y TAREAS'!M7,0),IF(AND(78&gt;='EDT Y TAREAS'!AK8,78&lt;'EDT Y TAREAS'!AL8),'EDT Y TAREAS'!AD8/'EDT Y TAREAS'!M8,0),IF(AND(78&gt;='EDT Y TAREAS'!AK9,78&lt;'EDT Y TAREAS'!AL9),'EDT Y TAREAS'!AD9/'EDT Y TAREAS'!M9,0),IF(AND(78&gt;='EDT Y TAREAS'!AK10,78&lt;'EDT Y TAREAS'!AL10),'EDT Y TAREAS'!AD10/'EDT Y TAREAS'!M10,0),IF(AND(78&gt;='EDT Y TAREAS'!AK11,78&lt;'EDT Y TAREAS'!AL11),'EDT Y TAREAS'!AD11/'EDT Y TAREAS'!M11,0),IF(AND(78&gt;='EDT Y TAREAS'!AK12,78&lt;'EDT Y TAREAS'!AL12),'EDT Y TAREAS'!AD12/'EDT Y TAREAS'!M12,0),IF(AND(78&gt;='EDT Y TAREAS'!AK13,78&lt;'EDT Y TAREAS'!AL13),'EDT Y TAREAS'!AD13/'EDT Y TAREAS'!M13,0),IF(AND(78&gt;='EDT Y TAREAS'!AK14,78&lt;'EDT Y TAREAS'!AL14),'EDT Y TAREAS'!AD14/'EDT Y TAREAS'!M14,0),IF(AND(78&gt;='EDT Y TAREAS'!AK15,78&lt;'EDT Y TAREAS'!AL15),'EDT Y TAREAS'!AD15/'EDT Y TAREAS'!M15,0),IF(AND(78&gt;='EDT Y TAREAS'!AK16,78&lt;'EDT Y TAREAS'!AL16),'EDT Y TAREAS'!AD16/'EDT Y TAREAS'!M16,0),IF(AND(78&gt;='EDT Y TAREAS'!AK17,78&lt;'EDT Y TAREAS'!AL17),'EDT Y TAREAS'!AD17/'EDT Y TAREAS'!M17,0),IF(AND(78&gt;='EDT Y TAREAS'!AK18,78&lt;'EDT Y TAREAS'!AL18),'EDT Y TAREAS'!AD18/'EDT Y TAREAS'!M18,0),IF(AND(78&gt;='EDT Y TAREAS'!AK19,78&lt;'EDT Y TAREAS'!AL19),'EDT Y TAREAS'!AD19/'EDT Y TAREAS'!M19,0),IF(AND(78&gt;='EDT Y TAREAS'!AK20,78&lt;'EDT Y TAREAS'!AL20),'EDT Y TAREAS'!AD20/'EDT Y TAREAS'!M20,0),IF(AND(78&gt;='EDT Y TAREAS'!AK21,78&lt;'EDT Y TAREAS'!AL21),'EDT Y TAREAS'!AD21/'EDT Y TAREAS'!M21,0),IF(AND(78&gt;='EDT Y TAREAS'!AK22,78&lt;'EDT Y TAREAS'!AL22),'EDT Y TAREAS'!AD22/'EDT Y TAREAS'!M22,0),IF(AND(78&gt;='EDT Y TAREAS'!AK23,78&lt;'EDT Y TAREAS'!AL23),'EDT Y TAREAS'!AD23/'EDT Y TAREAS'!M23,0),IF(AND(78&gt;='EDT Y TAREAS'!AK26,78&lt;'EDT Y TAREAS'!AL26),'EDT Y TAREAS'!AD26/'EDT Y TAREAS'!M26,0),IF(AND(78&gt;='EDT Y TAREAS'!AK28,78&lt;'EDT Y TAREAS'!AL28),'EDT Y TAREAS'!AD28/'EDT Y TAREAS'!M28,0),IF(AND(78&gt;='EDT Y TAREAS'!AK30,78&lt;'EDT Y TAREAS'!AL30),'EDT Y TAREAS'!AD30/'EDT Y TAREAS'!M30,0),IF(AND(78&gt;='EDT Y TAREAS'!AK32,78&lt;'EDT Y TAREAS'!AL32),'EDT Y TAREAS'!AD32/'EDT Y TAREAS'!M32,0),IF(AND(78&gt;='EDT Y TAREAS'!AK34,78&lt;'EDT Y TAREAS'!AL34),'EDT Y TAREAS'!AD34/'EDT Y TAREAS'!M34,0),IF(AND(78&gt;='EDT Y TAREAS'!AK38,78&lt;'EDT Y TAREAS'!AL38),'EDT Y TAREAS'!AD38/'EDT Y TAREAS'!M38,0),IF(AND(78&gt;='EDT Y TAREAS'!AK39,78&lt;'EDT Y TAREAS'!AL39),'EDT Y TAREAS'!AD39/'EDT Y TAREAS'!M39,0),IF(AND(78&gt;='EDT Y TAREAS'!AK43,78&lt;'EDT Y TAREAS'!AL43),'EDT Y TAREAS'!AD43/'EDT Y TAREAS'!M43,0),IF(AND(78&gt;='EDT Y TAREAS'!AK44,78&lt;'EDT Y TAREAS'!AL44),'EDT Y TAREAS'!AD44/'EDT Y TAREAS'!M44,0),IF(AND(78&gt;='EDT Y TAREAS'!AK45,78&lt;'EDT Y TAREAS'!AL45),'EDT Y TAREAS'!AD45/'EDT Y TAREAS'!M45,0),IF(AND(78&gt;='EDT Y TAREAS'!AK46,78&lt;'EDT Y TAREAS'!AL46),'EDT Y TAREAS'!AD46/'EDT Y TAREAS'!M46,0),IF(AND(78&gt;='EDT Y TAREAS'!AK47,78&lt;'EDT Y TAREAS'!AL47),'EDT Y TAREAS'!AD47/'EDT Y TAREAS'!M47,0),IF(AND(78&gt;='EDT Y TAREAS'!AK49,78&lt;'EDT Y TAREAS'!AL49),'EDT Y TAREAS'!AD49/'EDT Y TAREAS'!M49,0),IF(AND(78&gt;='EDT Y TAREAS'!AK50,78&lt;'EDT Y TAREAS'!AL50),'EDT Y TAREAS'!AD50/'EDT Y TAREAS'!M50,0),IF(AND(78&gt;='EDT Y TAREAS'!AK51,78&lt;'EDT Y TAREAS'!AL51),'EDT Y TAREAS'!AD51/'EDT Y TAREAS'!M51,0),IF(AND(78&gt;='EDT Y TAREAS'!AK52,78&lt;'EDT Y TAREAS'!AL52),'EDT Y TAREAS'!AD52/'EDT Y TAREAS'!M52,0))</x:f>
        <x:v>4</x:v>
      </x:c>
      <x:c r="C118" s="35" t="n">
        <x:f>SUM(IF(AND(78&gt;='EDT Y TAREAS'!AK6,78&lt;'EDT Y TAREAS'!AL6),'EDT Y TAREAS'!AE6/'EDT Y TAREAS'!M6,0),IF(AND(78&gt;='EDT Y TAREAS'!AK8,78&lt;'EDT Y TAREAS'!AL8),'EDT Y TAREAS'!AE8/'EDT Y TAREAS'!M8,0),IF(AND(78&gt;='EDT Y TAREAS'!AK9,78&lt;'EDT Y TAREAS'!AL9),'EDT Y TAREAS'!AE9/'EDT Y TAREAS'!M9,0),IF(AND(78&gt;='EDT Y TAREAS'!AK10,78&lt;'EDT Y TAREAS'!AL10),'EDT Y TAREAS'!AE10/'EDT Y TAREAS'!M10,0),IF(AND(78&gt;='EDT Y TAREAS'!AK12,78&lt;'EDT Y TAREAS'!AL12),'EDT Y TAREAS'!AE12/'EDT Y TAREAS'!M12,0),IF(AND(78&gt;='EDT Y TAREAS'!AK16,78&lt;'EDT Y TAREAS'!AL16),'EDT Y TAREAS'!AE16/'EDT Y TAREAS'!M16,0),IF(AND(78&gt;='EDT Y TAREAS'!AK21,78&lt;'EDT Y TAREAS'!AL21),'EDT Y TAREAS'!AE21/'EDT Y TAREAS'!M21,0),IF(AND(78&gt;='EDT Y TAREAS'!AK23,78&lt;'EDT Y TAREAS'!AL23),'EDT Y TAREAS'!AE23/'EDT Y TAREAS'!M23,0),IF(AND(78&gt;='EDT Y TAREAS'!AK37,78&lt;'EDT Y TAREAS'!AL37),'EDT Y TAREAS'!AE37/'EDT Y TAREAS'!M37,0),IF(AND(78&gt;='EDT Y TAREAS'!AK38,78&lt;'EDT Y TAREAS'!AL38),'EDT Y TAREAS'!AE38/'EDT Y TAREAS'!M38,0),IF(AND(78&gt;='EDT Y TAREAS'!AK41,78&lt;'EDT Y TAREAS'!AL41),'EDT Y TAREAS'!AE41/'EDT Y TAREAS'!M41,0),IF(AND(78&gt;='EDT Y TAREAS'!AK43,78&lt;'EDT Y TAREAS'!AL43),'EDT Y TAREAS'!AE43/'EDT Y TAREAS'!M43,0),IF(AND(78&gt;='EDT Y TAREAS'!AK44,78&lt;'EDT Y TAREAS'!AL44),'EDT Y TAREAS'!AE44/'EDT Y TAREAS'!M44,0),IF(AND(78&gt;='EDT Y TAREAS'!AK46,78&lt;'EDT Y TAREAS'!AL46),'EDT Y TAREAS'!AE46/'EDT Y TAREAS'!M46,0),IF(AND(78&gt;='EDT Y TAREAS'!AK47,78&lt;'EDT Y TAREAS'!AL47),'EDT Y TAREAS'!AE47/'EDT Y TAREAS'!M47,0),IF(AND(78&gt;='EDT Y TAREAS'!AK51,78&lt;'EDT Y TAREAS'!AL51),'EDT Y TAREAS'!AE51/'EDT Y TAREAS'!M51,0),IF(AND(78&gt;='EDT Y TAREAS'!AK52,78&lt;'EDT Y TAREAS'!AL52),'EDT Y TAREAS'!AE52/'EDT Y TAREAS'!M52,0))</x:f>
        <x:v>0</x:v>
      </x:c>
      <x:c r="D118" s="35" t="n">
        <x:f>SUM(IF(AND(78&gt;='EDT Y TAREAS'!AK11,78&lt;'EDT Y TAREAS'!AL11),'EDT Y TAREAS'!AF11/'EDT Y TAREAS'!M11,0),IF(AND(78&gt;='EDT Y TAREAS'!AK24,78&lt;'EDT Y TAREAS'!AL24),'EDT Y TAREAS'!AF24/'EDT Y TAREAS'!M24,0),IF(AND(78&gt;='EDT Y TAREAS'!AK25,78&lt;'EDT Y TAREAS'!AL25),'EDT Y TAREAS'!AF25/'EDT Y TAREAS'!M25,0),IF(AND(78&gt;='EDT Y TAREAS'!AK26,78&lt;'EDT Y TAREAS'!AL26),'EDT Y TAREAS'!AF26/'EDT Y TAREAS'!M26,0),IF(AND(78&gt;='EDT Y TAREAS'!AK27,78&lt;'EDT Y TAREAS'!AL27),'EDT Y TAREAS'!AF27/'EDT Y TAREAS'!M27,0),IF(AND(78&gt;='EDT Y TAREAS'!AK28,78&lt;'EDT Y TAREAS'!AL28),'EDT Y TAREAS'!AF28/'EDT Y TAREAS'!M28,0),IF(AND(78&gt;='EDT Y TAREAS'!AK31,78&lt;'EDT Y TAREAS'!AL31),'EDT Y TAREAS'!AF31/'EDT Y TAREAS'!M31,0),IF(AND(78&gt;='EDT Y TAREAS'!AK33,78&lt;'EDT Y TAREAS'!AL33),'EDT Y TAREAS'!AF33/'EDT Y TAREAS'!M33,0),IF(AND(78&gt;='EDT Y TAREAS'!AK34,78&lt;'EDT Y TAREAS'!AL34),'EDT Y TAREAS'!AF34/'EDT Y TAREAS'!M34,0),IF(AND(78&gt;='EDT Y TAREAS'!AK35,78&lt;'EDT Y TAREAS'!AL35),'EDT Y TAREAS'!AF35/'EDT Y TAREAS'!M35,0),IF(AND(78&gt;='EDT Y TAREAS'!AK37,78&lt;'EDT Y TAREAS'!AL37),'EDT Y TAREAS'!AF37/'EDT Y TAREAS'!M37,0),IF(AND(78&gt;='EDT Y TAREAS'!AK39,78&lt;'EDT Y TAREAS'!AL39),'EDT Y TAREAS'!AF39/'EDT Y TAREAS'!M39,0),IF(AND(78&gt;='EDT Y TAREAS'!AK40,78&lt;'EDT Y TAREAS'!AL40),'EDT Y TAREAS'!AF40/'EDT Y TAREAS'!M40,0),IF(AND(78&gt;='EDT Y TAREAS'!AK42,78&lt;'EDT Y TAREAS'!AL42),'EDT Y TAREAS'!AF42/'EDT Y TAREAS'!M42,0),IF(AND(78&gt;='EDT Y TAREAS'!AK45,78&lt;'EDT Y TAREAS'!AL45),'EDT Y TAREAS'!AF45/'EDT Y TAREAS'!M45,0),IF(AND(78&gt;='EDT Y TAREAS'!AK49,78&lt;'EDT Y TAREAS'!AL49),'EDT Y TAREAS'!AF49/'EDT Y TAREAS'!M49,0),IF(AND(78&gt;='EDT Y TAREAS'!AK52,78&lt;'EDT Y TAREAS'!AL52),'EDT Y TAREAS'!AF52/'EDT Y TAREAS'!M52,0))</x:f>
        <x:v>5.6</x:v>
      </x:c>
      <x:c r="E118" s="35" t="n">
        <x:f>SUM(IF(AND(78&gt;='EDT Y TAREAS'!AK29,78&lt;'EDT Y TAREAS'!AL29),'EDT Y TAREAS'!AG29/'EDT Y TAREAS'!M29,0),IF(AND(78&gt;='EDT Y TAREAS'!AK30,78&lt;'EDT Y TAREAS'!AL30),'EDT Y TAREAS'!AG30/'EDT Y TAREAS'!M30,0),IF(AND(78&gt;='EDT Y TAREAS'!AK31,78&lt;'EDT Y TAREAS'!AL31),'EDT Y TAREAS'!AG31/'EDT Y TAREAS'!M31,0),IF(AND(78&gt;='EDT Y TAREAS'!AK32,78&lt;'EDT Y TAREAS'!AL32),'EDT Y TAREAS'!AG32/'EDT Y TAREAS'!M32,0),IF(AND(78&gt;='EDT Y TAREAS'!AK41,78&lt;'EDT Y TAREAS'!AL41),'EDT Y TAREAS'!AG41/'EDT Y TAREAS'!M41,0),IF(AND(78&gt;='EDT Y TAREAS'!AK45,78&lt;'EDT Y TAREAS'!AL45),'EDT Y TAREAS'!AG45/'EDT Y TAREAS'!M45,0),IF(AND(78&gt;='EDT Y TAREAS'!AK48,78&lt;'EDT Y TAREAS'!AL48),'EDT Y TAREAS'!AG48/'EDT Y TAREAS'!M48,0))</x:f>
        <x:v>4.8</x:v>
      </x:c>
      <x:c r="F118" s="35" t="n">
        <x:f>SUM(IF(AND(78&gt;='EDT Y TAREAS'!AK10,78&lt;'EDT Y TAREAS'!AL10),'EDT Y TAREAS'!AH10/'EDT Y TAREAS'!M10,0),IF(AND(78&gt;='EDT Y TAREAS'!AK12,78&lt;'EDT Y TAREAS'!AL12),'EDT Y TAREAS'!AH12/'EDT Y TAREAS'!M12,0),IF(AND(78&gt;='EDT Y TAREAS'!AK22,78&lt;'EDT Y TAREAS'!AL22),'EDT Y TAREAS'!AH22/'EDT Y TAREAS'!M22,0),IF(AND(78&gt;='EDT Y TAREAS'!AK23,78&lt;'EDT Y TAREAS'!AL23),'EDT Y TAREAS'!AH23/'EDT Y TAREAS'!M23,0),IF(AND(78&gt;='EDT Y TAREAS'!AK29,78&lt;'EDT Y TAREAS'!AL29),'EDT Y TAREAS'!AH29/'EDT Y TAREAS'!M29,0),IF(AND(78&gt;='EDT Y TAREAS'!AK30,78&lt;'EDT Y TAREAS'!AL30),'EDT Y TAREAS'!AH30/'EDT Y TAREAS'!M30,0),IF(AND(78&gt;='EDT Y TAREAS'!AK32,78&lt;'EDT Y TAREAS'!AL32),'EDT Y TAREAS'!AH32/'EDT Y TAREAS'!M32,0),IF(AND(78&gt;='EDT Y TAREAS'!AK41,78&lt;'EDT Y TAREAS'!AL41),'EDT Y TAREAS'!AH41/'EDT Y TAREAS'!M41,0),IF(AND(78&gt;='EDT Y TAREAS'!AK44,78&lt;'EDT Y TAREAS'!AL44),'EDT Y TAREAS'!AH44/'EDT Y TAREAS'!M44,0),IF(AND(78&gt;='EDT Y TAREAS'!AK46,78&lt;'EDT Y TAREAS'!AL46),'EDT Y TAREAS'!AH46/'EDT Y TAREAS'!M46,0),IF(AND(78&gt;='EDT Y TAREAS'!AK48,78&lt;'EDT Y TAREAS'!AL48),'EDT Y TAREAS'!AH48/'EDT Y TAREAS'!M48,0))</x:f>
        <x:v>0</x:v>
      </x:c>
      <x:c r="G118" s="35" t="n">
        <x:f>SUM(IF(AND(78&gt;='EDT Y TAREAS'!AK20,78&lt;'EDT Y TAREAS'!AL20),'EDT Y TAREAS'!AI20/'EDT Y TAREAS'!M20,0),IF(AND(78&gt;='EDT Y TAREAS'!AK25,78&lt;'EDT Y TAREAS'!AL25),'EDT Y TAREAS'!AI25/'EDT Y TAREAS'!M25,0),IF(AND(78&gt;='EDT Y TAREAS'!AK33,78&lt;'EDT Y TAREAS'!AL33),'EDT Y TAREAS'!AI33/'EDT Y TAREAS'!M33,0),IF(AND(78&gt;='EDT Y TAREAS'!AK34,78&lt;'EDT Y TAREAS'!AL34),'EDT Y TAREAS'!AI34/'EDT Y TAREAS'!M34,0),IF(AND(78&gt;='EDT Y TAREAS'!AK36,78&lt;'EDT Y TAREAS'!AL36),'EDT Y TAREAS'!AI36/'EDT Y TAREAS'!M36,0),IF(AND(78&gt;='EDT Y TAREAS'!AK39,78&lt;'EDT Y TAREAS'!AL39),'EDT Y TAREAS'!AI39/'EDT Y TAREAS'!M39,0),IF(AND(78&gt;='EDT Y TAREAS'!AK40,78&lt;'EDT Y TAREAS'!AL40),'EDT Y TAREAS'!AI40/'EDT Y TAREAS'!M40,0),IF(AND(78&gt;='EDT Y TAREAS'!AK42,78&lt;'EDT Y TAREAS'!AL42),'EDT Y TAREAS'!AI42/'EDT Y TAREAS'!M42,0),IF(AND(78&gt;='EDT Y TAREAS'!AK43,78&lt;'EDT Y TAREAS'!AL43),'EDT Y TAREAS'!AI43/'EDT Y TAREAS'!M43,0),IF(AND(78&gt;='EDT Y TAREAS'!AK44,78&lt;'EDT Y TAREAS'!AL44),'EDT Y TAREAS'!AI44/'EDT Y TAREAS'!M44,0),IF(AND(78&gt;='EDT Y TAREAS'!AK45,78&lt;'EDT Y TAREAS'!AL45),'EDT Y TAREAS'!AI45/'EDT Y TAREAS'!M45,0),IF(AND(78&gt;='EDT Y TAREAS'!AK46,78&lt;'EDT Y TAREAS'!AL46),'EDT Y TAREAS'!AI46/'EDT Y TAREAS'!M46,0),IF(AND(78&gt;='EDT Y TAREAS'!AK48,78&lt;'EDT Y TAREAS'!AL48),'EDT Y TAREAS'!AI48/'EDT Y TAREAS'!M48,0),IF(AND(78&gt;='EDT Y TAREAS'!AK50,78&lt;'EDT Y TAREAS'!AL50),'EDT Y TAREAS'!AI50/'EDT Y TAREAS'!M50,0),IF(AND(78&gt;='EDT Y TAREAS'!AK52,78&lt;'EDT Y TAREAS'!AL52),'EDT Y TAREAS'!AI52/'EDT Y TAREAS'!M52,0))</x:f>
        <x:v>0</x:v>
      </x:c>
      <x:c r="H118" s="35" t="n">
        <x:f>SUM(IF(AND(78&gt;='EDT Y TAREAS'!AK11,78&lt;'EDT Y TAREAS'!AL11),'EDT Y TAREAS'!AJ11/'EDT Y TAREAS'!M11,0),IF(AND(78&gt;='EDT Y TAREAS'!AK24,78&lt;'EDT Y TAREAS'!AL24),'EDT Y TAREAS'!AJ24/'EDT Y TAREAS'!M24,0),IF(AND(78&gt;='EDT Y TAREAS'!AK27,78&lt;'EDT Y TAREAS'!AL27),'EDT Y TAREAS'!AJ27/'EDT Y TAREAS'!M27,0),IF(AND(78&gt;='EDT Y TAREAS'!AK28,78&lt;'EDT Y TAREAS'!AL28),'EDT Y TAREAS'!AJ28/'EDT Y TAREAS'!M28,0),IF(AND(78&gt;='EDT Y TAREAS'!AK33,78&lt;'EDT Y TAREAS'!AL33),'EDT Y TAREAS'!AJ33/'EDT Y TAREAS'!M33,0),IF(AND(78&gt;='EDT Y TAREAS'!AK35,78&lt;'EDT Y TAREAS'!AL35),'EDT Y TAREAS'!AJ35/'EDT Y TAREAS'!M35,0),IF(AND(78&gt;='EDT Y TAREAS'!AK36,78&lt;'EDT Y TAREAS'!AL36),'EDT Y TAREAS'!AJ36/'EDT Y TAREAS'!M36,0),IF(AND(78&gt;='EDT Y TAREAS'!AK37,78&lt;'EDT Y TAREAS'!AL37),'EDT Y TAREAS'!AJ37/'EDT Y TAREAS'!M37,0),IF(AND(78&gt;='EDT Y TAREAS'!AK40,78&lt;'EDT Y TAREAS'!AL40),'EDT Y TAREAS'!AJ40/'EDT Y TAREAS'!M40,0),IF(AND(78&gt;='EDT Y TAREAS'!AK42,78&lt;'EDT Y TAREAS'!AL42),'EDT Y TAREAS'!AJ42/'EDT Y TAREAS'!M42,0),IF(AND(78&gt;='EDT Y TAREAS'!AK49,78&lt;'EDT Y TAREAS'!AL49),'EDT Y TAREAS'!AJ49/'EDT Y TAREAS'!M49,0),IF(AND(78&gt;='EDT Y TAREAS'!AK50,78&lt;'EDT Y TAREAS'!AL50),'EDT Y TAREAS'!AJ50/'EDT Y TAREAS'!M50,0),IF(AND(78&gt;='EDT Y TAREAS'!AK51,78&lt;'EDT Y TAREAS'!AL51),'EDT Y TAREAS'!AJ51/'EDT Y TAREAS'!M51,0),IF(AND(78&gt;='EDT Y TAREAS'!AK52,78&lt;'EDT Y TAREAS'!AL52),'EDT Y TAREAS'!AJ52/'EDT Y TAREAS'!M52,0))</x:f>
        <x:v>1.6</x:v>
      </x:c>
      <x:c r="I118" s="10" t="n">
        <x:f>WORKDAY('RESUMEN'!$D$3-1,A118,'RESUMEN'!$J$6:$J$25)</x:f>
        <x:v>46436</x:v>
      </x:c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  <x:c r="AL118" s="3"/>
      <x:c r="AM118" s="3"/>
      <x:c r="AN118" s="3"/>
      <x:c r="AO118" s="3"/>
    </x:row>
    <x:row r="119" ht="24" customHeight="1">
      <x:c r="A119" s="3" t="n">
        <x:v>80</x:v>
      </x:c>
      <x:c r="B119" s="35" t="n">
        <x:f>SUM(IF(AND(79&gt;='EDT Y TAREAS'!AK6,79&lt;'EDT Y TAREAS'!AL6),'EDT Y TAREAS'!AD6/'EDT Y TAREAS'!M6,0),IF(AND(79&gt;='EDT Y TAREAS'!AK7,79&lt;'EDT Y TAREAS'!AL7),'EDT Y TAREAS'!AD7/'EDT Y TAREAS'!M7,0),IF(AND(79&gt;='EDT Y TAREAS'!AK8,79&lt;'EDT Y TAREAS'!AL8),'EDT Y TAREAS'!AD8/'EDT Y TAREAS'!M8,0),IF(AND(79&gt;='EDT Y TAREAS'!AK9,79&lt;'EDT Y TAREAS'!AL9),'EDT Y TAREAS'!AD9/'EDT Y TAREAS'!M9,0),IF(AND(79&gt;='EDT Y TAREAS'!AK10,79&lt;'EDT Y TAREAS'!AL10),'EDT Y TAREAS'!AD10/'EDT Y TAREAS'!M10,0),IF(AND(79&gt;='EDT Y TAREAS'!AK11,79&lt;'EDT Y TAREAS'!AL11),'EDT Y TAREAS'!AD11/'EDT Y TAREAS'!M11,0),IF(AND(79&gt;='EDT Y TAREAS'!AK12,79&lt;'EDT Y TAREAS'!AL12),'EDT Y TAREAS'!AD12/'EDT Y TAREAS'!M12,0),IF(AND(79&gt;='EDT Y TAREAS'!AK13,79&lt;'EDT Y TAREAS'!AL13),'EDT Y TAREAS'!AD13/'EDT Y TAREAS'!M13,0),IF(AND(79&gt;='EDT Y TAREAS'!AK14,79&lt;'EDT Y TAREAS'!AL14),'EDT Y TAREAS'!AD14/'EDT Y TAREAS'!M14,0),IF(AND(79&gt;='EDT Y TAREAS'!AK15,79&lt;'EDT Y TAREAS'!AL15),'EDT Y TAREAS'!AD15/'EDT Y TAREAS'!M15,0),IF(AND(79&gt;='EDT Y TAREAS'!AK16,79&lt;'EDT Y TAREAS'!AL16),'EDT Y TAREAS'!AD16/'EDT Y TAREAS'!M16,0),IF(AND(79&gt;='EDT Y TAREAS'!AK17,79&lt;'EDT Y TAREAS'!AL17),'EDT Y TAREAS'!AD17/'EDT Y TAREAS'!M17,0),IF(AND(79&gt;='EDT Y TAREAS'!AK18,79&lt;'EDT Y TAREAS'!AL18),'EDT Y TAREAS'!AD18/'EDT Y TAREAS'!M18,0),IF(AND(79&gt;='EDT Y TAREAS'!AK19,79&lt;'EDT Y TAREAS'!AL19),'EDT Y TAREAS'!AD19/'EDT Y TAREAS'!M19,0),IF(AND(79&gt;='EDT Y TAREAS'!AK20,79&lt;'EDT Y TAREAS'!AL20),'EDT Y TAREAS'!AD20/'EDT Y TAREAS'!M20,0),IF(AND(79&gt;='EDT Y TAREAS'!AK21,79&lt;'EDT Y TAREAS'!AL21),'EDT Y TAREAS'!AD21/'EDT Y TAREAS'!M21,0),IF(AND(79&gt;='EDT Y TAREAS'!AK22,79&lt;'EDT Y TAREAS'!AL22),'EDT Y TAREAS'!AD22/'EDT Y TAREAS'!M22,0),IF(AND(79&gt;='EDT Y TAREAS'!AK23,79&lt;'EDT Y TAREAS'!AL23),'EDT Y TAREAS'!AD23/'EDT Y TAREAS'!M23,0),IF(AND(79&gt;='EDT Y TAREAS'!AK26,79&lt;'EDT Y TAREAS'!AL26),'EDT Y TAREAS'!AD26/'EDT Y TAREAS'!M26,0),IF(AND(79&gt;='EDT Y TAREAS'!AK28,79&lt;'EDT Y TAREAS'!AL28),'EDT Y TAREAS'!AD28/'EDT Y TAREAS'!M28,0),IF(AND(79&gt;='EDT Y TAREAS'!AK30,79&lt;'EDT Y TAREAS'!AL30),'EDT Y TAREAS'!AD30/'EDT Y TAREAS'!M30,0),IF(AND(79&gt;='EDT Y TAREAS'!AK32,79&lt;'EDT Y TAREAS'!AL32),'EDT Y TAREAS'!AD32/'EDT Y TAREAS'!M32,0),IF(AND(79&gt;='EDT Y TAREAS'!AK34,79&lt;'EDT Y TAREAS'!AL34),'EDT Y TAREAS'!AD34/'EDT Y TAREAS'!M34,0),IF(AND(79&gt;='EDT Y TAREAS'!AK38,79&lt;'EDT Y TAREAS'!AL38),'EDT Y TAREAS'!AD38/'EDT Y TAREAS'!M38,0),IF(AND(79&gt;='EDT Y TAREAS'!AK39,79&lt;'EDT Y TAREAS'!AL39),'EDT Y TAREAS'!AD39/'EDT Y TAREAS'!M39,0),IF(AND(79&gt;='EDT Y TAREAS'!AK43,79&lt;'EDT Y TAREAS'!AL43),'EDT Y TAREAS'!AD43/'EDT Y TAREAS'!M43,0),IF(AND(79&gt;='EDT Y TAREAS'!AK44,79&lt;'EDT Y TAREAS'!AL44),'EDT Y TAREAS'!AD44/'EDT Y TAREAS'!M44,0),IF(AND(79&gt;='EDT Y TAREAS'!AK45,79&lt;'EDT Y TAREAS'!AL45),'EDT Y TAREAS'!AD45/'EDT Y TAREAS'!M45,0),IF(AND(79&gt;='EDT Y TAREAS'!AK46,79&lt;'EDT Y TAREAS'!AL46),'EDT Y TAREAS'!AD46/'EDT Y TAREAS'!M46,0),IF(AND(79&gt;='EDT Y TAREAS'!AK47,79&lt;'EDT Y TAREAS'!AL47),'EDT Y TAREAS'!AD47/'EDT Y TAREAS'!M47,0),IF(AND(79&gt;='EDT Y TAREAS'!AK49,79&lt;'EDT Y TAREAS'!AL49),'EDT Y TAREAS'!AD49/'EDT Y TAREAS'!M49,0),IF(AND(79&gt;='EDT Y TAREAS'!AK50,79&lt;'EDT Y TAREAS'!AL50),'EDT Y TAREAS'!AD50/'EDT Y TAREAS'!M50,0),IF(AND(79&gt;='EDT Y TAREAS'!AK51,79&lt;'EDT Y TAREAS'!AL51),'EDT Y TAREAS'!AD51/'EDT Y TAREAS'!M51,0),IF(AND(79&gt;='EDT Y TAREAS'!AK52,79&lt;'EDT Y TAREAS'!AL52),'EDT Y TAREAS'!AD52/'EDT Y TAREAS'!M52,0))</x:f>
        <x:v>4</x:v>
      </x:c>
      <x:c r="C119" s="35" t="n">
        <x:f>SUM(IF(AND(79&gt;='EDT Y TAREAS'!AK6,79&lt;'EDT Y TAREAS'!AL6),'EDT Y TAREAS'!AE6/'EDT Y TAREAS'!M6,0),IF(AND(79&gt;='EDT Y TAREAS'!AK8,79&lt;'EDT Y TAREAS'!AL8),'EDT Y TAREAS'!AE8/'EDT Y TAREAS'!M8,0),IF(AND(79&gt;='EDT Y TAREAS'!AK9,79&lt;'EDT Y TAREAS'!AL9),'EDT Y TAREAS'!AE9/'EDT Y TAREAS'!M9,0),IF(AND(79&gt;='EDT Y TAREAS'!AK10,79&lt;'EDT Y TAREAS'!AL10),'EDT Y TAREAS'!AE10/'EDT Y TAREAS'!M10,0),IF(AND(79&gt;='EDT Y TAREAS'!AK12,79&lt;'EDT Y TAREAS'!AL12),'EDT Y TAREAS'!AE12/'EDT Y TAREAS'!M12,0),IF(AND(79&gt;='EDT Y TAREAS'!AK16,79&lt;'EDT Y TAREAS'!AL16),'EDT Y TAREAS'!AE16/'EDT Y TAREAS'!M16,0),IF(AND(79&gt;='EDT Y TAREAS'!AK21,79&lt;'EDT Y TAREAS'!AL21),'EDT Y TAREAS'!AE21/'EDT Y TAREAS'!M21,0),IF(AND(79&gt;='EDT Y TAREAS'!AK23,79&lt;'EDT Y TAREAS'!AL23),'EDT Y TAREAS'!AE23/'EDT Y TAREAS'!M23,0),IF(AND(79&gt;='EDT Y TAREAS'!AK37,79&lt;'EDT Y TAREAS'!AL37),'EDT Y TAREAS'!AE37/'EDT Y TAREAS'!M37,0),IF(AND(79&gt;='EDT Y TAREAS'!AK38,79&lt;'EDT Y TAREAS'!AL38),'EDT Y TAREAS'!AE38/'EDT Y TAREAS'!M38,0),IF(AND(79&gt;='EDT Y TAREAS'!AK41,79&lt;'EDT Y TAREAS'!AL41),'EDT Y TAREAS'!AE41/'EDT Y TAREAS'!M41,0),IF(AND(79&gt;='EDT Y TAREAS'!AK43,79&lt;'EDT Y TAREAS'!AL43),'EDT Y TAREAS'!AE43/'EDT Y TAREAS'!M43,0),IF(AND(79&gt;='EDT Y TAREAS'!AK44,79&lt;'EDT Y TAREAS'!AL44),'EDT Y TAREAS'!AE44/'EDT Y TAREAS'!M44,0),IF(AND(79&gt;='EDT Y TAREAS'!AK46,79&lt;'EDT Y TAREAS'!AL46),'EDT Y TAREAS'!AE46/'EDT Y TAREAS'!M46,0),IF(AND(79&gt;='EDT Y TAREAS'!AK47,79&lt;'EDT Y TAREAS'!AL47),'EDT Y TAREAS'!AE47/'EDT Y TAREAS'!M47,0),IF(AND(79&gt;='EDT Y TAREAS'!AK51,79&lt;'EDT Y TAREAS'!AL51),'EDT Y TAREAS'!AE51/'EDT Y TAREAS'!M51,0),IF(AND(79&gt;='EDT Y TAREAS'!AK52,79&lt;'EDT Y TAREAS'!AL52),'EDT Y TAREAS'!AE52/'EDT Y TAREAS'!M52,0))</x:f>
        <x:v>0</x:v>
      </x:c>
      <x:c r="D119" s="35" t="n">
        <x:f>SUM(IF(AND(79&gt;='EDT Y TAREAS'!AK11,79&lt;'EDT Y TAREAS'!AL11),'EDT Y TAREAS'!AF11/'EDT Y TAREAS'!M11,0),IF(AND(79&gt;='EDT Y TAREAS'!AK24,79&lt;'EDT Y TAREAS'!AL24),'EDT Y TAREAS'!AF24/'EDT Y TAREAS'!M24,0),IF(AND(79&gt;='EDT Y TAREAS'!AK25,79&lt;'EDT Y TAREAS'!AL25),'EDT Y TAREAS'!AF25/'EDT Y TAREAS'!M25,0),IF(AND(79&gt;='EDT Y TAREAS'!AK26,79&lt;'EDT Y TAREAS'!AL26),'EDT Y TAREAS'!AF26/'EDT Y TAREAS'!M26,0),IF(AND(79&gt;='EDT Y TAREAS'!AK27,79&lt;'EDT Y TAREAS'!AL27),'EDT Y TAREAS'!AF27/'EDT Y TAREAS'!M27,0),IF(AND(79&gt;='EDT Y TAREAS'!AK28,79&lt;'EDT Y TAREAS'!AL28),'EDT Y TAREAS'!AF28/'EDT Y TAREAS'!M28,0),IF(AND(79&gt;='EDT Y TAREAS'!AK31,79&lt;'EDT Y TAREAS'!AL31),'EDT Y TAREAS'!AF31/'EDT Y TAREAS'!M31,0),IF(AND(79&gt;='EDT Y TAREAS'!AK33,79&lt;'EDT Y TAREAS'!AL33),'EDT Y TAREAS'!AF33/'EDT Y TAREAS'!M33,0),IF(AND(79&gt;='EDT Y TAREAS'!AK34,79&lt;'EDT Y TAREAS'!AL34),'EDT Y TAREAS'!AF34/'EDT Y TAREAS'!M34,0),IF(AND(79&gt;='EDT Y TAREAS'!AK35,79&lt;'EDT Y TAREAS'!AL35),'EDT Y TAREAS'!AF35/'EDT Y TAREAS'!M35,0),IF(AND(79&gt;='EDT Y TAREAS'!AK37,79&lt;'EDT Y TAREAS'!AL37),'EDT Y TAREAS'!AF37/'EDT Y TAREAS'!M37,0),IF(AND(79&gt;='EDT Y TAREAS'!AK39,79&lt;'EDT Y TAREAS'!AL39),'EDT Y TAREAS'!AF39/'EDT Y TAREAS'!M39,0),IF(AND(79&gt;='EDT Y TAREAS'!AK40,79&lt;'EDT Y TAREAS'!AL40),'EDT Y TAREAS'!AF40/'EDT Y TAREAS'!M40,0),IF(AND(79&gt;='EDT Y TAREAS'!AK42,79&lt;'EDT Y TAREAS'!AL42),'EDT Y TAREAS'!AF42/'EDT Y TAREAS'!M42,0),IF(AND(79&gt;='EDT Y TAREAS'!AK45,79&lt;'EDT Y TAREAS'!AL45),'EDT Y TAREAS'!AF45/'EDT Y TAREAS'!M45,0),IF(AND(79&gt;='EDT Y TAREAS'!AK49,79&lt;'EDT Y TAREAS'!AL49),'EDT Y TAREAS'!AF49/'EDT Y TAREAS'!M49,0),IF(AND(79&gt;='EDT Y TAREAS'!AK52,79&lt;'EDT Y TAREAS'!AL52),'EDT Y TAREAS'!AF52/'EDT Y TAREAS'!M52,0))</x:f>
        <x:v>5.6</x:v>
      </x:c>
      <x:c r="E119" s="35" t="n">
        <x:f>SUM(IF(AND(79&gt;='EDT Y TAREAS'!AK29,79&lt;'EDT Y TAREAS'!AL29),'EDT Y TAREAS'!AG29/'EDT Y TAREAS'!M29,0),IF(AND(79&gt;='EDT Y TAREAS'!AK30,79&lt;'EDT Y TAREAS'!AL30),'EDT Y TAREAS'!AG30/'EDT Y TAREAS'!M30,0),IF(AND(79&gt;='EDT Y TAREAS'!AK31,79&lt;'EDT Y TAREAS'!AL31),'EDT Y TAREAS'!AG31/'EDT Y TAREAS'!M31,0),IF(AND(79&gt;='EDT Y TAREAS'!AK32,79&lt;'EDT Y TAREAS'!AL32),'EDT Y TAREAS'!AG32/'EDT Y TAREAS'!M32,0),IF(AND(79&gt;='EDT Y TAREAS'!AK41,79&lt;'EDT Y TAREAS'!AL41),'EDT Y TAREAS'!AG41/'EDT Y TAREAS'!M41,0),IF(AND(79&gt;='EDT Y TAREAS'!AK45,79&lt;'EDT Y TAREAS'!AL45),'EDT Y TAREAS'!AG45/'EDT Y TAREAS'!M45,0),IF(AND(79&gt;='EDT Y TAREAS'!AK48,79&lt;'EDT Y TAREAS'!AL48),'EDT Y TAREAS'!AG48/'EDT Y TAREAS'!M48,0))</x:f>
        <x:v>4.8</x:v>
      </x:c>
      <x:c r="F119" s="35" t="n">
        <x:f>SUM(IF(AND(79&gt;='EDT Y TAREAS'!AK10,79&lt;'EDT Y TAREAS'!AL10),'EDT Y TAREAS'!AH10/'EDT Y TAREAS'!M10,0),IF(AND(79&gt;='EDT Y TAREAS'!AK12,79&lt;'EDT Y TAREAS'!AL12),'EDT Y TAREAS'!AH12/'EDT Y TAREAS'!M12,0),IF(AND(79&gt;='EDT Y TAREAS'!AK22,79&lt;'EDT Y TAREAS'!AL22),'EDT Y TAREAS'!AH22/'EDT Y TAREAS'!M22,0),IF(AND(79&gt;='EDT Y TAREAS'!AK23,79&lt;'EDT Y TAREAS'!AL23),'EDT Y TAREAS'!AH23/'EDT Y TAREAS'!M23,0),IF(AND(79&gt;='EDT Y TAREAS'!AK29,79&lt;'EDT Y TAREAS'!AL29),'EDT Y TAREAS'!AH29/'EDT Y TAREAS'!M29,0),IF(AND(79&gt;='EDT Y TAREAS'!AK30,79&lt;'EDT Y TAREAS'!AL30),'EDT Y TAREAS'!AH30/'EDT Y TAREAS'!M30,0),IF(AND(79&gt;='EDT Y TAREAS'!AK32,79&lt;'EDT Y TAREAS'!AL32),'EDT Y TAREAS'!AH32/'EDT Y TAREAS'!M32,0),IF(AND(79&gt;='EDT Y TAREAS'!AK41,79&lt;'EDT Y TAREAS'!AL41),'EDT Y TAREAS'!AH41/'EDT Y TAREAS'!M41,0),IF(AND(79&gt;='EDT Y TAREAS'!AK44,79&lt;'EDT Y TAREAS'!AL44),'EDT Y TAREAS'!AH44/'EDT Y TAREAS'!M44,0),IF(AND(79&gt;='EDT Y TAREAS'!AK46,79&lt;'EDT Y TAREAS'!AL46),'EDT Y TAREAS'!AH46/'EDT Y TAREAS'!M46,0),IF(AND(79&gt;='EDT Y TAREAS'!AK48,79&lt;'EDT Y TAREAS'!AL48),'EDT Y TAREAS'!AH48/'EDT Y TAREAS'!M48,0))</x:f>
        <x:v>0</x:v>
      </x:c>
      <x:c r="G119" s="35" t="n">
        <x:f>SUM(IF(AND(79&gt;='EDT Y TAREAS'!AK20,79&lt;'EDT Y TAREAS'!AL20),'EDT Y TAREAS'!AI20/'EDT Y TAREAS'!M20,0),IF(AND(79&gt;='EDT Y TAREAS'!AK25,79&lt;'EDT Y TAREAS'!AL25),'EDT Y TAREAS'!AI25/'EDT Y TAREAS'!M25,0),IF(AND(79&gt;='EDT Y TAREAS'!AK33,79&lt;'EDT Y TAREAS'!AL33),'EDT Y TAREAS'!AI33/'EDT Y TAREAS'!M33,0),IF(AND(79&gt;='EDT Y TAREAS'!AK34,79&lt;'EDT Y TAREAS'!AL34),'EDT Y TAREAS'!AI34/'EDT Y TAREAS'!M34,0),IF(AND(79&gt;='EDT Y TAREAS'!AK36,79&lt;'EDT Y TAREAS'!AL36),'EDT Y TAREAS'!AI36/'EDT Y TAREAS'!M36,0),IF(AND(79&gt;='EDT Y TAREAS'!AK39,79&lt;'EDT Y TAREAS'!AL39),'EDT Y TAREAS'!AI39/'EDT Y TAREAS'!M39,0),IF(AND(79&gt;='EDT Y TAREAS'!AK40,79&lt;'EDT Y TAREAS'!AL40),'EDT Y TAREAS'!AI40/'EDT Y TAREAS'!M40,0),IF(AND(79&gt;='EDT Y TAREAS'!AK42,79&lt;'EDT Y TAREAS'!AL42),'EDT Y TAREAS'!AI42/'EDT Y TAREAS'!M42,0),IF(AND(79&gt;='EDT Y TAREAS'!AK43,79&lt;'EDT Y TAREAS'!AL43),'EDT Y TAREAS'!AI43/'EDT Y TAREAS'!M43,0),IF(AND(79&gt;='EDT Y TAREAS'!AK44,79&lt;'EDT Y TAREAS'!AL44),'EDT Y TAREAS'!AI44/'EDT Y TAREAS'!M44,0),IF(AND(79&gt;='EDT Y TAREAS'!AK45,79&lt;'EDT Y TAREAS'!AL45),'EDT Y TAREAS'!AI45/'EDT Y TAREAS'!M45,0),IF(AND(79&gt;='EDT Y TAREAS'!AK46,79&lt;'EDT Y TAREAS'!AL46),'EDT Y TAREAS'!AI46/'EDT Y TAREAS'!M46,0),IF(AND(79&gt;='EDT Y TAREAS'!AK48,79&lt;'EDT Y TAREAS'!AL48),'EDT Y TAREAS'!AI48/'EDT Y TAREAS'!M48,0),IF(AND(79&gt;='EDT Y TAREAS'!AK50,79&lt;'EDT Y TAREAS'!AL50),'EDT Y TAREAS'!AI50/'EDT Y TAREAS'!M50,0),IF(AND(79&gt;='EDT Y TAREAS'!AK52,79&lt;'EDT Y TAREAS'!AL52),'EDT Y TAREAS'!AI52/'EDT Y TAREAS'!M52,0))</x:f>
        <x:v>0</x:v>
      </x:c>
      <x:c r="H119" s="35" t="n">
        <x:f>SUM(IF(AND(79&gt;='EDT Y TAREAS'!AK11,79&lt;'EDT Y TAREAS'!AL11),'EDT Y TAREAS'!AJ11/'EDT Y TAREAS'!M11,0),IF(AND(79&gt;='EDT Y TAREAS'!AK24,79&lt;'EDT Y TAREAS'!AL24),'EDT Y TAREAS'!AJ24/'EDT Y TAREAS'!M24,0),IF(AND(79&gt;='EDT Y TAREAS'!AK27,79&lt;'EDT Y TAREAS'!AL27),'EDT Y TAREAS'!AJ27/'EDT Y TAREAS'!M27,0),IF(AND(79&gt;='EDT Y TAREAS'!AK28,79&lt;'EDT Y TAREAS'!AL28),'EDT Y TAREAS'!AJ28/'EDT Y TAREAS'!M28,0),IF(AND(79&gt;='EDT Y TAREAS'!AK33,79&lt;'EDT Y TAREAS'!AL33),'EDT Y TAREAS'!AJ33/'EDT Y TAREAS'!M33,0),IF(AND(79&gt;='EDT Y TAREAS'!AK35,79&lt;'EDT Y TAREAS'!AL35),'EDT Y TAREAS'!AJ35/'EDT Y TAREAS'!M35,0),IF(AND(79&gt;='EDT Y TAREAS'!AK36,79&lt;'EDT Y TAREAS'!AL36),'EDT Y TAREAS'!AJ36/'EDT Y TAREAS'!M36,0),IF(AND(79&gt;='EDT Y TAREAS'!AK37,79&lt;'EDT Y TAREAS'!AL37),'EDT Y TAREAS'!AJ37/'EDT Y TAREAS'!M37,0),IF(AND(79&gt;='EDT Y TAREAS'!AK40,79&lt;'EDT Y TAREAS'!AL40),'EDT Y TAREAS'!AJ40/'EDT Y TAREAS'!M40,0),IF(AND(79&gt;='EDT Y TAREAS'!AK42,79&lt;'EDT Y TAREAS'!AL42),'EDT Y TAREAS'!AJ42/'EDT Y TAREAS'!M42,0),IF(AND(79&gt;='EDT Y TAREAS'!AK49,79&lt;'EDT Y TAREAS'!AL49),'EDT Y TAREAS'!AJ49/'EDT Y TAREAS'!M49,0),IF(AND(79&gt;='EDT Y TAREAS'!AK50,79&lt;'EDT Y TAREAS'!AL50),'EDT Y TAREAS'!AJ50/'EDT Y TAREAS'!M50,0),IF(AND(79&gt;='EDT Y TAREAS'!AK51,79&lt;'EDT Y TAREAS'!AL51),'EDT Y TAREAS'!AJ51/'EDT Y TAREAS'!M51,0),IF(AND(79&gt;='EDT Y TAREAS'!AK52,79&lt;'EDT Y TAREAS'!AL52),'EDT Y TAREAS'!AJ52/'EDT Y TAREAS'!M52,0))</x:f>
        <x:v>1.6</x:v>
      </x:c>
      <x:c r="I119" s="10" t="n">
        <x:f>WORKDAY('RESUMEN'!$D$3-1,A119,'RESUMEN'!$J$6:$J$25)</x:f>
        <x:v>46437</x:v>
      </x:c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  <x:c r="AL119" s="3"/>
      <x:c r="AM119" s="3"/>
      <x:c r="AN119" s="3"/>
      <x:c r="AO119" s="3"/>
    </x:row>
    <x:row r="120" ht="24" customHeight="1">
      <x:c r="A120" s="3" t="n">
        <x:v>81</x:v>
      </x:c>
      <x:c r="B120" s="35" t="n">
        <x:f>SUM(IF(AND(80&gt;='EDT Y TAREAS'!AK6,80&lt;'EDT Y TAREAS'!AL6),'EDT Y TAREAS'!AD6/'EDT Y TAREAS'!M6,0),IF(AND(80&gt;='EDT Y TAREAS'!AK7,80&lt;'EDT Y TAREAS'!AL7),'EDT Y TAREAS'!AD7/'EDT Y TAREAS'!M7,0),IF(AND(80&gt;='EDT Y TAREAS'!AK8,80&lt;'EDT Y TAREAS'!AL8),'EDT Y TAREAS'!AD8/'EDT Y TAREAS'!M8,0),IF(AND(80&gt;='EDT Y TAREAS'!AK9,80&lt;'EDT Y TAREAS'!AL9),'EDT Y TAREAS'!AD9/'EDT Y TAREAS'!M9,0),IF(AND(80&gt;='EDT Y TAREAS'!AK10,80&lt;'EDT Y TAREAS'!AL10),'EDT Y TAREAS'!AD10/'EDT Y TAREAS'!M10,0),IF(AND(80&gt;='EDT Y TAREAS'!AK11,80&lt;'EDT Y TAREAS'!AL11),'EDT Y TAREAS'!AD11/'EDT Y TAREAS'!M11,0),IF(AND(80&gt;='EDT Y TAREAS'!AK12,80&lt;'EDT Y TAREAS'!AL12),'EDT Y TAREAS'!AD12/'EDT Y TAREAS'!M12,0),IF(AND(80&gt;='EDT Y TAREAS'!AK13,80&lt;'EDT Y TAREAS'!AL13),'EDT Y TAREAS'!AD13/'EDT Y TAREAS'!M13,0),IF(AND(80&gt;='EDT Y TAREAS'!AK14,80&lt;'EDT Y TAREAS'!AL14),'EDT Y TAREAS'!AD14/'EDT Y TAREAS'!M14,0),IF(AND(80&gt;='EDT Y TAREAS'!AK15,80&lt;'EDT Y TAREAS'!AL15),'EDT Y TAREAS'!AD15/'EDT Y TAREAS'!M15,0),IF(AND(80&gt;='EDT Y TAREAS'!AK16,80&lt;'EDT Y TAREAS'!AL16),'EDT Y TAREAS'!AD16/'EDT Y TAREAS'!M16,0),IF(AND(80&gt;='EDT Y TAREAS'!AK17,80&lt;'EDT Y TAREAS'!AL17),'EDT Y TAREAS'!AD17/'EDT Y TAREAS'!M17,0),IF(AND(80&gt;='EDT Y TAREAS'!AK18,80&lt;'EDT Y TAREAS'!AL18),'EDT Y TAREAS'!AD18/'EDT Y TAREAS'!M18,0),IF(AND(80&gt;='EDT Y TAREAS'!AK19,80&lt;'EDT Y TAREAS'!AL19),'EDT Y TAREAS'!AD19/'EDT Y TAREAS'!M19,0),IF(AND(80&gt;='EDT Y TAREAS'!AK20,80&lt;'EDT Y TAREAS'!AL20),'EDT Y TAREAS'!AD20/'EDT Y TAREAS'!M20,0),IF(AND(80&gt;='EDT Y TAREAS'!AK21,80&lt;'EDT Y TAREAS'!AL21),'EDT Y TAREAS'!AD21/'EDT Y TAREAS'!M21,0),IF(AND(80&gt;='EDT Y TAREAS'!AK22,80&lt;'EDT Y TAREAS'!AL22),'EDT Y TAREAS'!AD22/'EDT Y TAREAS'!M22,0),IF(AND(80&gt;='EDT Y TAREAS'!AK23,80&lt;'EDT Y TAREAS'!AL23),'EDT Y TAREAS'!AD23/'EDT Y TAREAS'!M23,0),IF(AND(80&gt;='EDT Y TAREAS'!AK26,80&lt;'EDT Y TAREAS'!AL26),'EDT Y TAREAS'!AD26/'EDT Y TAREAS'!M26,0),IF(AND(80&gt;='EDT Y TAREAS'!AK28,80&lt;'EDT Y TAREAS'!AL28),'EDT Y TAREAS'!AD28/'EDT Y TAREAS'!M28,0),IF(AND(80&gt;='EDT Y TAREAS'!AK30,80&lt;'EDT Y TAREAS'!AL30),'EDT Y TAREAS'!AD30/'EDT Y TAREAS'!M30,0),IF(AND(80&gt;='EDT Y TAREAS'!AK32,80&lt;'EDT Y TAREAS'!AL32),'EDT Y TAREAS'!AD32/'EDT Y TAREAS'!M32,0),IF(AND(80&gt;='EDT Y TAREAS'!AK34,80&lt;'EDT Y TAREAS'!AL34),'EDT Y TAREAS'!AD34/'EDT Y TAREAS'!M34,0),IF(AND(80&gt;='EDT Y TAREAS'!AK38,80&lt;'EDT Y TAREAS'!AL38),'EDT Y TAREAS'!AD38/'EDT Y TAREAS'!M38,0),IF(AND(80&gt;='EDT Y TAREAS'!AK39,80&lt;'EDT Y TAREAS'!AL39),'EDT Y TAREAS'!AD39/'EDT Y TAREAS'!M39,0),IF(AND(80&gt;='EDT Y TAREAS'!AK43,80&lt;'EDT Y TAREAS'!AL43),'EDT Y TAREAS'!AD43/'EDT Y TAREAS'!M43,0),IF(AND(80&gt;='EDT Y TAREAS'!AK44,80&lt;'EDT Y TAREAS'!AL44),'EDT Y TAREAS'!AD44/'EDT Y TAREAS'!M44,0),IF(AND(80&gt;='EDT Y TAREAS'!AK45,80&lt;'EDT Y TAREAS'!AL45),'EDT Y TAREAS'!AD45/'EDT Y TAREAS'!M45,0),IF(AND(80&gt;='EDT Y TAREAS'!AK46,80&lt;'EDT Y TAREAS'!AL46),'EDT Y TAREAS'!AD46/'EDT Y TAREAS'!M46,0),IF(AND(80&gt;='EDT Y TAREAS'!AK47,80&lt;'EDT Y TAREAS'!AL47),'EDT Y TAREAS'!AD47/'EDT Y TAREAS'!M47,0),IF(AND(80&gt;='EDT Y TAREAS'!AK49,80&lt;'EDT Y TAREAS'!AL49),'EDT Y TAREAS'!AD49/'EDT Y TAREAS'!M49,0),IF(AND(80&gt;='EDT Y TAREAS'!AK50,80&lt;'EDT Y TAREAS'!AL50),'EDT Y TAREAS'!AD50/'EDT Y TAREAS'!M50,0),IF(AND(80&gt;='EDT Y TAREAS'!AK51,80&lt;'EDT Y TAREAS'!AL51),'EDT Y TAREAS'!AD51/'EDT Y TAREAS'!M51,0),IF(AND(80&gt;='EDT Y TAREAS'!AK52,80&lt;'EDT Y TAREAS'!AL52),'EDT Y TAREAS'!AD52/'EDT Y TAREAS'!M52,0))</x:f>
        <x:v>4</x:v>
      </x:c>
      <x:c r="C120" s="35" t="n">
        <x:f>SUM(IF(AND(80&gt;='EDT Y TAREAS'!AK6,80&lt;'EDT Y TAREAS'!AL6),'EDT Y TAREAS'!AE6/'EDT Y TAREAS'!M6,0),IF(AND(80&gt;='EDT Y TAREAS'!AK8,80&lt;'EDT Y TAREAS'!AL8),'EDT Y TAREAS'!AE8/'EDT Y TAREAS'!M8,0),IF(AND(80&gt;='EDT Y TAREAS'!AK9,80&lt;'EDT Y TAREAS'!AL9),'EDT Y TAREAS'!AE9/'EDT Y TAREAS'!M9,0),IF(AND(80&gt;='EDT Y TAREAS'!AK10,80&lt;'EDT Y TAREAS'!AL10),'EDT Y TAREAS'!AE10/'EDT Y TAREAS'!M10,0),IF(AND(80&gt;='EDT Y TAREAS'!AK12,80&lt;'EDT Y TAREAS'!AL12),'EDT Y TAREAS'!AE12/'EDT Y TAREAS'!M12,0),IF(AND(80&gt;='EDT Y TAREAS'!AK16,80&lt;'EDT Y TAREAS'!AL16),'EDT Y TAREAS'!AE16/'EDT Y TAREAS'!M16,0),IF(AND(80&gt;='EDT Y TAREAS'!AK21,80&lt;'EDT Y TAREAS'!AL21),'EDT Y TAREAS'!AE21/'EDT Y TAREAS'!M21,0),IF(AND(80&gt;='EDT Y TAREAS'!AK23,80&lt;'EDT Y TAREAS'!AL23),'EDT Y TAREAS'!AE23/'EDT Y TAREAS'!M23,0),IF(AND(80&gt;='EDT Y TAREAS'!AK37,80&lt;'EDT Y TAREAS'!AL37),'EDT Y TAREAS'!AE37/'EDT Y TAREAS'!M37,0),IF(AND(80&gt;='EDT Y TAREAS'!AK38,80&lt;'EDT Y TAREAS'!AL38),'EDT Y TAREAS'!AE38/'EDT Y TAREAS'!M38,0),IF(AND(80&gt;='EDT Y TAREAS'!AK41,80&lt;'EDT Y TAREAS'!AL41),'EDT Y TAREAS'!AE41/'EDT Y TAREAS'!M41,0),IF(AND(80&gt;='EDT Y TAREAS'!AK43,80&lt;'EDT Y TAREAS'!AL43),'EDT Y TAREAS'!AE43/'EDT Y TAREAS'!M43,0),IF(AND(80&gt;='EDT Y TAREAS'!AK44,80&lt;'EDT Y TAREAS'!AL44),'EDT Y TAREAS'!AE44/'EDT Y TAREAS'!M44,0),IF(AND(80&gt;='EDT Y TAREAS'!AK46,80&lt;'EDT Y TAREAS'!AL46),'EDT Y TAREAS'!AE46/'EDT Y TAREAS'!M46,0),IF(AND(80&gt;='EDT Y TAREAS'!AK47,80&lt;'EDT Y TAREAS'!AL47),'EDT Y TAREAS'!AE47/'EDT Y TAREAS'!M47,0),IF(AND(80&gt;='EDT Y TAREAS'!AK51,80&lt;'EDT Y TAREAS'!AL51),'EDT Y TAREAS'!AE51/'EDT Y TAREAS'!M51,0),IF(AND(80&gt;='EDT Y TAREAS'!AK52,80&lt;'EDT Y TAREAS'!AL52),'EDT Y TAREAS'!AE52/'EDT Y TAREAS'!M52,0))</x:f>
        <x:v>0</x:v>
      </x:c>
      <x:c r="D120" s="35" t="n">
        <x:f>SUM(IF(AND(80&gt;='EDT Y TAREAS'!AK11,80&lt;'EDT Y TAREAS'!AL11),'EDT Y TAREAS'!AF11/'EDT Y TAREAS'!M11,0),IF(AND(80&gt;='EDT Y TAREAS'!AK24,80&lt;'EDT Y TAREAS'!AL24),'EDT Y TAREAS'!AF24/'EDT Y TAREAS'!M24,0),IF(AND(80&gt;='EDT Y TAREAS'!AK25,80&lt;'EDT Y TAREAS'!AL25),'EDT Y TAREAS'!AF25/'EDT Y TAREAS'!M25,0),IF(AND(80&gt;='EDT Y TAREAS'!AK26,80&lt;'EDT Y TAREAS'!AL26),'EDT Y TAREAS'!AF26/'EDT Y TAREAS'!M26,0),IF(AND(80&gt;='EDT Y TAREAS'!AK27,80&lt;'EDT Y TAREAS'!AL27),'EDT Y TAREAS'!AF27/'EDT Y TAREAS'!M27,0),IF(AND(80&gt;='EDT Y TAREAS'!AK28,80&lt;'EDT Y TAREAS'!AL28),'EDT Y TAREAS'!AF28/'EDT Y TAREAS'!M28,0),IF(AND(80&gt;='EDT Y TAREAS'!AK31,80&lt;'EDT Y TAREAS'!AL31),'EDT Y TAREAS'!AF31/'EDT Y TAREAS'!M31,0),IF(AND(80&gt;='EDT Y TAREAS'!AK33,80&lt;'EDT Y TAREAS'!AL33),'EDT Y TAREAS'!AF33/'EDT Y TAREAS'!M33,0),IF(AND(80&gt;='EDT Y TAREAS'!AK34,80&lt;'EDT Y TAREAS'!AL34),'EDT Y TAREAS'!AF34/'EDT Y TAREAS'!M34,0),IF(AND(80&gt;='EDT Y TAREAS'!AK35,80&lt;'EDT Y TAREAS'!AL35),'EDT Y TAREAS'!AF35/'EDT Y TAREAS'!M35,0),IF(AND(80&gt;='EDT Y TAREAS'!AK37,80&lt;'EDT Y TAREAS'!AL37),'EDT Y TAREAS'!AF37/'EDT Y TAREAS'!M37,0),IF(AND(80&gt;='EDT Y TAREAS'!AK39,80&lt;'EDT Y TAREAS'!AL39),'EDT Y TAREAS'!AF39/'EDT Y TAREAS'!M39,0),IF(AND(80&gt;='EDT Y TAREAS'!AK40,80&lt;'EDT Y TAREAS'!AL40),'EDT Y TAREAS'!AF40/'EDT Y TAREAS'!M40,0),IF(AND(80&gt;='EDT Y TAREAS'!AK42,80&lt;'EDT Y TAREAS'!AL42),'EDT Y TAREAS'!AF42/'EDT Y TAREAS'!M42,0),IF(AND(80&gt;='EDT Y TAREAS'!AK45,80&lt;'EDT Y TAREAS'!AL45),'EDT Y TAREAS'!AF45/'EDT Y TAREAS'!M45,0),IF(AND(80&gt;='EDT Y TAREAS'!AK49,80&lt;'EDT Y TAREAS'!AL49),'EDT Y TAREAS'!AF49/'EDT Y TAREAS'!M49,0),IF(AND(80&gt;='EDT Y TAREAS'!AK52,80&lt;'EDT Y TAREAS'!AL52),'EDT Y TAREAS'!AF52/'EDT Y TAREAS'!M52,0))</x:f>
        <x:v>5.6</x:v>
      </x:c>
      <x:c r="E120" s="35" t="n">
        <x:f>SUM(IF(AND(80&gt;='EDT Y TAREAS'!AK29,80&lt;'EDT Y TAREAS'!AL29),'EDT Y TAREAS'!AG29/'EDT Y TAREAS'!M29,0),IF(AND(80&gt;='EDT Y TAREAS'!AK30,80&lt;'EDT Y TAREAS'!AL30),'EDT Y TAREAS'!AG30/'EDT Y TAREAS'!M30,0),IF(AND(80&gt;='EDT Y TAREAS'!AK31,80&lt;'EDT Y TAREAS'!AL31),'EDT Y TAREAS'!AG31/'EDT Y TAREAS'!M31,0),IF(AND(80&gt;='EDT Y TAREAS'!AK32,80&lt;'EDT Y TAREAS'!AL32),'EDT Y TAREAS'!AG32/'EDT Y TAREAS'!M32,0),IF(AND(80&gt;='EDT Y TAREAS'!AK41,80&lt;'EDT Y TAREAS'!AL41),'EDT Y TAREAS'!AG41/'EDT Y TAREAS'!M41,0),IF(AND(80&gt;='EDT Y TAREAS'!AK45,80&lt;'EDT Y TAREAS'!AL45),'EDT Y TAREAS'!AG45/'EDT Y TAREAS'!M45,0),IF(AND(80&gt;='EDT Y TAREAS'!AK48,80&lt;'EDT Y TAREAS'!AL48),'EDT Y TAREAS'!AG48/'EDT Y TAREAS'!M48,0))</x:f>
        <x:v>4.8</x:v>
      </x:c>
      <x:c r="F120" s="35" t="n">
        <x:f>SUM(IF(AND(80&gt;='EDT Y TAREAS'!AK10,80&lt;'EDT Y TAREAS'!AL10),'EDT Y TAREAS'!AH10/'EDT Y TAREAS'!M10,0),IF(AND(80&gt;='EDT Y TAREAS'!AK12,80&lt;'EDT Y TAREAS'!AL12),'EDT Y TAREAS'!AH12/'EDT Y TAREAS'!M12,0),IF(AND(80&gt;='EDT Y TAREAS'!AK22,80&lt;'EDT Y TAREAS'!AL22),'EDT Y TAREAS'!AH22/'EDT Y TAREAS'!M22,0),IF(AND(80&gt;='EDT Y TAREAS'!AK23,80&lt;'EDT Y TAREAS'!AL23),'EDT Y TAREAS'!AH23/'EDT Y TAREAS'!M23,0),IF(AND(80&gt;='EDT Y TAREAS'!AK29,80&lt;'EDT Y TAREAS'!AL29),'EDT Y TAREAS'!AH29/'EDT Y TAREAS'!M29,0),IF(AND(80&gt;='EDT Y TAREAS'!AK30,80&lt;'EDT Y TAREAS'!AL30),'EDT Y TAREAS'!AH30/'EDT Y TAREAS'!M30,0),IF(AND(80&gt;='EDT Y TAREAS'!AK32,80&lt;'EDT Y TAREAS'!AL32),'EDT Y TAREAS'!AH32/'EDT Y TAREAS'!M32,0),IF(AND(80&gt;='EDT Y TAREAS'!AK41,80&lt;'EDT Y TAREAS'!AL41),'EDT Y TAREAS'!AH41/'EDT Y TAREAS'!M41,0),IF(AND(80&gt;='EDT Y TAREAS'!AK44,80&lt;'EDT Y TAREAS'!AL44),'EDT Y TAREAS'!AH44/'EDT Y TAREAS'!M44,0),IF(AND(80&gt;='EDT Y TAREAS'!AK46,80&lt;'EDT Y TAREAS'!AL46),'EDT Y TAREAS'!AH46/'EDT Y TAREAS'!M46,0),IF(AND(80&gt;='EDT Y TAREAS'!AK48,80&lt;'EDT Y TAREAS'!AL48),'EDT Y TAREAS'!AH48/'EDT Y TAREAS'!M48,0))</x:f>
        <x:v>0</x:v>
      </x:c>
      <x:c r="G120" s="35" t="n">
        <x:f>SUM(IF(AND(80&gt;='EDT Y TAREAS'!AK20,80&lt;'EDT Y TAREAS'!AL20),'EDT Y TAREAS'!AI20/'EDT Y TAREAS'!M20,0),IF(AND(80&gt;='EDT Y TAREAS'!AK25,80&lt;'EDT Y TAREAS'!AL25),'EDT Y TAREAS'!AI25/'EDT Y TAREAS'!M25,0),IF(AND(80&gt;='EDT Y TAREAS'!AK33,80&lt;'EDT Y TAREAS'!AL33),'EDT Y TAREAS'!AI33/'EDT Y TAREAS'!M33,0),IF(AND(80&gt;='EDT Y TAREAS'!AK34,80&lt;'EDT Y TAREAS'!AL34),'EDT Y TAREAS'!AI34/'EDT Y TAREAS'!M34,0),IF(AND(80&gt;='EDT Y TAREAS'!AK36,80&lt;'EDT Y TAREAS'!AL36),'EDT Y TAREAS'!AI36/'EDT Y TAREAS'!M36,0),IF(AND(80&gt;='EDT Y TAREAS'!AK39,80&lt;'EDT Y TAREAS'!AL39),'EDT Y TAREAS'!AI39/'EDT Y TAREAS'!M39,0),IF(AND(80&gt;='EDT Y TAREAS'!AK40,80&lt;'EDT Y TAREAS'!AL40),'EDT Y TAREAS'!AI40/'EDT Y TAREAS'!M40,0),IF(AND(80&gt;='EDT Y TAREAS'!AK42,80&lt;'EDT Y TAREAS'!AL42),'EDT Y TAREAS'!AI42/'EDT Y TAREAS'!M42,0),IF(AND(80&gt;='EDT Y TAREAS'!AK43,80&lt;'EDT Y TAREAS'!AL43),'EDT Y TAREAS'!AI43/'EDT Y TAREAS'!M43,0),IF(AND(80&gt;='EDT Y TAREAS'!AK44,80&lt;'EDT Y TAREAS'!AL44),'EDT Y TAREAS'!AI44/'EDT Y TAREAS'!M44,0),IF(AND(80&gt;='EDT Y TAREAS'!AK45,80&lt;'EDT Y TAREAS'!AL45),'EDT Y TAREAS'!AI45/'EDT Y TAREAS'!M45,0),IF(AND(80&gt;='EDT Y TAREAS'!AK46,80&lt;'EDT Y TAREAS'!AL46),'EDT Y TAREAS'!AI46/'EDT Y TAREAS'!M46,0),IF(AND(80&gt;='EDT Y TAREAS'!AK48,80&lt;'EDT Y TAREAS'!AL48),'EDT Y TAREAS'!AI48/'EDT Y TAREAS'!M48,0),IF(AND(80&gt;='EDT Y TAREAS'!AK50,80&lt;'EDT Y TAREAS'!AL50),'EDT Y TAREAS'!AI50/'EDT Y TAREAS'!M50,0),IF(AND(80&gt;='EDT Y TAREAS'!AK52,80&lt;'EDT Y TAREAS'!AL52),'EDT Y TAREAS'!AI52/'EDT Y TAREAS'!M52,0))</x:f>
        <x:v>0</x:v>
      </x:c>
      <x:c r="H120" s="35" t="n">
        <x:f>SUM(IF(AND(80&gt;='EDT Y TAREAS'!AK11,80&lt;'EDT Y TAREAS'!AL11),'EDT Y TAREAS'!AJ11/'EDT Y TAREAS'!M11,0),IF(AND(80&gt;='EDT Y TAREAS'!AK24,80&lt;'EDT Y TAREAS'!AL24),'EDT Y TAREAS'!AJ24/'EDT Y TAREAS'!M24,0),IF(AND(80&gt;='EDT Y TAREAS'!AK27,80&lt;'EDT Y TAREAS'!AL27),'EDT Y TAREAS'!AJ27/'EDT Y TAREAS'!M27,0),IF(AND(80&gt;='EDT Y TAREAS'!AK28,80&lt;'EDT Y TAREAS'!AL28),'EDT Y TAREAS'!AJ28/'EDT Y TAREAS'!M28,0),IF(AND(80&gt;='EDT Y TAREAS'!AK33,80&lt;'EDT Y TAREAS'!AL33),'EDT Y TAREAS'!AJ33/'EDT Y TAREAS'!M33,0),IF(AND(80&gt;='EDT Y TAREAS'!AK35,80&lt;'EDT Y TAREAS'!AL35),'EDT Y TAREAS'!AJ35/'EDT Y TAREAS'!M35,0),IF(AND(80&gt;='EDT Y TAREAS'!AK36,80&lt;'EDT Y TAREAS'!AL36),'EDT Y TAREAS'!AJ36/'EDT Y TAREAS'!M36,0),IF(AND(80&gt;='EDT Y TAREAS'!AK37,80&lt;'EDT Y TAREAS'!AL37),'EDT Y TAREAS'!AJ37/'EDT Y TAREAS'!M37,0),IF(AND(80&gt;='EDT Y TAREAS'!AK40,80&lt;'EDT Y TAREAS'!AL40),'EDT Y TAREAS'!AJ40/'EDT Y TAREAS'!M40,0),IF(AND(80&gt;='EDT Y TAREAS'!AK42,80&lt;'EDT Y TAREAS'!AL42),'EDT Y TAREAS'!AJ42/'EDT Y TAREAS'!M42,0),IF(AND(80&gt;='EDT Y TAREAS'!AK49,80&lt;'EDT Y TAREAS'!AL49),'EDT Y TAREAS'!AJ49/'EDT Y TAREAS'!M49,0),IF(AND(80&gt;='EDT Y TAREAS'!AK50,80&lt;'EDT Y TAREAS'!AL50),'EDT Y TAREAS'!AJ50/'EDT Y TAREAS'!M50,0),IF(AND(80&gt;='EDT Y TAREAS'!AK51,80&lt;'EDT Y TAREAS'!AL51),'EDT Y TAREAS'!AJ51/'EDT Y TAREAS'!M51,0),IF(AND(80&gt;='EDT Y TAREAS'!AK52,80&lt;'EDT Y TAREAS'!AL52),'EDT Y TAREAS'!AJ52/'EDT Y TAREAS'!M52,0))</x:f>
        <x:v>1.6</x:v>
      </x:c>
      <x:c r="I120" s="10" t="n">
        <x:f>WORKDAY('RESUMEN'!$D$3-1,A120,'RESUMEN'!$J$6:$J$25)</x:f>
        <x:v>46440</x:v>
      </x:c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  <x:c r="AO120" s="3"/>
    </x:row>
    <x:row r="121" ht="24" customHeight="1">
      <x:c r="A121" s="3" t="n">
        <x:v>82</x:v>
      </x:c>
      <x:c r="B121" s="35" t="n">
        <x:f>SUM(IF(AND(81&gt;='EDT Y TAREAS'!AK6,81&lt;'EDT Y TAREAS'!AL6),'EDT Y TAREAS'!AD6/'EDT Y TAREAS'!M6,0),IF(AND(81&gt;='EDT Y TAREAS'!AK7,81&lt;'EDT Y TAREAS'!AL7),'EDT Y TAREAS'!AD7/'EDT Y TAREAS'!M7,0),IF(AND(81&gt;='EDT Y TAREAS'!AK8,81&lt;'EDT Y TAREAS'!AL8),'EDT Y TAREAS'!AD8/'EDT Y TAREAS'!M8,0),IF(AND(81&gt;='EDT Y TAREAS'!AK9,81&lt;'EDT Y TAREAS'!AL9),'EDT Y TAREAS'!AD9/'EDT Y TAREAS'!M9,0),IF(AND(81&gt;='EDT Y TAREAS'!AK10,81&lt;'EDT Y TAREAS'!AL10),'EDT Y TAREAS'!AD10/'EDT Y TAREAS'!M10,0),IF(AND(81&gt;='EDT Y TAREAS'!AK11,81&lt;'EDT Y TAREAS'!AL11),'EDT Y TAREAS'!AD11/'EDT Y TAREAS'!M11,0),IF(AND(81&gt;='EDT Y TAREAS'!AK12,81&lt;'EDT Y TAREAS'!AL12),'EDT Y TAREAS'!AD12/'EDT Y TAREAS'!M12,0),IF(AND(81&gt;='EDT Y TAREAS'!AK13,81&lt;'EDT Y TAREAS'!AL13),'EDT Y TAREAS'!AD13/'EDT Y TAREAS'!M13,0),IF(AND(81&gt;='EDT Y TAREAS'!AK14,81&lt;'EDT Y TAREAS'!AL14),'EDT Y TAREAS'!AD14/'EDT Y TAREAS'!M14,0),IF(AND(81&gt;='EDT Y TAREAS'!AK15,81&lt;'EDT Y TAREAS'!AL15),'EDT Y TAREAS'!AD15/'EDT Y TAREAS'!M15,0),IF(AND(81&gt;='EDT Y TAREAS'!AK16,81&lt;'EDT Y TAREAS'!AL16),'EDT Y TAREAS'!AD16/'EDT Y TAREAS'!M16,0),IF(AND(81&gt;='EDT Y TAREAS'!AK17,81&lt;'EDT Y TAREAS'!AL17),'EDT Y TAREAS'!AD17/'EDT Y TAREAS'!M17,0),IF(AND(81&gt;='EDT Y TAREAS'!AK18,81&lt;'EDT Y TAREAS'!AL18),'EDT Y TAREAS'!AD18/'EDT Y TAREAS'!M18,0),IF(AND(81&gt;='EDT Y TAREAS'!AK19,81&lt;'EDT Y TAREAS'!AL19),'EDT Y TAREAS'!AD19/'EDT Y TAREAS'!M19,0),IF(AND(81&gt;='EDT Y TAREAS'!AK20,81&lt;'EDT Y TAREAS'!AL20),'EDT Y TAREAS'!AD20/'EDT Y TAREAS'!M20,0),IF(AND(81&gt;='EDT Y TAREAS'!AK21,81&lt;'EDT Y TAREAS'!AL21),'EDT Y TAREAS'!AD21/'EDT Y TAREAS'!M21,0),IF(AND(81&gt;='EDT Y TAREAS'!AK22,81&lt;'EDT Y TAREAS'!AL22),'EDT Y TAREAS'!AD22/'EDT Y TAREAS'!M22,0),IF(AND(81&gt;='EDT Y TAREAS'!AK23,81&lt;'EDT Y TAREAS'!AL23),'EDT Y TAREAS'!AD23/'EDT Y TAREAS'!M23,0),IF(AND(81&gt;='EDT Y TAREAS'!AK26,81&lt;'EDT Y TAREAS'!AL26),'EDT Y TAREAS'!AD26/'EDT Y TAREAS'!M26,0),IF(AND(81&gt;='EDT Y TAREAS'!AK28,81&lt;'EDT Y TAREAS'!AL28),'EDT Y TAREAS'!AD28/'EDT Y TAREAS'!M28,0),IF(AND(81&gt;='EDT Y TAREAS'!AK30,81&lt;'EDT Y TAREAS'!AL30),'EDT Y TAREAS'!AD30/'EDT Y TAREAS'!M30,0),IF(AND(81&gt;='EDT Y TAREAS'!AK32,81&lt;'EDT Y TAREAS'!AL32),'EDT Y TAREAS'!AD32/'EDT Y TAREAS'!M32,0),IF(AND(81&gt;='EDT Y TAREAS'!AK34,81&lt;'EDT Y TAREAS'!AL34),'EDT Y TAREAS'!AD34/'EDT Y TAREAS'!M34,0),IF(AND(81&gt;='EDT Y TAREAS'!AK38,81&lt;'EDT Y TAREAS'!AL38),'EDT Y TAREAS'!AD38/'EDT Y TAREAS'!M38,0),IF(AND(81&gt;='EDT Y TAREAS'!AK39,81&lt;'EDT Y TAREAS'!AL39),'EDT Y TAREAS'!AD39/'EDT Y TAREAS'!M39,0),IF(AND(81&gt;='EDT Y TAREAS'!AK43,81&lt;'EDT Y TAREAS'!AL43),'EDT Y TAREAS'!AD43/'EDT Y TAREAS'!M43,0),IF(AND(81&gt;='EDT Y TAREAS'!AK44,81&lt;'EDT Y TAREAS'!AL44),'EDT Y TAREAS'!AD44/'EDT Y TAREAS'!M44,0),IF(AND(81&gt;='EDT Y TAREAS'!AK45,81&lt;'EDT Y TAREAS'!AL45),'EDT Y TAREAS'!AD45/'EDT Y TAREAS'!M45,0),IF(AND(81&gt;='EDT Y TAREAS'!AK46,81&lt;'EDT Y TAREAS'!AL46),'EDT Y TAREAS'!AD46/'EDT Y TAREAS'!M46,0),IF(AND(81&gt;='EDT Y TAREAS'!AK47,81&lt;'EDT Y TAREAS'!AL47),'EDT Y TAREAS'!AD47/'EDT Y TAREAS'!M47,0),IF(AND(81&gt;='EDT Y TAREAS'!AK49,81&lt;'EDT Y TAREAS'!AL49),'EDT Y TAREAS'!AD49/'EDT Y TAREAS'!M49,0),IF(AND(81&gt;='EDT Y TAREAS'!AK50,81&lt;'EDT Y TAREAS'!AL50),'EDT Y TAREAS'!AD50/'EDT Y TAREAS'!M50,0),IF(AND(81&gt;='EDT Y TAREAS'!AK51,81&lt;'EDT Y TAREAS'!AL51),'EDT Y TAREAS'!AD51/'EDT Y TAREAS'!M51,0),IF(AND(81&gt;='EDT Y TAREAS'!AK52,81&lt;'EDT Y TAREAS'!AL52),'EDT Y TAREAS'!AD52/'EDT Y TAREAS'!M52,0))</x:f>
        <x:v>5.2</x:v>
      </x:c>
      <x:c r="C121" s="35" t="n">
        <x:f>SUM(IF(AND(81&gt;='EDT Y TAREAS'!AK6,81&lt;'EDT Y TAREAS'!AL6),'EDT Y TAREAS'!AE6/'EDT Y TAREAS'!M6,0),IF(AND(81&gt;='EDT Y TAREAS'!AK8,81&lt;'EDT Y TAREAS'!AL8),'EDT Y TAREAS'!AE8/'EDT Y TAREAS'!M8,0),IF(AND(81&gt;='EDT Y TAREAS'!AK9,81&lt;'EDT Y TAREAS'!AL9),'EDT Y TAREAS'!AE9/'EDT Y TAREAS'!M9,0),IF(AND(81&gt;='EDT Y TAREAS'!AK10,81&lt;'EDT Y TAREAS'!AL10),'EDT Y TAREAS'!AE10/'EDT Y TAREAS'!M10,0),IF(AND(81&gt;='EDT Y TAREAS'!AK12,81&lt;'EDT Y TAREAS'!AL12),'EDT Y TAREAS'!AE12/'EDT Y TAREAS'!M12,0),IF(AND(81&gt;='EDT Y TAREAS'!AK16,81&lt;'EDT Y TAREAS'!AL16),'EDT Y TAREAS'!AE16/'EDT Y TAREAS'!M16,0),IF(AND(81&gt;='EDT Y TAREAS'!AK21,81&lt;'EDT Y TAREAS'!AL21),'EDT Y TAREAS'!AE21/'EDT Y TAREAS'!M21,0),IF(AND(81&gt;='EDT Y TAREAS'!AK23,81&lt;'EDT Y TAREAS'!AL23),'EDT Y TAREAS'!AE23/'EDT Y TAREAS'!M23,0),IF(AND(81&gt;='EDT Y TAREAS'!AK37,81&lt;'EDT Y TAREAS'!AL37),'EDT Y TAREAS'!AE37/'EDT Y TAREAS'!M37,0),IF(AND(81&gt;='EDT Y TAREAS'!AK38,81&lt;'EDT Y TAREAS'!AL38),'EDT Y TAREAS'!AE38/'EDT Y TAREAS'!M38,0),IF(AND(81&gt;='EDT Y TAREAS'!AK41,81&lt;'EDT Y TAREAS'!AL41),'EDT Y TAREAS'!AE41/'EDT Y TAREAS'!M41,0),IF(AND(81&gt;='EDT Y TAREAS'!AK43,81&lt;'EDT Y TAREAS'!AL43),'EDT Y TAREAS'!AE43/'EDT Y TAREAS'!M43,0),IF(AND(81&gt;='EDT Y TAREAS'!AK44,81&lt;'EDT Y TAREAS'!AL44),'EDT Y TAREAS'!AE44/'EDT Y TAREAS'!M44,0),IF(AND(81&gt;='EDT Y TAREAS'!AK46,81&lt;'EDT Y TAREAS'!AL46),'EDT Y TAREAS'!AE46/'EDT Y TAREAS'!M46,0),IF(AND(81&gt;='EDT Y TAREAS'!AK47,81&lt;'EDT Y TAREAS'!AL47),'EDT Y TAREAS'!AE47/'EDT Y TAREAS'!M47,0),IF(AND(81&gt;='EDT Y TAREAS'!AK51,81&lt;'EDT Y TAREAS'!AL51),'EDT Y TAREAS'!AE51/'EDT Y TAREAS'!M51,0),IF(AND(81&gt;='EDT Y TAREAS'!AK52,81&lt;'EDT Y TAREAS'!AL52),'EDT Y TAREAS'!AE52/'EDT Y TAREAS'!M52,0))</x:f>
        <x:v>0</x:v>
      </x:c>
      <x:c r="D121" s="35" t="n">
        <x:f>SUM(IF(AND(81&gt;='EDT Y TAREAS'!AK11,81&lt;'EDT Y TAREAS'!AL11),'EDT Y TAREAS'!AF11/'EDT Y TAREAS'!M11,0),IF(AND(81&gt;='EDT Y TAREAS'!AK24,81&lt;'EDT Y TAREAS'!AL24),'EDT Y TAREAS'!AF24/'EDT Y TAREAS'!M24,0),IF(AND(81&gt;='EDT Y TAREAS'!AK25,81&lt;'EDT Y TAREAS'!AL25),'EDT Y TAREAS'!AF25/'EDT Y TAREAS'!M25,0),IF(AND(81&gt;='EDT Y TAREAS'!AK26,81&lt;'EDT Y TAREAS'!AL26),'EDT Y TAREAS'!AF26/'EDT Y TAREAS'!M26,0),IF(AND(81&gt;='EDT Y TAREAS'!AK27,81&lt;'EDT Y TAREAS'!AL27),'EDT Y TAREAS'!AF27/'EDT Y TAREAS'!M27,0),IF(AND(81&gt;='EDT Y TAREAS'!AK28,81&lt;'EDT Y TAREAS'!AL28),'EDT Y TAREAS'!AF28/'EDT Y TAREAS'!M28,0),IF(AND(81&gt;='EDT Y TAREAS'!AK31,81&lt;'EDT Y TAREAS'!AL31),'EDT Y TAREAS'!AF31/'EDT Y TAREAS'!M31,0),IF(AND(81&gt;='EDT Y TAREAS'!AK33,81&lt;'EDT Y TAREAS'!AL33),'EDT Y TAREAS'!AF33/'EDT Y TAREAS'!M33,0),IF(AND(81&gt;='EDT Y TAREAS'!AK34,81&lt;'EDT Y TAREAS'!AL34),'EDT Y TAREAS'!AF34/'EDT Y TAREAS'!M34,0),IF(AND(81&gt;='EDT Y TAREAS'!AK35,81&lt;'EDT Y TAREAS'!AL35),'EDT Y TAREAS'!AF35/'EDT Y TAREAS'!M35,0),IF(AND(81&gt;='EDT Y TAREAS'!AK37,81&lt;'EDT Y TAREAS'!AL37),'EDT Y TAREAS'!AF37/'EDT Y TAREAS'!M37,0),IF(AND(81&gt;='EDT Y TAREAS'!AK39,81&lt;'EDT Y TAREAS'!AL39),'EDT Y TAREAS'!AF39/'EDT Y TAREAS'!M39,0),IF(AND(81&gt;='EDT Y TAREAS'!AK40,81&lt;'EDT Y TAREAS'!AL40),'EDT Y TAREAS'!AF40/'EDT Y TAREAS'!M40,0),IF(AND(81&gt;='EDT Y TAREAS'!AK42,81&lt;'EDT Y TAREAS'!AL42),'EDT Y TAREAS'!AF42/'EDT Y TAREAS'!M42,0),IF(AND(81&gt;='EDT Y TAREAS'!AK45,81&lt;'EDT Y TAREAS'!AL45),'EDT Y TAREAS'!AF45/'EDT Y TAREAS'!M45,0),IF(AND(81&gt;='EDT Y TAREAS'!AK49,81&lt;'EDT Y TAREAS'!AL49),'EDT Y TAREAS'!AF49/'EDT Y TAREAS'!M49,0),IF(AND(81&gt;='EDT Y TAREAS'!AK52,81&lt;'EDT Y TAREAS'!AL52),'EDT Y TAREAS'!AF52/'EDT Y TAREAS'!M52,0))</x:f>
        <x:v>0</x:v>
      </x:c>
      <x:c r="E121" s="35" t="n">
        <x:f>SUM(IF(AND(81&gt;='EDT Y TAREAS'!AK29,81&lt;'EDT Y TAREAS'!AL29),'EDT Y TAREAS'!AG29/'EDT Y TAREAS'!M29,0),IF(AND(81&gt;='EDT Y TAREAS'!AK30,81&lt;'EDT Y TAREAS'!AL30),'EDT Y TAREAS'!AG30/'EDT Y TAREAS'!M30,0),IF(AND(81&gt;='EDT Y TAREAS'!AK31,81&lt;'EDT Y TAREAS'!AL31),'EDT Y TAREAS'!AG31/'EDT Y TAREAS'!M31,0),IF(AND(81&gt;='EDT Y TAREAS'!AK32,81&lt;'EDT Y TAREAS'!AL32),'EDT Y TAREAS'!AG32/'EDT Y TAREAS'!M32,0),IF(AND(81&gt;='EDT Y TAREAS'!AK41,81&lt;'EDT Y TAREAS'!AL41),'EDT Y TAREAS'!AG41/'EDT Y TAREAS'!M41,0),IF(AND(81&gt;='EDT Y TAREAS'!AK45,81&lt;'EDT Y TAREAS'!AL45),'EDT Y TAREAS'!AG45/'EDT Y TAREAS'!M45,0),IF(AND(81&gt;='EDT Y TAREAS'!AK48,81&lt;'EDT Y TAREAS'!AL48),'EDT Y TAREAS'!AG48/'EDT Y TAREAS'!M48,0))</x:f>
        <x:v>5.6</x:v>
      </x:c>
      <x:c r="F121" s="35" t="n">
        <x:f>SUM(IF(AND(81&gt;='EDT Y TAREAS'!AK10,81&lt;'EDT Y TAREAS'!AL10),'EDT Y TAREAS'!AH10/'EDT Y TAREAS'!M10,0),IF(AND(81&gt;='EDT Y TAREAS'!AK12,81&lt;'EDT Y TAREAS'!AL12),'EDT Y TAREAS'!AH12/'EDT Y TAREAS'!M12,0),IF(AND(81&gt;='EDT Y TAREAS'!AK22,81&lt;'EDT Y TAREAS'!AL22),'EDT Y TAREAS'!AH22/'EDT Y TAREAS'!M22,0),IF(AND(81&gt;='EDT Y TAREAS'!AK23,81&lt;'EDT Y TAREAS'!AL23),'EDT Y TAREAS'!AH23/'EDT Y TAREAS'!M23,0),IF(AND(81&gt;='EDT Y TAREAS'!AK29,81&lt;'EDT Y TAREAS'!AL29),'EDT Y TAREAS'!AH29/'EDT Y TAREAS'!M29,0),IF(AND(81&gt;='EDT Y TAREAS'!AK30,81&lt;'EDT Y TAREAS'!AL30),'EDT Y TAREAS'!AH30/'EDT Y TAREAS'!M30,0),IF(AND(81&gt;='EDT Y TAREAS'!AK32,81&lt;'EDT Y TAREAS'!AL32),'EDT Y TAREAS'!AH32/'EDT Y TAREAS'!M32,0),IF(AND(81&gt;='EDT Y TAREAS'!AK41,81&lt;'EDT Y TAREAS'!AL41),'EDT Y TAREAS'!AH41/'EDT Y TAREAS'!M41,0),IF(AND(81&gt;='EDT Y TAREAS'!AK44,81&lt;'EDT Y TAREAS'!AL44),'EDT Y TAREAS'!AH44/'EDT Y TAREAS'!M44,0),IF(AND(81&gt;='EDT Y TAREAS'!AK46,81&lt;'EDT Y TAREAS'!AL46),'EDT Y TAREAS'!AH46/'EDT Y TAREAS'!M46,0),IF(AND(81&gt;='EDT Y TAREAS'!AK48,81&lt;'EDT Y TAREAS'!AL48),'EDT Y TAREAS'!AH48/'EDT Y TAREAS'!M48,0))</x:f>
        <x:v>0.8</x:v>
      </x:c>
      <x:c r="G121" s="35" t="n">
        <x:f>SUM(IF(AND(81&gt;='EDT Y TAREAS'!AK20,81&lt;'EDT Y TAREAS'!AL20),'EDT Y TAREAS'!AI20/'EDT Y TAREAS'!M20,0),IF(AND(81&gt;='EDT Y TAREAS'!AK25,81&lt;'EDT Y TAREAS'!AL25),'EDT Y TAREAS'!AI25/'EDT Y TAREAS'!M25,0),IF(AND(81&gt;='EDT Y TAREAS'!AK33,81&lt;'EDT Y TAREAS'!AL33),'EDT Y TAREAS'!AI33/'EDT Y TAREAS'!M33,0),IF(AND(81&gt;='EDT Y TAREAS'!AK34,81&lt;'EDT Y TAREAS'!AL34),'EDT Y TAREAS'!AI34/'EDT Y TAREAS'!M34,0),IF(AND(81&gt;='EDT Y TAREAS'!AK36,81&lt;'EDT Y TAREAS'!AL36),'EDT Y TAREAS'!AI36/'EDT Y TAREAS'!M36,0),IF(AND(81&gt;='EDT Y TAREAS'!AK39,81&lt;'EDT Y TAREAS'!AL39),'EDT Y TAREAS'!AI39/'EDT Y TAREAS'!M39,0),IF(AND(81&gt;='EDT Y TAREAS'!AK40,81&lt;'EDT Y TAREAS'!AL40),'EDT Y TAREAS'!AI40/'EDT Y TAREAS'!M40,0),IF(AND(81&gt;='EDT Y TAREAS'!AK42,81&lt;'EDT Y TAREAS'!AL42),'EDT Y TAREAS'!AI42/'EDT Y TAREAS'!M42,0),IF(AND(81&gt;='EDT Y TAREAS'!AK43,81&lt;'EDT Y TAREAS'!AL43),'EDT Y TAREAS'!AI43/'EDT Y TAREAS'!M43,0),IF(AND(81&gt;='EDT Y TAREAS'!AK44,81&lt;'EDT Y TAREAS'!AL44),'EDT Y TAREAS'!AI44/'EDT Y TAREAS'!M44,0),IF(AND(81&gt;='EDT Y TAREAS'!AK45,81&lt;'EDT Y TAREAS'!AL45),'EDT Y TAREAS'!AI45/'EDT Y TAREAS'!M45,0),IF(AND(81&gt;='EDT Y TAREAS'!AK46,81&lt;'EDT Y TAREAS'!AL46),'EDT Y TAREAS'!AI46/'EDT Y TAREAS'!M46,0),IF(AND(81&gt;='EDT Y TAREAS'!AK48,81&lt;'EDT Y TAREAS'!AL48),'EDT Y TAREAS'!AI48/'EDT Y TAREAS'!M48,0),IF(AND(81&gt;='EDT Y TAREAS'!AK50,81&lt;'EDT Y TAREAS'!AL50),'EDT Y TAREAS'!AI50/'EDT Y TAREAS'!M50,0),IF(AND(81&gt;='EDT Y TAREAS'!AK52,81&lt;'EDT Y TAREAS'!AL52),'EDT Y TAREAS'!AI52/'EDT Y TAREAS'!M52,0))</x:f>
        <x:v>0</x:v>
      </x:c>
      <x:c r="H121" s="35" t="n">
        <x:f>SUM(IF(AND(81&gt;='EDT Y TAREAS'!AK11,81&lt;'EDT Y TAREAS'!AL11),'EDT Y TAREAS'!AJ11/'EDT Y TAREAS'!M11,0),IF(AND(81&gt;='EDT Y TAREAS'!AK24,81&lt;'EDT Y TAREAS'!AL24),'EDT Y TAREAS'!AJ24/'EDT Y TAREAS'!M24,0),IF(AND(81&gt;='EDT Y TAREAS'!AK27,81&lt;'EDT Y TAREAS'!AL27),'EDT Y TAREAS'!AJ27/'EDT Y TAREAS'!M27,0),IF(AND(81&gt;='EDT Y TAREAS'!AK28,81&lt;'EDT Y TAREAS'!AL28),'EDT Y TAREAS'!AJ28/'EDT Y TAREAS'!M28,0),IF(AND(81&gt;='EDT Y TAREAS'!AK33,81&lt;'EDT Y TAREAS'!AL33),'EDT Y TAREAS'!AJ33/'EDT Y TAREAS'!M33,0),IF(AND(81&gt;='EDT Y TAREAS'!AK35,81&lt;'EDT Y TAREAS'!AL35),'EDT Y TAREAS'!AJ35/'EDT Y TAREAS'!M35,0),IF(AND(81&gt;='EDT Y TAREAS'!AK36,81&lt;'EDT Y TAREAS'!AL36),'EDT Y TAREAS'!AJ36/'EDT Y TAREAS'!M36,0),IF(AND(81&gt;='EDT Y TAREAS'!AK37,81&lt;'EDT Y TAREAS'!AL37),'EDT Y TAREAS'!AJ37/'EDT Y TAREAS'!M37,0),IF(AND(81&gt;='EDT Y TAREAS'!AK40,81&lt;'EDT Y TAREAS'!AL40),'EDT Y TAREAS'!AJ40/'EDT Y TAREAS'!M40,0),IF(AND(81&gt;='EDT Y TAREAS'!AK42,81&lt;'EDT Y TAREAS'!AL42),'EDT Y TAREAS'!AJ42/'EDT Y TAREAS'!M42,0),IF(AND(81&gt;='EDT Y TAREAS'!AK49,81&lt;'EDT Y TAREAS'!AL49),'EDT Y TAREAS'!AJ49/'EDT Y TAREAS'!M49,0),IF(AND(81&gt;='EDT Y TAREAS'!AK50,81&lt;'EDT Y TAREAS'!AL50),'EDT Y TAREAS'!AJ50/'EDT Y TAREAS'!M50,0),IF(AND(81&gt;='EDT Y TAREAS'!AK51,81&lt;'EDT Y TAREAS'!AL51),'EDT Y TAREAS'!AJ51/'EDT Y TAREAS'!M51,0),IF(AND(81&gt;='EDT Y TAREAS'!AK52,81&lt;'EDT Y TAREAS'!AL52),'EDT Y TAREAS'!AJ52/'EDT Y TAREAS'!M52,0))</x:f>
        <x:v>0</x:v>
      </x:c>
      <x:c r="I121" s="10" t="n">
        <x:f>WORKDAY('RESUMEN'!$D$3-1,A121,'RESUMEN'!$J$6:$J$25)</x:f>
        <x:v>46441</x:v>
      </x:c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  <x:c r="AM121" s="3"/>
      <x:c r="AN121" s="3"/>
      <x:c r="AO121" s="3"/>
    </x:row>
    <x:row r="122" ht="24" customHeight="1">
      <x:c r="A122" s="3" t="n">
        <x:v>83</x:v>
      </x:c>
      <x:c r="B122" s="35" t="n">
        <x:f>SUM(IF(AND(82&gt;='EDT Y TAREAS'!AK6,82&lt;'EDT Y TAREAS'!AL6),'EDT Y TAREAS'!AD6/'EDT Y TAREAS'!M6,0),IF(AND(82&gt;='EDT Y TAREAS'!AK7,82&lt;'EDT Y TAREAS'!AL7),'EDT Y TAREAS'!AD7/'EDT Y TAREAS'!M7,0),IF(AND(82&gt;='EDT Y TAREAS'!AK8,82&lt;'EDT Y TAREAS'!AL8),'EDT Y TAREAS'!AD8/'EDT Y TAREAS'!M8,0),IF(AND(82&gt;='EDT Y TAREAS'!AK9,82&lt;'EDT Y TAREAS'!AL9),'EDT Y TAREAS'!AD9/'EDT Y TAREAS'!M9,0),IF(AND(82&gt;='EDT Y TAREAS'!AK10,82&lt;'EDT Y TAREAS'!AL10),'EDT Y TAREAS'!AD10/'EDT Y TAREAS'!M10,0),IF(AND(82&gt;='EDT Y TAREAS'!AK11,82&lt;'EDT Y TAREAS'!AL11),'EDT Y TAREAS'!AD11/'EDT Y TAREAS'!M11,0),IF(AND(82&gt;='EDT Y TAREAS'!AK12,82&lt;'EDT Y TAREAS'!AL12),'EDT Y TAREAS'!AD12/'EDT Y TAREAS'!M12,0),IF(AND(82&gt;='EDT Y TAREAS'!AK13,82&lt;'EDT Y TAREAS'!AL13),'EDT Y TAREAS'!AD13/'EDT Y TAREAS'!M13,0),IF(AND(82&gt;='EDT Y TAREAS'!AK14,82&lt;'EDT Y TAREAS'!AL14),'EDT Y TAREAS'!AD14/'EDT Y TAREAS'!M14,0),IF(AND(82&gt;='EDT Y TAREAS'!AK15,82&lt;'EDT Y TAREAS'!AL15),'EDT Y TAREAS'!AD15/'EDT Y TAREAS'!M15,0),IF(AND(82&gt;='EDT Y TAREAS'!AK16,82&lt;'EDT Y TAREAS'!AL16),'EDT Y TAREAS'!AD16/'EDT Y TAREAS'!M16,0),IF(AND(82&gt;='EDT Y TAREAS'!AK17,82&lt;'EDT Y TAREAS'!AL17),'EDT Y TAREAS'!AD17/'EDT Y TAREAS'!M17,0),IF(AND(82&gt;='EDT Y TAREAS'!AK18,82&lt;'EDT Y TAREAS'!AL18),'EDT Y TAREAS'!AD18/'EDT Y TAREAS'!M18,0),IF(AND(82&gt;='EDT Y TAREAS'!AK19,82&lt;'EDT Y TAREAS'!AL19),'EDT Y TAREAS'!AD19/'EDT Y TAREAS'!M19,0),IF(AND(82&gt;='EDT Y TAREAS'!AK20,82&lt;'EDT Y TAREAS'!AL20),'EDT Y TAREAS'!AD20/'EDT Y TAREAS'!M20,0),IF(AND(82&gt;='EDT Y TAREAS'!AK21,82&lt;'EDT Y TAREAS'!AL21),'EDT Y TAREAS'!AD21/'EDT Y TAREAS'!M21,0),IF(AND(82&gt;='EDT Y TAREAS'!AK22,82&lt;'EDT Y TAREAS'!AL22),'EDT Y TAREAS'!AD22/'EDT Y TAREAS'!M22,0),IF(AND(82&gt;='EDT Y TAREAS'!AK23,82&lt;'EDT Y TAREAS'!AL23),'EDT Y TAREAS'!AD23/'EDT Y TAREAS'!M23,0),IF(AND(82&gt;='EDT Y TAREAS'!AK26,82&lt;'EDT Y TAREAS'!AL26),'EDT Y TAREAS'!AD26/'EDT Y TAREAS'!M26,0),IF(AND(82&gt;='EDT Y TAREAS'!AK28,82&lt;'EDT Y TAREAS'!AL28),'EDT Y TAREAS'!AD28/'EDT Y TAREAS'!M28,0),IF(AND(82&gt;='EDT Y TAREAS'!AK30,82&lt;'EDT Y TAREAS'!AL30),'EDT Y TAREAS'!AD30/'EDT Y TAREAS'!M30,0),IF(AND(82&gt;='EDT Y TAREAS'!AK32,82&lt;'EDT Y TAREAS'!AL32),'EDT Y TAREAS'!AD32/'EDT Y TAREAS'!M32,0),IF(AND(82&gt;='EDT Y TAREAS'!AK34,82&lt;'EDT Y TAREAS'!AL34),'EDT Y TAREAS'!AD34/'EDT Y TAREAS'!M34,0),IF(AND(82&gt;='EDT Y TAREAS'!AK38,82&lt;'EDT Y TAREAS'!AL38),'EDT Y TAREAS'!AD38/'EDT Y TAREAS'!M38,0),IF(AND(82&gt;='EDT Y TAREAS'!AK39,82&lt;'EDT Y TAREAS'!AL39),'EDT Y TAREAS'!AD39/'EDT Y TAREAS'!M39,0),IF(AND(82&gt;='EDT Y TAREAS'!AK43,82&lt;'EDT Y TAREAS'!AL43),'EDT Y TAREAS'!AD43/'EDT Y TAREAS'!M43,0),IF(AND(82&gt;='EDT Y TAREAS'!AK44,82&lt;'EDT Y TAREAS'!AL44),'EDT Y TAREAS'!AD44/'EDT Y TAREAS'!M44,0),IF(AND(82&gt;='EDT Y TAREAS'!AK45,82&lt;'EDT Y TAREAS'!AL45),'EDT Y TAREAS'!AD45/'EDT Y TAREAS'!M45,0),IF(AND(82&gt;='EDT Y TAREAS'!AK46,82&lt;'EDT Y TAREAS'!AL46),'EDT Y TAREAS'!AD46/'EDT Y TAREAS'!M46,0),IF(AND(82&gt;='EDT Y TAREAS'!AK47,82&lt;'EDT Y TAREAS'!AL47),'EDT Y TAREAS'!AD47/'EDT Y TAREAS'!M47,0),IF(AND(82&gt;='EDT Y TAREAS'!AK49,82&lt;'EDT Y TAREAS'!AL49),'EDT Y TAREAS'!AD49/'EDT Y TAREAS'!M49,0),IF(AND(82&gt;='EDT Y TAREAS'!AK50,82&lt;'EDT Y TAREAS'!AL50),'EDT Y TAREAS'!AD50/'EDT Y TAREAS'!M50,0),IF(AND(82&gt;='EDT Y TAREAS'!AK51,82&lt;'EDT Y TAREAS'!AL51),'EDT Y TAREAS'!AD51/'EDT Y TAREAS'!M51,0),IF(AND(82&gt;='EDT Y TAREAS'!AK52,82&lt;'EDT Y TAREAS'!AL52),'EDT Y TAREAS'!AD52/'EDT Y TAREAS'!M52,0))</x:f>
        <x:v>5.2</x:v>
      </x:c>
      <x:c r="C122" s="35" t="n">
        <x:f>SUM(IF(AND(82&gt;='EDT Y TAREAS'!AK6,82&lt;'EDT Y TAREAS'!AL6),'EDT Y TAREAS'!AE6/'EDT Y TAREAS'!M6,0),IF(AND(82&gt;='EDT Y TAREAS'!AK8,82&lt;'EDT Y TAREAS'!AL8),'EDT Y TAREAS'!AE8/'EDT Y TAREAS'!M8,0),IF(AND(82&gt;='EDT Y TAREAS'!AK9,82&lt;'EDT Y TAREAS'!AL9),'EDT Y TAREAS'!AE9/'EDT Y TAREAS'!M9,0),IF(AND(82&gt;='EDT Y TAREAS'!AK10,82&lt;'EDT Y TAREAS'!AL10),'EDT Y TAREAS'!AE10/'EDT Y TAREAS'!M10,0),IF(AND(82&gt;='EDT Y TAREAS'!AK12,82&lt;'EDT Y TAREAS'!AL12),'EDT Y TAREAS'!AE12/'EDT Y TAREAS'!M12,0),IF(AND(82&gt;='EDT Y TAREAS'!AK16,82&lt;'EDT Y TAREAS'!AL16),'EDT Y TAREAS'!AE16/'EDT Y TAREAS'!M16,0),IF(AND(82&gt;='EDT Y TAREAS'!AK21,82&lt;'EDT Y TAREAS'!AL21),'EDT Y TAREAS'!AE21/'EDT Y TAREAS'!M21,0),IF(AND(82&gt;='EDT Y TAREAS'!AK23,82&lt;'EDT Y TAREAS'!AL23),'EDT Y TAREAS'!AE23/'EDT Y TAREAS'!M23,0),IF(AND(82&gt;='EDT Y TAREAS'!AK37,82&lt;'EDT Y TAREAS'!AL37),'EDT Y TAREAS'!AE37/'EDT Y TAREAS'!M37,0),IF(AND(82&gt;='EDT Y TAREAS'!AK38,82&lt;'EDT Y TAREAS'!AL38),'EDT Y TAREAS'!AE38/'EDT Y TAREAS'!M38,0),IF(AND(82&gt;='EDT Y TAREAS'!AK41,82&lt;'EDT Y TAREAS'!AL41),'EDT Y TAREAS'!AE41/'EDT Y TAREAS'!M41,0),IF(AND(82&gt;='EDT Y TAREAS'!AK43,82&lt;'EDT Y TAREAS'!AL43),'EDT Y TAREAS'!AE43/'EDT Y TAREAS'!M43,0),IF(AND(82&gt;='EDT Y TAREAS'!AK44,82&lt;'EDT Y TAREAS'!AL44),'EDT Y TAREAS'!AE44/'EDT Y TAREAS'!M44,0),IF(AND(82&gt;='EDT Y TAREAS'!AK46,82&lt;'EDT Y TAREAS'!AL46),'EDT Y TAREAS'!AE46/'EDT Y TAREAS'!M46,0),IF(AND(82&gt;='EDT Y TAREAS'!AK47,82&lt;'EDT Y TAREAS'!AL47),'EDT Y TAREAS'!AE47/'EDT Y TAREAS'!M47,0),IF(AND(82&gt;='EDT Y TAREAS'!AK51,82&lt;'EDT Y TAREAS'!AL51),'EDT Y TAREAS'!AE51/'EDT Y TAREAS'!M51,0),IF(AND(82&gt;='EDT Y TAREAS'!AK52,82&lt;'EDT Y TAREAS'!AL52),'EDT Y TAREAS'!AE52/'EDT Y TAREAS'!M52,0))</x:f>
        <x:v>0</x:v>
      </x:c>
      <x:c r="D122" s="35" t="n">
        <x:f>SUM(IF(AND(82&gt;='EDT Y TAREAS'!AK11,82&lt;'EDT Y TAREAS'!AL11),'EDT Y TAREAS'!AF11/'EDT Y TAREAS'!M11,0),IF(AND(82&gt;='EDT Y TAREAS'!AK24,82&lt;'EDT Y TAREAS'!AL24),'EDT Y TAREAS'!AF24/'EDT Y TAREAS'!M24,0),IF(AND(82&gt;='EDT Y TAREAS'!AK25,82&lt;'EDT Y TAREAS'!AL25),'EDT Y TAREAS'!AF25/'EDT Y TAREAS'!M25,0),IF(AND(82&gt;='EDT Y TAREAS'!AK26,82&lt;'EDT Y TAREAS'!AL26),'EDT Y TAREAS'!AF26/'EDT Y TAREAS'!M26,0),IF(AND(82&gt;='EDT Y TAREAS'!AK27,82&lt;'EDT Y TAREAS'!AL27),'EDT Y TAREAS'!AF27/'EDT Y TAREAS'!M27,0),IF(AND(82&gt;='EDT Y TAREAS'!AK28,82&lt;'EDT Y TAREAS'!AL28),'EDT Y TAREAS'!AF28/'EDT Y TAREAS'!M28,0),IF(AND(82&gt;='EDT Y TAREAS'!AK31,82&lt;'EDT Y TAREAS'!AL31),'EDT Y TAREAS'!AF31/'EDT Y TAREAS'!M31,0),IF(AND(82&gt;='EDT Y TAREAS'!AK33,82&lt;'EDT Y TAREAS'!AL33),'EDT Y TAREAS'!AF33/'EDT Y TAREAS'!M33,0),IF(AND(82&gt;='EDT Y TAREAS'!AK34,82&lt;'EDT Y TAREAS'!AL34),'EDT Y TAREAS'!AF34/'EDT Y TAREAS'!M34,0),IF(AND(82&gt;='EDT Y TAREAS'!AK35,82&lt;'EDT Y TAREAS'!AL35),'EDT Y TAREAS'!AF35/'EDT Y TAREAS'!M35,0),IF(AND(82&gt;='EDT Y TAREAS'!AK37,82&lt;'EDT Y TAREAS'!AL37),'EDT Y TAREAS'!AF37/'EDT Y TAREAS'!M37,0),IF(AND(82&gt;='EDT Y TAREAS'!AK39,82&lt;'EDT Y TAREAS'!AL39),'EDT Y TAREAS'!AF39/'EDT Y TAREAS'!M39,0),IF(AND(82&gt;='EDT Y TAREAS'!AK40,82&lt;'EDT Y TAREAS'!AL40),'EDT Y TAREAS'!AF40/'EDT Y TAREAS'!M40,0),IF(AND(82&gt;='EDT Y TAREAS'!AK42,82&lt;'EDT Y TAREAS'!AL42),'EDT Y TAREAS'!AF42/'EDT Y TAREAS'!M42,0),IF(AND(82&gt;='EDT Y TAREAS'!AK45,82&lt;'EDT Y TAREAS'!AL45),'EDT Y TAREAS'!AF45/'EDT Y TAREAS'!M45,0),IF(AND(82&gt;='EDT Y TAREAS'!AK49,82&lt;'EDT Y TAREAS'!AL49),'EDT Y TAREAS'!AF49/'EDT Y TAREAS'!M49,0),IF(AND(82&gt;='EDT Y TAREAS'!AK52,82&lt;'EDT Y TAREAS'!AL52),'EDT Y TAREAS'!AF52/'EDT Y TAREAS'!M52,0))</x:f>
        <x:v>0</x:v>
      </x:c>
      <x:c r="E122" s="35" t="n">
        <x:f>SUM(IF(AND(82&gt;='EDT Y TAREAS'!AK29,82&lt;'EDT Y TAREAS'!AL29),'EDT Y TAREAS'!AG29/'EDT Y TAREAS'!M29,0),IF(AND(82&gt;='EDT Y TAREAS'!AK30,82&lt;'EDT Y TAREAS'!AL30),'EDT Y TAREAS'!AG30/'EDT Y TAREAS'!M30,0),IF(AND(82&gt;='EDT Y TAREAS'!AK31,82&lt;'EDT Y TAREAS'!AL31),'EDT Y TAREAS'!AG31/'EDT Y TAREAS'!M31,0),IF(AND(82&gt;='EDT Y TAREAS'!AK32,82&lt;'EDT Y TAREAS'!AL32),'EDT Y TAREAS'!AG32/'EDT Y TAREAS'!M32,0),IF(AND(82&gt;='EDT Y TAREAS'!AK41,82&lt;'EDT Y TAREAS'!AL41),'EDT Y TAREAS'!AG41/'EDT Y TAREAS'!M41,0),IF(AND(82&gt;='EDT Y TAREAS'!AK45,82&lt;'EDT Y TAREAS'!AL45),'EDT Y TAREAS'!AG45/'EDT Y TAREAS'!M45,0),IF(AND(82&gt;='EDT Y TAREAS'!AK48,82&lt;'EDT Y TAREAS'!AL48),'EDT Y TAREAS'!AG48/'EDT Y TAREAS'!M48,0))</x:f>
        <x:v>5.6</x:v>
      </x:c>
      <x:c r="F122" s="35" t="n">
        <x:f>SUM(IF(AND(82&gt;='EDT Y TAREAS'!AK10,82&lt;'EDT Y TAREAS'!AL10),'EDT Y TAREAS'!AH10/'EDT Y TAREAS'!M10,0),IF(AND(82&gt;='EDT Y TAREAS'!AK12,82&lt;'EDT Y TAREAS'!AL12),'EDT Y TAREAS'!AH12/'EDT Y TAREAS'!M12,0),IF(AND(82&gt;='EDT Y TAREAS'!AK22,82&lt;'EDT Y TAREAS'!AL22),'EDT Y TAREAS'!AH22/'EDT Y TAREAS'!M22,0),IF(AND(82&gt;='EDT Y TAREAS'!AK23,82&lt;'EDT Y TAREAS'!AL23),'EDT Y TAREAS'!AH23/'EDT Y TAREAS'!M23,0),IF(AND(82&gt;='EDT Y TAREAS'!AK29,82&lt;'EDT Y TAREAS'!AL29),'EDT Y TAREAS'!AH29/'EDT Y TAREAS'!M29,0),IF(AND(82&gt;='EDT Y TAREAS'!AK30,82&lt;'EDT Y TAREAS'!AL30),'EDT Y TAREAS'!AH30/'EDT Y TAREAS'!M30,0),IF(AND(82&gt;='EDT Y TAREAS'!AK32,82&lt;'EDT Y TAREAS'!AL32),'EDT Y TAREAS'!AH32/'EDT Y TAREAS'!M32,0),IF(AND(82&gt;='EDT Y TAREAS'!AK41,82&lt;'EDT Y TAREAS'!AL41),'EDT Y TAREAS'!AH41/'EDT Y TAREAS'!M41,0),IF(AND(82&gt;='EDT Y TAREAS'!AK44,82&lt;'EDT Y TAREAS'!AL44),'EDT Y TAREAS'!AH44/'EDT Y TAREAS'!M44,0),IF(AND(82&gt;='EDT Y TAREAS'!AK46,82&lt;'EDT Y TAREAS'!AL46),'EDT Y TAREAS'!AH46/'EDT Y TAREAS'!M46,0),IF(AND(82&gt;='EDT Y TAREAS'!AK48,82&lt;'EDT Y TAREAS'!AL48),'EDT Y TAREAS'!AH48/'EDT Y TAREAS'!M48,0))</x:f>
        <x:v>0.8</x:v>
      </x:c>
      <x:c r="G122" s="35" t="n">
        <x:f>SUM(IF(AND(82&gt;='EDT Y TAREAS'!AK20,82&lt;'EDT Y TAREAS'!AL20),'EDT Y TAREAS'!AI20/'EDT Y TAREAS'!M20,0),IF(AND(82&gt;='EDT Y TAREAS'!AK25,82&lt;'EDT Y TAREAS'!AL25),'EDT Y TAREAS'!AI25/'EDT Y TAREAS'!M25,0),IF(AND(82&gt;='EDT Y TAREAS'!AK33,82&lt;'EDT Y TAREAS'!AL33),'EDT Y TAREAS'!AI33/'EDT Y TAREAS'!M33,0),IF(AND(82&gt;='EDT Y TAREAS'!AK34,82&lt;'EDT Y TAREAS'!AL34),'EDT Y TAREAS'!AI34/'EDT Y TAREAS'!M34,0),IF(AND(82&gt;='EDT Y TAREAS'!AK36,82&lt;'EDT Y TAREAS'!AL36),'EDT Y TAREAS'!AI36/'EDT Y TAREAS'!M36,0),IF(AND(82&gt;='EDT Y TAREAS'!AK39,82&lt;'EDT Y TAREAS'!AL39),'EDT Y TAREAS'!AI39/'EDT Y TAREAS'!M39,0),IF(AND(82&gt;='EDT Y TAREAS'!AK40,82&lt;'EDT Y TAREAS'!AL40),'EDT Y TAREAS'!AI40/'EDT Y TAREAS'!M40,0),IF(AND(82&gt;='EDT Y TAREAS'!AK42,82&lt;'EDT Y TAREAS'!AL42),'EDT Y TAREAS'!AI42/'EDT Y TAREAS'!M42,0),IF(AND(82&gt;='EDT Y TAREAS'!AK43,82&lt;'EDT Y TAREAS'!AL43),'EDT Y TAREAS'!AI43/'EDT Y TAREAS'!M43,0),IF(AND(82&gt;='EDT Y TAREAS'!AK44,82&lt;'EDT Y TAREAS'!AL44),'EDT Y TAREAS'!AI44/'EDT Y TAREAS'!M44,0),IF(AND(82&gt;='EDT Y TAREAS'!AK45,82&lt;'EDT Y TAREAS'!AL45),'EDT Y TAREAS'!AI45/'EDT Y TAREAS'!M45,0),IF(AND(82&gt;='EDT Y TAREAS'!AK46,82&lt;'EDT Y TAREAS'!AL46),'EDT Y TAREAS'!AI46/'EDT Y TAREAS'!M46,0),IF(AND(82&gt;='EDT Y TAREAS'!AK48,82&lt;'EDT Y TAREAS'!AL48),'EDT Y TAREAS'!AI48/'EDT Y TAREAS'!M48,0),IF(AND(82&gt;='EDT Y TAREAS'!AK50,82&lt;'EDT Y TAREAS'!AL50),'EDT Y TAREAS'!AI50/'EDT Y TAREAS'!M50,0),IF(AND(82&gt;='EDT Y TAREAS'!AK52,82&lt;'EDT Y TAREAS'!AL52),'EDT Y TAREAS'!AI52/'EDT Y TAREAS'!M52,0))</x:f>
        <x:v>0</x:v>
      </x:c>
      <x:c r="H122" s="35" t="n">
        <x:f>SUM(IF(AND(82&gt;='EDT Y TAREAS'!AK11,82&lt;'EDT Y TAREAS'!AL11),'EDT Y TAREAS'!AJ11/'EDT Y TAREAS'!M11,0),IF(AND(82&gt;='EDT Y TAREAS'!AK24,82&lt;'EDT Y TAREAS'!AL24),'EDT Y TAREAS'!AJ24/'EDT Y TAREAS'!M24,0),IF(AND(82&gt;='EDT Y TAREAS'!AK27,82&lt;'EDT Y TAREAS'!AL27),'EDT Y TAREAS'!AJ27/'EDT Y TAREAS'!M27,0),IF(AND(82&gt;='EDT Y TAREAS'!AK28,82&lt;'EDT Y TAREAS'!AL28),'EDT Y TAREAS'!AJ28/'EDT Y TAREAS'!M28,0),IF(AND(82&gt;='EDT Y TAREAS'!AK33,82&lt;'EDT Y TAREAS'!AL33),'EDT Y TAREAS'!AJ33/'EDT Y TAREAS'!M33,0),IF(AND(82&gt;='EDT Y TAREAS'!AK35,82&lt;'EDT Y TAREAS'!AL35),'EDT Y TAREAS'!AJ35/'EDT Y TAREAS'!M35,0),IF(AND(82&gt;='EDT Y TAREAS'!AK36,82&lt;'EDT Y TAREAS'!AL36),'EDT Y TAREAS'!AJ36/'EDT Y TAREAS'!M36,0),IF(AND(82&gt;='EDT Y TAREAS'!AK37,82&lt;'EDT Y TAREAS'!AL37),'EDT Y TAREAS'!AJ37/'EDT Y TAREAS'!M37,0),IF(AND(82&gt;='EDT Y TAREAS'!AK40,82&lt;'EDT Y TAREAS'!AL40),'EDT Y TAREAS'!AJ40/'EDT Y TAREAS'!M40,0),IF(AND(82&gt;='EDT Y TAREAS'!AK42,82&lt;'EDT Y TAREAS'!AL42),'EDT Y TAREAS'!AJ42/'EDT Y TAREAS'!M42,0),IF(AND(82&gt;='EDT Y TAREAS'!AK49,82&lt;'EDT Y TAREAS'!AL49),'EDT Y TAREAS'!AJ49/'EDT Y TAREAS'!M49,0),IF(AND(82&gt;='EDT Y TAREAS'!AK50,82&lt;'EDT Y TAREAS'!AL50),'EDT Y TAREAS'!AJ50/'EDT Y TAREAS'!M50,0),IF(AND(82&gt;='EDT Y TAREAS'!AK51,82&lt;'EDT Y TAREAS'!AL51),'EDT Y TAREAS'!AJ51/'EDT Y TAREAS'!M51,0),IF(AND(82&gt;='EDT Y TAREAS'!AK52,82&lt;'EDT Y TAREAS'!AL52),'EDT Y TAREAS'!AJ52/'EDT Y TAREAS'!M52,0))</x:f>
        <x:v>0</x:v>
      </x:c>
      <x:c r="I122" s="10" t="n">
        <x:f>WORKDAY('RESUMEN'!$D$3-1,A122,'RESUMEN'!$J$6:$J$25)</x:f>
        <x:v>46442</x:v>
      </x:c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  <x:c r="AL122" s="3"/>
      <x:c r="AM122" s="3"/>
      <x:c r="AN122" s="3"/>
      <x:c r="AO122" s="3"/>
    </x:row>
    <x:row r="123" ht="24" customHeight="1">
      <x:c r="A123" s="3" t="n">
        <x:v>84</x:v>
      </x:c>
      <x:c r="B123" s="35" t="n">
        <x:f>SUM(IF(AND(83&gt;='EDT Y TAREAS'!AK6,83&lt;'EDT Y TAREAS'!AL6),'EDT Y TAREAS'!AD6/'EDT Y TAREAS'!M6,0),IF(AND(83&gt;='EDT Y TAREAS'!AK7,83&lt;'EDT Y TAREAS'!AL7),'EDT Y TAREAS'!AD7/'EDT Y TAREAS'!M7,0),IF(AND(83&gt;='EDT Y TAREAS'!AK8,83&lt;'EDT Y TAREAS'!AL8),'EDT Y TAREAS'!AD8/'EDT Y TAREAS'!M8,0),IF(AND(83&gt;='EDT Y TAREAS'!AK9,83&lt;'EDT Y TAREAS'!AL9),'EDT Y TAREAS'!AD9/'EDT Y TAREAS'!M9,0),IF(AND(83&gt;='EDT Y TAREAS'!AK10,83&lt;'EDT Y TAREAS'!AL10),'EDT Y TAREAS'!AD10/'EDT Y TAREAS'!M10,0),IF(AND(83&gt;='EDT Y TAREAS'!AK11,83&lt;'EDT Y TAREAS'!AL11),'EDT Y TAREAS'!AD11/'EDT Y TAREAS'!M11,0),IF(AND(83&gt;='EDT Y TAREAS'!AK12,83&lt;'EDT Y TAREAS'!AL12),'EDT Y TAREAS'!AD12/'EDT Y TAREAS'!M12,0),IF(AND(83&gt;='EDT Y TAREAS'!AK13,83&lt;'EDT Y TAREAS'!AL13),'EDT Y TAREAS'!AD13/'EDT Y TAREAS'!M13,0),IF(AND(83&gt;='EDT Y TAREAS'!AK14,83&lt;'EDT Y TAREAS'!AL14),'EDT Y TAREAS'!AD14/'EDT Y TAREAS'!M14,0),IF(AND(83&gt;='EDT Y TAREAS'!AK15,83&lt;'EDT Y TAREAS'!AL15),'EDT Y TAREAS'!AD15/'EDT Y TAREAS'!M15,0),IF(AND(83&gt;='EDT Y TAREAS'!AK16,83&lt;'EDT Y TAREAS'!AL16),'EDT Y TAREAS'!AD16/'EDT Y TAREAS'!M16,0),IF(AND(83&gt;='EDT Y TAREAS'!AK17,83&lt;'EDT Y TAREAS'!AL17),'EDT Y TAREAS'!AD17/'EDT Y TAREAS'!M17,0),IF(AND(83&gt;='EDT Y TAREAS'!AK18,83&lt;'EDT Y TAREAS'!AL18),'EDT Y TAREAS'!AD18/'EDT Y TAREAS'!M18,0),IF(AND(83&gt;='EDT Y TAREAS'!AK19,83&lt;'EDT Y TAREAS'!AL19),'EDT Y TAREAS'!AD19/'EDT Y TAREAS'!M19,0),IF(AND(83&gt;='EDT Y TAREAS'!AK20,83&lt;'EDT Y TAREAS'!AL20),'EDT Y TAREAS'!AD20/'EDT Y TAREAS'!M20,0),IF(AND(83&gt;='EDT Y TAREAS'!AK21,83&lt;'EDT Y TAREAS'!AL21),'EDT Y TAREAS'!AD21/'EDT Y TAREAS'!M21,0),IF(AND(83&gt;='EDT Y TAREAS'!AK22,83&lt;'EDT Y TAREAS'!AL22),'EDT Y TAREAS'!AD22/'EDT Y TAREAS'!M22,0),IF(AND(83&gt;='EDT Y TAREAS'!AK23,83&lt;'EDT Y TAREAS'!AL23),'EDT Y TAREAS'!AD23/'EDT Y TAREAS'!M23,0),IF(AND(83&gt;='EDT Y TAREAS'!AK26,83&lt;'EDT Y TAREAS'!AL26),'EDT Y TAREAS'!AD26/'EDT Y TAREAS'!M26,0),IF(AND(83&gt;='EDT Y TAREAS'!AK28,83&lt;'EDT Y TAREAS'!AL28),'EDT Y TAREAS'!AD28/'EDT Y TAREAS'!M28,0),IF(AND(83&gt;='EDT Y TAREAS'!AK30,83&lt;'EDT Y TAREAS'!AL30),'EDT Y TAREAS'!AD30/'EDT Y TAREAS'!M30,0),IF(AND(83&gt;='EDT Y TAREAS'!AK32,83&lt;'EDT Y TAREAS'!AL32),'EDT Y TAREAS'!AD32/'EDT Y TAREAS'!M32,0),IF(AND(83&gt;='EDT Y TAREAS'!AK34,83&lt;'EDT Y TAREAS'!AL34),'EDT Y TAREAS'!AD34/'EDT Y TAREAS'!M34,0),IF(AND(83&gt;='EDT Y TAREAS'!AK38,83&lt;'EDT Y TAREAS'!AL38),'EDT Y TAREAS'!AD38/'EDT Y TAREAS'!M38,0),IF(AND(83&gt;='EDT Y TAREAS'!AK39,83&lt;'EDT Y TAREAS'!AL39),'EDT Y TAREAS'!AD39/'EDT Y TAREAS'!M39,0),IF(AND(83&gt;='EDT Y TAREAS'!AK43,83&lt;'EDT Y TAREAS'!AL43),'EDT Y TAREAS'!AD43/'EDT Y TAREAS'!M43,0),IF(AND(83&gt;='EDT Y TAREAS'!AK44,83&lt;'EDT Y TAREAS'!AL44),'EDT Y TAREAS'!AD44/'EDT Y TAREAS'!M44,0),IF(AND(83&gt;='EDT Y TAREAS'!AK45,83&lt;'EDT Y TAREAS'!AL45),'EDT Y TAREAS'!AD45/'EDT Y TAREAS'!M45,0),IF(AND(83&gt;='EDT Y TAREAS'!AK46,83&lt;'EDT Y TAREAS'!AL46),'EDT Y TAREAS'!AD46/'EDT Y TAREAS'!M46,0),IF(AND(83&gt;='EDT Y TAREAS'!AK47,83&lt;'EDT Y TAREAS'!AL47),'EDT Y TAREAS'!AD47/'EDT Y TAREAS'!M47,0),IF(AND(83&gt;='EDT Y TAREAS'!AK49,83&lt;'EDT Y TAREAS'!AL49),'EDT Y TAREAS'!AD49/'EDT Y TAREAS'!M49,0),IF(AND(83&gt;='EDT Y TAREAS'!AK50,83&lt;'EDT Y TAREAS'!AL50),'EDT Y TAREAS'!AD50/'EDT Y TAREAS'!M50,0),IF(AND(83&gt;='EDT Y TAREAS'!AK51,83&lt;'EDT Y TAREAS'!AL51),'EDT Y TAREAS'!AD51/'EDT Y TAREAS'!M51,0),IF(AND(83&gt;='EDT Y TAREAS'!AK52,83&lt;'EDT Y TAREAS'!AL52),'EDT Y TAREAS'!AD52/'EDT Y TAREAS'!M52,0))</x:f>
        <x:v>5.2</x:v>
      </x:c>
      <x:c r="C123" s="35" t="n">
        <x:f>SUM(IF(AND(83&gt;='EDT Y TAREAS'!AK6,83&lt;'EDT Y TAREAS'!AL6),'EDT Y TAREAS'!AE6/'EDT Y TAREAS'!M6,0),IF(AND(83&gt;='EDT Y TAREAS'!AK8,83&lt;'EDT Y TAREAS'!AL8),'EDT Y TAREAS'!AE8/'EDT Y TAREAS'!M8,0),IF(AND(83&gt;='EDT Y TAREAS'!AK9,83&lt;'EDT Y TAREAS'!AL9),'EDT Y TAREAS'!AE9/'EDT Y TAREAS'!M9,0),IF(AND(83&gt;='EDT Y TAREAS'!AK10,83&lt;'EDT Y TAREAS'!AL10),'EDT Y TAREAS'!AE10/'EDT Y TAREAS'!M10,0),IF(AND(83&gt;='EDT Y TAREAS'!AK12,83&lt;'EDT Y TAREAS'!AL12),'EDT Y TAREAS'!AE12/'EDT Y TAREAS'!M12,0),IF(AND(83&gt;='EDT Y TAREAS'!AK16,83&lt;'EDT Y TAREAS'!AL16),'EDT Y TAREAS'!AE16/'EDT Y TAREAS'!M16,0),IF(AND(83&gt;='EDT Y TAREAS'!AK21,83&lt;'EDT Y TAREAS'!AL21),'EDT Y TAREAS'!AE21/'EDT Y TAREAS'!M21,0),IF(AND(83&gt;='EDT Y TAREAS'!AK23,83&lt;'EDT Y TAREAS'!AL23),'EDT Y TAREAS'!AE23/'EDT Y TAREAS'!M23,0),IF(AND(83&gt;='EDT Y TAREAS'!AK37,83&lt;'EDT Y TAREAS'!AL37),'EDT Y TAREAS'!AE37/'EDT Y TAREAS'!M37,0),IF(AND(83&gt;='EDT Y TAREAS'!AK38,83&lt;'EDT Y TAREAS'!AL38),'EDT Y TAREAS'!AE38/'EDT Y TAREAS'!M38,0),IF(AND(83&gt;='EDT Y TAREAS'!AK41,83&lt;'EDT Y TAREAS'!AL41),'EDT Y TAREAS'!AE41/'EDT Y TAREAS'!M41,0),IF(AND(83&gt;='EDT Y TAREAS'!AK43,83&lt;'EDT Y TAREAS'!AL43),'EDT Y TAREAS'!AE43/'EDT Y TAREAS'!M43,0),IF(AND(83&gt;='EDT Y TAREAS'!AK44,83&lt;'EDT Y TAREAS'!AL44),'EDT Y TAREAS'!AE44/'EDT Y TAREAS'!M44,0),IF(AND(83&gt;='EDT Y TAREAS'!AK46,83&lt;'EDT Y TAREAS'!AL46),'EDT Y TAREAS'!AE46/'EDT Y TAREAS'!M46,0),IF(AND(83&gt;='EDT Y TAREAS'!AK47,83&lt;'EDT Y TAREAS'!AL47),'EDT Y TAREAS'!AE47/'EDT Y TAREAS'!M47,0),IF(AND(83&gt;='EDT Y TAREAS'!AK51,83&lt;'EDT Y TAREAS'!AL51),'EDT Y TAREAS'!AE51/'EDT Y TAREAS'!M51,0),IF(AND(83&gt;='EDT Y TAREAS'!AK52,83&lt;'EDT Y TAREAS'!AL52),'EDT Y TAREAS'!AE52/'EDT Y TAREAS'!M52,0))</x:f>
        <x:v>0</x:v>
      </x:c>
      <x:c r="D123" s="35" t="n">
        <x:f>SUM(IF(AND(83&gt;='EDT Y TAREAS'!AK11,83&lt;'EDT Y TAREAS'!AL11),'EDT Y TAREAS'!AF11/'EDT Y TAREAS'!M11,0),IF(AND(83&gt;='EDT Y TAREAS'!AK24,83&lt;'EDT Y TAREAS'!AL24),'EDT Y TAREAS'!AF24/'EDT Y TAREAS'!M24,0),IF(AND(83&gt;='EDT Y TAREAS'!AK25,83&lt;'EDT Y TAREAS'!AL25),'EDT Y TAREAS'!AF25/'EDT Y TAREAS'!M25,0),IF(AND(83&gt;='EDT Y TAREAS'!AK26,83&lt;'EDT Y TAREAS'!AL26),'EDT Y TAREAS'!AF26/'EDT Y TAREAS'!M26,0),IF(AND(83&gt;='EDT Y TAREAS'!AK27,83&lt;'EDT Y TAREAS'!AL27),'EDT Y TAREAS'!AF27/'EDT Y TAREAS'!M27,0),IF(AND(83&gt;='EDT Y TAREAS'!AK28,83&lt;'EDT Y TAREAS'!AL28),'EDT Y TAREAS'!AF28/'EDT Y TAREAS'!M28,0),IF(AND(83&gt;='EDT Y TAREAS'!AK31,83&lt;'EDT Y TAREAS'!AL31),'EDT Y TAREAS'!AF31/'EDT Y TAREAS'!M31,0),IF(AND(83&gt;='EDT Y TAREAS'!AK33,83&lt;'EDT Y TAREAS'!AL33),'EDT Y TAREAS'!AF33/'EDT Y TAREAS'!M33,0),IF(AND(83&gt;='EDT Y TAREAS'!AK34,83&lt;'EDT Y TAREAS'!AL34),'EDT Y TAREAS'!AF34/'EDT Y TAREAS'!M34,0),IF(AND(83&gt;='EDT Y TAREAS'!AK35,83&lt;'EDT Y TAREAS'!AL35),'EDT Y TAREAS'!AF35/'EDT Y TAREAS'!M35,0),IF(AND(83&gt;='EDT Y TAREAS'!AK37,83&lt;'EDT Y TAREAS'!AL37),'EDT Y TAREAS'!AF37/'EDT Y TAREAS'!M37,0),IF(AND(83&gt;='EDT Y TAREAS'!AK39,83&lt;'EDT Y TAREAS'!AL39),'EDT Y TAREAS'!AF39/'EDT Y TAREAS'!M39,0),IF(AND(83&gt;='EDT Y TAREAS'!AK40,83&lt;'EDT Y TAREAS'!AL40),'EDT Y TAREAS'!AF40/'EDT Y TAREAS'!M40,0),IF(AND(83&gt;='EDT Y TAREAS'!AK42,83&lt;'EDT Y TAREAS'!AL42),'EDT Y TAREAS'!AF42/'EDT Y TAREAS'!M42,0),IF(AND(83&gt;='EDT Y TAREAS'!AK45,83&lt;'EDT Y TAREAS'!AL45),'EDT Y TAREAS'!AF45/'EDT Y TAREAS'!M45,0),IF(AND(83&gt;='EDT Y TAREAS'!AK49,83&lt;'EDT Y TAREAS'!AL49),'EDT Y TAREAS'!AF49/'EDT Y TAREAS'!M49,0),IF(AND(83&gt;='EDT Y TAREAS'!AK52,83&lt;'EDT Y TAREAS'!AL52),'EDT Y TAREAS'!AF52/'EDT Y TAREAS'!M52,0))</x:f>
        <x:v>0</x:v>
      </x:c>
      <x:c r="E123" s="35" t="n">
        <x:f>SUM(IF(AND(83&gt;='EDT Y TAREAS'!AK29,83&lt;'EDT Y TAREAS'!AL29),'EDT Y TAREAS'!AG29/'EDT Y TAREAS'!M29,0),IF(AND(83&gt;='EDT Y TAREAS'!AK30,83&lt;'EDT Y TAREAS'!AL30),'EDT Y TAREAS'!AG30/'EDT Y TAREAS'!M30,0),IF(AND(83&gt;='EDT Y TAREAS'!AK31,83&lt;'EDT Y TAREAS'!AL31),'EDT Y TAREAS'!AG31/'EDT Y TAREAS'!M31,0),IF(AND(83&gt;='EDT Y TAREAS'!AK32,83&lt;'EDT Y TAREAS'!AL32),'EDT Y TAREAS'!AG32/'EDT Y TAREAS'!M32,0),IF(AND(83&gt;='EDT Y TAREAS'!AK41,83&lt;'EDT Y TAREAS'!AL41),'EDT Y TAREAS'!AG41/'EDT Y TAREAS'!M41,0),IF(AND(83&gt;='EDT Y TAREAS'!AK45,83&lt;'EDT Y TAREAS'!AL45),'EDT Y TAREAS'!AG45/'EDT Y TAREAS'!M45,0),IF(AND(83&gt;='EDT Y TAREAS'!AK48,83&lt;'EDT Y TAREAS'!AL48),'EDT Y TAREAS'!AG48/'EDT Y TAREAS'!M48,0))</x:f>
        <x:v>5.6</x:v>
      </x:c>
      <x:c r="F123" s="35" t="n">
        <x:f>SUM(IF(AND(83&gt;='EDT Y TAREAS'!AK10,83&lt;'EDT Y TAREAS'!AL10),'EDT Y TAREAS'!AH10/'EDT Y TAREAS'!M10,0),IF(AND(83&gt;='EDT Y TAREAS'!AK12,83&lt;'EDT Y TAREAS'!AL12),'EDT Y TAREAS'!AH12/'EDT Y TAREAS'!M12,0),IF(AND(83&gt;='EDT Y TAREAS'!AK22,83&lt;'EDT Y TAREAS'!AL22),'EDT Y TAREAS'!AH22/'EDT Y TAREAS'!M22,0),IF(AND(83&gt;='EDT Y TAREAS'!AK23,83&lt;'EDT Y TAREAS'!AL23),'EDT Y TAREAS'!AH23/'EDT Y TAREAS'!M23,0),IF(AND(83&gt;='EDT Y TAREAS'!AK29,83&lt;'EDT Y TAREAS'!AL29),'EDT Y TAREAS'!AH29/'EDT Y TAREAS'!M29,0),IF(AND(83&gt;='EDT Y TAREAS'!AK30,83&lt;'EDT Y TAREAS'!AL30),'EDT Y TAREAS'!AH30/'EDT Y TAREAS'!M30,0),IF(AND(83&gt;='EDT Y TAREAS'!AK32,83&lt;'EDT Y TAREAS'!AL32),'EDT Y TAREAS'!AH32/'EDT Y TAREAS'!M32,0),IF(AND(83&gt;='EDT Y TAREAS'!AK41,83&lt;'EDT Y TAREAS'!AL41),'EDT Y TAREAS'!AH41/'EDT Y TAREAS'!M41,0),IF(AND(83&gt;='EDT Y TAREAS'!AK44,83&lt;'EDT Y TAREAS'!AL44),'EDT Y TAREAS'!AH44/'EDT Y TAREAS'!M44,0),IF(AND(83&gt;='EDT Y TAREAS'!AK46,83&lt;'EDT Y TAREAS'!AL46),'EDT Y TAREAS'!AH46/'EDT Y TAREAS'!M46,0),IF(AND(83&gt;='EDT Y TAREAS'!AK48,83&lt;'EDT Y TAREAS'!AL48),'EDT Y TAREAS'!AH48/'EDT Y TAREAS'!M48,0))</x:f>
        <x:v>0.8</x:v>
      </x:c>
      <x:c r="G123" s="35" t="n">
        <x:f>SUM(IF(AND(83&gt;='EDT Y TAREAS'!AK20,83&lt;'EDT Y TAREAS'!AL20),'EDT Y TAREAS'!AI20/'EDT Y TAREAS'!M20,0),IF(AND(83&gt;='EDT Y TAREAS'!AK25,83&lt;'EDT Y TAREAS'!AL25),'EDT Y TAREAS'!AI25/'EDT Y TAREAS'!M25,0),IF(AND(83&gt;='EDT Y TAREAS'!AK33,83&lt;'EDT Y TAREAS'!AL33),'EDT Y TAREAS'!AI33/'EDT Y TAREAS'!M33,0),IF(AND(83&gt;='EDT Y TAREAS'!AK34,83&lt;'EDT Y TAREAS'!AL34),'EDT Y TAREAS'!AI34/'EDT Y TAREAS'!M34,0),IF(AND(83&gt;='EDT Y TAREAS'!AK36,83&lt;'EDT Y TAREAS'!AL36),'EDT Y TAREAS'!AI36/'EDT Y TAREAS'!M36,0),IF(AND(83&gt;='EDT Y TAREAS'!AK39,83&lt;'EDT Y TAREAS'!AL39),'EDT Y TAREAS'!AI39/'EDT Y TAREAS'!M39,0),IF(AND(83&gt;='EDT Y TAREAS'!AK40,83&lt;'EDT Y TAREAS'!AL40),'EDT Y TAREAS'!AI40/'EDT Y TAREAS'!M40,0),IF(AND(83&gt;='EDT Y TAREAS'!AK42,83&lt;'EDT Y TAREAS'!AL42),'EDT Y TAREAS'!AI42/'EDT Y TAREAS'!M42,0),IF(AND(83&gt;='EDT Y TAREAS'!AK43,83&lt;'EDT Y TAREAS'!AL43),'EDT Y TAREAS'!AI43/'EDT Y TAREAS'!M43,0),IF(AND(83&gt;='EDT Y TAREAS'!AK44,83&lt;'EDT Y TAREAS'!AL44),'EDT Y TAREAS'!AI44/'EDT Y TAREAS'!M44,0),IF(AND(83&gt;='EDT Y TAREAS'!AK45,83&lt;'EDT Y TAREAS'!AL45),'EDT Y TAREAS'!AI45/'EDT Y TAREAS'!M45,0),IF(AND(83&gt;='EDT Y TAREAS'!AK46,83&lt;'EDT Y TAREAS'!AL46),'EDT Y TAREAS'!AI46/'EDT Y TAREAS'!M46,0),IF(AND(83&gt;='EDT Y TAREAS'!AK48,83&lt;'EDT Y TAREAS'!AL48),'EDT Y TAREAS'!AI48/'EDT Y TAREAS'!M48,0),IF(AND(83&gt;='EDT Y TAREAS'!AK50,83&lt;'EDT Y TAREAS'!AL50),'EDT Y TAREAS'!AI50/'EDT Y TAREAS'!M50,0),IF(AND(83&gt;='EDT Y TAREAS'!AK52,83&lt;'EDT Y TAREAS'!AL52),'EDT Y TAREAS'!AI52/'EDT Y TAREAS'!M52,0))</x:f>
        <x:v>0</x:v>
      </x:c>
      <x:c r="H123" s="35" t="n">
        <x:f>SUM(IF(AND(83&gt;='EDT Y TAREAS'!AK11,83&lt;'EDT Y TAREAS'!AL11),'EDT Y TAREAS'!AJ11/'EDT Y TAREAS'!M11,0),IF(AND(83&gt;='EDT Y TAREAS'!AK24,83&lt;'EDT Y TAREAS'!AL24),'EDT Y TAREAS'!AJ24/'EDT Y TAREAS'!M24,0),IF(AND(83&gt;='EDT Y TAREAS'!AK27,83&lt;'EDT Y TAREAS'!AL27),'EDT Y TAREAS'!AJ27/'EDT Y TAREAS'!M27,0),IF(AND(83&gt;='EDT Y TAREAS'!AK28,83&lt;'EDT Y TAREAS'!AL28),'EDT Y TAREAS'!AJ28/'EDT Y TAREAS'!M28,0),IF(AND(83&gt;='EDT Y TAREAS'!AK33,83&lt;'EDT Y TAREAS'!AL33),'EDT Y TAREAS'!AJ33/'EDT Y TAREAS'!M33,0),IF(AND(83&gt;='EDT Y TAREAS'!AK35,83&lt;'EDT Y TAREAS'!AL35),'EDT Y TAREAS'!AJ35/'EDT Y TAREAS'!M35,0),IF(AND(83&gt;='EDT Y TAREAS'!AK36,83&lt;'EDT Y TAREAS'!AL36),'EDT Y TAREAS'!AJ36/'EDT Y TAREAS'!M36,0),IF(AND(83&gt;='EDT Y TAREAS'!AK37,83&lt;'EDT Y TAREAS'!AL37),'EDT Y TAREAS'!AJ37/'EDT Y TAREAS'!M37,0),IF(AND(83&gt;='EDT Y TAREAS'!AK40,83&lt;'EDT Y TAREAS'!AL40),'EDT Y TAREAS'!AJ40/'EDT Y TAREAS'!M40,0),IF(AND(83&gt;='EDT Y TAREAS'!AK42,83&lt;'EDT Y TAREAS'!AL42),'EDT Y TAREAS'!AJ42/'EDT Y TAREAS'!M42,0),IF(AND(83&gt;='EDT Y TAREAS'!AK49,83&lt;'EDT Y TAREAS'!AL49),'EDT Y TAREAS'!AJ49/'EDT Y TAREAS'!M49,0),IF(AND(83&gt;='EDT Y TAREAS'!AK50,83&lt;'EDT Y TAREAS'!AL50),'EDT Y TAREAS'!AJ50/'EDT Y TAREAS'!M50,0),IF(AND(83&gt;='EDT Y TAREAS'!AK51,83&lt;'EDT Y TAREAS'!AL51),'EDT Y TAREAS'!AJ51/'EDT Y TAREAS'!M51,0),IF(AND(83&gt;='EDT Y TAREAS'!AK52,83&lt;'EDT Y TAREAS'!AL52),'EDT Y TAREAS'!AJ52/'EDT Y TAREAS'!M52,0))</x:f>
        <x:v>0</x:v>
      </x:c>
      <x:c r="I123" s="10" t="n">
        <x:f>WORKDAY('RESUMEN'!$D$3-1,A123,'RESUMEN'!$J$6:$J$25)</x:f>
        <x:v>46443</x:v>
      </x:c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  <x:c r="AL123" s="3"/>
      <x:c r="AM123" s="3"/>
      <x:c r="AN123" s="3"/>
      <x:c r="AO123" s="3"/>
    </x:row>
    <x:row r="124" ht="24" customHeight="1">
      <x:c r="A124" s="3" t="n">
        <x:v>85</x:v>
      </x:c>
      <x:c r="B124" s="35" t="n">
        <x:f>SUM(IF(AND(84&gt;='EDT Y TAREAS'!AK6,84&lt;'EDT Y TAREAS'!AL6),'EDT Y TAREAS'!AD6/'EDT Y TAREAS'!M6,0),IF(AND(84&gt;='EDT Y TAREAS'!AK7,84&lt;'EDT Y TAREAS'!AL7),'EDT Y TAREAS'!AD7/'EDT Y TAREAS'!M7,0),IF(AND(84&gt;='EDT Y TAREAS'!AK8,84&lt;'EDT Y TAREAS'!AL8),'EDT Y TAREAS'!AD8/'EDT Y TAREAS'!M8,0),IF(AND(84&gt;='EDT Y TAREAS'!AK9,84&lt;'EDT Y TAREAS'!AL9),'EDT Y TAREAS'!AD9/'EDT Y TAREAS'!M9,0),IF(AND(84&gt;='EDT Y TAREAS'!AK10,84&lt;'EDT Y TAREAS'!AL10),'EDT Y TAREAS'!AD10/'EDT Y TAREAS'!M10,0),IF(AND(84&gt;='EDT Y TAREAS'!AK11,84&lt;'EDT Y TAREAS'!AL11),'EDT Y TAREAS'!AD11/'EDT Y TAREAS'!M11,0),IF(AND(84&gt;='EDT Y TAREAS'!AK12,84&lt;'EDT Y TAREAS'!AL12),'EDT Y TAREAS'!AD12/'EDT Y TAREAS'!M12,0),IF(AND(84&gt;='EDT Y TAREAS'!AK13,84&lt;'EDT Y TAREAS'!AL13),'EDT Y TAREAS'!AD13/'EDT Y TAREAS'!M13,0),IF(AND(84&gt;='EDT Y TAREAS'!AK14,84&lt;'EDT Y TAREAS'!AL14),'EDT Y TAREAS'!AD14/'EDT Y TAREAS'!M14,0),IF(AND(84&gt;='EDT Y TAREAS'!AK15,84&lt;'EDT Y TAREAS'!AL15),'EDT Y TAREAS'!AD15/'EDT Y TAREAS'!M15,0),IF(AND(84&gt;='EDT Y TAREAS'!AK16,84&lt;'EDT Y TAREAS'!AL16),'EDT Y TAREAS'!AD16/'EDT Y TAREAS'!M16,0),IF(AND(84&gt;='EDT Y TAREAS'!AK17,84&lt;'EDT Y TAREAS'!AL17),'EDT Y TAREAS'!AD17/'EDT Y TAREAS'!M17,0),IF(AND(84&gt;='EDT Y TAREAS'!AK18,84&lt;'EDT Y TAREAS'!AL18),'EDT Y TAREAS'!AD18/'EDT Y TAREAS'!M18,0),IF(AND(84&gt;='EDT Y TAREAS'!AK19,84&lt;'EDT Y TAREAS'!AL19),'EDT Y TAREAS'!AD19/'EDT Y TAREAS'!M19,0),IF(AND(84&gt;='EDT Y TAREAS'!AK20,84&lt;'EDT Y TAREAS'!AL20),'EDT Y TAREAS'!AD20/'EDT Y TAREAS'!M20,0),IF(AND(84&gt;='EDT Y TAREAS'!AK21,84&lt;'EDT Y TAREAS'!AL21),'EDT Y TAREAS'!AD21/'EDT Y TAREAS'!M21,0),IF(AND(84&gt;='EDT Y TAREAS'!AK22,84&lt;'EDT Y TAREAS'!AL22),'EDT Y TAREAS'!AD22/'EDT Y TAREAS'!M22,0),IF(AND(84&gt;='EDT Y TAREAS'!AK23,84&lt;'EDT Y TAREAS'!AL23),'EDT Y TAREAS'!AD23/'EDT Y TAREAS'!M23,0),IF(AND(84&gt;='EDT Y TAREAS'!AK26,84&lt;'EDT Y TAREAS'!AL26),'EDT Y TAREAS'!AD26/'EDT Y TAREAS'!M26,0),IF(AND(84&gt;='EDT Y TAREAS'!AK28,84&lt;'EDT Y TAREAS'!AL28),'EDT Y TAREAS'!AD28/'EDT Y TAREAS'!M28,0),IF(AND(84&gt;='EDT Y TAREAS'!AK30,84&lt;'EDT Y TAREAS'!AL30),'EDT Y TAREAS'!AD30/'EDT Y TAREAS'!M30,0),IF(AND(84&gt;='EDT Y TAREAS'!AK32,84&lt;'EDT Y TAREAS'!AL32),'EDT Y TAREAS'!AD32/'EDT Y TAREAS'!M32,0),IF(AND(84&gt;='EDT Y TAREAS'!AK34,84&lt;'EDT Y TAREAS'!AL34),'EDT Y TAREAS'!AD34/'EDT Y TAREAS'!M34,0),IF(AND(84&gt;='EDT Y TAREAS'!AK38,84&lt;'EDT Y TAREAS'!AL38),'EDT Y TAREAS'!AD38/'EDT Y TAREAS'!M38,0),IF(AND(84&gt;='EDT Y TAREAS'!AK39,84&lt;'EDT Y TAREAS'!AL39),'EDT Y TAREAS'!AD39/'EDT Y TAREAS'!M39,0),IF(AND(84&gt;='EDT Y TAREAS'!AK43,84&lt;'EDT Y TAREAS'!AL43),'EDT Y TAREAS'!AD43/'EDT Y TAREAS'!M43,0),IF(AND(84&gt;='EDT Y TAREAS'!AK44,84&lt;'EDT Y TAREAS'!AL44),'EDT Y TAREAS'!AD44/'EDT Y TAREAS'!M44,0),IF(AND(84&gt;='EDT Y TAREAS'!AK45,84&lt;'EDT Y TAREAS'!AL45),'EDT Y TAREAS'!AD45/'EDT Y TAREAS'!M45,0),IF(AND(84&gt;='EDT Y TAREAS'!AK46,84&lt;'EDT Y TAREAS'!AL46),'EDT Y TAREAS'!AD46/'EDT Y TAREAS'!M46,0),IF(AND(84&gt;='EDT Y TAREAS'!AK47,84&lt;'EDT Y TAREAS'!AL47),'EDT Y TAREAS'!AD47/'EDT Y TAREAS'!M47,0),IF(AND(84&gt;='EDT Y TAREAS'!AK49,84&lt;'EDT Y TAREAS'!AL49),'EDT Y TAREAS'!AD49/'EDT Y TAREAS'!M49,0),IF(AND(84&gt;='EDT Y TAREAS'!AK50,84&lt;'EDT Y TAREAS'!AL50),'EDT Y TAREAS'!AD50/'EDT Y TAREAS'!M50,0),IF(AND(84&gt;='EDT Y TAREAS'!AK51,84&lt;'EDT Y TAREAS'!AL51),'EDT Y TAREAS'!AD51/'EDT Y TAREAS'!M51,0),IF(AND(84&gt;='EDT Y TAREAS'!AK52,84&lt;'EDT Y TAREAS'!AL52),'EDT Y TAREAS'!AD52/'EDT Y TAREAS'!M52,0))</x:f>
        <x:v>5.2</x:v>
      </x:c>
      <x:c r="C124" s="35" t="n">
        <x:f>SUM(IF(AND(84&gt;='EDT Y TAREAS'!AK6,84&lt;'EDT Y TAREAS'!AL6),'EDT Y TAREAS'!AE6/'EDT Y TAREAS'!M6,0),IF(AND(84&gt;='EDT Y TAREAS'!AK8,84&lt;'EDT Y TAREAS'!AL8),'EDT Y TAREAS'!AE8/'EDT Y TAREAS'!M8,0),IF(AND(84&gt;='EDT Y TAREAS'!AK9,84&lt;'EDT Y TAREAS'!AL9),'EDT Y TAREAS'!AE9/'EDT Y TAREAS'!M9,0),IF(AND(84&gt;='EDT Y TAREAS'!AK10,84&lt;'EDT Y TAREAS'!AL10),'EDT Y TAREAS'!AE10/'EDT Y TAREAS'!M10,0),IF(AND(84&gt;='EDT Y TAREAS'!AK12,84&lt;'EDT Y TAREAS'!AL12),'EDT Y TAREAS'!AE12/'EDT Y TAREAS'!M12,0),IF(AND(84&gt;='EDT Y TAREAS'!AK16,84&lt;'EDT Y TAREAS'!AL16),'EDT Y TAREAS'!AE16/'EDT Y TAREAS'!M16,0),IF(AND(84&gt;='EDT Y TAREAS'!AK21,84&lt;'EDT Y TAREAS'!AL21),'EDT Y TAREAS'!AE21/'EDT Y TAREAS'!M21,0),IF(AND(84&gt;='EDT Y TAREAS'!AK23,84&lt;'EDT Y TAREAS'!AL23),'EDT Y TAREAS'!AE23/'EDT Y TAREAS'!M23,0),IF(AND(84&gt;='EDT Y TAREAS'!AK37,84&lt;'EDT Y TAREAS'!AL37),'EDT Y TAREAS'!AE37/'EDT Y TAREAS'!M37,0),IF(AND(84&gt;='EDT Y TAREAS'!AK38,84&lt;'EDT Y TAREAS'!AL38),'EDT Y TAREAS'!AE38/'EDT Y TAREAS'!M38,0),IF(AND(84&gt;='EDT Y TAREAS'!AK41,84&lt;'EDT Y TAREAS'!AL41),'EDT Y TAREAS'!AE41/'EDT Y TAREAS'!M41,0),IF(AND(84&gt;='EDT Y TAREAS'!AK43,84&lt;'EDT Y TAREAS'!AL43),'EDT Y TAREAS'!AE43/'EDT Y TAREAS'!M43,0),IF(AND(84&gt;='EDT Y TAREAS'!AK44,84&lt;'EDT Y TAREAS'!AL44),'EDT Y TAREAS'!AE44/'EDT Y TAREAS'!M44,0),IF(AND(84&gt;='EDT Y TAREAS'!AK46,84&lt;'EDT Y TAREAS'!AL46),'EDT Y TAREAS'!AE46/'EDT Y TAREAS'!M46,0),IF(AND(84&gt;='EDT Y TAREAS'!AK47,84&lt;'EDT Y TAREAS'!AL47),'EDT Y TAREAS'!AE47/'EDT Y TAREAS'!M47,0),IF(AND(84&gt;='EDT Y TAREAS'!AK51,84&lt;'EDT Y TAREAS'!AL51),'EDT Y TAREAS'!AE51/'EDT Y TAREAS'!M51,0),IF(AND(84&gt;='EDT Y TAREAS'!AK52,84&lt;'EDT Y TAREAS'!AL52),'EDT Y TAREAS'!AE52/'EDT Y TAREAS'!M52,0))</x:f>
        <x:v>0</x:v>
      </x:c>
      <x:c r="D124" s="35" t="n">
        <x:f>SUM(IF(AND(84&gt;='EDT Y TAREAS'!AK11,84&lt;'EDT Y TAREAS'!AL11),'EDT Y TAREAS'!AF11/'EDT Y TAREAS'!M11,0),IF(AND(84&gt;='EDT Y TAREAS'!AK24,84&lt;'EDT Y TAREAS'!AL24),'EDT Y TAREAS'!AF24/'EDT Y TAREAS'!M24,0),IF(AND(84&gt;='EDT Y TAREAS'!AK25,84&lt;'EDT Y TAREAS'!AL25),'EDT Y TAREAS'!AF25/'EDT Y TAREAS'!M25,0),IF(AND(84&gt;='EDT Y TAREAS'!AK26,84&lt;'EDT Y TAREAS'!AL26),'EDT Y TAREAS'!AF26/'EDT Y TAREAS'!M26,0),IF(AND(84&gt;='EDT Y TAREAS'!AK27,84&lt;'EDT Y TAREAS'!AL27),'EDT Y TAREAS'!AF27/'EDT Y TAREAS'!M27,0),IF(AND(84&gt;='EDT Y TAREAS'!AK28,84&lt;'EDT Y TAREAS'!AL28),'EDT Y TAREAS'!AF28/'EDT Y TAREAS'!M28,0),IF(AND(84&gt;='EDT Y TAREAS'!AK31,84&lt;'EDT Y TAREAS'!AL31),'EDT Y TAREAS'!AF31/'EDT Y TAREAS'!M31,0),IF(AND(84&gt;='EDT Y TAREAS'!AK33,84&lt;'EDT Y TAREAS'!AL33),'EDT Y TAREAS'!AF33/'EDT Y TAREAS'!M33,0),IF(AND(84&gt;='EDT Y TAREAS'!AK34,84&lt;'EDT Y TAREAS'!AL34),'EDT Y TAREAS'!AF34/'EDT Y TAREAS'!M34,0),IF(AND(84&gt;='EDT Y TAREAS'!AK35,84&lt;'EDT Y TAREAS'!AL35),'EDT Y TAREAS'!AF35/'EDT Y TAREAS'!M35,0),IF(AND(84&gt;='EDT Y TAREAS'!AK37,84&lt;'EDT Y TAREAS'!AL37),'EDT Y TAREAS'!AF37/'EDT Y TAREAS'!M37,0),IF(AND(84&gt;='EDT Y TAREAS'!AK39,84&lt;'EDT Y TAREAS'!AL39),'EDT Y TAREAS'!AF39/'EDT Y TAREAS'!M39,0),IF(AND(84&gt;='EDT Y TAREAS'!AK40,84&lt;'EDT Y TAREAS'!AL40),'EDT Y TAREAS'!AF40/'EDT Y TAREAS'!M40,0),IF(AND(84&gt;='EDT Y TAREAS'!AK42,84&lt;'EDT Y TAREAS'!AL42),'EDT Y TAREAS'!AF42/'EDT Y TAREAS'!M42,0),IF(AND(84&gt;='EDT Y TAREAS'!AK45,84&lt;'EDT Y TAREAS'!AL45),'EDT Y TAREAS'!AF45/'EDT Y TAREAS'!M45,0),IF(AND(84&gt;='EDT Y TAREAS'!AK49,84&lt;'EDT Y TAREAS'!AL49),'EDT Y TAREAS'!AF49/'EDT Y TAREAS'!M49,0),IF(AND(84&gt;='EDT Y TAREAS'!AK52,84&lt;'EDT Y TAREAS'!AL52),'EDT Y TAREAS'!AF52/'EDT Y TAREAS'!M52,0))</x:f>
        <x:v>0</x:v>
      </x:c>
      <x:c r="E124" s="35" t="n">
        <x:f>SUM(IF(AND(84&gt;='EDT Y TAREAS'!AK29,84&lt;'EDT Y TAREAS'!AL29),'EDT Y TAREAS'!AG29/'EDT Y TAREAS'!M29,0),IF(AND(84&gt;='EDT Y TAREAS'!AK30,84&lt;'EDT Y TAREAS'!AL30),'EDT Y TAREAS'!AG30/'EDT Y TAREAS'!M30,0),IF(AND(84&gt;='EDT Y TAREAS'!AK31,84&lt;'EDT Y TAREAS'!AL31),'EDT Y TAREAS'!AG31/'EDT Y TAREAS'!M31,0),IF(AND(84&gt;='EDT Y TAREAS'!AK32,84&lt;'EDT Y TAREAS'!AL32),'EDT Y TAREAS'!AG32/'EDT Y TAREAS'!M32,0),IF(AND(84&gt;='EDT Y TAREAS'!AK41,84&lt;'EDT Y TAREAS'!AL41),'EDT Y TAREAS'!AG41/'EDT Y TAREAS'!M41,0),IF(AND(84&gt;='EDT Y TAREAS'!AK45,84&lt;'EDT Y TAREAS'!AL45),'EDT Y TAREAS'!AG45/'EDT Y TAREAS'!M45,0),IF(AND(84&gt;='EDT Y TAREAS'!AK48,84&lt;'EDT Y TAREAS'!AL48),'EDT Y TAREAS'!AG48/'EDT Y TAREAS'!M48,0))</x:f>
        <x:v>5.6</x:v>
      </x:c>
      <x:c r="F124" s="35" t="n">
        <x:f>SUM(IF(AND(84&gt;='EDT Y TAREAS'!AK10,84&lt;'EDT Y TAREAS'!AL10),'EDT Y TAREAS'!AH10/'EDT Y TAREAS'!M10,0),IF(AND(84&gt;='EDT Y TAREAS'!AK12,84&lt;'EDT Y TAREAS'!AL12),'EDT Y TAREAS'!AH12/'EDT Y TAREAS'!M12,0),IF(AND(84&gt;='EDT Y TAREAS'!AK22,84&lt;'EDT Y TAREAS'!AL22),'EDT Y TAREAS'!AH22/'EDT Y TAREAS'!M22,0),IF(AND(84&gt;='EDT Y TAREAS'!AK23,84&lt;'EDT Y TAREAS'!AL23),'EDT Y TAREAS'!AH23/'EDT Y TAREAS'!M23,0),IF(AND(84&gt;='EDT Y TAREAS'!AK29,84&lt;'EDT Y TAREAS'!AL29),'EDT Y TAREAS'!AH29/'EDT Y TAREAS'!M29,0),IF(AND(84&gt;='EDT Y TAREAS'!AK30,84&lt;'EDT Y TAREAS'!AL30),'EDT Y TAREAS'!AH30/'EDT Y TAREAS'!M30,0),IF(AND(84&gt;='EDT Y TAREAS'!AK32,84&lt;'EDT Y TAREAS'!AL32),'EDT Y TAREAS'!AH32/'EDT Y TAREAS'!M32,0),IF(AND(84&gt;='EDT Y TAREAS'!AK41,84&lt;'EDT Y TAREAS'!AL41),'EDT Y TAREAS'!AH41/'EDT Y TAREAS'!M41,0),IF(AND(84&gt;='EDT Y TAREAS'!AK44,84&lt;'EDT Y TAREAS'!AL44),'EDT Y TAREAS'!AH44/'EDT Y TAREAS'!M44,0),IF(AND(84&gt;='EDT Y TAREAS'!AK46,84&lt;'EDT Y TAREAS'!AL46),'EDT Y TAREAS'!AH46/'EDT Y TAREAS'!M46,0),IF(AND(84&gt;='EDT Y TAREAS'!AK48,84&lt;'EDT Y TAREAS'!AL48),'EDT Y TAREAS'!AH48/'EDT Y TAREAS'!M48,0))</x:f>
        <x:v>0.8</x:v>
      </x:c>
      <x:c r="G124" s="35" t="n">
        <x:f>SUM(IF(AND(84&gt;='EDT Y TAREAS'!AK20,84&lt;'EDT Y TAREAS'!AL20),'EDT Y TAREAS'!AI20/'EDT Y TAREAS'!M20,0),IF(AND(84&gt;='EDT Y TAREAS'!AK25,84&lt;'EDT Y TAREAS'!AL25),'EDT Y TAREAS'!AI25/'EDT Y TAREAS'!M25,0),IF(AND(84&gt;='EDT Y TAREAS'!AK33,84&lt;'EDT Y TAREAS'!AL33),'EDT Y TAREAS'!AI33/'EDT Y TAREAS'!M33,0),IF(AND(84&gt;='EDT Y TAREAS'!AK34,84&lt;'EDT Y TAREAS'!AL34),'EDT Y TAREAS'!AI34/'EDT Y TAREAS'!M34,0),IF(AND(84&gt;='EDT Y TAREAS'!AK36,84&lt;'EDT Y TAREAS'!AL36),'EDT Y TAREAS'!AI36/'EDT Y TAREAS'!M36,0),IF(AND(84&gt;='EDT Y TAREAS'!AK39,84&lt;'EDT Y TAREAS'!AL39),'EDT Y TAREAS'!AI39/'EDT Y TAREAS'!M39,0),IF(AND(84&gt;='EDT Y TAREAS'!AK40,84&lt;'EDT Y TAREAS'!AL40),'EDT Y TAREAS'!AI40/'EDT Y TAREAS'!M40,0),IF(AND(84&gt;='EDT Y TAREAS'!AK42,84&lt;'EDT Y TAREAS'!AL42),'EDT Y TAREAS'!AI42/'EDT Y TAREAS'!M42,0),IF(AND(84&gt;='EDT Y TAREAS'!AK43,84&lt;'EDT Y TAREAS'!AL43),'EDT Y TAREAS'!AI43/'EDT Y TAREAS'!M43,0),IF(AND(84&gt;='EDT Y TAREAS'!AK44,84&lt;'EDT Y TAREAS'!AL44),'EDT Y TAREAS'!AI44/'EDT Y TAREAS'!M44,0),IF(AND(84&gt;='EDT Y TAREAS'!AK45,84&lt;'EDT Y TAREAS'!AL45),'EDT Y TAREAS'!AI45/'EDT Y TAREAS'!M45,0),IF(AND(84&gt;='EDT Y TAREAS'!AK46,84&lt;'EDT Y TAREAS'!AL46),'EDT Y TAREAS'!AI46/'EDT Y TAREAS'!M46,0),IF(AND(84&gt;='EDT Y TAREAS'!AK48,84&lt;'EDT Y TAREAS'!AL48),'EDT Y TAREAS'!AI48/'EDT Y TAREAS'!M48,0),IF(AND(84&gt;='EDT Y TAREAS'!AK50,84&lt;'EDT Y TAREAS'!AL50),'EDT Y TAREAS'!AI50/'EDT Y TAREAS'!M50,0),IF(AND(84&gt;='EDT Y TAREAS'!AK52,84&lt;'EDT Y TAREAS'!AL52),'EDT Y TAREAS'!AI52/'EDT Y TAREAS'!M52,0))</x:f>
        <x:v>0</x:v>
      </x:c>
      <x:c r="H124" s="35" t="n">
        <x:f>SUM(IF(AND(84&gt;='EDT Y TAREAS'!AK11,84&lt;'EDT Y TAREAS'!AL11),'EDT Y TAREAS'!AJ11/'EDT Y TAREAS'!M11,0),IF(AND(84&gt;='EDT Y TAREAS'!AK24,84&lt;'EDT Y TAREAS'!AL24),'EDT Y TAREAS'!AJ24/'EDT Y TAREAS'!M24,0),IF(AND(84&gt;='EDT Y TAREAS'!AK27,84&lt;'EDT Y TAREAS'!AL27),'EDT Y TAREAS'!AJ27/'EDT Y TAREAS'!M27,0),IF(AND(84&gt;='EDT Y TAREAS'!AK28,84&lt;'EDT Y TAREAS'!AL28),'EDT Y TAREAS'!AJ28/'EDT Y TAREAS'!M28,0),IF(AND(84&gt;='EDT Y TAREAS'!AK33,84&lt;'EDT Y TAREAS'!AL33),'EDT Y TAREAS'!AJ33/'EDT Y TAREAS'!M33,0),IF(AND(84&gt;='EDT Y TAREAS'!AK35,84&lt;'EDT Y TAREAS'!AL35),'EDT Y TAREAS'!AJ35/'EDT Y TAREAS'!M35,0),IF(AND(84&gt;='EDT Y TAREAS'!AK36,84&lt;'EDT Y TAREAS'!AL36),'EDT Y TAREAS'!AJ36/'EDT Y TAREAS'!M36,0),IF(AND(84&gt;='EDT Y TAREAS'!AK37,84&lt;'EDT Y TAREAS'!AL37),'EDT Y TAREAS'!AJ37/'EDT Y TAREAS'!M37,0),IF(AND(84&gt;='EDT Y TAREAS'!AK40,84&lt;'EDT Y TAREAS'!AL40),'EDT Y TAREAS'!AJ40/'EDT Y TAREAS'!M40,0),IF(AND(84&gt;='EDT Y TAREAS'!AK42,84&lt;'EDT Y TAREAS'!AL42),'EDT Y TAREAS'!AJ42/'EDT Y TAREAS'!M42,0),IF(AND(84&gt;='EDT Y TAREAS'!AK49,84&lt;'EDT Y TAREAS'!AL49),'EDT Y TAREAS'!AJ49/'EDT Y TAREAS'!M49,0),IF(AND(84&gt;='EDT Y TAREAS'!AK50,84&lt;'EDT Y TAREAS'!AL50),'EDT Y TAREAS'!AJ50/'EDT Y TAREAS'!M50,0),IF(AND(84&gt;='EDT Y TAREAS'!AK51,84&lt;'EDT Y TAREAS'!AL51),'EDT Y TAREAS'!AJ51/'EDT Y TAREAS'!M51,0),IF(AND(84&gt;='EDT Y TAREAS'!AK52,84&lt;'EDT Y TAREAS'!AL52),'EDT Y TAREAS'!AJ52/'EDT Y TAREAS'!M52,0))</x:f>
        <x:v>0</x:v>
      </x:c>
      <x:c r="I124" s="10" t="n">
        <x:f>WORKDAY('RESUMEN'!$D$3-1,A124,'RESUMEN'!$J$6:$J$25)</x:f>
        <x:v>46444</x:v>
      </x:c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  <x:c r="AL124" s="3"/>
      <x:c r="AM124" s="3"/>
      <x:c r="AN124" s="3"/>
      <x:c r="AO124" s="3"/>
    </x:row>
    <x:row r="125" ht="24" customHeight="1">
      <x:c r="A125" s="3" t="n">
        <x:v>86</x:v>
      </x:c>
      <x:c r="B125" s="35" t="n">
        <x:f>SUM(IF(AND(85&gt;='EDT Y TAREAS'!AK6,85&lt;'EDT Y TAREAS'!AL6),'EDT Y TAREAS'!AD6/'EDT Y TAREAS'!M6,0),IF(AND(85&gt;='EDT Y TAREAS'!AK7,85&lt;'EDT Y TAREAS'!AL7),'EDT Y TAREAS'!AD7/'EDT Y TAREAS'!M7,0),IF(AND(85&gt;='EDT Y TAREAS'!AK8,85&lt;'EDT Y TAREAS'!AL8),'EDT Y TAREAS'!AD8/'EDT Y TAREAS'!M8,0),IF(AND(85&gt;='EDT Y TAREAS'!AK9,85&lt;'EDT Y TAREAS'!AL9),'EDT Y TAREAS'!AD9/'EDT Y TAREAS'!M9,0),IF(AND(85&gt;='EDT Y TAREAS'!AK10,85&lt;'EDT Y TAREAS'!AL10),'EDT Y TAREAS'!AD10/'EDT Y TAREAS'!M10,0),IF(AND(85&gt;='EDT Y TAREAS'!AK11,85&lt;'EDT Y TAREAS'!AL11),'EDT Y TAREAS'!AD11/'EDT Y TAREAS'!M11,0),IF(AND(85&gt;='EDT Y TAREAS'!AK12,85&lt;'EDT Y TAREAS'!AL12),'EDT Y TAREAS'!AD12/'EDT Y TAREAS'!M12,0),IF(AND(85&gt;='EDT Y TAREAS'!AK13,85&lt;'EDT Y TAREAS'!AL13),'EDT Y TAREAS'!AD13/'EDT Y TAREAS'!M13,0),IF(AND(85&gt;='EDT Y TAREAS'!AK14,85&lt;'EDT Y TAREAS'!AL14),'EDT Y TAREAS'!AD14/'EDT Y TAREAS'!M14,0),IF(AND(85&gt;='EDT Y TAREAS'!AK15,85&lt;'EDT Y TAREAS'!AL15),'EDT Y TAREAS'!AD15/'EDT Y TAREAS'!M15,0),IF(AND(85&gt;='EDT Y TAREAS'!AK16,85&lt;'EDT Y TAREAS'!AL16),'EDT Y TAREAS'!AD16/'EDT Y TAREAS'!M16,0),IF(AND(85&gt;='EDT Y TAREAS'!AK17,85&lt;'EDT Y TAREAS'!AL17),'EDT Y TAREAS'!AD17/'EDT Y TAREAS'!M17,0),IF(AND(85&gt;='EDT Y TAREAS'!AK18,85&lt;'EDT Y TAREAS'!AL18),'EDT Y TAREAS'!AD18/'EDT Y TAREAS'!M18,0),IF(AND(85&gt;='EDT Y TAREAS'!AK19,85&lt;'EDT Y TAREAS'!AL19),'EDT Y TAREAS'!AD19/'EDT Y TAREAS'!M19,0),IF(AND(85&gt;='EDT Y TAREAS'!AK20,85&lt;'EDT Y TAREAS'!AL20),'EDT Y TAREAS'!AD20/'EDT Y TAREAS'!M20,0),IF(AND(85&gt;='EDT Y TAREAS'!AK21,85&lt;'EDT Y TAREAS'!AL21),'EDT Y TAREAS'!AD21/'EDT Y TAREAS'!M21,0),IF(AND(85&gt;='EDT Y TAREAS'!AK22,85&lt;'EDT Y TAREAS'!AL22),'EDT Y TAREAS'!AD22/'EDT Y TAREAS'!M22,0),IF(AND(85&gt;='EDT Y TAREAS'!AK23,85&lt;'EDT Y TAREAS'!AL23),'EDT Y TAREAS'!AD23/'EDT Y TAREAS'!M23,0),IF(AND(85&gt;='EDT Y TAREAS'!AK26,85&lt;'EDT Y TAREAS'!AL26),'EDT Y TAREAS'!AD26/'EDT Y TAREAS'!M26,0),IF(AND(85&gt;='EDT Y TAREAS'!AK28,85&lt;'EDT Y TAREAS'!AL28),'EDT Y TAREAS'!AD28/'EDT Y TAREAS'!M28,0),IF(AND(85&gt;='EDT Y TAREAS'!AK30,85&lt;'EDT Y TAREAS'!AL30),'EDT Y TAREAS'!AD30/'EDT Y TAREAS'!M30,0),IF(AND(85&gt;='EDT Y TAREAS'!AK32,85&lt;'EDT Y TAREAS'!AL32),'EDT Y TAREAS'!AD32/'EDT Y TAREAS'!M32,0),IF(AND(85&gt;='EDT Y TAREAS'!AK34,85&lt;'EDT Y TAREAS'!AL34),'EDT Y TAREAS'!AD34/'EDT Y TAREAS'!M34,0),IF(AND(85&gt;='EDT Y TAREAS'!AK38,85&lt;'EDT Y TAREAS'!AL38),'EDT Y TAREAS'!AD38/'EDT Y TAREAS'!M38,0),IF(AND(85&gt;='EDT Y TAREAS'!AK39,85&lt;'EDT Y TAREAS'!AL39),'EDT Y TAREAS'!AD39/'EDT Y TAREAS'!M39,0),IF(AND(85&gt;='EDT Y TAREAS'!AK43,85&lt;'EDT Y TAREAS'!AL43),'EDT Y TAREAS'!AD43/'EDT Y TAREAS'!M43,0),IF(AND(85&gt;='EDT Y TAREAS'!AK44,85&lt;'EDT Y TAREAS'!AL44),'EDT Y TAREAS'!AD44/'EDT Y TAREAS'!M44,0),IF(AND(85&gt;='EDT Y TAREAS'!AK45,85&lt;'EDT Y TAREAS'!AL45),'EDT Y TAREAS'!AD45/'EDT Y TAREAS'!M45,0),IF(AND(85&gt;='EDT Y TAREAS'!AK46,85&lt;'EDT Y TAREAS'!AL46),'EDT Y TAREAS'!AD46/'EDT Y TAREAS'!M46,0),IF(AND(85&gt;='EDT Y TAREAS'!AK47,85&lt;'EDT Y TAREAS'!AL47),'EDT Y TAREAS'!AD47/'EDT Y TAREAS'!M47,0),IF(AND(85&gt;='EDT Y TAREAS'!AK49,85&lt;'EDT Y TAREAS'!AL49),'EDT Y TAREAS'!AD49/'EDT Y TAREAS'!M49,0),IF(AND(85&gt;='EDT Y TAREAS'!AK50,85&lt;'EDT Y TAREAS'!AL50),'EDT Y TAREAS'!AD50/'EDT Y TAREAS'!M50,0),IF(AND(85&gt;='EDT Y TAREAS'!AK51,85&lt;'EDT Y TAREAS'!AL51),'EDT Y TAREAS'!AD51/'EDT Y TAREAS'!M51,0),IF(AND(85&gt;='EDT Y TAREAS'!AK52,85&lt;'EDT Y TAREAS'!AL52),'EDT Y TAREAS'!AD52/'EDT Y TAREAS'!M52,0))</x:f>
        <x:v>5.2</x:v>
      </x:c>
      <x:c r="C125" s="35" t="n">
        <x:f>SUM(IF(AND(85&gt;='EDT Y TAREAS'!AK6,85&lt;'EDT Y TAREAS'!AL6),'EDT Y TAREAS'!AE6/'EDT Y TAREAS'!M6,0),IF(AND(85&gt;='EDT Y TAREAS'!AK8,85&lt;'EDT Y TAREAS'!AL8),'EDT Y TAREAS'!AE8/'EDT Y TAREAS'!M8,0),IF(AND(85&gt;='EDT Y TAREAS'!AK9,85&lt;'EDT Y TAREAS'!AL9),'EDT Y TAREAS'!AE9/'EDT Y TAREAS'!M9,0),IF(AND(85&gt;='EDT Y TAREAS'!AK10,85&lt;'EDT Y TAREAS'!AL10),'EDT Y TAREAS'!AE10/'EDT Y TAREAS'!M10,0),IF(AND(85&gt;='EDT Y TAREAS'!AK12,85&lt;'EDT Y TAREAS'!AL12),'EDT Y TAREAS'!AE12/'EDT Y TAREAS'!M12,0),IF(AND(85&gt;='EDT Y TAREAS'!AK16,85&lt;'EDT Y TAREAS'!AL16),'EDT Y TAREAS'!AE16/'EDT Y TAREAS'!M16,0),IF(AND(85&gt;='EDT Y TAREAS'!AK21,85&lt;'EDT Y TAREAS'!AL21),'EDT Y TAREAS'!AE21/'EDT Y TAREAS'!M21,0),IF(AND(85&gt;='EDT Y TAREAS'!AK23,85&lt;'EDT Y TAREAS'!AL23),'EDT Y TAREAS'!AE23/'EDT Y TAREAS'!M23,0),IF(AND(85&gt;='EDT Y TAREAS'!AK37,85&lt;'EDT Y TAREAS'!AL37),'EDT Y TAREAS'!AE37/'EDT Y TAREAS'!M37,0),IF(AND(85&gt;='EDT Y TAREAS'!AK38,85&lt;'EDT Y TAREAS'!AL38),'EDT Y TAREAS'!AE38/'EDT Y TAREAS'!M38,0),IF(AND(85&gt;='EDT Y TAREAS'!AK41,85&lt;'EDT Y TAREAS'!AL41),'EDT Y TAREAS'!AE41/'EDT Y TAREAS'!M41,0),IF(AND(85&gt;='EDT Y TAREAS'!AK43,85&lt;'EDT Y TAREAS'!AL43),'EDT Y TAREAS'!AE43/'EDT Y TAREAS'!M43,0),IF(AND(85&gt;='EDT Y TAREAS'!AK44,85&lt;'EDT Y TAREAS'!AL44),'EDT Y TAREAS'!AE44/'EDT Y TAREAS'!M44,0),IF(AND(85&gt;='EDT Y TAREAS'!AK46,85&lt;'EDT Y TAREAS'!AL46),'EDT Y TAREAS'!AE46/'EDT Y TAREAS'!M46,0),IF(AND(85&gt;='EDT Y TAREAS'!AK47,85&lt;'EDT Y TAREAS'!AL47),'EDT Y TAREAS'!AE47/'EDT Y TAREAS'!M47,0),IF(AND(85&gt;='EDT Y TAREAS'!AK51,85&lt;'EDT Y TAREAS'!AL51),'EDT Y TAREAS'!AE51/'EDT Y TAREAS'!M51,0),IF(AND(85&gt;='EDT Y TAREAS'!AK52,85&lt;'EDT Y TAREAS'!AL52),'EDT Y TAREAS'!AE52/'EDT Y TAREAS'!M52,0))</x:f>
        <x:v>0</x:v>
      </x:c>
      <x:c r="D125" s="35" t="n">
        <x:f>SUM(IF(AND(85&gt;='EDT Y TAREAS'!AK11,85&lt;'EDT Y TAREAS'!AL11),'EDT Y TAREAS'!AF11/'EDT Y TAREAS'!M11,0),IF(AND(85&gt;='EDT Y TAREAS'!AK24,85&lt;'EDT Y TAREAS'!AL24),'EDT Y TAREAS'!AF24/'EDT Y TAREAS'!M24,0),IF(AND(85&gt;='EDT Y TAREAS'!AK25,85&lt;'EDT Y TAREAS'!AL25),'EDT Y TAREAS'!AF25/'EDT Y TAREAS'!M25,0),IF(AND(85&gt;='EDT Y TAREAS'!AK26,85&lt;'EDT Y TAREAS'!AL26),'EDT Y TAREAS'!AF26/'EDT Y TAREAS'!M26,0),IF(AND(85&gt;='EDT Y TAREAS'!AK27,85&lt;'EDT Y TAREAS'!AL27),'EDT Y TAREAS'!AF27/'EDT Y TAREAS'!M27,0),IF(AND(85&gt;='EDT Y TAREAS'!AK28,85&lt;'EDT Y TAREAS'!AL28),'EDT Y TAREAS'!AF28/'EDT Y TAREAS'!M28,0),IF(AND(85&gt;='EDT Y TAREAS'!AK31,85&lt;'EDT Y TAREAS'!AL31),'EDT Y TAREAS'!AF31/'EDT Y TAREAS'!M31,0),IF(AND(85&gt;='EDT Y TAREAS'!AK33,85&lt;'EDT Y TAREAS'!AL33),'EDT Y TAREAS'!AF33/'EDT Y TAREAS'!M33,0),IF(AND(85&gt;='EDT Y TAREAS'!AK34,85&lt;'EDT Y TAREAS'!AL34),'EDT Y TAREAS'!AF34/'EDT Y TAREAS'!M34,0),IF(AND(85&gt;='EDT Y TAREAS'!AK35,85&lt;'EDT Y TAREAS'!AL35),'EDT Y TAREAS'!AF35/'EDT Y TAREAS'!M35,0),IF(AND(85&gt;='EDT Y TAREAS'!AK37,85&lt;'EDT Y TAREAS'!AL37),'EDT Y TAREAS'!AF37/'EDT Y TAREAS'!M37,0),IF(AND(85&gt;='EDT Y TAREAS'!AK39,85&lt;'EDT Y TAREAS'!AL39),'EDT Y TAREAS'!AF39/'EDT Y TAREAS'!M39,0),IF(AND(85&gt;='EDT Y TAREAS'!AK40,85&lt;'EDT Y TAREAS'!AL40),'EDT Y TAREAS'!AF40/'EDT Y TAREAS'!M40,0),IF(AND(85&gt;='EDT Y TAREAS'!AK42,85&lt;'EDT Y TAREAS'!AL42),'EDT Y TAREAS'!AF42/'EDT Y TAREAS'!M42,0),IF(AND(85&gt;='EDT Y TAREAS'!AK45,85&lt;'EDT Y TAREAS'!AL45),'EDT Y TAREAS'!AF45/'EDT Y TAREAS'!M45,0),IF(AND(85&gt;='EDT Y TAREAS'!AK49,85&lt;'EDT Y TAREAS'!AL49),'EDT Y TAREAS'!AF49/'EDT Y TAREAS'!M49,0),IF(AND(85&gt;='EDT Y TAREAS'!AK52,85&lt;'EDT Y TAREAS'!AL52),'EDT Y TAREAS'!AF52/'EDT Y TAREAS'!M52,0))</x:f>
        <x:v>0</x:v>
      </x:c>
      <x:c r="E125" s="35" t="n">
        <x:f>SUM(IF(AND(85&gt;='EDT Y TAREAS'!AK29,85&lt;'EDT Y TAREAS'!AL29),'EDT Y TAREAS'!AG29/'EDT Y TAREAS'!M29,0),IF(AND(85&gt;='EDT Y TAREAS'!AK30,85&lt;'EDT Y TAREAS'!AL30),'EDT Y TAREAS'!AG30/'EDT Y TAREAS'!M30,0),IF(AND(85&gt;='EDT Y TAREAS'!AK31,85&lt;'EDT Y TAREAS'!AL31),'EDT Y TAREAS'!AG31/'EDT Y TAREAS'!M31,0),IF(AND(85&gt;='EDT Y TAREAS'!AK32,85&lt;'EDT Y TAREAS'!AL32),'EDT Y TAREAS'!AG32/'EDT Y TAREAS'!M32,0),IF(AND(85&gt;='EDT Y TAREAS'!AK41,85&lt;'EDT Y TAREAS'!AL41),'EDT Y TAREAS'!AG41/'EDT Y TAREAS'!M41,0),IF(AND(85&gt;='EDT Y TAREAS'!AK45,85&lt;'EDT Y TAREAS'!AL45),'EDT Y TAREAS'!AG45/'EDT Y TAREAS'!M45,0),IF(AND(85&gt;='EDT Y TAREAS'!AK48,85&lt;'EDT Y TAREAS'!AL48),'EDT Y TAREAS'!AG48/'EDT Y TAREAS'!M48,0))</x:f>
        <x:v>5.6</x:v>
      </x:c>
      <x:c r="F125" s="35" t="n">
        <x:f>SUM(IF(AND(85&gt;='EDT Y TAREAS'!AK10,85&lt;'EDT Y TAREAS'!AL10),'EDT Y TAREAS'!AH10/'EDT Y TAREAS'!M10,0),IF(AND(85&gt;='EDT Y TAREAS'!AK12,85&lt;'EDT Y TAREAS'!AL12),'EDT Y TAREAS'!AH12/'EDT Y TAREAS'!M12,0),IF(AND(85&gt;='EDT Y TAREAS'!AK22,85&lt;'EDT Y TAREAS'!AL22),'EDT Y TAREAS'!AH22/'EDT Y TAREAS'!M22,0),IF(AND(85&gt;='EDT Y TAREAS'!AK23,85&lt;'EDT Y TAREAS'!AL23),'EDT Y TAREAS'!AH23/'EDT Y TAREAS'!M23,0),IF(AND(85&gt;='EDT Y TAREAS'!AK29,85&lt;'EDT Y TAREAS'!AL29),'EDT Y TAREAS'!AH29/'EDT Y TAREAS'!M29,0),IF(AND(85&gt;='EDT Y TAREAS'!AK30,85&lt;'EDT Y TAREAS'!AL30),'EDT Y TAREAS'!AH30/'EDT Y TAREAS'!M30,0),IF(AND(85&gt;='EDT Y TAREAS'!AK32,85&lt;'EDT Y TAREAS'!AL32),'EDT Y TAREAS'!AH32/'EDT Y TAREAS'!M32,0),IF(AND(85&gt;='EDT Y TAREAS'!AK41,85&lt;'EDT Y TAREAS'!AL41),'EDT Y TAREAS'!AH41/'EDT Y TAREAS'!M41,0),IF(AND(85&gt;='EDT Y TAREAS'!AK44,85&lt;'EDT Y TAREAS'!AL44),'EDT Y TAREAS'!AH44/'EDT Y TAREAS'!M44,0),IF(AND(85&gt;='EDT Y TAREAS'!AK46,85&lt;'EDT Y TAREAS'!AL46),'EDT Y TAREAS'!AH46/'EDT Y TAREAS'!M46,0),IF(AND(85&gt;='EDT Y TAREAS'!AK48,85&lt;'EDT Y TAREAS'!AL48),'EDT Y TAREAS'!AH48/'EDT Y TAREAS'!M48,0))</x:f>
        <x:v>0.8</x:v>
      </x:c>
      <x:c r="G125" s="35" t="n">
        <x:f>SUM(IF(AND(85&gt;='EDT Y TAREAS'!AK20,85&lt;'EDT Y TAREAS'!AL20),'EDT Y TAREAS'!AI20/'EDT Y TAREAS'!M20,0),IF(AND(85&gt;='EDT Y TAREAS'!AK25,85&lt;'EDT Y TAREAS'!AL25),'EDT Y TAREAS'!AI25/'EDT Y TAREAS'!M25,0),IF(AND(85&gt;='EDT Y TAREAS'!AK33,85&lt;'EDT Y TAREAS'!AL33),'EDT Y TAREAS'!AI33/'EDT Y TAREAS'!M33,0),IF(AND(85&gt;='EDT Y TAREAS'!AK34,85&lt;'EDT Y TAREAS'!AL34),'EDT Y TAREAS'!AI34/'EDT Y TAREAS'!M34,0),IF(AND(85&gt;='EDT Y TAREAS'!AK36,85&lt;'EDT Y TAREAS'!AL36),'EDT Y TAREAS'!AI36/'EDT Y TAREAS'!M36,0),IF(AND(85&gt;='EDT Y TAREAS'!AK39,85&lt;'EDT Y TAREAS'!AL39),'EDT Y TAREAS'!AI39/'EDT Y TAREAS'!M39,0),IF(AND(85&gt;='EDT Y TAREAS'!AK40,85&lt;'EDT Y TAREAS'!AL40),'EDT Y TAREAS'!AI40/'EDT Y TAREAS'!M40,0),IF(AND(85&gt;='EDT Y TAREAS'!AK42,85&lt;'EDT Y TAREAS'!AL42),'EDT Y TAREAS'!AI42/'EDT Y TAREAS'!M42,0),IF(AND(85&gt;='EDT Y TAREAS'!AK43,85&lt;'EDT Y TAREAS'!AL43),'EDT Y TAREAS'!AI43/'EDT Y TAREAS'!M43,0),IF(AND(85&gt;='EDT Y TAREAS'!AK44,85&lt;'EDT Y TAREAS'!AL44),'EDT Y TAREAS'!AI44/'EDT Y TAREAS'!M44,0),IF(AND(85&gt;='EDT Y TAREAS'!AK45,85&lt;'EDT Y TAREAS'!AL45),'EDT Y TAREAS'!AI45/'EDT Y TAREAS'!M45,0),IF(AND(85&gt;='EDT Y TAREAS'!AK46,85&lt;'EDT Y TAREAS'!AL46),'EDT Y TAREAS'!AI46/'EDT Y TAREAS'!M46,0),IF(AND(85&gt;='EDT Y TAREAS'!AK48,85&lt;'EDT Y TAREAS'!AL48),'EDT Y TAREAS'!AI48/'EDT Y TAREAS'!M48,0),IF(AND(85&gt;='EDT Y TAREAS'!AK50,85&lt;'EDT Y TAREAS'!AL50),'EDT Y TAREAS'!AI50/'EDT Y TAREAS'!M50,0),IF(AND(85&gt;='EDT Y TAREAS'!AK52,85&lt;'EDT Y TAREAS'!AL52),'EDT Y TAREAS'!AI52/'EDT Y TAREAS'!M52,0))</x:f>
        <x:v>0</x:v>
      </x:c>
      <x:c r="H125" s="35" t="n">
        <x:f>SUM(IF(AND(85&gt;='EDT Y TAREAS'!AK11,85&lt;'EDT Y TAREAS'!AL11),'EDT Y TAREAS'!AJ11/'EDT Y TAREAS'!M11,0),IF(AND(85&gt;='EDT Y TAREAS'!AK24,85&lt;'EDT Y TAREAS'!AL24),'EDT Y TAREAS'!AJ24/'EDT Y TAREAS'!M24,0),IF(AND(85&gt;='EDT Y TAREAS'!AK27,85&lt;'EDT Y TAREAS'!AL27),'EDT Y TAREAS'!AJ27/'EDT Y TAREAS'!M27,0),IF(AND(85&gt;='EDT Y TAREAS'!AK28,85&lt;'EDT Y TAREAS'!AL28),'EDT Y TAREAS'!AJ28/'EDT Y TAREAS'!M28,0),IF(AND(85&gt;='EDT Y TAREAS'!AK33,85&lt;'EDT Y TAREAS'!AL33),'EDT Y TAREAS'!AJ33/'EDT Y TAREAS'!M33,0),IF(AND(85&gt;='EDT Y TAREAS'!AK35,85&lt;'EDT Y TAREAS'!AL35),'EDT Y TAREAS'!AJ35/'EDT Y TAREAS'!M35,0),IF(AND(85&gt;='EDT Y TAREAS'!AK36,85&lt;'EDT Y TAREAS'!AL36),'EDT Y TAREAS'!AJ36/'EDT Y TAREAS'!M36,0),IF(AND(85&gt;='EDT Y TAREAS'!AK37,85&lt;'EDT Y TAREAS'!AL37),'EDT Y TAREAS'!AJ37/'EDT Y TAREAS'!M37,0),IF(AND(85&gt;='EDT Y TAREAS'!AK40,85&lt;'EDT Y TAREAS'!AL40),'EDT Y TAREAS'!AJ40/'EDT Y TAREAS'!M40,0),IF(AND(85&gt;='EDT Y TAREAS'!AK42,85&lt;'EDT Y TAREAS'!AL42),'EDT Y TAREAS'!AJ42/'EDT Y TAREAS'!M42,0),IF(AND(85&gt;='EDT Y TAREAS'!AK49,85&lt;'EDT Y TAREAS'!AL49),'EDT Y TAREAS'!AJ49/'EDT Y TAREAS'!M49,0),IF(AND(85&gt;='EDT Y TAREAS'!AK50,85&lt;'EDT Y TAREAS'!AL50),'EDT Y TAREAS'!AJ50/'EDT Y TAREAS'!M50,0),IF(AND(85&gt;='EDT Y TAREAS'!AK51,85&lt;'EDT Y TAREAS'!AL51),'EDT Y TAREAS'!AJ51/'EDT Y TAREAS'!M51,0),IF(AND(85&gt;='EDT Y TAREAS'!AK52,85&lt;'EDT Y TAREAS'!AL52),'EDT Y TAREAS'!AJ52/'EDT Y TAREAS'!M52,0))</x:f>
        <x:v>0</x:v>
      </x:c>
      <x:c r="I125" s="10" t="n">
        <x:f>WORKDAY('RESUMEN'!$D$3-1,A125,'RESUMEN'!$J$6:$J$25)</x:f>
        <x:v>46447</x:v>
      </x:c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  <x:c r="AC125" s="3"/>
      <x:c r="AD125" s="3"/>
      <x:c r="AE125" s="3"/>
      <x:c r="AF125" s="3"/>
      <x:c r="AG125" s="3"/>
      <x:c r="AH125" s="3"/>
      <x:c r="AI125" s="3"/>
      <x:c r="AJ125" s="3"/>
      <x:c r="AK125" s="3"/>
      <x:c r="AL125" s="3"/>
      <x:c r="AM125" s="3"/>
      <x:c r="AN125" s="3"/>
      <x:c r="AO125" s="3"/>
    </x:row>
    <x:row r="126" ht="24" customHeight="1">
      <x:c r="A126" s="3" t="n">
        <x:v>87</x:v>
      </x:c>
      <x:c r="B126" s="35" t="n">
        <x:f>SUM(IF(AND(86&gt;='EDT Y TAREAS'!AK6,86&lt;'EDT Y TAREAS'!AL6),'EDT Y TAREAS'!AD6/'EDT Y TAREAS'!M6,0),IF(AND(86&gt;='EDT Y TAREAS'!AK7,86&lt;'EDT Y TAREAS'!AL7),'EDT Y TAREAS'!AD7/'EDT Y TAREAS'!M7,0),IF(AND(86&gt;='EDT Y TAREAS'!AK8,86&lt;'EDT Y TAREAS'!AL8),'EDT Y TAREAS'!AD8/'EDT Y TAREAS'!M8,0),IF(AND(86&gt;='EDT Y TAREAS'!AK9,86&lt;'EDT Y TAREAS'!AL9),'EDT Y TAREAS'!AD9/'EDT Y TAREAS'!M9,0),IF(AND(86&gt;='EDT Y TAREAS'!AK10,86&lt;'EDT Y TAREAS'!AL10),'EDT Y TAREAS'!AD10/'EDT Y TAREAS'!M10,0),IF(AND(86&gt;='EDT Y TAREAS'!AK11,86&lt;'EDT Y TAREAS'!AL11),'EDT Y TAREAS'!AD11/'EDT Y TAREAS'!M11,0),IF(AND(86&gt;='EDT Y TAREAS'!AK12,86&lt;'EDT Y TAREAS'!AL12),'EDT Y TAREAS'!AD12/'EDT Y TAREAS'!M12,0),IF(AND(86&gt;='EDT Y TAREAS'!AK13,86&lt;'EDT Y TAREAS'!AL13),'EDT Y TAREAS'!AD13/'EDT Y TAREAS'!M13,0),IF(AND(86&gt;='EDT Y TAREAS'!AK14,86&lt;'EDT Y TAREAS'!AL14),'EDT Y TAREAS'!AD14/'EDT Y TAREAS'!M14,0),IF(AND(86&gt;='EDT Y TAREAS'!AK15,86&lt;'EDT Y TAREAS'!AL15),'EDT Y TAREAS'!AD15/'EDT Y TAREAS'!M15,0),IF(AND(86&gt;='EDT Y TAREAS'!AK16,86&lt;'EDT Y TAREAS'!AL16),'EDT Y TAREAS'!AD16/'EDT Y TAREAS'!M16,0),IF(AND(86&gt;='EDT Y TAREAS'!AK17,86&lt;'EDT Y TAREAS'!AL17),'EDT Y TAREAS'!AD17/'EDT Y TAREAS'!M17,0),IF(AND(86&gt;='EDT Y TAREAS'!AK18,86&lt;'EDT Y TAREAS'!AL18),'EDT Y TAREAS'!AD18/'EDT Y TAREAS'!M18,0),IF(AND(86&gt;='EDT Y TAREAS'!AK19,86&lt;'EDT Y TAREAS'!AL19),'EDT Y TAREAS'!AD19/'EDT Y TAREAS'!M19,0),IF(AND(86&gt;='EDT Y TAREAS'!AK20,86&lt;'EDT Y TAREAS'!AL20),'EDT Y TAREAS'!AD20/'EDT Y TAREAS'!M20,0),IF(AND(86&gt;='EDT Y TAREAS'!AK21,86&lt;'EDT Y TAREAS'!AL21),'EDT Y TAREAS'!AD21/'EDT Y TAREAS'!M21,0),IF(AND(86&gt;='EDT Y TAREAS'!AK22,86&lt;'EDT Y TAREAS'!AL22),'EDT Y TAREAS'!AD22/'EDT Y TAREAS'!M22,0),IF(AND(86&gt;='EDT Y TAREAS'!AK23,86&lt;'EDT Y TAREAS'!AL23),'EDT Y TAREAS'!AD23/'EDT Y TAREAS'!M23,0),IF(AND(86&gt;='EDT Y TAREAS'!AK26,86&lt;'EDT Y TAREAS'!AL26),'EDT Y TAREAS'!AD26/'EDT Y TAREAS'!M26,0),IF(AND(86&gt;='EDT Y TAREAS'!AK28,86&lt;'EDT Y TAREAS'!AL28),'EDT Y TAREAS'!AD28/'EDT Y TAREAS'!M28,0),IF(AND(86&gt;='EDT Y TAREAS'!AK30,86&lt;'EDT Y TAREAS'!AL30),'EDT Y TAREAS'!AD30/'EDT Y TAREAS'!M30,0),IF(AND(86&gt;='EDT Y TAREAS'!AK32,86&lt;'EDT Y TAREAS'!AL32),'EDT Y TAREAS'!AD32/'EDT Y TAREAS'!M32,0),IF(AND(86&gt;='EDT Y TAREAS'!AK34,86&lt;'EDT Y TAREAS'!AL34),'EDT Y TAREAS'!AD34/'EDT Y TAREAS'!M34,0),IF(AND(86&gt;='EDT Y TAREAS'!AK38,86&lt;'EDT Y TAREAS'!AL38),'EDT Y TAREAS'!AD38/'EDT Y TAREAS'!M38,0),IF(AND(86&gt;='EDT Y TAREAS'!AK39,86&lt;'EDT Y TAREAS'!AL39),'EDT Y TAREAS'!AD39/'EDT Y TAREAS'!M39,0),IF(AND(86&gt;='EDT Y TAREAS'!AK43,86&lt;'EDT Y TAREAS'!AL43),'EDT Y TAREAS'!AD43/'EDT Y TAREAS'!M43,0),IF(AND(86&gt;='EDT Y TAREAS'!AK44,86&lt;'EDT Y TAREAS'!AL44),'EDT Y TAREAS'!AD44/'EDT Y TAREAS'!M44,0),IF(AND(86&gt;='EDT Y TAREAS'!AK45,86&lt;'EDT Y TAREAS'!AL45),'EDT Y TAREAS'!AD45/'EDT Y TAREAS'!M45,0),IF(AND(86&gt;='EDT Y TAREAS'!AK46,86&lt;'EDT Y TAREAS'!AL46),'EDT Y TAREAS'!AD46/'EDT Y TAREAS'!M46,0),IF(AND(86&gt;='EDT Y TAREAS'!AK47,86&lt;'EDT Y TAREAS'!AL47),'EDT Y TAREAS'!AD47/'EDT Y TAREAS'!M47,0),IF(AND(86&gt;='EDT Y TAREAS'!AK49,86&lt;'EDT Y TAREAS'!AL49),'EDT Y TAREAS'!AD49/'EDT Y TAREAS'!M49,0),IF(AND(86&gt;='EDT Y TAREAS'!AK50,86&lt;'EDT Y TAREAS'!AL50),'EDT Y TAREAS'!AD50/'EDT Y TAREAS'!M50,0),IF(AND(86&gt;='EDT Y TAREAS'!AK51,86&lt;'EDT Y TAREAS'!AL51),'EDT Y TAREAS'!AD51/'EDT Y TAREAS'!M51,0),IF(AND(86&gt;='EDT Y TAREAS'!AK52,86&lt;'EDT Y TAREAS'!AL52),'EDT Y TAREAS'!AD52/'EDT Y TAREAS'!M52,0))</x:f>
        <x:v>1.2</x:v>
      </x:c>
      <x:c r="C126" s="35" t="n">
        <x:f>SUM(IF(AND(86&gt;='EDT Y TAREAS'!AK6,86&lt;'EDT Y TAREAS'!AL6),'EDT Y TAREAS'!AE6/'EDT Y TAREAS'!M6,0),IF(AND(86&gt;='EDT Y TAREAS'!AK8,86&lt;'EDT Y TAREAS'!AL8),'EDT Y TAREAS'!AE8/'EDT Y TAREAS'!M8,0),IF(AND(86&gt;='EDT Y TAREAS'!AK9,86&lt;'EDT Y TAREAS'!AL9),'EDT Y TAREAS'!AE9/'EDT Y TAREAS'!M9,0),IF(AND(86&gt;='EDT Y TAREAS'!AK10,86&lt;'EDT Y TAREAS'!AL10),'EDT Y TAREAS'!AE10/'EDT Y TAREAS'!M10,0),IF(AND(86&gt;='EDT Y TAREAS'!AK12,86&lt;'EDT Y TAREAS'!AL12),'EDT Y TAREAS'!AE12/'EDT Y TAREAS'!M12,0),IF(AND(86&gt;='EDT Y TAREAS'!AK16,86&lt;'EDT Y TAREAS'!AL16),'EDT Y TAREAS'!AE16/'EDT Y TAREAS'!M16,0),IF(AND(86&gt;='EDT Y TAREAS'!AK21,86&lt;'EDT Y TAREAS'!AL21),'EDT Y TAREAS'!AE21/'EDT Y TAREAS'!M21,0),IF(AND(86&gt;='EDT Y TAREAS'!AK23,86&lt;'EDT Y TAREAS'!AL23),'EDT Y TAREAS'!AE23/'EDT Y TAREAS'!M23,0),IF(AND(86&gt;='EDT Y TAREAS'!AK37,86&lt;'EDT Y TAREAS'!AL37),'EDT Y TAREAS'!AE37/'EDT Y TAREAS'!M37,0),IF(AND(86&gt;='EDT Y TAREAS'!AK38,86&lt;'EDT Y TAREAS'!AL38),'EDT Y TAREAS'!AE38/'EDT Y TAREAS'!M38,0),IF(AND(86&gt;='EDT Y TAREAS'!AK41,86&lt;'EDT Y TAREAS'!AL41),'EDT Y TAREAS'!AE41/'EDT Y TAREAS'!M41,0),IF(AND(86&gt;='EDT Y TAREAS'!AK43,86&lt;'EDT Y TAREAS'!AL43),'EDT Y TAREAS'!AE43/'EDT Y TAREAS'!M43,0),IF(AND(86&gt;='EDT Y TAREAS'!AK44,86&lt;'EDT Y TAREAS'!AL44),'EDT Y TAREAS'!AE44/'EDT Y TAREAS'!M44,0),IF(AND(86&gt;='EDT Y TAREAS'!AK46,86&lt;'EDT Y TAREAS'!AL46),'EDT Y TAREAS'!AE46/'EDT Y TAREAS'!M46,0),IF(AND(86&gt;='EDT Y TAREAS'!AK47,86&lt;'EDT Y TAREAS'!AL47),'EDT Y TAREAS'!AE47/'EDT Y TAREAS'!M47,0),IF(AND(86&gt;='EDT Y TAREAS'!AK51,86&lt;'EDT Y TAREAS'!AL51),'EDT Y TAREAS'!AE51/'EDT Y TAREAS'!M51,0),IF(AND(86&gt;='EDT Y TAREAS'!AK52,86&lt;'EDT Y TAREAS'!AL52),'EDT Y TAREAS'!AE52/'EDT Y TAREAS'!M52,0))</x:f>
        <x:v>0</x:v>
      </x:c>
      <x:c r="D126" s="35" t="n">
        <x:f>SUM(IF(AND(86&gt;='EDT Y TAREAS'!AK11,86&lt;'EDT Y TAREAS'!AL11),'EDT Y TAREAS'!AF11/'EDT Y TAREAS'!M11,0),IF(AND(86&gt;='EDT Y TAREAS'!AK24,86&lt;'EDT Y TAREAS'!AL24),'EDT Y TAREAS'!AF24/'EDT Y TAREAS'!M24,0),IF(AND(86&gt;='EDT Y TAREAS'!AK25,86&lt;'EDT Y TAREAS'!AL25),'EDT Y TAREAS'!AF25/'EDT Y TAREAS'!M25,0),IF(AND(86&gt;='EDT Y TAREAS'!AK26,86&lt;'EDT Y TAREAS'!AL26),'EDT Y TAREAS'!AF26/'EDT Y TAREAS'!M26,0),IF(AND(86&gt;='EDT Y TAREAS'!AK27,86&lt;'EDT Y TAREAS'!AL27),'EDT Y TAREAS'!AF27/'EDT Y TAREAS'!M27,0),IF(AND(86&gt;='EDT Y TAREAS'!AK28,86&lt;'EDT Y TAREAS'!AL28),'EDT Y TAREAS'!AF28/'EDT Y TAREAS'!M28,0),IF(AND(86&gt;='EDT Y TAREAS'!AK31,86&lt;'EDT Y TAREAS'!AL31),'EDT Y TAREAS'!AF31/'EDT Y TAREAS'!M31,0),IF(AND(86&gt;='EDT Y TAREAS'!AK33,86&lt;'EDT Y TAREAS'!AL33),'EDT Y TAREAS'!AF33/'EDT Y TAREAS'!M33,0),IF(AND(86&gt;='EDT Y TAREAS'!AK34,86&lt;'EDT Y TAREAS'!AL34),'EDT Y TAREAS'!AF34/'EDT Y TAREAS'!M34,0),IF(AND(86&gt;='EDT Y TAREAS'!AK35,86&lt;'EDT Y TAREAS'!AL35),'EDT Y TAREAS'!AF35/'EDT Y TAREAS'!M35,0),IF(AND(86&gt;='EDT Y TAREAS'!AK37,86&lt;'EDT Y TAREAS'!AL37),'EDT Y TAREAS'!AF37/'EDT Y TAREAS'!M37,0),IF(AND(86&gt;='EDT Y TAREAS'!AK39,86&lt;'EDT Y TAREAS'!AL39),'EDT Y TAREAS'!AF39/'EDT Y TAREAS'!M39,0),IF(AND(86&gt;='EDT Y TAREAS'!AK40,86&lt;'EDT Y TAREAS'!AL40),'EDT Y TAREAS'!AF40/'EDT Y TAREAS'!M40,0),IF(AND(86&gt;='EDT Y TAREAS'!AK42,86&lt;'EDT Y TAREAS'!AL42),'EDT Y TAREAS'!AF42/'EDT Y TAREAS'!M42,0),IF(AND(86&gt;='EDT Y TAREAS'!AK45,86&lt;'EDT Y TAREAS'!AL45),'EDT Y TAREAS'!AF45/'EDT Y TAREAS'!M45,0),IF(AND(86&gt;='EDT Y TAREAS'!AK49,86&lt;'EDT Y TAREAS'!AL49),'EDT Y TAREAS'!AF49/'EDT Y TAREAS'!M49,0),IF(AND(86&gt;='EDT Y TAREAS'!AK52,86&lt;'EDT Y TAREAS'!AL52),'EDT Y TAREAS'!AF52/'EDT Y TAREAS'!M52,0))</x:f>
        <x:v>0</x:v>
      </x:c>
      <x:c r="E126" s="35" t="n">
        <x:f>SUM(IF(AND(86&gt;='EDT Y TAREAS'!AK29,86&lt;'EDT Y TAREAS'!AL29),'EDT Y TAREAS'!AG29/'EDT Y TAREAS'!M29,0),IF(AND(86&gt;='EDT Y TAREAS'!AK30,86&lt;'EDT Y TAREAS'!AL30),'EDT Y TAREAS'!AG30/'EDT Y TAREAS'!M30,0),IF(AND(86&gt;='EDT Y TAREAS'!AK31,86&lt;'EDT Y TAREAS'!AL31),'EDT Y TAREAS'!AG31/'EDT Y TAREAS'!M31,0),IF(AND(86&gt;='EDT Y TAREAS'!AK32,86&lt;'EDT Y TAREAS'!AL32),'EDT Y TAREAS'!AG32/'EDT Y TAREAS'!M32,0),IF(AND(86&gt;='EDT Y TAREAS'!AK41,86&lt;'EDT Y TAREAS'!AL41),'EDT Y TAREAS'!AG41/'EDT Y TAREAS'!M41,0),IF(AND(86&gt;='EDT Y TAREAS'!AK45,86&lt;'EDT Y TAREAS'!AL45),'EDT Y TAREAS'!AG45/'EDT Y TAREAS'!M45,0),IF(AND(86&gt;='EDT Y TAREAS'!AK48,86&lt;'EDT Y TAREAS'!AL48),'EDT Y TAREAS'!AG48/'EDT Y TAREAS'!M48,0))</x:f>
        <x:v>5.6</x:v>
      </x:c>
      <x:c r="F126" s="35" t="n">
        <x:f>SUM(IF(AND(86&gt;='EDT Y TAREAS'!AK10,86&lt;'EDT Y TAREAS'!AL10),'EDT Y TAREAS'!AH10/'EDT Y TAREAS'!M10,0),IF(AND(86&gt;='EDT Y TAREAS'!AK12,86&lt;'EDT Y TAREAS'!AL12),'EDT Y TAREAS'!AH12/'EDT Y TAREAS'!M12,0),IF(AND(86&gt;='EDT Y TAREAS'!AK22,86&lt;'EDT Y TAREAS'!AL22),'EDT Y TAREAS'!AH22/'EDT Y TAREAS'!M22,0),IF(AND(86&gt;='EDT Y TAREAS'!AK23,86&lt;'EDT Y TAREAS'!AL23),'EDT Y TAREAS'!AH23/'EDT Y TAREAS'!M23,0),IF(AND(86&gt;='EDT Y TAREAS'!AK29,86&lt;'EDT Y TAREAS'!AL29),'EDT Y TAREAS'!AH29/'EDT Y TAREAS'!M29,0),IF(AND(86&gt;='EDT Y TAREAS'!AK30,86&lt;'EDT Y TAREAS'!AL30),'EDT Y TAREAS'!AH30/'EDT Y TAREAS'!M30,0),IF(AND(86&gt;='EDT Y TAREAS'!AK32,86&lt;'EDT Y TAREAS'!AL32),'EDT Y TAREAS'!AH32/'EDT Y TAREAS'!M32,0),IF(AND(86&gt;='EDT Y TAREAS'!AK41,86&lt;'EDT Y TAREAS'!AL41),'EDT Y TAREAS'!AH41/'EDT Y TAREAS'!M41,0),IF(AND(86&gt;='EDT Y TAREAS'!AK44,86&lt;'EDT Y TAREAS'!AL44),'EDT Y TAREAS'!AH44/'EDT Y TAREAS'!M44,0),IF(AND(86&gt;='EDT Y TAREAS'!AK46,86&lt;'EDT Y TAREAS'!AL46),'EDT Y TAREAS'!AH46/'EDT Y TAREAS'!M46,0),IF(AND(86&gt;='EDT Y TAREAS'!AK48,86&lt;'EDT Y TAREAS'!AL48),'EDT Y TAREAS'!AH48/'EDT Y TAREAS'!M48,0))</x:f>
        <x:v>0.8</x:v>
      </x:c>
      <x:c r="G126" s="35" t="n">
        <x:f>SUM(IF(AND(86&gt;='EDT Y TAREAS'!AK20,86&lt;'EDT Y TAREAS'!AL20),'EDT Y TAREAS'!AI20/'EDT Y TAREAS'!M20,0),IF(AND(86&gt;='EDT Y TAREAS'!AK25,86&lt;'EDT Y TAREAS'!AL25),'EDT Y TAREAS'!AI25/'EDT Y TAREAS'!M25,0),IF(AND(86&gt;='EDT Y TAREAS'!AK33,86&lt;'EDT Y TAREAS'!AL33),'EDT Y TAREAS'!AI33/'EDT Y TAREAS'!M33,0),IF(AND(86&gt;='EDT Y TAREAS'!AK34,86&lt;'EDT Y TAREAS'!AL34),'EDT Y TAREAS'!AI34/'EDT Y TAREAS'!M34,0),IF(AND(86&gt;='EDT Y TAREAS'!AK36,86&lt;'EDT Y TAREAS'!AL36),'EDT Y TAREAS'!AI36/'EDT Y TAREAS'!M36,0),IF(AND(86&gt;='EDT Y TAREAS'!AK39,86&lt;'EDT Y TAREAS'!AL39),'EDT Y TAREAS'!AI39/'EDT Y TAREAS'!M39,0),IF(AND(86&gt;='EDT Y TAREAS'!AK40,86&lt;'EDT Y TAREAS'!AL40),'EDT Y TAREAS'!AI40/'EDT Y TAREAS'!M40,0),IF(AND(86&gt;='EDT Y TAREAS'!AK42,86&lt;'EDT Y TAREAS'!AL42),'EDT Y TAREAS'!AI42/'EDT Y TAREAS'!M42,0),IF(AND(86&gt;='EDT Y TAREAS'!AK43,86&lt;'EDT Y TAREAS'!AL43),'EDT Y TAREAS'!AI43/'EDT Y TAREAS'!M43,0),IF(AND(86&gt;='EDT Y TAREAS'!AK44,86&lt;'EDT Y TAREAS'!AL44),'EDT Y TAREAS'!AI44/'EDT Y TAREAS'!M44,0),IF(AND(86&gt;='EDT Y TAREAS'!AK45,86&lt;'EDT Y TAREAS'!AL45),'EDT Y TAREAS'!AI45/'EDT Y TAREAS'!M45,0),IF(AND(86&gt;='EDT Y TAREAS'!AK46,86&lt;'EDT Y TAREAS'!AL46),'EDT Y TAREAS'!AI46/'EDT Y TAREAS'!M46,0),IF(AND(86&gt;='EDT Y TAREAS'!AK48,86&lt;'EDT Y TAREAS'!AL48),'EDT Y TAREAS'!AI48/'EDT Y TAREAS'!M48,0),IF(AND(86&gt;='EDT Y TAREAS'!AK50,86&lt;'EDT Y TAREAS'!AL50),'EDT Y TAREAS'!AI50/'EDT Y TAREAS'!M50,0),IF(AND(86&gt;='EDT Y TAREAS'!AK52,86&lt;'EDT Y TAREAS'!AL52),'EDT Y TAREAS'!AI52/'EDT Y TAREAS'!M52,0))</x:f>
        <x:v>0</x:v>
      </x:c>
      <x:c r="H126" s="35" t="n">
        <x:f>SUM(IF(AND(86&gt;='EDT Y TAREAS'!AK11,86&lt;'EDT Y TAREAS'!AL11),'EDT Y TAREAS'!AJ11/'EDT Y TAREAS'!M11,0),IF(AND(86&gt;='EDT Y TAREAS'!AK24,86&lt;'EDT Y TAREAS'!AL24),'EDT Y TAREAS'!AJ24/'EDT Y TAREAS'!M24,0),IF(AND(86&gt;='EDT Y TAREAS'!AK27,86&lt;'EDT Y TAREAS'!AL27),'EDT Y TAREAS'!AJ27/'EDT Y TAREAS'!M27,0),IF(AND(86&gt;='EDT Y TAREAS'!AK28,86&lt;'EDT Y TAREAS'!AL28),'EDT Y TAREAS'!AJ28/'EDT Y TAREAS'!M28,0),IF(AND(86&gt;='EDT Y TAREAS'!AK33,86&lt;'EDT Y TAREAS'!AL33),'EDT Y TAREAS'!AJ33/'EDT Y TAREAS'!M33,0),IF(AND(86&gt;='EDT Y TAREAS'!AK35,86&lt;'EDT Y TAREAS'!AL35),'EDT Y TAREAS'!AJ35/'EDT Y TAREAS'!M35,0),IF(AND(86&gt;='EDT Y TAREAS'!AK36,86&lt;'EDT Y TAREAS'!AL36),'EDT Y TAREAS'!AJ36/'EDT Y TAREAS'!M36,0),IF(AND(86&gt;='EDT Y TAREAS'!AK37,86&lt;'EDT Y TAREAS'!AL37),'EDT Y TAREAS'!AJ37/'EDT Y TAREAS'!M37,0),IF(AND(86&gt;='EDT Y TAREAS'!AK40,86&lt;'EDT Y TAREAS'!AL40),'EDT Y TAREAS'!AJ40/'EDT Y TAREAS'!M40,0),IF(AND(86&gt;='EDT Y TAREAS'!AK42,86&lt;'EDT Y TAREAS'!AL42),'EDT Y TAREAS'!AJ42/'EDT Y TAREAS'!M42,0),IF(AND(86&gt;='EDT Y TAREAS'!AK49,86&lt;'EDT Y TAREAS'!AL49),'EDT Y TAREAS'!AJ49/'EDT Y TAREAS'!M49,0),IF(AND(86&gt;='EDT Y TAREAS'!AK50,86&lt;'EDT Y TAREAS'!AL50),'EDT Y TAREAS'!AJ50/'EDT Y TAREAS'!M50,0),IF(AND(86&gt;='EDT Y TAREAS'!AK51,86&lt;'EDT Y TAREAS'!AL51),'EDT Y TAREAS'!AJ51/'EDT Y TAREAS'!M51,0),IF(AND(86&gt;='EDT Y TAREAS'!AK52,86&lt;'EDT Y TAREAS'!AL52),'EDT Y TAREAS'!AJ52/'EDT Y TAREAS'!M52,0))</x:f>
        <x:v>0</x:v>
      </x:c>
      <x:c r="I126" s="10" t="n">
        <x:f>WORKDAY('RESUMEN'!$D$3-1,A126,'RESUMEN'!$J$6:$J$25)</x:f>
        <x:v>46448</x:v>
      </x:c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  <x:c r="AC126" s="3"/>
      <x:c r="AD126" s="3"/>
      <x:c r="AE126" s="3"/>
      <x:c r="AF126" s="3"/>
      <x:c r="AG126" s="3"/>
      <x:c r="AH126" s="3"/>
      <x:c r="AI126" s="3"/>
      <x:c r="AJ126" s="3"/>
      <x:c r="AK126" s="3"/>
      <x:c r="AL126" s="3"/>
      <x:c r="AM126" s="3"/>
      <x:c r="AN126" s="3"/>
      <x:c r="AO126" s="3"/>
    </x:row>
    <x:row r="127" ht="24" customHeight="1">
      <x:c r="A127" s="3" t="n">
        <x:v>88</x:v>
      </x:c>
      <x:c r="B127" s="35" t="n">
        <x:f>SUM(IF(AND(87&gt;='EDT Y TAREAS'!AK6,87&lt;'EDT Y TAREAS'!AL6),'EDT Y TAREAS'!AD6/'EDT Y TAREAS'!M6,0),IF(AND(87&gt;='EDT Y TAREAS'!AK7,87&lt;'EDT Y TAREAS'!AL7),'EDT Y TAREAS'!AD7/'EDT Y TAREAS'!M7,0),IF(AND(87&gt;='EDT Y TAREAS'!AK8,87&lt;'EDT Y TAREAS'!AL8),'EDT Y TAREAS'!AD8/'EDT Y TAREAS'!M8,0),IF(AND(87&gt;='EDT Y TAREAS'!AK9,87&lt;'EDT Y TAREAS'!AL9),'EDT Y TAREAS'!AD9/'EDT Y TAREAS'!M9,0),IF(AND(87&gt;='EDT Y TAREAS'!AK10,87&lt;'EDT Y TAREAS'!AL10),'EDT Y TAREAS'!AD10/'EDT Y TAREAS'!M10,0),IF(AND(87&gt;='EDT Y TAREAS'!AK11,87&lt;'EDT Y TAREAS'!AL11),'EDT Y TAREAS'!AD11/'EDT Y TAREAS'!M11,0),IF(AND(87&gt;='EDT Y TAREAS'!AK12,87&lt;'EDT Y TAREAS'!AL12),'EDT Y TAREAS'!AD12/'EDT Y TAREAS'!M12,0),IF(AND(87&gt;='EDT Y TAREAS'!AK13,87&lt;'EDT Y TAREAS'!AL13),'EDT Y TAREAS'!AD13/'EDT Y TAREAS'!M13,0),IF(AND(87&gt;='EDT Y TAREAS'!AK14,87&lt;'EDT Y TAREAS'!AL14),'EDT Y TAREAS'!AD14/'EDT Y TAREAS'!M14,0),IF(AND(87&gt;='EDT Y TAREAS'!AK15,87&lt;'EDT Y TAREAS'!AL15),'EDT Y TAREAS'!AD15/'EDT Y TAREAS'!M15,0),IF(AND(87&gt;='EDT Y TAREAS'!AK16,87&lt;'EDT Y TAREAS'!AL16),'EDT Y TAREAS'!AD16/'EDT Y TAREAS'!M16,0),IF(AND(87&gt;='EDT Y TAREAS'!AK17,87&lt;'EDT Y TAREAS'!AL17),'EDT Y TAREAS'!AD17/'EDT Y TAREAS'!M17,0),IF(AND(87&gt;='EDT Y TAREAS'!AK18,87&lt;'EDT Y TAREAS'!AL18),'EDT Y TAREAS'!AD18/'EDT Y TAREAS'!M18,0),IF(AND(87&gt;='EDT Y TAREAS'!AK19,87&lt;'EDT Y TAREAS'!AL19),'EDT Y TAREAS'!AD19/'EDT Y TAREAS'!M19,0),IF(AND(87&gt;='EDT Y TAREAS'!AK20,87&lt;'EDT Y TAREAS'!AL20),'EDT Y TAREAS'!AD20/'EDT Y TAREAS'!M20,0),IF(AND(87&gt;='EDT Y TAREAS'!AK21,87&lt;'EDT Y TAREAS'!AL21),'EDT Y TAREAS'!AD21/'EDT Y TAREAS'!M21,0),IF(AND(87&gt;='EDT Y TAREAS'!AK22,87&lt;'EDT Y TAREAS'!AL22),'EDT Y TAREAS'!AD22/'EDT Y TAREAS'!M22,0),IF(AND(87&gt;='EDT Y TAREAS'!AK23,87&lt;'EDT Y TAREAS'!AL23),'EDT Y TAREAS'!AD23/'EDT Y TAREAS'!M23,0),IF(AND(87&gt;='EDT Y TAREAS'!AK26,87&lt;'EDT Y TAREAS'!AL26),'EDT Y TAREAS'!AD26/'EDT Y TAREAS'!M26,0),IF(AND(87&gt;='EDT Y TAREAS'!AK28,87&lt;'EDT Y TAREAS'!AL28),'EDT Y TAREAS'!AD28/'EDT Y TAREAS'!M28,0),IF(AND(87&gt;='EDT Y TAREAS'!AK30,87&lt;'EDT Y TAREAS'!AL30),'EDT Y TAREAS'!AD30/'EDT Y TAREAS'!M30,0),IF(AND(87&gt;='EDT Y TAREAS'!AK32,87&lt;'EDT Y TAREAS'!AL32),'EDT Y TAREAS'!AD32/'EDT Y TAREAS'!M32,0),IF(AND(87&gt;='EDT Y TAREAS'!AK34,87&lt;'EDT Y TAREAS'!AL34),'EDT Y TAREAS'!AD34/'EDT Y TAREAS'!M34,0),IF(AND(87&gt;='EDT Y TAREAS'!AK38,87&lt;'EDT Y TAREAS'!AL38),'EDT Y TAREAS'!AD38/'EDT Y TAREAS'!M38,0),IF(AND(87&gt;='EDT Y TAREAS'!AK39,87&lt;'EDT Y TAREAS'!AL39),'EDT Y TAREAS'!AD39/'EDT Y TAREAS'!M39,0),IF(AND(87&gt;='EDT Y TAREAS'!AK43,87&lt;'EDT Y TAREAS'!AL43),'EDT Y TAREAS'!AD43/'EDT Y TAREAS'!M43,0),IF(AND(87&gt;='EDT Y TAREAS'!AK44,87&lt;'EDT Y TAREAS'!AL44),'EDT Y TAREAS'!AD44/'EDT Y TAREAS'!M44,0),IF(AND(87&gt;='EDT Y TAREAS'!AK45,87&lt;'EDT Y TAREAS'!AL45),'EDT Y TAREAS'!AD45/'EDT Y TAREAS'!M45,0),IF(AND(87&gt;='EDT Y TAREAS'!AK46,87&lt;'EDT Y TAREAS'!AL46),'EDT Y TAREAS'!AD46/'EDT Y TAREAS'!M46,0),IF(AND(87&gt;='EDT Y TAREAS'!AK47,87&lt;'EDT Y TAREAS'!AL47),'EDT Y TAREAS'!AD47/'EDT Y TAREAS'!M47,0),IF(AND(87&gt;='EDT Y TAREAS'!AK49,87&lt;'EDT Y TAREAS'!AL49),'EDT Y TAREAS'!AD49/'EDT Y TAREAS'!M49,0),IF(AND(87&gt;='EDT Y TAREAS'!AK50,87&lt;'EDT Y TAREAS'!AL50),'EDT Y TAREAS'!AD50/'EDT Y TAREAS'!M50,0),IF(AND(87&gt;='EDT Y TAREAS'!AK51,87&lt;'EDT Y TAREAS'!AL51),'EDT Y TAREAS'!AD51/'EDT Y TAREAS'!M51,0),IF(AND(87&gt;='EDT Y TAREAS'!AK52,87&lt;'EDT Y TAREAS'!AL52),'EDT Y TAREAS'!AD52/'EDT Y TAREAS'!M52,0))</x:f>
        <x:v>1.2</x:v>
      </x:c>
      <x:c r="C127" s="35" t="n">
        <x:f>SUM(IF(AND(87&gt;='EDT Y TAREAS'!AK6,87&lt;'EDT Y TAREAS'!AL6),'EDT Y TAREAS'!AE6/'EDT Y TAREAS'!M6,0),IF(AND(87&gt;='EDT Y TAREAS'!AK8,87&lt;'EDT Y TAREAS'!AL8),'EDT Y TAREAS'!AE8/'EDT Y TAREAS'!M8,0),IF(AND(87&gt;='EDT Y TAREAS'!AK9,87&lt;'EDT Y TAREAS'!AL9),'EDT Y TAREAS'!AE9/'EDT Y TAREAS'!M9,0),IF(AND(87&gt;='EDT Y TAREAS'!AK10,87&lt;'EDT Y TAREAS'!AL10),'EDT Y TAREAS'!AE10/'EDT Y TAREAS'!M10,0),IF(AND(87&gt;='EDT Y TAREAS'!AK12,87&lt;'EDT Y TAREAS'!AL12),'EDT Y TAREAS'!AE12/'EDT Y TAREAS'!M12,0),IF(AND(87&gt;='EDT Y TAREAS'!AK16,87&lt;'EDT Y TAREAS'!AL16),'EDT Y TAREAS'!AE16/'EDT Y TAREAS'!M16,0),IF(AND(87&gt;='EDT Y TAREAS'!AK21,87&lt;'EDT Y TAREAS'!AL21),'EDT Y TAREAS'!AE21/'EDT Y TAREAS'!M21,0),IF(AND(87&gt;='EDT Y TAREAS'!AK23,87&lt;'EDT Y TAREAS'!AL23),'EDT Y TAREAS'!AE23/'EDT Y TAREAS'!M23,0),IF(AND(87&gt;='EDT Y TAREAS'!AK37,87&lt;'EDT Y TAREAS'!AL37),'EDT Y TAREAS'!AE37/'EDT Y TAREAS'!M37,0),IF(AND(87&gt;='EDT Y TAREAS'!AK38,87&lt;'EDT Y TAREAS'!AL38),'EDT Y TAREAS'!AE38/'EDT Y TAREAS'!M38,0),IF(AND(87&gt;='EDT Y TAREAS'!AK41,87&lt;'EDT Y TAREAS'!AL41),'EDT Y TAREAS'!AE41/'EDT Y TAREAS'!M41,0),IF(AND(87&gt;='EDT Y TAREAS'!AK43,87&lt;'EDT Y TAREAS'!AL43),'EDT Y TAREAS'!AE43/'EDT Y TAREAS'!M43,0),IF(AND(87&gt;='EDT Y TAREAS'!AK44,87&lt;'EDT Y TAREAS'!AL44),'EDT Y TAREAS'!AE44/'EDT Y TAREAS'!M44,0),IF(AND(87&gt;='EDT Y TAREAS'!AK46,87&lt;'EDT Y TAREAS'!AL46),'EDT Y TAREAS'!AE46/'EDT Y TAREAS'!M46,0),IF(AND(87&gt;='EDT Y TAREAS'!AK47,87&lt;'EDT Y TAREAS'!AL47),'EDT Y TAREAS'!AE47/'EDT Y TAREAS'!M47,0),IF(AND(87&gt;='EDT Y TAREAS'!AK51,87&lt;'EDT Y TAREAS'!AL51),'EDT Y TAREAS'!AE51/'EDT Y TAREAS'!M51,0),IF(AND(87&gt;='EDT Y TAREAS'!AK52,87&lt;'EDT Y TAREAS'!AL52),'EDT Y TAREAS'!AE52/'EDT Y TAREAS'!M52,0))</x:f>
        <x:v>0</x:v>
      </x:c>
      <x:c r="D127" s="35" t="n">
        <x:f>SUM(IF(AND(87&gt;='EDT Y TAREAS'!AK11,87&lt;'EDT Y TAREAS'!AL11),'EDT Y TAREAS'!AF11/'EDT Y TAREAS'!M11,0),IF(AND(87&gt;='EDT Y TAREAS'!AK24,87&lt;'EDT Y TAREAS'!AL24),'EDT Y TAREAS'!AF24/'EDT Y TAREAS'!M24,0),IF(AND(87&gt;='EDT Y TAREAS'!AK25,87&lt;'EDT Y TAREAS'!AL25),'EDT Y TAREAS'!AF25/'EDT Y TAREAS'!M25,0),IF(AND(87&gt;='EDT Y TAREAS'!AK26,87&lt;'EDT Y TAREAS'!AL26),'EDT Y TAREAS'!AF26/'EDT Y TAREAS'!M26,0),IF(AND(87&gt;='EDT Y TAREAS'!AK27,87&lt;'EDT Y TAREAS'!AL27),'EDT Y TAREAS'!AF27/'EDT Y TAREAS'!M27,0),IF(AND(87&gt;='EDT Y TAREAS'!AK28,87&lt;'EDT Y TAREAS'!AL28),'EDT Y TAREAS'!AF28/'EDT Y TAREAS'!M28,0),IF(AND(87&gt;='EDT Y TAREAS'!AK31,87&lt;'EDT Y TAREAS'!AL31),'EDT Y TAREAS'!AF31/'EDT Y TAREAS'!M31,0),IF(AND(87&gt;='EDT Y TAREAS'!AK33,87&lt;'EDT Y TAREAS'!AL33),'EDT Y TAREAS'!AF33/'EDT Y TAREAS'!M33,0),IF(AND(87&gt;='EDT Y TAREAS'!AK34,87&lt;'EDT Y TAREAS'!AL34),'EDT Y TAREAS'!AF34/'EDT Y TAREAS'!M34,0),IF(AND(87&gt;='EDT Y TAREAS'!AK35,87&lt;'EDT Y TAREAS'!AL35),'EDT Y TAREAS'!AF35/'EDT Y TAREAS'!M35,0),IF(AND(87&gt;='EDT Y TAREAS'!AK37,87&lt;'EDT Y TAREAS'!AL37),'EDT Y TAREAS'!AF37/'EDT Y TAREAS'!M37,0),IF(AND(87&gt;='EDT Y TAREAS'!AK39,87&lt;'EDT Y TAREAS'!AL39),'EDT Y TAREAS'!AF39/'EDT Y TAREAS'!M39,0),IF(AND(87&gt;='EDT Y TAREAS'!AK40,87&lt;'EDT Y TAREAS'!AL40),'EDT Y TAREAS'!AF40/'EDT Y TAREAS'!M40,0),IF(AND(87&gt;='EDT Y TAREAS'!AK42,87&lt;'EDT Y TAREAS'!AL42),'EDT Y TAREAS'!AF42/'EDT Y TAREAS'!M42,0),IF(AND(87&gt;='EDT Y TAREAS'!AK45,87&lt;'EDT Y TAREAS'!AL45),'EDT Y TAREAS'!AF45/'EDT Y TAREAS'!M45,0),IF(AND(87&gt;='EDT Y TAREAS'!AK49,87&lt;'EDT Y TAREAS'!AL49),'EDT Y TAREAS'!AF49/'EDT Y TAREAS'!M49,0),IF(AND(87&gt;='EDT Y TAREAS'!AK52,87&lt;'EDT Y TAREAS'!AL52),'EDT Y TAREAS'!AF52/'EDT Y TAREAS'!M52,0))</x:f>
        <x:v>0</x:v>
      </x:c>
      <x:c r="E127" s="35" t="n">
        <x:f>SUM(IF(AND(87&gt;='EDT Y TAREAS'!AK29,87&lt;'EDT Y TAREAS'!AL29),'EDT Y TAREAS'!AG29/'EDT Y TAREAS'!M29,0),IF(AND(87&gt;='EDT Y TAREAS'!AK30,87&lt;'EDT Y TAREAS'!AL30),'EDT Y TAREAS'!AG30/'EDT Y TAREAS'!M30,0),IF(AND(87&gt;='EDT Y TAREAS'!AK31,87&lt;'EDT Y TAREAS'!AL31),'EDT Y TAREAS'!AG31/'EDT Y TAREAS'!M31,0),IF(AND(87&gt;='EDT Y TAREAS'!AK32,87&lt;'EDT Y TAREAS'!AL32),'EDT Y TAREAS'!AG32/'EDT Y TAREAS'!M32,0),IF(AND(87&gt;='EDT Y TAREAS'!AK41,87&lt;'EDT Y TAREAS'!AL41),'EDT Y TAREAS'!AG41/'EDT Y TAREAS'!M41,0),IF(AND(87&gt;='EDT Y TAREAS'!AK45,87&lt;'EDT Y TAREAS'!AL45),'EDT Y TAREAS'!AG45/'EDT Y TAREAS'!M45,0),IF(AND(87&gt;='EDT Y TAREAS'!AK48,87&lt;'EDT Y TAREAS'!AL48),'EDT Y TAREAS'!AG48/'EDT Y TAREAS'!M48,0))</x:f>
        <x:v>5.6</x:v>
      </x:c>
      <x:c r="F127" s="35" t="n">
        <x:f>SUM(IF(AND(87&gt;='EDT Y TAREAS'!AK10,87&lt;'EDT Y TAREAS'!AL10),'EDT Y TAREAS'!AH10/'EDT Y TAREAS'!M10,0),IF(AND(87&gt;='EDT Y TAREAS'!AK12,87&lt;'EDT Y TAREAS'!AL12),'EDT Y TAREAS'!AH12/'EDT Y TAREAS'!M12,0),IF(AND(87&gt;='EDT Y TAREAS'!AK22,87&lt;'EDT Y TAREAS'!AL22),'EDT Y TAREAS'!AH22/'EDT Y TAREAS'!M22,0),IF(AND(87&gt;='EDT Y TAREAS'!AK23,87&lt;'EDT Y TAREAS'!AL23),'EDT Y TAREAS'!AH23/'EDT Y TAREAS'!M23,0),IF(AND(87&gt;='EDT Y TAREAS'!AK29,87&lt;'EDT Y TAREAS'!AL29),'EDT Y TAREAS'!AH29/'EDT Y TAREAS'!M29,0),IF(AND(87&gt;='EDT Y TAREAS'!AK30,87&lt;'EDT Y TAREAS'!AL30),'EDT Y TAREAS'!AH30/'EDT Y TAREAS'!M30,0),IF(AND(87&gt;='EDT Y TAREAS'!AK32,87&lt;'EDT Y TAREAS'!AL32),'EDT Y TAREAS'!AH32/'EDT Y TAREAS'!M32,0),IF(AND(87&gt;='EDT Y TAREAS'!AK41,87&lt;'EDT Y TAREAS'!AL41),'EDT Y TAREAS'!AH41/'EDT Y TAREAS'!M41,0),IF(AND(87&gt;='EDT Y TAREAS'!AK44,87&lt;'EDT Y TAREAS'!AL44),'EDT Y TAREAS'!AH44/'EDT Y TAREAS'!M44,0),IF(AND(87&gt;='EDT Y TAREAS'!AK46,87&lt;'EDT Y TAREAS'!AL46),'EDT Y TAREAS'!AH46/'EDT Y TAREAS'!M46,0),IF(AND(87&gt;='EDT Y TAREAS'!AK48,87&lt;'EDT Y TAREAS'!AL48),'EDT Y TAREAS'!AH48/'EDT Y TAREAS'!M48,0))</x:f>
        <x:v>0.8</x:v>
      </x:c>
      <x:c r="G127" s="35" t="n">
        <x:f>SUM(IF(AND(87&gt;='EDT Y TAREAS'!AK20,87&lt;'EDT Y TAREAS'!AL20),'EDT Y TAREAS'!AI20/'EDT Y TAREAS'!M20,0),IF(AND(87&gt;='EDT Y TAREAS'!AK25,87&lt;'EDT Y TAREAS'!AL25),'EDT Y TAREAS'!AI25/'EDT Y TAREAS'!M25,0),IF(AND(87&gt;='EDT Y TAREAS'!AK33,87&lt;'EDT Y TAREAS'!AL33),'EDT Y TAREAS'!AI33/'EDT Y TAREAS'!M33,0),IF(AND(87&gt;='EDT Y TAREAS'!AK34,87&lt;'EDT Y TAREAS'!AL34),'EDT Y TAREAS'!AI34/'EDT Y TAREAS'!M34,0),IF(AND(87&gt;='EDT Y TAREAS'!AK36,87&lt;'EDT Y TAREAS'!AL36),'EDT Y TAREAS'!AI36/'EDT Y TAREAS'!M36,0),IF(AND(87&gt;='EDT Y TAREAS'!AK39,87&lt;'EDT Y TAREAS'!AL39),'EDT Y TAREAS'!AI39/'EDT Y TAREAS'!M39,0),IF(AND(87&gt;='EDT Y TAREAS'!AK40,87&lt;'EDT Y TAREAS'!AL40),'EDT Y TAREAS'!AI40/'EDT Y TAREAS'!M40,0),IF(AND(87&gt;='EDT Y TAREAS'!AK42,87&lt;'EDT Y TAREAS'!AL42),'EDT Y TAREAS'!AI42/'EDT Y TAREAS'!M42,0),IF(AND(87&gt;='EDT Y TAREAS'!AK43,87&lt;'EDT Y TAREAS'!AL43),'EDT Y TAREAS'!AI43/'EDT Y TAREAS'!M43,0),IF(AND(87&gt;='EDT Y TAREAS'!AK44,87&lt;'EDT Y TAREAS'!AL44),'EDT Y TAREAS'!AI44/'EDT Y TAREAS'!M44,0),IF(AND(87&gt;='EDT Y TAREAS'!AK45,87&lt;'EDT Y TAREAS'!AL45),'EDT Y TAREAS'!AI45/'EDT Y TAREAS'!M45,0),IF(AND(87&gt;='EDT Y TAREAS'!AK46,87&lt;'EDT Y TAREAS'!AL46),'EDT Y TAREAS'!AI46/'EDT Y TAREAS'!M46,0),IF(AND(87&gt;='EDT Y TAREAS'!AK48,87&lt;'EDT Y TAREAS'!AL48),'EDT Y TAREAS'!AI48/'EDT Y TAREAS'!M48,0),IF(AND(87&gt;='EDT Y TAREAS'!AK50,87&lt;'EDT Y TAREAS'!AL50),'EDT Y TAREAS'!AI50/'EDT Y TAREAS'!M50,0),IF(AND(87&gt;='EDT Y TAREAS'!AK52,87&lt;'EDT Y TAREAS'!AL52),'EDT Y TAREAS'!AI52/'EDT Y TAREAS'!M52,0))</x:f>
        <x:v>0</x:v>
      </x:c>
      <x:c r="H127" s="35" t="n">
        <x:f>SUM(IF(AND(87&gt;='EDT Y TAREAS'!AK11,87&lt;'EDT Y TAREAS'!AL11),'EDT Y TAREAS'!AJ11/'EDT Y TAREAS'!M11,0),IF(AND(87&gt;='EDT Y TAREAS'!AK24,87&lt;'EDT Y TAREAS'!AL24),'EDT Y TAREAS'!AJ24/'EDT Y TAREAS'!M24,0),IF(AND(87&gt;='EDT Y TAREAS'!AK27,87&lt;'EDT Y TAREAS'!AL27),'EDT Y TAREAS'!AJ27/'EDT Y TAREAS'!M27,0),IF(AND(87&gt;='EDT Y TAREAS'!AK28,87&lt;'EDT Y TAREAS'!AL28),'EDT Y TAREAS'!AJ28/'EDT Y TAREAS'!M28,0),IF(AND(87&gt;='EDT Y TAREAS'!AK33,87&lt;'EDT Y TAREAS'!AL33),'EDT Y TAREAS'!AJ33/'EDT Y TAREAS'!M33,0),IF(AND(87&gt;='EDT Y TAREAS'!AK35,87&lt;'EDT Y TAREAS'!AL35),'EDT Y TAREAS'!AJ35/'EDT Y TAREAS'!M35,0),IF(AND(87&gt;='EDT Y TAREAS'!AK36,87&lt;'EDT Y TAREAS'!AL36),'EDT Y TAREAS'!AJ36/'EDT Y TAREAS'!M36,0),IF(AND(87&gt;='EDT Y TAREAS'!AK37,87&lt;'EDT Y TAREAS'!AL37),'EDT Y TAREAS'!AJ37/'EDT Y TAREAS'!M37,0),IF(AND(87&gt;='EDT Y TAREAS'!AK40,87&lt;'EDT Y TAREAS'!AL40),'EDT Y TAREAS'!AJ40/'EDT Y TAREAS'!M40,0),IF(AND(87&gt;='EDT Y TAREAS'!AK42,87&lt;'EDT Y TAREAS'!AL42),'EDT Y TAREAS'!AJ42/'EDT Y TAREAS'!M42,0),IF(AND(87&gt;='EDT Y TAREAS'!AK49,87&lt;'EDT Y TAREAS'!AL49),'EDT Y TAREAS'!AJ49/'EDT Y TAREAS'!M49,0),IF(AND(87&gt;='EDT Y TAREAS'!AK50,87&lt;'EDT Y TAREAS'!AL50),'EDT Y TAREAS'!AJ50/'EDT Y TAREAS'!M50,0),IF(AND(87&gt;='EDT Y TAREAS'!AK51,87&lt;'EDT Y TAREAS'!AL51),'EDT Y TAREAS'!AJ51/'EDT Y TAREAS'!M51,0),IF(AND(87&gt;='EDT Y TAREAS'!AK52,87&lt;'EDT Y TAREAS'!AL52),'EDT Y TAREAS'!AJ52/'EDT Y TAREAS'!M52,0))</x:f>
        <x:v>0</x:v>
      </x:c>
      <x:c r="I127" s="10" t="n">
        <x:f>WORKDAY('RESUMEN'!$D$3-1,A127,'RESUMEN'!$J$6:$J$25)</x:f>
        <x:v>46449</x:v>
      </x:c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  <x:c r="AC127" s="3"/>
      <x:c r="AD127" s="3"/>
      <x:c r="AE127" s="3"/>
      <x:c r="AF127" s="3"/>
      <x:c r="AG127" s="3"/>
      <x:c r="AH127" s="3"/>
      <x:c r="AI127" s="3"/>
      <x:c r="AJ127" s="3"/>
      <x:c r="AK127" s="3"/>
      <x:c r="AL127" s="3"/>
      <x:c r="AM127" s="3"/>
      <x:c r="AN127" s="3"/>
      <x:c r="AO127" s="3"/>
    </x:row>
    <x:row r="128" ht="24" customHeight="1">
      <x:c r="A128" s="3" t="n">
        <x:v>89</x:v>
      </x:c>
      <x:c r="B128" s="35" t="n">
        <x:f>SUM(IF(AND(88&gt;='EDT Y TAREAS'!AK6,88&lt;'EDT Y TAREAS'!AL6),'EDT Y TAREAS'!AD6/'EDT Y TAREAS'!M6,0),IF(AND(88&gt;='EDT Y TAREAS'!AK7,88&lt;'EDT Y TAREAS'!AL7),'EDT Y TAREAS'!AD7/'EDT Y TAREAS'!M7,0),IF(AND(88&gt;='EDT Y TAREAS'!AK8,88&lt;'EDT Y TAREAS'!AL8),'EDT Y TAREAS'!AD8/'EDT Y TAREAS'!M8,0),IF(AND(88&gt;='EDT Y TAREAS'!AK9,88&lt;'EDT Y TAREAS'!AL9),'EDT Y TAREAS'!AD9/'EDT Y TAREAS'!M9,0),IF(AND(88&gt;='EDT Y TAREAS'!AK10,88&lt;'EDT Y TAREAS'!AL10),'EDT Y TAREAS'!AD10/'EDT Y TAREAS'!M10,0),IF(AND(88&gt;='EDT Y TAREAS'!AK11,88&lt;'EDT Y TAREAS'!AL11),'EDT Y TAREAS'!AD11/'EDT Y TAREAS'!M11,0),IF(AND(88&gt;='EDT Y TAREAS'!AK12,88&lt;'EDT Y TAREAS'!AL12),'EDT Y TAREAS'!AD12/'EDT Y TAREAS'!M12,0),IF(AND(88&gt;='EDT Y TAREAS'!AK13,88&lt;'EDT Y TAREAS'!AL13),'EDT Y TAREAS'!AD13/'EDT Y TAREAS'!M13,0),IF(AND(88&gt;='EDT Y TAREAS'!AK14,88&lt;'EDT Y TAREAS'!AL14),'EDT Y TAREAS'!AD14/'EDT Y TAREAS'!M14,0),IF(AND(88&gt;='EDT Y TAREAS'!AK15,88&lt;'EDT Y TAREAS'!AL15),'EDT Y TAREAS'!AD15/'EDT Y TAREAS'!M15,0),IF(AND(88&gt;='EDT Y TAREAS'!AK16,88&lt;'EDT Y TAREAS'!AL16),'EDT Y TAREAS'!AD16/'EDT Y TAREAS'!M16,0),IF(AND(88&gt;='EDT Y TAREAS'!AK17,88&lt;'EDT Y TAREAS'!AL17),'EDT Y TAREAS'!AD17/'EDT Y TAREAS'!M17,0),IF(AND(88&gt;='EDT Y TAREAS'!AK18,88&lt;'EDT Y TAREAS'!AL18),'EDT Y TAREAS'!AD18/'EDT Y TAREAS'!M18,0),IF(AND(88&gt;='EDT Y TAREAS'!AK19,88&lt;'EDT Y TAREAS'!AL19),'EDT Y TAREAS'!AD19/'EDT Y TAREAS'!M19,0),IF(AND(88&gt;='EDT Y TAREAS'!AK20,88&lt;'EDT Y TAREAS'!AL20),'EDT Y TAREAS'!AD20/'EDT Y TAREAS'!M20,0),IF(AND(88&gt;='EDT Y TAREAS'!AK21,88&lt;'EDT Y TAREAS'!AL21),'EDT Y TAREAS'!AD21/'EDT Y TAREAS'!M21,0),IF(AND(88&gt;='EDT Y TAREAS'!AK22,88&lt;'EDT Y TAREAS'!AL22),'EDT Y TAREAS'!AD22/'EDT Y TAREAS'!M22,0),IF(AND(88&gt;='EDT Y TAREAS'!AK23,88&lt;'EDT Y TAREAS'!AL23),'EDT Y TAREAS'!AD23/'EDT Y TAREAS'!M23,0),IF(AND(88&gt;='EDT Y TAREAS'!AK26,88&lt;'EDT Y TAREAS'!AL26),'EDT Y TAREAS'!AD26/'EDT Y TAREAS'!M26,0),IF(AND(88&gt;='EDT Y TAREAS'!AK28,88&lt;'EDT Y TAREAS'!AL28),'EDT Y TAREAS'!AD28/'EDT Y TAREAS'!M28,0),IF(AND(88&gt;='EDT Y TAREAS'!AK30,88&lt;'EDT Y TAREAS'!AL30),'EDT Y TAREAS'!AD30/'EDT Y TAREAS'!M30,0),IF(AND(88&gt;='EDT Y TAREAS'!AK32,88&lt;'EDT Y TAREAS'!AL32),'EDT Y TAREAS'!AD32/'EDT Y TAREAS'!M32,0),IF(AND(88&gt;='EDT Y TAREAS'!AK34,88&lt;'EDT Y TAREAS'!AL34),'EDT Y TAREAS'!AD34/'EDT Y TAREAS'!M34,0),IF(AND(88&gt;='EDT Y TAREAS'!AK38,88&lt;'EDT Y TAREAS'!AL38),'EDT Y TAREAS'!AD38/'EDT Y TAREAS'!M38,0),IF(AND(88&gt;='EDT Y TAREAS'!AK39,88&lt;'EDT Y TAREAS'!AL39),'EDT Y TAREAS'!AD39/'EDT Y TAREAS'!M39,0),IF(AND(88&gt;='EDT Y TAREAS'!AK43,88&lt;'EDT Y TAREAS'!AL43),'EDT Y TAREAS'!AD43/'EDT Y TAREAS'!M43,0),IF(AND(88&gt;='EDT Y TAREAS'!AK44,88&lt;'EDT Y TAREAS'!AL44),'EDT Y TAREAS'!AD44/'EDT Y TAREAS'!M44,0),IF(AND(88&gt;='EDT Y TAREAS'!AK45,88&lt;'EDT Y TAREAS'!AL45),'EDT Y TAREAS'!AD45/'EDT Y TAREAS'!M45,0),IF(AND(88&gt;='EDT Y TAREAS'!AK46,88&lt;'EDT Y TAREAS'!AL46),'EDT Y TAREAS'!AD46/'EDT Y TAREAS'!M46,0),IF(AND(88&gt;='EDT Y TAREAS'!AK47,88&lt;'EDT Y TAREAS'!AL47),'EDT Y TAREAS'!AD47/'EDT Y TAREAS'!M47,0),IF(AND(88&gt;='EDT Y TAREAS'!AK49,88&lt;'EDT Y TAREAS'!AL49),'EDT Y TAREAS'!AD49/'EDT Y TAREAS'!M49,0),IF(AND(88&gt;='EDT Y TAREAS'!AK50,88&lt;'EDT Y TAREAS'!AL50),'EDT Y TAREAS'!AD50/'EDT Y TAREAS'!M50,0),IF(AND(88&gt;='EDT Y TAREAS'!AK51,88&lt;'EDT Y TAREAS'!AL51),'EDT Y TAREAS'!AD51/'EDT Y TAREAS'!M51,0),IF(AND(88&gt;='EDT Y TAREAS'!AK52,88&lt;'EDT Y TAREAS'!AL52),'EDT Y TAREAS'!AD52/'EDT Y TAREAS'!M52,0))</x:f>
        <x:v>1.2</x:v>
      </x:c>
      <x:c r="C128" s="35" t="n">
        <x:f>SUM(IF(AND(88&gt;='EDT Y TAREAS'!AK6,88&lt;'EDT Y TAREAS'!AL6),'EDT Y TAREAS'!AE6/'EDT Y TAREAS'!M6,0),IF(AND(88&gt;='EDT Y TAREAS'!AK8,88&lt;'EDT Y TAREAS'!AL8),'EDT Y TAREAS'!AE8/'EDT Y TAREAS'!M8,0),IF(AND(88&gt;='EDT Y TAREAS'!AK9,88&lt;'EDT Y TAREAS'!AL9),'EDT Y TAREAS'!AE9/'EDT Y TAREAS'!M9,0),IF(AND(88&gt;='EDT Y TAREAS'!AK10,88&lt;'EDT Y TAREAS'!AL10),'EDT Y TAREAS'!AE10/'EDT Y TAREAS'!M10,0),IF(AND(88&gt;='EDT Y TAREAS'!AK12,88&lt;'EDT Y TAREAS'!AL12),'EDT Y TAREAS'!AE12/'EDT Y TAREAS'!M12,0),IF(AND(88&gt;='EDT Y TAREAS'!AK16,88&lt;'EDT Y TAREAS'!AL16),'EDT Y TAREAS'!AE16/'EDT Y TAREAS'!M16,0),IF(AND(88&gt;='EDT Y TAREAS'!AK21,88&lt;'EDT Y TAREAS'!AL21),'EDT Y TAREAS'!AE21/'EDT Y TAREAS'!M21,0),IF(AND(88&gt;='EDT Y TAREAS'!AK23,88&lt;'EDT Y TAREAS'!AL23),'EDT Y TAREAS'!AE23/'EDT Y TAREAS'!M23,0),IF(AND(88&gt;='EDT Y TAREAS'!AK37,88&lt;'EDT Y TAREAS'!AL37),'EDT Y TAREAS'!AE37/'EDT Y TAREAS'!M37,0),IF(AND(88&gt;='EDT Y TAREAS'!AK38,88&lt;'EDT Y TAREAS'!AL38),'EDT Y TAREAS'!AE38/'EDT Y TAREAS'!M38,0),IF(AND(88&gt;='EDT Y TAREAS'!AK41,88&lt;'EDT Y TAREAS'!AL41),'EDT Y TAREAS'!AE41/'EDT Y TAREAS'!M41,0),IF(AND(88&gt;='EDT Y TAREAS'!AK43,88&lt;'EDT Y TAREAS'!AL43),'EDT Y TAREAS'!AE43/'EDT Y TAREAS'!M43,0),IF(AND(88&gt;='EDT Y TAREAS'!AK44,88&lt;'EDT Y TAREAS'!AL44),'EDT Y TAREAS'!AE44/'EDT Y TAREAS'!M44,0),IF(AND(88&gt;='EDT Y TAREAS'!AK46,88&lt;'EDT Y TAREAS'!AL46),'EDT Y TAREAS'!AE46/'EDT Y TAREAS'!M46,0),IF(AND(88&gt;='EDT Y TAREAS'!AK47,88&lt;'EDT Y TAREAS'!AL47),'EDT Y TAREAS'!AE47/'EDT Y TAREAS'!M47,0),IF(AND(88&gt;='EDT Y TAREAS'!AK51,88&lt;'EDT Y TAREAS'!AL51),'EDT Y TAREAS'!AE51/'EDT Y TAREAS'!M51,0),IF(AND(88&gt;='EDT Y TAREAS'!AK52,88&lt;'EDT Y TAREAS'!AL52),'EDT Y TAREAS'!AE52/'EDT Y TAREAS'!M52,0))</x:f>
        <x:v>0</x:v>
      </x:c>
      <x:c r="D128" s="35" t="n">
        <x:f>SUM(IF(AND(88&gt;='EDT Y TAREAS'!AK11,88&lt;'EDT Y TAREAS'!AL11),'EDT Y TAREAS'!AF11/'EDT Y TAREAS'!M11,0),IF(AND(88&gt;='EDT Y TAREAS'!AK24,88&lt;'EDT Y TAREAS'!AL24),'EDT Y TAREAS'!AF24/'EDT Y TAREAS'!M24,0),IF(AND(88&gt;='EDT Y TAREAS'!AK25,88&lt;'EDT Y TAREAS'!AL25),'EDT Y TAREAS'!AF25/'EDT Y TAREAS'!M25,0),IF(AND(88&gt;='EDT Y TAREAS'!AK26,88&lt;'EDT Y TAREAS'!AL26),'EDT Y TAREAS'!AF26/'EDT Y TAREAS'!M26,0),IF(AND(88&gt;='EDT Y TAREAS'!AK27,88&lt;'EDT Y TAREAS'!AL27),'EDT Y TAREAS'!AF27/'EDT Y TAREAS'!M27,0),IF(AND(88&gt;='EDT Y TAREAS'!AK28,88&lt;'EDT Y TAREAS'!AL28),'EDT Y TAREAS'!AF28/'EDT Y TAREAS'!M28,0),IF(AND(88&gt;='EDT Y TAREAS'!AK31,88&lt;'EDT Y TAREAS'!AL31),'EDT Y TAREAS'!AF31/'EDT Y TAREAS'!M31,0),IF(AND(88&gt;='EDT Y TAREAS'!AK33,88&lt;'EDT Y TAREAS'!AL33),'EDT Y TAREAS'!AF33/'EDT Y TAREAS'!M33,0),IF(AND(88&gt;='EDT Y TAREAS'!AK34,88&lt;'EDT Y TAREAS'!AL34),'EDT Y TAREAS'!AF34/'EDT Y TAREAS'!M34,0),IF(AND(88&gt;='EDT Y TAREAS'!AK35,88&lt;'EDT Y TAREAS'!AL35),'EDT Y TAREAS'!AF35/'EDT Y TAREAS'!M35,0),IF(AND(88&gt;='EDT Y TAREAS'!AK37,88&lt;'EDT Y TAREAS'!AL37),'EDT Y TAREAS'!AF37/'EDT Y TAREAS'!M37,0),IF(AND(88&gt;='EDT Y TAREAS'!AK39,88&lt;'EDT Y TAREAS'!AL39),'EDT Y TAREAS'!AF39/'EDT Y TAREAS'!M39,0),IF(AND(88&gt;='EDT Y TAREAS'!AK40,88&lt;'EDT Y TAREAS'!AL40),'EDT Y TAREAS'!AF40/'EDT Y TAREAS'!M40,0),IF(AND(88&gt;='EDT Y TAREAS'!AK42,88&lt;'EDT Y TAREAS'!AL42),'EDT Y TAREAS'!AF42/'EDT Y TAREAS'!M42,0),IF(AND(88&gt;='EDT Y TAREAS'!AK45,88&lt;'EDT Y TAREAS'!AL45),'EDT Y TAREAS'!AF45/'EDT Y TAREAS'!M45,0),IF(AND(88&gt;='EDT Y TAREAS'!AK49,88&lt;'EDT Y TAREAS'!AL49),'EDT Y TAREAS'!AF49/'EDT Y TAREAS'!M49,0),IF(AND(88&gt;='EDT Y TAREAS'!AK52,88&lt;'EDT Y TAREAS'!AL52),'EDT Y TAREAS'!AF52/'EDT Y TAREAS'!M52,0))</x:f>
        <x:v>0</x:v>
      </x:c>
      <x:c r="E128" s="35" t="n">
        <x:f>SUM(IF(AND(88&gt;='EDT Y TAREAS'!AK29,88&lt;'EDT Y TAREAS'!AL29),'EDT Y TAREAS'!AG29/'EDT Y TAREAS'!M29,0),IF(AND(88&gt;='EDT Y TAREAS'!AK30,88&lt;'EDT Y TAREAS'!AL30),'EDT Y TAREAS'!AG30/'EDT Y TAREAS'!M30,0),IF(AND(88&gt;='EDT Y TAREAS'!AK31,88&lt;'EDT Y TAREAS'!AL31),'EDT Y TAREAS'!AG31/'EDT Y TAREAS'!M31,0),IF(AND(88&gt;='EDT Y TAREAS'!AK32,88&lt;'EDT Y TAREAS'!AL32),'EDT Y TAREAS'!AG32/'EDT Y TAREAS'!M32,0),IF(AND(88&gt;='EDT Y TAREAS'!AK41,88&lt;'EDT Y TAREAS'!AL41),'EDT Y TAREAS'!AG41/'EDT Y TAREAS'!M41,0),IF(AND(88&gt;='EDT Y TAREAS'!AK45,88&lt;'EDT Y TAREAS'!AL45),'EDT Y TAREAS'!AG45/'EDT Y TAREAS'!M45,0),IF(AND(88&gt;='EDT Y TAREAS'!AK48,88&lt;'EDT Y TAREAS'!AL48),'EDT Y TAREAS'!AG48/'EDT Y TAREAS'!M48,0))</x:f>
        <x:v>5.6</x:v>
      </x:c>
      <x:c r="F128" s="35" t="n">
        <x:f>SUM(IF(AND(88&gt;='EDT Y TAREAS'!AK10,88&lt;'EDT Y TAREAS'!AL10),'EDT Y TAREAS'!AH10/'EDT Y TAREAS'!M10,0),IF(AND(88&gt;='EDT Y TAREAS'!AK12,88&lt;'EDT Y TAREAS'!AL12),'EDT Y TAREAS'!AH12/'EDT Y TAREAS'!M12,0),IF(AND(88&gt;='EDT Y TAREAS'!AK22,88&lt;'EDT Y TAREAS'!AL22),'EDT Y TAREAS'!AH22/'EDT Y TAREAS'!M22,0),IF(AND(88&gt;='EDT Y TAREAS'!AK23,88&lt;'EDT Y TAREAS'!AL23),'EDT Y TAREAS'!AH23/'EDT Y TAREAS'!M23,0),IF(AND(88&gt;='EDT Y TAREAS'!AK29,88&lt;'EDT Y TAREAS'!AL29),'EDT Y TAREAS'!AH29/'EDT Y TAREAS'!M29,0),IF(AND(88&gt;='EDT Y TAREAS'!AK30,88&lt;'EDT Y TAREAS'!AL30),'EDT Y TAREAS'!AH30/'EDT Y TAREAS'!M30,0),IF(AND(88&gt;='EDT Y TAREAS'!AK32,88&lt;'EDT Y TAREAS'!AL32),'EDT Y TAREAS'!AH32/'EDT Y TAREAS'!M32,0),IF(AND(88&gt;='EDT Y TAREAS'!AK41,88&lt;'EDT Y TAREAS'!AL41),'EDT Y TAREAS'!AH41/'EDT Y TAREAS'!M41,0),IF(AND(88&gt;='EDT Y TAREAS'!AK44,88&lt;'EDT Y TAREAS'!AL44),'EDT Y TAREAS'!AH44/'EDT Y TAREAS'!M44,0),IF(AND(88&gt;='EDT Y TAREAS'!AK46,88&lt;'EDT Y TAREAS'!AL46),'EDT Y TAREAS'!AH46/'EDT Y TAREAS'!M46,0),IF(AND(88&gt;='EDT Y TAREAS'!AK48,88&lt;'EDT Y TAREAS'!AL48),'EDT Y TAREAS'!AH48/'EDT Y TAREAS'!M48,0))</x:f>
        <x:v>0.8</x:v>
      </x:c>
      <x:c r="G128" s="35" t="n">
        <x:f>SUM(IF(AND(88&gt;='EDT Y TAREAS'!AK20,88&lt;'EDT Y TAREAS'!AL20),'EDT Y TAREAS'!AI20/'EDT Y TAREAS'!M20,0),IF(AND(88&gt;='EDT Y TAREAS'!AK25,88&lt;'EDT Y TAREAS'!AL25),'EDT Y TAREAS'!AI25/'EDT Y TAREAS'!M25,0),IF(AND(88&gt;='EDT Y TAREAS'!AK33,88&lt;'EDT Y TAREAS'!AL33),'EDT Y TAREAS'!AI33/'EDT Y TAREAS'!M33,0),IF(AND(88&gt;='EDT Y TAREAS'!AK34,88&lt;'EDT Y TAREAS'!AL34),'EDT Y TAREAS'!AI34/'EDT Y TAREAS'!M34,0),IF(AND(88&gt;='EDT Y TAREAS'!AK36,88&lt;'EDT Y TAREAS'!AL36),'EDT Y TAREAS'!AI36/'EDT Y TAREAS'!M36,0),IF(AND(88&gt;='EDT Y TAREAS'!AK39,88&lt;'EDT Y TAREAS'!AL39),'EDT Y TAREAS'!AI39/'EDT Y TAREAS'!M39,0),IF(AND(88&gt;='EDT Y TAREAS'!AK40,88&lt;'EDT Y TAREAS'!AL40),'EDT Y TAREAS'!AI40/'EDT Y TAREAS'!M40,0),IF(AND(88&gt;='EDT Y TAREAS'!AK42,88&lt;'EDT Y TAREAS'!AL42),'EDT Y TAREAS'!AI42/'EDT Y TAREAS'!M42,0),IF(AND(88&gt;='EDT Y TAREAS'!AK43,88&lt;'EDT Y TAREAS'!AL43),'EDT Y TAREAS'!AI43/'EDT Y TAREAS'!M43,0),IF(AND(88&gt;='EDT Y TAREAS'!AK44,88&lt;'EDT Y TAREAS'!AL44),'EDT Y TAREAS'!AI44/'EDT Y TAREAS'!M44,0),IF(AND(88&gt;='EDT Y TAREAS'!AK45,88&lt;'EDT Y TAREAS'!AL45),'EDT Y TAREAS'!AI45/'EDT Y TAREAS'!M45,0),IF(AND(88&gt;='EDT Y TAREAS'!AK46,88&lt;'EDT Y TAREAS'!AL46),'EDT Y TAREAS'!AI46/'EDT Y TAREAS'!M46,0),IF(AND(88&gt;='EDT Y TAREAS'!AK48,88&lt;'EDT Y TAREAS'!AL48),'EDT Y TAREAS'!AI48/'EDT Y TAREAS'!M48,0),IF(AND(88&gt;='EDT Y TAREAS'!AK50,88&lt;'EDT Y TAREAS'!AL50),'EDT Y TAREAS'!AI50/'EDT Y TAREAS'!M50,0),IF(AND(88&gt;='EDT Y TAREAS'!AK52,88&lt;'EDT Y TAREAS'!AL52),'EDT Y TAREAS'!AI52/'EDT Y TAREAS'!M52,0))</x:f>
        <x:v>0</x:v>
      </x:c>
      <x:c r="H128" s="35" t="n">
        <x:f>SUM(IF(AND(88&gt;='EDT Y TAREAS'!AK11,88&lt;'EDT Y TAREAS'!AL11),'EDT Y TAREAS'!AJ11/'EDT Y TAREAS'!M11,0),IF(AND(88&gt;='EDT Y TAREAS'!AK24,88&lt;'EDT Y TAREAS'!AL24),'EDT Y TAREAS'!AJ24/'EDT Y TAREAS'!M24,0),IF(AND(88&gt;='EDT Y TAREAS'!AK27,88&lt;'EDT Y TAREAS'!AL27),'EDT Y TAREAS'!AJ27/'EDT Y TAREAS'!M27,0),IF(AND(88&gt;='EDT Y TAREAS'!AK28,88&lt;'EDT Y TAREAS'!AL28),'EDT Y TAREAS'!AJ28/'EDT Y TAREAS'!M28,0),IF(AND(88&gt;='EDT Y TAREAS'!AK33,88&lt;'EDT Y TAREAS'!AL33),'EDT Y TAREAS'!AJ33/'EDT Y TAREAS'!M33,0),IF(AND(88&gt;='EDT Y TAREAS'!AK35,88&lt;'EDT Y TAREAS'!AL35),'EDT Y TAREAS'!AJ35/'EDT Y TAREAS'!M35,0),IF(AND(88&gt;='EDT Y TAREAS'!AK36,88&lt;'EDT Y TAREAS'!AL36),'EDT Y TAREAS'!AJ36/'EDT Y TAREAS'!M36,0),IF(AND(88&gt;='EDT Y TAREAS'!AK37,88&lt;'EDT Y TAREAS'!AL37),'EDT Y TAREAS'!AJ37/'EDT Y TAREAS'!M37,0),IF(AND(88&gt;='EDT Y TAREAS'!AK40,88&lt;'EDT Y TAREAS'!AL40),'EDT Y TAREAS'!AJ40/'EDT Y TAREAS'!M40,0),IF(AND(88&gt;='EDT Y TAREAS'!AK42,88&lt;'EDT Y TAREAS'!AL42),'EDT Y TAREAS'!AJ42/'EDT Y TAREAS'!M42,0),IF(AND(88&gt;='EDT Y TAREAS'!AK49,88&lt;'EDT Y TAREAS'!AL49),'EDT Y TAREAS'!AJ49/'EDT Y TAREAS'!M49,0),IF(AND(88&gt;='EDT Y TAREAS'!AK50,88&lt;'EDT Y TAREAS'!AL50),'EDT Y TAREAS'!AJ50/'EDT Y TAREAS'!M50,0),IF(AND(88&gt;='EDT Y TAREAS'!AK51,88&lt;'EDT Y TAREAS'!AL51),'EDT Y TAREAS'!AJ51/'EDT Y TAREAS'!M51,0),IF(AND(88&gt;='EDT Y TAREAS'!AK52,88&lt;'EDT Y TAREAS'!AL52),'EDT Y TAREAS'!AJ52/'EDT Y TAREAS'!M52,0))</x:f>
        <x:v>0</x:v>
      </x:c>
      <x:c r="I128" s="10" t="n">
        <x:f>WORKDAY('RESUMEN'!$D$3-1,A128,'RESUMEN'!$J$6:$J$25)</x:f>
        <x:v>46450</x:v>
      </x:c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  <x:c r="AC128" s="3"/>
      <x:c r="AD128" s="3"/>
      <x:c r="AE128" s="3"/>
      <x:c r="AF128" s="3"/>
      <x:c r="AG128" s="3"/>
      <x:c r="AH128" s="3"/>
      <x:c r="AI128" s="3"/>
      <x:c r="AJ128" s="3"/>
      <x:c r="AK128" s="3"/>
      <x:c r="AL128" s="3"/>
      <x:c r="AM128" s="3"/>
      <x:c r="AN128" s="3"/>
      <x:c r="AO128" s="3"/>
    </x:row>
    <x:row r="129" ht="24" customHeight="1">
      <x:c r="A129" s="3" t="n">
        <x:v>90</x:v>
      </x:c>
      <x:c r="B129" s="35" t="n">
        <x:f>SUM(IF(AND(89&gt;='EDT Y TAREAS'!AK6,89&lt;'EDT Y TAREAS'!AL6),'EDT Y TAREAS'!AD6/'EDT Y TAREAS'!M6,0),IF(AND(89&gt;='EDT Y TAREAS'!AK7,89&lt;'EDT Y TAREAS'!AL7),'EDT Y TAREAS'!AD7/'EDT Y TAREAS'!M7,0),IF(AND(89&gt;='EDT Y TAREAS'!AK8,89&lt;'EDT Y TAREAS'!AL8),'EDT Y TAREAS'!AD8/'EDT Y TAREAS'!M8,0),IF(AND(89&gt;='EDT Y TAREAS'!AK9,89&lt;'EDT Y TAREAS'!AL9),'EDT Y TAREAS'!AD9/'EDT Y TAREAS'!M9,0),IF(AND(89&gt;='EDT Y TAREAS'!AK10,89&lt;'EDT Y TAREAS'!AL10),'EDT Y TAREAS'!AD10/'EDT Y TAREAS'!M10,0),IF(AND(89&gt;='EDT Y TAREAS'!AK11,89&lt;'EDT Y TAREAS'!AL11),'EDT Y TAREAS'!AD11/'EDT Y TAREAS'!M11,0),IF(AND(89&gt;='EDT Y TAREAS'!AK12,89&lt;'EDT Y TAREAS'!AL12),'EDT Y TAREAS'!AD12/'EDT Y TAREAS'!M12,0),IF(AND(89&gt;='EDT Y TAREAS'!AK13,89&lt;'EDT Y TAREAS'!AL13),'EDT Y TAREAS'!AD13/'EDT Y TAREAS'!M13,0),IF(AND(89&gt;='EDT Y TAREAS'!AK14,89&lt;'EDT Y TAREAS'!AL14),'EDT Y TAREAS'!AD14/'EDT Y TAREAS'!M14,0),IF(AND(89&gt;='EDT Y TAREAS'!AK15,89&lt;'EDT Y TAREAS'!AL15),'EDT Y TAREAS'!AD15/'EDT Y TAREAS'!M15,0),IF(AND(89&gt;='EDT Y TAREAS'!AK16,89&lt;'EDT Y TAREAS'!AL16),'EDT Y TAREAS'!AD16/'EDT Y TAREAS'!M16,0),IF(AND(89&gt;='EDT Y TAREAS'!AK17,89&lt;'EDT Y TAREAS'!AL17),'EDT Y TAREAS'!AD17/'EDT Y TAREAS'!M17,0),IF(AND(89&gt;='EDT Y TAREAS'!AK18,89&lt;'EDT Y TAREAS'!AL18),'EDT Y TAREAS'!AD18/'EDT Y TAREAS'!M18,0),IF(AND(89&gt;='EDT Y TAREAS'!AK19,89&lt;'EDT Y TAREAS'!AL19),'EDT Y TAREAS'!AD19/'EDT Y TAREAS'!M19,0),IF(AND(89&gt;='EDT Y TAREAS'!AK20,89&lt;'EDT Y TAREAS'!AL20),'EDT Y TAREAS'!AD20/'EDT Y TAREAS'!M20,0),IF(AND(89&gt;='EDT Y TAREAS'!AK21,89&lt;'EDT Y TAREAS'!AL21),'EDT Y TAREAS'!AD21/'EDT Y TAREAS'!M21,0),IF(AND(89&gt;='EDT Y TAREAS'!AK22,89&lt;'EDT Y TAREAS'!AL22),'EDT Y TAREAS'!AD22/'EDT Y TAREAS'!M22,0),IF(AND(89&gt;='EDT Y TAREAS'!AK23,89&lt;'EDT Y TAREAS'!AL23),'EDT Y TAREAS'!AD23/'EDT Y TAREAS'!M23,0),IF(AND(89&gt;='EDT Y TAREAS'!AK26,89&lt;'EDT Y TAREAS'!AL26),'EDT Y TAREAS'!AD26/'EDT Y TAREAS'!M26,0),IF(AND(89&gt;='EDT Y TAREAS'!AK28,89&lt;'EDT Y TAREAS'!AL28),'EDT Y TAREAS'!AD28/'EDT Y TAREAS'!M28,0),IF(AND(89&gt;='EDT Y TAREAS'!AK30,89&lt;'EDT Y TAREAS'!AL30),'EDT Y TAREAS'!AD30/'EDT Y TAREAS'!M30,0),IF(AND(89&gt;='EDT Y TAREAS'!AK32,89&lt;'EDT Y TAREAS'!AL32),'EDT Y TAREAS'!AD32/'EDT Y TAREAS'!M32,0),IF(AND(89&gt;='EDT Y TAREAS'!AK34,89&lt;'EDT Y TAREAS'!AL34),'EDT Y TAREAS'!AD34/'EDT Y TAREAS'!M34,0),IF(AND(89&gt;='EDT Y TAREAS'!AK38,89&lt;'EDT Y TAREAS'!AL38),'EDT Y TAREAS'!AD38/'EDT Y TAREAS'!M38,0),IF(AND(89&gt;='EDT Y TAREAS'!AK39,89&lt;'EDT Y TAREAS'!AL39),'EDT Y TAREAS'!AD39/'EDT Y TAREAS'!M39,0),IF(AND(89&gt;='EDT Y TAREAS'!AK43,89&lt;'EDT Y TAREAS'!AL43),'EDT Y TAREAS'!AD43/'EDT Y TAREAS'!M43,0),IF(AND(89&gt;='EDT Y TAREAS'!AK44,89&lt;'EDT Y TAREAS'!AL44),'EDT Y TAREAS'!AD44/'EDT Y TAREAS'!M44,0),IF(AND(89&gt;='EDT Y TAREAS'!AK45,89&lt;'EDT Y TAREAS'!AL45),'EDT Y TAREAS'!AD45/'EDT Y TAREAS'!M45,0),IF(AND(89&gt;='EDT Y TAREAS'!AK46,89&lt;'EDT Y TAREAS'!AL46),'EDT Y TAREAS'!AD46/'EDT Y TAREAS'!M46,0),IF(AND(89&gt;='EDT Y TAREAS'!AK47,89&lt;'EDT Y TAREAS'!AL47),'EDT Y TAREAS'!AD47/'EDT Y TAREAS'!M47,0),IF(AND(89&gt;='EDT Y TAREAS'!AK49,89&lt;'EDT Y TAREAS'!AL49),'EDT Y TAREAS'!AD49/'EDT Y TAREAS'!M49,0),IF(AND(89&gt;='EDT Y TAREAS'!AK50,89&lt;'EDT Y TAREAS'!AL50),'EDT Y TAREAS'!AD50/'EDT Y TAREAS'!M50,0),IF(AND(89&gt;='EDT Y TAREAS'!AK51,89&lt;'EDT Y TAREAS'!AL51),'EDT Y TAREAS'!AD51/'EDT Y TAREAS'!M51,0),IF(AND(89&gt;='EDT Y TAREAS'!AK52,89&lt;'EDT Y TAREAS'!AL52),'EDT Y TAREAS'!AD52/'EDT Y TAREAS'!M52,0))</x:f>
        <x:v>1.2</x:v>
      </x:c>
      <x:c r="C129" s="35" t="n">
        <x:f>SUM(IF(AND(89&gt;='EDT Y TAREAS'!AK6,89&lt;'EDT Y TAREAS'!AL6),'EDT Y TAREAS'!AE6/'EDT Y TAREAS'!M6,0),IF(AND(89&gt;='EDT Y TAREAS'!AK8,89&lt;'EDT Y TAREAS'!AL8),'EDT Y TAREAS'!AE8/'EDT Y TAREAS'!M8,0),IF(AND(89&gt;='EDT Y TAREAS'!AK9,89&lt;'EDT Y TAREAS'!AL9),'EDT Y TAREAS'!AE9/'EDT Y TAREAS'!M9,0),IF(AND(89&gt;='EDT Y TAREAS'!AK10,89&lt;'EDT Y TAREAS'!AL10),'EDT Y TAREAS'!AE10/'EDT Y TAREAS'!M10,0),IF(AND(89&gt;='EDT Y TAREAS'!AK12,89&lt;'EDT Y TAREAS'!AL12),'EDT Y TAREAS'!AE12/'EDT Y TAREAS'!M12,0),IF(AND(89&gt;='EDT Y TAREAS'!AK16,89&lt;'EDT Y TAREAS'!AL16),'EDT Y TAREAS'!AE16/'EDT Y TAREAS'!M16,0),IF(AND(89&gt;='EDT Y TAREAS'!AK21,89&lt;'EDT Y TAREAS'!AL21),'EDT Y TAREAS'!AE21/'EDT Y TAREAS'!M21,0),IF(AND(89&gt;='EDT Y TAREAS'!AK23,89&lt;'EDT Y TAREAS'!AL23),'EDT Y TAREAS'!AE23/'EDT Y TAREAS'!M23,0),IF(AND(89&gt;='EDT Y TAREAS'!AK37,89&lt;'EDT Y TAREAS'!AL37),'EDT Y TAREAS'!AE37/'EDT Y TAREAS'!M37,0),IF(AND(89&gt;='EDT Y TAREAS'!AK38,89&lt;'EDT Y TAREAS'!AL38),'EDT Y TAREAS'!AE38/'EDT Y TAREAS'!M38,0),IF(AND(89&gt;='EDT Y TAREAS'!AK41,89&lt;'EDT Y TAREAS'!AL41),'EDT Y TAREAS'!AE41/'EDT Y TAREAS'!M41,0),IF(AND(89&gt;='EDT Y TAREAS'!AK43,89&lt;'EDT Y TAREAS'!AL43),'EDT Y TAREAS'!AE43/'EDT Y TAREAS'!M43,0),IF(AND(89&gt;='EDT Y TAREAS'!AK44,89&lt;'EDT Y TAREAS'!AL44),'EDT Y TAREAS'!AE44/'EDT Y TAREAS'!M44,0),IF(AND(89&gt;='EDT Y TAREAS'!AK46,89&lt;'EDT Y TAREAS'!AL46),'EDT Y TAREAS'!AE46/'EDT Y TAREAS'!M46,0),IF(AND(89&gt;='EDT Y TAREAS'!AK47,89&lt;'EDT Y TAREAS'!AL47),'EDT Y TAREAS'!AE47/'EDT Y TAREAS'!M47,0),IF(AND(89&gt;='EDT Y TAREAS'!AK51,89&lt;'EDT Y TAREAS'!AL51),'EDT Y TAREAS'!AE51/'EDT Y TAREAS'!M51,0),IF(AND(89&gt;='EDT Y TAREAS'!AK52,89&lt;'EDT Y TAREAS'!AL52),'EDT Y TAREAS'!AE52/'EDT Y TAREAS'!M52,0))</x:f>
        <x:v>0</x:v>
      </x:c>
      <x:c r="D129" s="35" t="n">
        <x:f>SUM(IF(AND(89&gt;='EDT Y TAREAS'!AK11,89&lt;'EDT Y TAREAS'!AL11),'EDT Y TAREAS'!AF11/'EDT Y TAREAS'!M11,0),IF(AND(89&gt;='EDT Y TAREAS'!AK24,89&lt;'EDT Y TAREAS'!AL24),'EDT Y TAREAS'!AF24/'EDT Y TAREAS'!M24,0),IF(AND(89&gt;='EDT Y TAREAS'!AK25,89&lt;'EDT Y TAREAS'!AL25),'EDT Y TAREAS'!AF25/'EDT Y TAREAS'!M25,0),IF(AND(89&gt;='EDT Y TAREAS'!AK26,89&lt;'EDT Y TAREAS'!AL26),'EDT Y TAREAS'!AF26/'EDT Y TAREAS'!M26,0),IF(AND(89&gt;='EDT Y TAREAS'!AK27,89&lt;'EDT Y TAREAS'!AL27),'EDT Y TAREAS'!AF27/'EDT Y TAREAS'!M27,0),IF(AND(89&gt;='EDT Y TAREAS'!AK28,89&lt;'EDT Y TAREAS'!AL28),'EDT Y TAREAS'!AF28/'EDT Y TAREAS'!M28,0),IF(AND(89&gt;='EDT Y TAREAS'!AK31,89&lt;'EDT Y TAREAS'!AL31),'EDT Y TAREAS'!AF31/'EDT Y TAREAS'!M31,0),IF(AND(89&gt;='EDT Y TAREAS'!AK33,89&lt;'EDT Y TAREAS'!AL33),'EDT Y TAREAS'!AF33/'EDT Y TAREAS'!M33,0),IF(AND(89&gt;='EDT Y TAREAS'!AK34,89&lt;'EDT Y TAREAS'!AL34),'EDT Y TAREAS'!AF34/'EDT Y TAREAS'!M34,0),IF(AND(89&gt;='EDT Y TAREAS'!AK35,89&lt;'EDT Y TAREAS'!AL35),'EDT Y TAREAS'!AF35/'EDT Y TAREAS'!M35,0),IF(AND(89&gt;='EDT Y TAREAS'!AK37,89&lt;'EDT Y TAREAS'!AL37),'EDT Y TAREAS'!AF37/'EDT Y TAREAS'!M37,0),IF(AND(89&gt;='EDT Y TAREAS'!AK39,89&lt;'EDT Y TAREAS'!AL39),'EDT Y TAREAS'!AF39/'EDT Y TAREAS'!M39,0),IF(AND(89&gt;='EDT Y TAREAS'!AK40,89&lt;'EDT Y TAREAS'!AL40),'EDT Y TAREAS'!AF40/'EDT Y TAREAS'!M40,0),IF(AND(89&gt;='EDT Y TAREAS'!AK42,89&lt;'EDT Y TAREAS'!AL42),'EDT Y TAREAS'!AF42/'EDT Y TAREAS'!M42,0),IF(AND(89&gt;='EDT Y TAREAS'!AK45,89&lt;'EDT Y TAREAS'!AL45),'EDT Y TAREAS'!AF45/'EDT Y TAREAS'!M45,0),IF(AND(89&gt;='EDT Y TAREAS'!AK49,89&lt;'EDT Y TAREAS'!AL49),'EDT Y TAREAS'!AF49/'EDT Y TAREAS'!M49,0),IF(AND(89&gt;='EDT Y TAREAS'!AK52,89&lt;'EDT Y TAREAS'!AL52),'EDT Y TAREAS'!AF52/'EDT Y TAREAS'!M52,0))</x:f>
        <x:v>0</x:v>
      </x:c>
      <x:c r="E129" s="35" t="n">
        <x:f>SUM(IF(AND(89&gt;='EDT Y TAREAS'!AK29,89&lt;'EDT Y TAREAS'!AL29),'EDT Y TAREAS'!AG29/'EDT Y TAREAS'!M29,0),IF(AND(89&gt;='EDT Y TAREAS'!AK30,89&lt;'EDT Y TAREAS'!AL30),'EDT Y TAREAS'!AG30/'EDT Y TAREAS'!M30,0),IF(AND(89&gt;='EDT Y TAREAS'!AK31,89&lt;'EDT Y TAREAS'!AL31),'EDT Y TAREAS'!AG31/'EDT Y TAREAS'!M31,0),IF(AND(89&gt;='EDT Y TAREAS'!AK32,89&lt;'EDT Y TAREAS'!AL32),'EDT Y TAREAS'!AG32/'EDT Y TAREAS'!M32,0),IF(AND(89&gt;='EDT Y TAREAS'!AK41,89&lt;'EDT Y TAREAS'!AL41),'EDT Y TAREAS'!AG41/'EDT Y TAREAS'!M41,0),IF(AND(89&gt;='EDT Y TAREAS'!AK45,89&lt;'EDT Y TAREAS'!AL45),'EDT Y TAREAS'!AG45/'EDT Y TAREAS'!M45,0),IF(AND(89&gt;='EDT Y TAREAS'!AK48,89&lt;'EDT Y TAREAS'!AL48),'EDT Y TAREAS'!AG48/'EDT Y TAREAS'!M48,0))</x:f>
        <x:v>5.6</x:v>
      </x:c>
      <x:c r="F129" s="35" t="n">
        <x:f>SUM(IF(AND(89&gt;='EDT Y TAREAS'!AK10,89&lt;'EDT Y TAREAS'!AL10),'EDT Y TAREAS'!AH10/'EDT Y TAREAS'!M10,0),IF(AND(89&gt;='EDT Y TAREAS'!AK12,89&lt;'EDT Y TAREAS'!AL12),'EDT Y TAREAS'!AH12/'EDT Y TAREAS'!M12,0),IF(AND(89&gt;='EDT Y TAREAS'!AK22,89&lt;'EDT Y TAREAS'!AL22),'EDT Y TAREAS'!AH22/'EDT Y TAREAS'!M22,0),IF(AND(89&gt;='EDT Y TAREAS'!AK23,89&lt;'EDT Y TAREAS'!AL23),'EDT Y TAREAS'!AH23/'EDT Y TAREAS'!M23,0),IF(AND(89&gt;='EDT Y TAREAS'!AK29,89&lt;'EDT Y TAREAS'!AL29),'EDT Y TAREAS'!AH29/'EDT Y TAREAS'!M29,0),IF(AND(89&gt;='EDT Y TAREAS'!AK30,89&lt;'EDT Y TAREAS'!AL30),'EDT Y TAREAS'!AH30/'EDT Y TAREAS'!M30,0),IF(AND(89&gt;='EDT Y TAREAS'!AK32,89&lt;'EDT Y TAREAS'!AL32),'EDT Y TAREAS'!AH32/'EDT Y TAREAS'!M32,0),IF(AND(89&gt;='EDT Y TAREAS'!AK41,89&lt;'EDT Y TAREAS'!AL41),'EDT Y TAREAS'!AH41/'EDT Y TAREAS'!M41,0),IF(AND(89&gt;='EDT Y TAREAS'!AK44,89&lt;'EDT Y TAREAS'!AL44),'EDT Y TAREAS'!AH44/'EDT Y TAREAS'!M44,0),IF(AND(89&gt;='EDT Y TAREAS'!AK46,89&lt;'EDT Y TAREAS'!AL46),'EDT Y TAREAS'!AH46/'EDT Y TAREAS'!M46,0),IF(AND(89&gt;='EDT Y TAREAS'!AK48,89&lt;'EDT Y TAREAS'!AL48),'EDT Y TAREAS'!AH48/'EDT Y TAREAS'!M48,0))</x:f>
        <x:v>0.8</x:v>
      </x:c>
      <x:c r="G129" s="35" t="n">
        <x:f>SUM(IF(AND(89&gt;='EDT Y TAREAS'!AK20,89&lt;'EDT Y TAREAS'!AL20),'EDT Y TAREAS'!AI20/'EDT Y TAREAS'!M20,0),IF(AND(89&gt;='EDT Y TAREAS'!AK25,89&lt;'EDT Y TAREAS'!AL25),'EDT Y TAREAS'!AI25/'EDT Y TAREAS'!M25,0),IF(AND(89&gt;='EDT Y TAREAS'!AK33,89&lt;'EDT Y TAREAS'!AL33),'EDT Y TAREAS'!AI33/'EDT Y TAREAS'!M33,0),IF(AND(89&gt;='EDT Y TAREAS'!AK34,89&lt;'EDT Y TAREAS'!AL34),'EDT Y TAREAS'!AI34/'EDT Y TAREAS'!M34,0),IF(AND(89&gt;='EDT Y TAREAS'!AK36,89&lt;'EDT Y TAREAS'!AL36),'EDT Y TAREAS'!AI36/'EDT Y TAREAS'!M36,0),IF(AND(89&gt;='EDT Y TAREAS'!AK39,89&lt;'EDT Y TAREAS'!AL39),'EDT Y TAREAS'!AI39/'EDT Y TAREAS'!M39,0),IF(AND(89&gt;='EDT Y TAREAS'!AK40,89&lt;'EDT Y TAREAS'!AL40),'EDT Y TAREAS'!AI40/'EDT Y TAREAS'!M40,0),IF(AND(89&gt;='EDT Y TAREAS'!AK42,89&lt;'EDT Y TAREAS'!AL42),'EDT Y TAREAS'!AI42/'EDT Y TAREAS'!M42,0),IF(AND(89&gt;='EDT Y TAREAS'!AK43,89&lt;'EDT Y TAREAS'!AL43),'EDT Y TAREAS'!AI43/'EDT Y TAREAS'!M43,0),IF(AND(89&gt;='EDT Y TAREAS'!AK44,89&lt;'EDT Y TAREAS'!AL44),'EDT Y TAREAS'!AI44/'EDT Y TAREAS'!M44,0),IF(AND(89&gt;='EDT Y TAREAS'!AK45,89&lt;'EDT Y TAREAS'!AL45),'EDT Y TAREAS'!AI45/'EDT Y TAREAS'!M45,0),IF(AND(89&gt;='EDT Y TAREAS'!AK46,89&lt;'EDT Y TAREAS'!AL46),'EDT Y TAREAS'!AI46/'EDT Y TAREAS'!M46,0),IF(AND(89&gt;='EDT Y TAREAS'!AK48,89&lt;'EDT Y TAREAS'!AL48),'EDT Y TAREAS'!AI48/'EDT Y TAREAS'!M48,0),IF(AND(89&gt;='EDT Y TAREAS'!AK50,89&lt;'EDT Y TAREAS'!AL50),'EDT Y TAREAS'!AI50/'EDT Y TAREAS'!M50,0),IF(AND(89&gt;='EDT Y TAREAS'!AK52,89&lt;'EDT Y TAREAS'!AL52),'EDT Y TAREAS'!AI52/'EDT Y TAREAS'!M52,0))</x:f>
        <x:v>0</x:v>
      </x:c>
      <x:c r="H129" s="35" t="n">
        <x:f>SUM(IF(AND(89&gt;='EDT Y TAREAS'!AK11,89&lt;'EDT Y TAREAS'!AL11),'EDT Y TAREAS'!AJ11/'EDT Y TAREAS'!M11,0),IF(AND(89&gt;='EDT Y TAREAS'!AK24,89&lt;'EDT Y TAREAS'!AL24),'EDT Y TAREAS'!AJ24/'EDT Y TAREAS'!M24,0),IF(AND(89&gt;='EDT Y TAREAS'!AK27,89&lt;'EDT Y TAREAS'!AL27),'EDT Y TAREAS'!AJ27/'EDT Y TAREAS'!M27,0),IF(AND(89&gt;='EDT Y TAREAS'!AK28,89&lt;'EDT Y TAREAS'!AL28),'EDT Y TAREAS'!AJ28/'EDT Y TAREAS'!M28,0),IF(AND(89&gt;='EDT Y TAREAS'!AK33,89&lt;'EDT Y TAREAS'!AL33),'EDT Y TAREAS'!AJ33/'EDT Y TAREAS'!M33,0),IF(AND(89&gt;='EDT Y TAREAS'!AK35,89&lt;'EDT Y TAREAS'!AL35),'EDT Y TAREAS'!AJ35/'EDT Y TAREAS'!M35,0),IF(AND(89&gt;='EDT Y TAREAS'!AK36,89&lt;'EDT Y TAREAS'!AL36),'EDT Y TAREAS'!AJ36/'EDT Y TAREAS'!M36,0),IF(AND(89&gt;='EDT Y TAREAS'!AK37,89&lt;'EDT Y TAREAS'!AL37),'EDT Y TAREAS'!AJ37/'EDT Y TAREAS'!M37,0),IF(AND(89&gt;='EDT Y TAREAS'!AK40,89&lt;'EDT Y TAREAS'!AL40),'EDT Y TAREAS'!AJ40/'EDT Y TAREAS'!M40,0),IF(AND(89&gt;='EDT Y TAREAS'!AK42,89&lt;'EDT Y TAREAS'!AL42),'EDT Y TAREAS'!AJ42/'EDT Y TAREAS'!M42,0),IF(AND(89&gt;='EDT Y TAREAS'!AK49,89&lt;'EDT Y TAREAS'!AL49),'EDT Y TAREAS'!AJ49/'EDT Y TAREAS'!M49,0),IF(AND(89&gt;='EDT Y TAREAS'!AK50,89&lt;'EDT Y TAREAS'!AL50),'EDT Y TAREAS'!AJ50/'EDT Y TAREAS'!M50,0),IF(AND(89&gt;='EDT Y TAREAS'!AK51,89&lt;'EDT Y TAREAS'!AL51),'EDT Y TAREAS'!AJ51/'EDT Y TAREAS'!M51,0),IF(AND(89&gt;='EDT Y TAREAS'!AK52,89&lt;'EDT Y TAREAS'!AL52),'EDT Y TAREAS'!AJ52/'EDT Y TAREAS'!M52,0))</x:f>
        <x:v>0</x:v>
      </x:c>
      <x:c r="I129" s="10" t="n">
        <x:f>WORKDAY('RESUMEN'!$D$3-1,A129,'RESUMEN'!$J$6:$J$25)</x:f>
        <x:v>46451</x:v>
      </x:c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  <x:c r="AO129" s="3"/>
    </x:row>
    <x:row r="130" ht="24" customHeight="1">
      <x:c r="A130" s="3" t="n">
        <x:v>91</x:v>
      </x:c>
      <x:c r="B130" s="35" t="n">
        <x:f>SUM(IF(AND(90&gt;='EDT Y TAREAS'!AK6,90&lt;'EDT Y TAREAS'!AL6),'EDT Y TAREAS'!AD6/'EDT Y TAREAS'!M6,0),IF(AND(90&gt;='EDT Y TAREAS'!AK7,90&lt;'EDT Y TAREAS'!AL7),'EDT Y TAREAS'!AD7/'EDT Y TAREAS'!M7,0),IF(AND(90&gt;='EDT Y TAREAS'!AK8,90&lt;'EDT Y TAREAS'!AL8),'EDT Y TAREAS'!AD8/'EDT Y TAREAS'!M8,0),IF(AND(90&gt;='EDT Y TAREAS'!AK9,90&lt;'EDT Y TAREAS'!AL9),'EDT Y TAREAS'!AD9/'EDT Y TAREAS'!M9,0),IF(AND(90&gt;='EDT Y TAREAS'!AK10,90&lt;'EDT Y TAREAS'!AL10),'EDT Y TAREAS'!AD10/'EDT Y TAREAS'!M10,0),IF(AND(90&gt;='EDT Y TAREAS'!AK11,90&lt;'EDT Y TAREAS'!AL11),'EDT Y TAREAS'!AD11/'EDT Y TAREAS'!M11,0),IF(AND(90&gt;='EDT Y TAREAS'!AK12,90&lt;'EDT Y TAREAS'!AL12),'EDT Y TAREAS'!AD12/'EDT Y TAREAS'!M12,0),IF(AND(90&gt;='EDT Y TAREAS'!AK13,90&lt;'EDT Y TAREAS'!AL13),'EDT Y TAREAS'!AD13/'EDT Y TAREAS'!M13,0),IF(AND(90&gt;='EDT Y TAREAS'!AK14,90&lt;'EDT Y TAREAS'!AL14),'EDT Y TAREAS'!AD14/'EDT Y TAREAS'!M14,0),IF(AND(90&gt;='EDT Y TAREAS'!AK15,90&lt;'EDT Y TAREAS'!AL15),'EDT Y TAREAS'!AD15/'EDT Y TAREAS'!M15,0),IF(AND(90&gt;='EDT Y TAREAS'!AK16,90&lt;'EDT Y TAREAS'!AL16),'EDT Y TAREAS'!AD16/'EDT Y TAREAS'!M16,0),IF(AND(90&gt;='EDT Y TAREAS'!AK17,90&lt;'EDT Y TAREAS'!AL17),'EDT Y TAREAS'!AD17/'EDT Y TAREAS'!M17,0),IF(AND(90&gt;='EDT Y TAREAS'!AK18,90&lt;'EDT Y TAREAS'!AL18),'EDT Y TAREAS'!AD18/'EDT Y TAREAS'!M18,0),IF(AND(90&gt;='EDT Y TAREAS'!AK19,90&lt;'EDT Y TAREAS'!AL19),'EDT Y TAREAS'!AD19/'EDT Y TAREAS'!M19,0),IF(AND(90&gt;='EDT Y TAREAS'!AK20,90&lt;'EDT Y TAREAS'!AL20),'EDT Y TAREAS'!AD20/'EDT Y TAREAS'!M20,0),IF(AND(90&gt;='EDT Y TAREAS'!AK21,90&lt;'EDT Y TAREAS'!AL21),'EDT Y TAREAS'!AD21/'EDT Y TAREAS'!M21,0),IF(AND(90&gt;='EDT Y TAREAS'!AK22,90&lt;'EDT Y TAREAS'!AL22),'EDT Y TAREAS'!AD22/'EDT Y TAREAS'!M22,0),IF(AND(90&gt;='EDT Y TAREAS'!AK23,90&lt;'EDT Y TAREAS'!AL23),'EDT Y TAREAS'!AD23/'EDT Y TAREAS'!M23,0),IF(AND(90&gt;='EDT Y TAREAS'!AK26,90&lt;'EDT Y TAREAS'!AL26),'EDT Y TAREAS'!AD26/'EDT Y TAREAS'!M26,0),IF(AND(90&gt;='EDT Y TAREAS'!AK28,90&lt;'EDT Y TAREAS'!AL28),'EDT Y TAREAS'!AD28/'EDT Y TAREAS'!M28,0),IF(AND(90&gt;='EDT Y TAREAS'!AK30,90&lt;'EDT Y TAREAS'!AL30),'EDT Y TAREAS'!AD30/'EDT Y TAREAS'!M30,0),IF(AND(90&gt;='EDT Y TAREAS'!AK32,90&lt;'EDT Y TAREAS'!AL32),'EDT Y TAREAS'!AD32/'EDT Y TAREAS'!M32,0),IF(AND(90&gt;='EDT Y TAREAS'!AK34,90&lt;'EDT Y TAREAS'!AL34),'EDT Y TAREAS'!AD34/'EDT Y TAREAS'!M34,0),IF(AND(90&gt;='EDT Y TAREAS'!AK38,90&lt;'EDT Y TAREAS'!AL38),'EDT Y TAREAS'!AD38/'EDT Y TAREAS'!M38,0),IF(AND(90&gt;='EDT Y TAREAS'!AK39,90&lt;'EDT Y TAREAS'!AL39),'EDT Y TAREAS'!AD39/'EDT Y TAREAS'!M39,0),IF(AND(90&gt;='EDT Y TAREAS'!AK43,90&lt;'EDT Y TAREAS'!AL43),'EDT Y TAREAS'!AD43/'EDT Y TAREAS'!M43,0),IF(AND(90&gt;='EDT Y TAREAS'!AK44,90&lt;'EDT Y TAREAS'!AL44),'EDT Y TAREAS'!AD44/'EDT Y TAREAS'!M44,0),IF(AND(90&gt;='EDT Y TAREAS'!AK45,90&lt;'EDT Y TAREAS'!AL45),'EDT Y TAREAS'!AD45/'EDT Y TAREAS'!M45,0),IF(AND(90&gt;='EDT Y TAREAS'!AK46,90&lt;'EDT Y TAREAS'!AL46),'EDT Y TAREAS'!AD46/'EDT Y TAREAS'!M46,0),IF(AND(90&gt;='EDT Y TAREAS'!AK47,90&lt;'EDT Y TAREAS'!AL47),'EDT Y TAREAS'!AD47/'EDT Y TAREAS'!M47,0),IF(AND(90&gt;='EDT Y TAREAS'!AK49,90&lt;'EDT Y TAREAS'!AL49),'EDT Y TAREAS'!AD49/'EDT Y TAREAS'!M49,0),IF(AND(90&gt;='EDT Y TAREAS'!AK50,90&lt;'EDT Y TAREAS'!AL50),'EDT Y TAREAS'!AD50/'EDT Y TAREAS'!M50,0),IF(AND(90&gt;='EDT Y TAREAS'!AK51,90&lt;'EDT Y TAREAS'!AL51),'EDT Y TAREAS'!AD51/'EDT Y TAREAS'!M51,0),IF(AND(90&gt;='EDT Y TAREAS'!AK52,90&lt;'EDT Y TAREAS'!AL52),'EDT Y TAREAS'!AD52/'EDT Y TAREAS'!M52,0))</x:f>
        <x:v>1.2</x:v>
      </x:c>
      <x:c r="C130" s="35" t="n">
        <x:f>SUM(IF(AND(90&gt;='EDT Y TAREAS'!AK6,90&lt;'EDT Y TAREAS'!AL6),'EDT Y TAREAS'!AE6/'EDT Y TAREAS'!M6,0),IF(AND(90&gt;='EDT Y TAREAS'!AK8,90&lt;'EDT Y TAREAS'!AL8),'EDT Y TAREAS'!AE8/'EDT Y TAREAS'!M8,0),IF(AND(90&gt;='EDT Y TAREAS'!AK9,90&lt;'EDT Y TAREAS'!AL9),'EDT Y TAREAS'!AE9/'EDT Y TAREAS'!M9,0),IF(AND(90&gt;='EDT Y TAREAS'!AK10,90&lt;'EDT Y TAREAS'!AL10),'EDT Y TAREAS'!AE10/'EDT Y TAREAS'!M10,0),IF(AND(90&gt;='EDT Y TAREAS'!AK12,90&lt;'EDT Y TAREAS'!AL12),'EDT Y TAREAS'!AE12/'EDT Y TAREAS'!M12,0),IF(AND(90&gt;='EDT Y TAREAS'!AK16,90&lt;'EDT Y TAREAS'!AL16),'EDT Y TAREAS'!AE16/'EDT Y TAREAS'!M16,0),IF(AND(90&gt;='EDT Y TAREAS'!AK21,90&lt;'EDT Y TAREAS'!AL21),'EDT Y TAREAS'!AE21/'EDT Y TAREAS'!M21,0),IF(AND(90&gt;='EDT Y TAREAS'!AK23,90&lt;'EDT Y TAREAS'!AL23),'EDT Y TAREAS'!AE23/'EDT Y TAREAS'!M23,0),IF(AND(90&gt;='EDT Y TAREAS'!AK37,90&lt;'EDT Y TAREAS'!AL37),'EDT Y TAREAS'!AE37/'EDT Y TAREAS'!M37,0),IF(AND(90&gt;='EDT Y TAREAS'!AK38,90&lt;'EDT Y TAREAS'!AL38),'EDT Y TAREAS'!AE38/'EDT Y TAREAS'!M38,0),IF(AND(90&gt;='EDT Y TAREAS'!AK41,90&lt;'EDT Y TAREAS'!AL41),'EDT Y TAREAS'!AE41/'EDT Y TAREAS'!M41,0),IF(AND(90&gt;='EDT Y TAREAS'!AK43,90&lt;'EDT Y TAREAS'!AL43),'EDT Y TAREAS'!AE43/'EDT Y TAREAS'!M43,0),IF(AND(90&gt;='EDT Y TAREAS'!AK44,90&lt;'EDT Y TAREAS'!AL44),'EDT Y TAREAS'!AE44/'EDT Y TAREAS'!M44,0),IF(AND(90&gt;='EDT Y TAREAS'!AK46,90&lt;'EDT Y TAREAS'!AL46),'EDT Y TAREAS'!AE46/'EDT Y TAREAS'!M46,0),IF(AND(90&gt;='EDT Y TAREAS'!AK47,90&lt;'EDT Y TAREAS'!AL47),'EDT Y TAREAS'!AE47/'EDT Y TAREAS'!M47,0),IF(AND(90&gt;='EDT Y TAREAS'!AK51,90&lt;'EDT Y TAREAS'!AL51),'EDT Y TAREAS'!AE51/'EDT Y TAREAS'!M51,0),IF(AND(90&gt;='EDT Y TAREAS'!AK52,90&lt;'EDT Y TAREAS'!AL52),'EDT Y TAREAS'!AE52/'EDT Y TAREAS'!M52,0))</x:f>
        <x:v>0</x:v>
      </x:c>
      <x:c r="D130" s="35" t="n">
        <x:f>SUM(IF(AND(90&gt;='EDT Y TAREAS'!AK11,90&lt;'EDT Y TAREAS'!AL11),'EDT Y TAREAS'!AF11/'EDT Y TAREAS'!M11,0),IF(AND(90&gt;='EDT Y TAREAS'!AK24,90&lt;'EDT Y TAREAS'!AL24),'EDT Y TAREAS'!AF24/'EDT Y TAREAS'!M24,0),IF(AND(90&gt;='EDT Y TAREAS'!AK25,90&lt;'EDT Y TAREAS'!AL25),'EDT Y TAREAS'!AF25/'EDT Y TAREAS'!M25,0),IF(AND(90&gt;='EDT Y TAREAS'!AK26,90&lt;'EDT Y TAREAS'!AL26),'EDT Y TAREAS'!AF26/'EDT Y TAREAS'!M26,0),IF(AND(90&gt;='EDT Y TAREAS'!AK27,90&lt;'EDT Y TAREAS'!AL27),'EDT Y TAREAS'!AF27/'EDT Y TAREAS'!M27,0),IF(AND(90&gt;='EDT Y TAREAS'!AK28,90&lt;'EDT Y TAREAS'!AL28),'EDT Y TAREAS'!AF28/'EDT Y TAREAS'!M28,0),IF(AND(90&gt;='EDT Y TAREAS'!AK31,90&lt;'EDT Y TAREAS'!AL31),'EDT Y TAREAS'!AF31/'EDT Y TAREAS'!M31,0),IF(AND(90&gt;='EDT Y TAREAS'!AK33,90&lt;'EDT Y TAREAS'!AL33),'EDT Y TAREAS'!AF33/'EDT Y TAREAS'!M33,0),IF(AND(90&gt;='EDT Y TAREAS'!AK34,90&lt;'EDT Y TAREAS'!AL34),'EDT Y TAREAS'!AF34/'EDT Y TAREAS'!M34,0),IF(AND(90&gt;='EDT Y TAREAS'!AK35,90&lt;'EDT Y TAREAS'!AL35),'EDT Y TAREAS'!AF35/'EDT Y TAREAS'!M35,0),IF(AND(90&gt;='EDT Y TAREAS'!AK37,90&lt;'EDT Y TAREAS'!AL37),'EDT Y TAREAS'!AF37/'EDT Y TAREAS'!M37,0),IF(AND(90&gt;='EDT Y TAREAS'!AK39,90&lt;'EDT Y TAREAS'!AL39),'EDT Y TAREAS'!AF39/'EDT Y TAREAS'!M39,0),IF(AND(90&gt;='EDT Y TAREAS'!AK40,90&lt;'EDT Y TAREAS'!AL40),'EDT Y TAREAS'!AF40/'EDT Y TAREAS'!M40,0),IF(AND(90&gt;='EDT Y TAREAS'!AK42,90&lt;'EDT Y TAREAS'!AL42),'EDT Y TAREAS'!AF42/'EDT Y TAREAS'!M42,0),IF(AND(90&gt;='EDT Y TAREAS'!AK45,90&lt;'EDT Y TAREAS'!AL45),'EDT Y TAREAS'!AF45/'EDT Y TAREAS'!M45,0),IF(AND(90&gt;='EDT Y TAREAS'!AK49,90&lt;'EDT Y TAREAS'!AL49),'EDT Y TAREAS'!AF49/'EDT Y TAREAS'!M49,0),IF(AND(90&gt;='EDT Y TAREAS'!AK52,90&lt;'EDT Y TAREAS'!AL52),'EDT Y TAREAS'!AF52/'EDT Y TAREAS'!M52,0))</x:f>
        <x:v>0</x:v>
      </x:c>
      <x:c r="E130" s="35" t="n">
        <x:f>SUM(IF(AND(90&gt;='EDT Y TAREAS'!AK29,90&lt;'EDT Y TAREAS'!AL29),'EDT Y TAREAS'!AG29/'EDT Y TAREAS'!M29,0),IF(AND(90&gt;='EDT Y TAREAS'!AK30,90&lt;'EDT Y TAREAS'!AL30),'EDT Y TAREAS'!AG30/'EDT Y TAREAS'!M30,0),IF(AND(90&gt;='EDT Y TAREAS'!AK31,90&lt;'EDT Y TAREAS'!AL31),'EDT Y TAREAS'!AG31/'EDT Y TAREAS'!M31,0),IF(AND(90&gt;='EDT Y TAREAS'!AK32,90&lt;'EDT Y TAREAS'!AL32),'EDT Y TAREAS'!AG32/'EDT Y TAREAS'!M32,0),IF(AND(90&gt;='EDT Y TAREAS'!AK41,90&lt;'EDT Y TAREAS'!AL41),'EDT Y TAREAS'!AG41/'EDT Y TAREAS'!M41,0),IF(AND(90&gt;='EDT Y TAREAS'!AK45,90&lt;'EDT Y TAREAS'!AL45),'EDT Y TAREAS'!AG45/'EDT Y TAREAS'!M45,0),IF(AND(90&gt;='EDT Y TAREAS'!AK48,90&lt;'EDT Y TAREAS'!AL48),'EDT Y TAREAS'!AG48/'EDT Y TAREAS'!M48,0))</x:f>
        <x:v>5.6</x:v>
      </x:c>
      <x:c r="F130" s="35" t="n">
        <x:f>SUM(IF(AND(90&gt;='EDT Y TAREAS'!AK10,90&lt;'EDT Y TAREAS'!AL10),'EDT Y TAREAS'!AH10/'EDT Y TAREAS'!M10,0),IF(AND(90&gt;='EDT Y TAREAS'!AK12,90&lt;'EDT Y TAREAS'!AL12),'EDT Y TAREAS'!AH12/'EDT Y TAREAS'!M12,0),IF(AND(90&gt;='EDT Y TAREAS'!AK22,90&lt;'EDT Y TAREAS'!AL22),'EDT Y TAREAS'!AH22/'EDT Y TAREAS'!M22,0),IF(AND(90&gt;='EDT Y TAREAS'!AK23,90&lt;'EDT Y TAREAS'!AL23),'EDT Y TAREAS'!AH23/'EDT Y TAREAS'!M23,0),IF(AND(90&gt;='EDT Y TAREAS'!AK29,90&lt;'EDT Y TAREAS'!AL29),'EDT Y TAREAS'!AH29/'EDT Y TAREAS'!M29,0),IF(AND(90&gt;='EDT Y TAREAS'!AK30,90&lt;'EDT Y TAREAS'!AL30),'EDT Y TAREAS'!AH30/'EDT Y TAREAS'!M30,0),IF(AND(90&gt;='EDT Y TAREAS'!AK32,90&lt;'EDT Y TAREAS'!AL32),'EDT Y TAREAS'!AH32/'EDT Y TAREAS'!M32,0),IF(AND(90&gt;='EDT Y TAREAS'!AK41,90&lt;'EDT Y TAREAS'!AL41),'EDT Y TAREAS'!AH41/'EDT Y TAREAS'!M41,0),IF(AND(90&gt;='EDT Y TAREAS'!AK44,90&lt;'EDT Y TAREAS'!AL44),'EDT Y TAREAS'!AH44/'EDT Y TAREAS'!M44,0),IF(AND(90&gt;='EDT Y TAREAS'!AK46,90&lt;'EDT Y TAREAS'!AL46),'EDT Y TAREAS'!AH46/'EDT Y TAREAS'!M46,0),IF(AND(90&gt;='EDT Y TAREAS'!AK48,90&lt;'EDT Y TAREAS'!AL48),'EDT Y TAREAS'!AH48/'EDT Y TAREAS'!M48,0))</x:f>
        <x:v>0.8</x:v>
      </x:c>
      <x:c r="G130" s="35" t="n">
        <x:f>SUM(IF(AND(90&gt;='EDT Y TAREAS'!AK20,90&lt;'EDT Y TAREAS'!AL20),'EDT Y TAREAS'!AI20/'EDT Y TAREAS'!M20,0),IF(AND(90&gt;='EDT Y TAREAS'!AK25,90&lt;'EDT Y TAREAS'!AL25),'EDT Y TAREAS'!AI25/'EDT Y TAREAS'!M25,0),IF(AND(90&gt;='EDT Y TAREAS'!AK33,90&lt;'EDT Y TAREAS'!AL33),'EDT Y TAREAS'!AI33/'EDT Y TAREAS'!M33,0),IF(AND(90&gt;='EDT Y TAREAS'!AK34,90&lt;'EDT Y TAREAS'!AL34),'EDT Y TAREAS'!AI34/'EDT Y TAREAS'!M34,0),IF(AND(90&gt;='EDT Y TAREAS'!AK36,90&lt;'EDT Y TAREAS'!AL36),'EDT Y TAREAS'!AI36/'EDT Y TAREAS'!M36,0),IF(AND(90&gt;='EDT Y TAREAS'!AK39,90&lt;'EDT Y TAREAS'!AL39),'EDT Y TAREAS'!AI39/'EDT Y TAREAS'!M39,0),IF(AND(90&gt;='EDT Y TAREAS'!AK40,90&lt;'EDT Y TAREAS'!AL40),'EDT Y TAREAS'!AI40/'EDT Y TAREAS'!M40,0),IF(AND(90&gt;='EDT Y TAREAS'!AK42,90&lt;'EDT Y TAREAS'!AL42),'EDT Y TAREAS'!AI42/'EDT Y TAREAS'!M42,0),IF(AND(90&gt;='EDT Y TAREAS'!AK43,90&lt;'EDT Y TAREAS'!AL43),'EDT Y TAREAS'!AI43/'EDT Y TAREAS'!M43,0),IF(AND(90&gt;='EDT Y TAREAS'!AK44,90&lt;'EDT Y TAREAS'!AL44),'EDT Y TAREAS'!AI44/'EDT Y TAREAS'!M44,0),IF(AND(90&gt;='EDT Y TAREAS'!AK45,90&lt;'EDT Y TAREAS'!AL45),'EDT Y TAREAS'!AI45/'EDT Y TAREAS'!M45,0),IF(AND(90&gt;='EDT Y TAREAS'!AK46,90&lt;'EDT Y TAREAS'!AL46),'EDT Y TAREAS'!AI46/'EDT Y TAREAS'!M46,0),IF(AND(90&gt;='EDT Y TAREAS'!AK48,90&lt;'EDT Y TAREAS'!AL48),'EDT Y TAREAS'!AI48/'EDT Y TAREAS'!M48,0),IF(AND(90&gt;='EDT Y TAREAS'!AK50,90&lt;'EDT Y TAREAS'!AL50),'EDT Y TAREAS'!AI50/'EDT Y TAREAS'!M50,0),IF(AND(90&gt;='EDT Y TAREAS'!AK52,90&lt;'EDT Y TAREAS'!AL52),'EDT Y TAREAS'!AI52/'EDT Y TAREAS'!M52,0))</x:f>
        <x:v>0</x:v>
      </x:c>
      <x:c r="H130" s="35" t="n">
        <x:f>SUM(IF(AND(90&gt;='EDT Y TAREAS'!AK11,90&lt;'EDT Y TAREAS'!AL11),'EDT Y TAREAS'!AJ11/'EDT Y TAREAS'!M11,0),IF(AND(90&gt;='EDT Y TAREAS'!AK24,90&lt;'EDT Y TAREAS'!AL24),'EDT Y TAREAS'!AJ24/'EDT Y TAREAS'!M24,0),IF(AND(90&gt;='EDT Y TAREAS'!AK27,90&lt;'EDT Y TAREAS'!AL27),'EDT Y TAREAS'!AJ27/'EDT Y TAREAS'!M27,0),IF(AND(90&gt;='EDT Y TAREAS'!AK28,90&lt;'EDT Y TAREAS'!AL28),'EDT Y TAREAS'!AJ28/'EDT Y TAREAS'!M28,0),IF(AND(90&gt;='EDT Y TAREAS'!AK33,90&lt;'EDT Y TAREAS'!AL33),'EDT Y TAREAS'!AJ33/'EDT Y TAREAS'!M33,0),IF(AND(90&gt;='EDT Y TAREAS'!AK35,90&lt;'EDT Y TAREAS'!AL35),'EDT Y TAREAS'!AJ35/'EDT Y TAREAS'!M35,0),IF(AND(90&gt;='EDT Y TAREAS'!AK36,90&lt;'EDT Y TAREAS'!AL36),'EDT Y TAREAS'!AJ36/'EDT Y TAREAS'!M36,0),IF(AND(90&gt;='EDT Y TAREAS'!AK37,90&lt;'EDT Y TAREAS'!AL37),'EDT Y TAREAS'!AJ37/'EDT Y TAREAS'!M37,0),IF(AND(90&gt;='EDT Y TAREAS'!AK40,90&lt;'EDT Y TAREAS'!AL40),'EDT Y TAREAS'!AJ40/'EDT Y TAREAS'!M40,0),IF(AND(90&gt;='EDT Y TAREAS'!AK42,90&lt;'EDT Y TAREAS'!AL42),'EDT Y TAREAS'!AJ42/'EDT Y TAREAS'!M42,0),IF(AND(90&gt;='EDT Y TAREAS'!AK49,90&lt;'EDT Y TAREAS'!AL49),'EDT Y TAREAS'!AJ49/'EDT Y TAREAS'!M49,0),IF(AND(90&gt;='EDT Y TAREAS'!AK50,90&lt;'EDT Y TAREAS'!AL50),'EDT Y TAREAS'!AJ50/'EDT Y TAREAS'!M50,0),IF(AND(90&gt;='EDT Y TAREAS'!AK51,90&lt;'EDT Y TAREAS'!AL51),'EDT Y TAREAS'!AJ51/'EDT Y TAREAS'!M51,0),IF(AND(90&gt;='EDT Y TAREAS'!AK52,90&lt;'EDT Y TAREAS'!AL52),'EDT Y TAREAS'!AJ52/'EDT Y TAREAS'!M52,0))</x:f>
        <x:v>0</x:v>
      </x:c>
      <x:c r="I130" s="10" t="n">
        <x:f>WORKDAY('RESUMEN'!$D$3-1,A130,'RESUMEN'!$J$6:$J$25)</x:f>
        <x:v>46454</x:v>
      </x:c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  <x:c r="AC130" s="3"/>
      <x:c r="AD130" s="3"/>
      <x:c r="AE130" s="3"/>
      <x:c r="AF130" s="3"/>
      <x:c r="AG130" s="3"/>
      <x:c r="AH130" s="3"/>
      <x:c r="AI130" s="3"/>
      <x:c r="AJ130" s="3"/>
      <x:c r="AK130" s="3"/>
      <x:c r="AL130" s="3"/>
      <x:c r="AM130" s="3"/>
      <x:c r="AN130" s="3"/>
      <x:c r="AO130" s="3"/>
    </x:row>
    <x:row r="131" ht="24" customHeight="1">
      <x:c r="A131" s="3" t="n">
        <x:v>92</x:v>
      </x:c>
      <x:c r="B131" s="35" t="n">
        <x:f>SUM(IF(AND(91&gt;='EDT Y TAREAS'!AK6,91&lt;'EDT Y TAREAS'!AL6),'EDT Y TAREAS'!AD6/'EDT Y TAREAS'!M6,0),IF(AND(91&gt;='EDT Y TAREAS'!AK7,91&lt;'EDT Y TAREAS'!AL7),'EDT Y TAREAS'!AD7/'EDT Y TAREAS'!M7,0),IF(AND(91&gt;='EDT Y TAREAS'!AK8,91&lt;'EDT Y TAREAS'!AL8),'EDT Y TAREAS'!AD8/'EDT Y TAREAS'!M8,0),IF(AND(91&gt;='EDT Y TAREAS'!AK9,91&lt;'EDT Y TAREAS'!AL9),'EDT Y TAREAS'!AD9/'EDT Y TAREAS'!M9,0),IF(AND(91&gt;='EDT Y TAREAS'!AK10,91&lt;'EDT Y TAREAS'!AL10),'EDT Y TAREAS'!AD10/'EDT Y TAREAS'!M10,0),IF(AND(91&gt;='EDT Y TAREAS'!AK11,91&lt;'EDT Y TAREAS'!AL11),'EDT Y TAREAS'!AD11/'EDT Y TAREAS'!M11,0),IF(AND(91&gt;='EDT Y TAREAS'!AK12,91&lt;'EDT Y TAREAS'!AL12),'EDT Y TAREAS'!AD12/'EDT Y TAREAS'!M12,0),IF(AND(91&gt;='EDT Y TAREAS'!AK13,91&lt;'EDT Y TAREAS'!AL13),'EDT Y TAREAS'!AD13/'EDT Y TAREAS'!M13,0),IF(AND(91&gt;='EDT Y TAREAS'!AK14,91&lt;'EDT Y TAREAS'!AL14),'EDT Y TAREAS'!AD14/'EDT Y TAREAS'!M14,0),IF(AND(91&gt;='EDT Y TAREAS'!AK15,91&lt;'EDT Y TAREAS'!AL15),'EDT Y TAREAS'!AD15/'EDT Y TAREAS'!M15,0),IF(AND(91&gt;='EDT Y TAREAS'!AK16,91&lt;'EDT Y TAREAS'!AL16),'EDT Y TAREAS'!AD16/'EDT Y TAREAS'!M16,0),IF(AND(91&gt;='EDT Y TAREAS'!AK17,91&lt;'EDT Y TAREAS'!AL17),'EDT Y TAREAS'!AD17/'EDT Y TAREAS'!M17,0),IF(AND(91&gt;='EDT Y TAREAS'!AK18,91&lt;'EDT Y TAREAS'!AL18),'EDT Y TAREAS'!AD18/'EDT Y TAREAS'!M18,0),IF(AND(91&gt;='EDT Y TAREAS'!AK19,91&lt;'EDT Y TAREAS'!AL19),'EDT Y TAREAS'!AD19/'EDT Y TAREAS'!M19,0),IF(AND(91&gt;='EDT Y TAREAS'!AK20,91&lt;'EDT Y TAREAS'!AL20),'EDT Y TAREAS'!AD20/'EDT Y TAREAS'!M20,0),IF(AND(91&gt;='EDT Y TAREAS'!AK21,91&lt;'EDT Y TAREAS'!AL21),'EDT Y TAREAS'!AD21/'EDT Y TAREAS'!M21,0),IF(AND(91&gt;='EDT Y TAREAS'!AK22,91&lt;'EDT Y TAREAS'!AL22),'EDT Y TAREAS'!AD22/'EDT Y TAREAS'!M22,0),IF(AND(91&gt;='EDT Y TAREAS'!AK23,91&lt;'EDT Y TAREAS'!AL23),'EDT Y TAREAS'!AD23/'EDT Y TAREAS'!M23,0),IF(AND(91&gt;='EDT Y TAREAS'!AK26,91&lt;'EDT Y TAREAS'!AL26),'EDT Y TAREAS'!AD26/'EDT Y TAREAS'!M26,0),IF(AND(91&gt;='EDT Y TAREAS'!AK28,91&lt;'EDT Y TAREAS'!AL28),'EDT Y TAREAS'!AD28/'EDT Y TAREAS'!M28,0),IF(AND(91&gt;='EDT Y TAREAS'!AK30,91&lt;'EDT Y TAREAS'!AL30),'EDT Y TAREAS'!AD30/'EDT Y TAREAS'!M30,0),IF(AND(91&gt;='EDT Y TAREAS'!AK32,91&lt;'EDT Y TAREAS'!AL32),'EDT Y TAREAS'!AD32/'EDT Y TAREAS'!M32,0),IF(AND(91&gt;='EDT Y TAREAS'!AK34,91&lt;'EDT Y TAREAS'!AL34),'EDT Y TAREAS'!AD34/'EDT Y TAREAS'!M34,0),IF(AND(91&gt;='EDT Y TAREAS'!AK38,91&lt;'EDT Y TAREAS'!AL38),'EDT Y TAREAS'!AD38/'EDT Y TAREAS'!M38,0),IF(AND(91&gt;='EDT Y TAREAS'!AK39,91&lt;'EDT Y TAREAS'!AL39),'EDT Y TAREAS'!AD39/'EDT Y TAREAS'!M39,0),IF(AND(91&gt;='EDT Y TAREAS'!AK43,91&lt;'EDT Y TAREAS'!AL43),'EDT Y TAREAS'!AD43/'EDT Y TAREAS'!M43,0),IF(AND(91&gt;='EDT Y TAREAS'!AK44,91&lt;'EDT Y TAREAS'!AL44),'EDT Y TAREAS'!AD44/'EDT Y TAREAS'!M44,0),IF(AND(91&gt;='EDT Y TAREAS'!AK45,91&lt;'EDT Y TAREAS'!AL45),'EDT Y TAREAS'!AD45/'EDT Y TAREAS'!M45,0),IF(AND(91&gt;='EDT Y TAREAS'!AK46,91&lt;'EDT Y TAREAS'!AL46),'EDT Y TAREAS'!AD46/'EDT Y TAREAS'!M46,0),IF(AND(91&gt;='EDT Y TAREAS'!AK47,91&lt;'EDT Y TAREAS'!AL47),'EDT Y TAREAS'!AD47/'EDT Y TAREAS'!M47,0),IF(AND(91&gt;='EDT Y TAREAS'!AK49,91&lt;'EDT Y TAREAS'!AL49),'EDT Y TAREAS'!AD49/'EDT Y TAREAS'!M49,0),IF(AND(91&gt;='EDT Y TAREAS'!AK50,91&lt;'EDT Y TAREAS'!AL50),'EDT Y TAREAS'!AD50/'EDT Y TAREAS'!M50,0),IF(AND(91&gt;='EDT Y TAREAS'!AK51,91&lt;'EDT Y TAREAS'!AL51),'EDT Y TAREAS'!AD51/'EDT Y TAREAS'!M51,0),IF(AND(91&gt;='EDT Y TAREAS'!AK52,91&lt;'EDT Y TAREAS'!AL52),'EDT Y TAREAS'!AD52/'EDT Y TAREAS'!M52,0))</x:f>
        <x:v>2.8</x:v>
      </x:c>
      <x:c r="C131" s="35" t="n">
        <x:f>SUM(IF(AND(91&gt;='EDT Y TAREAS'!AK6,91&lt;'EDT Y TAREAS'!AL6),'EDT Y TAREAS'!AE6/'EDT Y TAREAS'!M6,0),IF(AND(91&gt;='EDT Y TAREAS'!AK8,91&lt;'EDT Y TAREAS'!AL8),'EDT Y TAREAS'!AE8/'EDT Y TAREAS'!M8,0),IF(AND(91&gt;='EDT Y TAREAS'!AK9,91&lt;'EDT Y TAREAS'!AL9),'EDT Y TAREAS'!AE9/'EDT Y TAREAS'!M9,0),IF(AND(91&gt;='EDT Y TAREAS'!AK10,91&lt;'EDT Y TAREAS'!AL10),'EDT Y TAREAS'!AE10/'EDT Y TAREAS'!M10,0),IF(AND(91&gt;='EDT Y TAREAS'!AK12,91&lt;'EDT Y TAREAS'!AL12),'EDT Y TAREAS'!AE12/'EDT Y TAREAS'!M12,0),IF(AND(91&gt;='EDT Y TAREAS'!AK16,91&lt;'EDT Y TAREAS'!AL16),'EDT Y TAREAS'!AE16/'EDT Y TAREAS'!M16,0),IF(AND(91&gt;='EDT Y TAREAS'!AK21,91&lt;'EDT Y TAREAS'!AL21),'EDT Y TAREAS'!AE21/'EDT Y TAREAS'!M21,0),IF(AND(91&gt;='EDT Y TAREAS'!AK23,91&lt;'EDT Y TAREAS'!AL23),'EDT Y TAREAS'!AE23/'EDT Y TAREAS'!M23,0),IF(AND(91&gt;='EDT Y TAREAS'!AK37,91&lt;'EDT Y TAREAS'!AL37),'EDT Y TAREAS'!AE37/'EDT Y TAREAS'!M37,0),IF(AND(91&gt;='EDT Y TAREAS'!AK38,91&lt;'EDT Y TAREAS'!AL38),'EDT Y TAREAS'!AE38/'EDT Y TAREAS'!M38,0),IF(AND(91&gt;='EDT Y TAREAS'!AK41,91&lt;'EDT Y TAREAS'!AL41),'EDT Y TAREAS'!AE41/'EDT Y TAREAS'!M41,0),IF(AND(91&gt;='EDT Y TAREAS'!AK43,91&lt;'EDT Y TAREAS'!AL43),'EDT Y TAREAS'!AE43/'EDT Y TAREAS'!M43,0),IF(AND(91&gt;='EDT Y TAREAS'!AK44,91&lt;'EDT Y TAREAS'!AL44),'EDT Y TAREAS'!AE44/'EDT Y TAREAS'!M44,0),IF(AND(91&gt;='EDT Y TAREAS'!AK46,91&lt;'EDT Y TAREAS'!AL46),'EDT Y TAREAS'!AE46/'EDT Y TAREAS'!M46,0),IF(AND(91&gt;='EDT Y TAREAS'!AK47,91&lt;'EDT Y TAREAS'!AL47),'EDT Y TAREAS'!AE47/'EDT Y TAREAS'!M47,0),IF(AND(91&gt;='EDT Y TAREAS'!AK51,91&lt;'EDT Y TAREAS'!AL51),'EDT Y TAREAS'!AE51/'EDT Y TAREAS'!M51,0),IF(AND(91&gt;='EDT Y TAREAS'!AK52,91&lt;'EDT Y TAREAS'!AL52),'EDT Y TAREAS'!AE52/'EDT Y TAREAS'!M52,0))</x:f>
        <x:v>0.4</x:v>
      </x:c>
      <x:c r="D131" s="35" t="n">
        <x:f>SUM(IF(AND(91&gt;='EDT Y TAREAS'!AK11,91&lt;'EDT Y TAREAS'!AL11),'EDT Y TAREAS'!AF11/'EDT Y TAREAS'!M11,0),IF(AND(91&gt;='EDT Y TAREAS'!AK24,91&lt;'EDT Y TAREAS'!AL24),'EDT Y TAREAS'!AF24/'EDT Y TAREAS'!M24,0),IF(AND(91&gt;='EDT Y TAREAS'!AK25,91&lt;'EDT Y TAREAS'!AL25),'EDT Y TAREAS'!AF25/'EDT Y TAREAS'!M25,0),IF(AND(91&gt;='EDT Y TAREAS'!AK26,91&lt;'EDT Y TAREAS'!AL26),'EDT Y TAREAS'!AF26/'EDT Y TAREAS'!M26,0),IF(AND(91&gt;='EDT Y TAREAS'!AK27,91&lt;'EDT Y TAREAS'!AL27),'EDT Y TAREAS'!AF27/'EDT Y TAREAS'!M27,0),IF(AND(91&gt;='EDT Y TAREAS'!AK28,91&lt;'EDT Y TAREAS'!AL28),'EDT Y TAREAS'!AF28/'EDT Y TAREAS'!M28,0),IF(AND(91&gt;='EDT Y TAREAS'!AK31,91&lt;'EDT Y TAREAS'!AL31),'EDT Y TAREAS'!AF31/'EDT Y TAREAS'!M31,0),IF(AND(91&gt;='EDT Y TAREAS'!AK33,91&lt;'EDT Y TAREAS'!AL33),'EDT Y TAREAS'!AF33/'EDT Y TAREAS'!M33,0),IF(AND(91&gt;='EDT Y TAREAS'!AK34,91&lt;'EDT Y TAREAS'!AL34),'EDT Y TAREAS'!AF34/'EDT Y TAREAS'!M34,0),IF(AND(91&gt;='EDT Y TAREAS'!AK35,91&lt;'EDT Y TAREAS'!AL35),'EDT Y TAREAS'!AF35/'EDT Y TAREAS'!M35,0),IF(AND(91&gt;='EDT Y TAREAS'!AK37,91&lt;'EDT Y TAREAS'!AL37),'EDT Y TAREAS'!AF37/'EDT Y TAREAS'!M37,0),IF(AND(91&gt;='EDT Y TAREAS'!AK39,91&lt;'EDT Y TAREAS'!AL39),'EDT Y TAREAS'!AF39/'EDT Y TAREAS'!M39,0),IF(AND(91&gt;='EDT Y TAREAS'!AK40,91&lt;'EDT Y TAREAS'!AL40),'EDT Y TAREAS'!AF40/'EDT Y TAREAS'!M40,0),IF(AND(91&gt;='EDT Y TAREAS'!AK42,91&lt;'EDT Y TAREAS'!AL42),'EDT Y TAREAS'!AF42/'EDT Y TAREAS'!M42,0),IF(AND(91&gt;='EDT Y TAREAS'!AK45,91&lt;'EDT Y TAREAS'!AL45),'EDT Y TAREAS'!AF45/'EDT Y TAREAS'!M45,0),IF(AND(91&gt;='EDT Y TAREAS'!AK49,91&lt;'EDT Y TAREAS'!AL49),'EDT Y TAREAS'!AF49/'EDT Y TAREAS'!M49,0),IF(AND(91&gt;='EDT Y TAREAS'!AK52,91&lt;'EDT Y TAREAS'!AL52),'EDT Y TAREAS'!AF52/'EDT Y TAREAS'!M52,0))</x:f>
        <x:v>0.8</x:v>
      </x:c>
      <x:c r="E131" s="35" t="n">
        <x:f>SUM(IF(AND(91&gt;='EDT Y TAREAS'!AK29,91&lt;'EDT Y TAREAS'!AL29),'EDT Y TAREAS'!AG29/'EDT Y TAREAS'!M29,0),IF(AND(91&gt;='EDT Y TAREAS'!AK30,91&lt;'EDT Y TAREAS'!AL30),'EDT Y TAREAS'!AG30/'EDT Y TAREAS'!M30,0),IF(AND(91&gt;='EDT Y TAREAS'!AK31,91&lt;'EDT Y TAREAS'!AL31),'EDT Y TAREAS'!AG31/'EDT Y TAREAS'!M31,0),IF(AND(91&gt;='EDT Y TAREAS'!AK32,91&lt;'EDT Y TAREAS'!AL32),'EDT Y TAREAS'!AG32/'EDT Y TAREAS'!M32,0),IF(AND(91&gt;='EDT Y TAREAS'!AK41,91&lt;'EDT Y TAREAS'!AL41),'EDT Y TAREAS'!AG41/'EDT Y TAREAS'!M41,0),IF(AND(91&gt;='EDT Y TAREAS'!AK45,91&lt;'EDT Y TAREAS'!AL45),'EDT Y TAREAS'!AG45/'EDT Y TAREAS'!M45,0),IF(AND(91&gt;='EDT Y TAREAS'!AK48,91&lt;'EDT Y TAREAS'!AL48),'EDT Y TAREAS'!AG48/'EDT Y TAREAS'!M48,0))</x:f>
        <x:v>1.6</x:v>
      </x:c>
      <x:c r="F131" s="35" t="n">
        <x:f>SUM(IF(AND(91&gt;='EDT Y TAREAS'!AK10,91&lt;'EDT Y TAREAS'!AL10),'EDT Y TAREAS'!AH10/'EDT Y TAREAS'!M10,0),IF(AND(91&gt;='EDT Y TAREAS'!AK12,91&lt;'EDT Y TAREAS'!AL12),'EDT Y TAREAS'!AH12/'EDT Y TAREAS'!M12,0),IF(AND(91&gt;='EDT Y TAREAS'!AK22,91&lt;'EDT Y TAREAS'!AL22),'EDT Y TAREAS'!AH22/'EDT Y TAREAS'!M22,0),IF(AND(91&gt;='EDT Y TAREAS'!AK23,91&lt;'EDT Y TAREAS'!AL23),'EDT Y TAREAS'!AH23/'EDT Y TAREAS'!M23,0),IF(AND(91&gt;='EDT Y TAREAS'!AK29,91&lt;'EDT Y TAREAS'!AL29),'EDT Y TAREAS'!AH29/'EDT Y TAREAS'!M29,0),IF(AND(91&gt;='EDT Y TAREAS'!AK30,91&lt;'EDT Y TAREAS'!AL30),'EDT Y TAREAS'!AH30/'EDT Y TAREAS'!M30,0),IF(AND(91&gt;='EDT Y TAREAS'!AK32,91&lt;'EDT Y TAREAS'!AL32),'EDT Y TAREAS'!AH32/'EDT Y TAREAS'!M32,0),IF(AND(91&gt;='EDT Y TAREAS'!AK41,91&lt;'EDT Y TAREAS'!AL41),'EDT Y TAREAS'!AH41/'EDT Y TAREAS'!M41,0),IF(AND(91&gt;='EDT Y TAREAS'!AK44,91&lt;'EDT Y TAREAS'!AL44),'EDT Y TAREAS'!AH44/'EDT Y TAREAS'!M44,0),IF(AND(91&gt;='EDT Y TAREAS'!AK46,91&lt;'EDT Y TAREAS'!AL46),'EDT Y TAREAS'!AH46/'EDT Y TAREAS'!M46,0),IF(AND(91&gt;='EDT Y TAREAS'!AK48,91&lt;'EDT Y TAREAS'!AL48),'EDT Y TAREAS'!AH48/'EDT Y TAREAS'!M48,0))</x:f>
        <x:v>2.4</x:v>
      </x:c>
      <x:c r="G131" s="35" t="n">
        <x:f>SUM(IF(AND(91&gt;='EDT Y TAREAS'!AK20,91&lt;'EDT Y TAREAS'!AL20),'EDT Y TAREAS'!AI20/'EDT Y TAREAS'!M20,0),IF(AND(91&gt;='EDT Y TAREAS'!AK25,91&lt;'EDT Y TAREAS'!AL25),'EDT Y TAREAS'!AI25/'EDT Y TAREAS'!M25,0),IF(AND(91&gt;='EDT Y TAREAS'!AK33,91&lt;'EDT Y TAREAS'!AL33),'EDT Y TAREAS'!AI33/'EDT Y TAREAS'!M33,0),IF(AND(91&gt;='EDT Y TAREAS'!AK34,91&lt;'EDT Y TAREAS'!AL34),'EDT Y TAREAS'!AI34/'EDT Y TAREAS'!M34,0),IF(AND(91&gt;='EDT Y TAREAS'!AK36,91&lt;'EDT Y TAREAS'!AL36),'EDT Y TAREAS'!AI36/'EDT Y TAREAS'!M36,0),IF(AND(91&gt;='EDT Y TAREAS'!AK39,91&lt;'EDT Y TAREAS'!AL39),'EDT Y TAREAS'!AI39/'EDT Y TAREAS'!M39,0),IF(AND(91&gt;='EDT Y TAREAS'!AK40,91&lt;'EDT Y TAREAS'!AL40),'EDT Y TAREAS'!AI40/'EDT Y TAREAS'!M40,0),IF(AND(91&gt;='EDT Y TAREAS'!AK42,91&lt;'EDT Y TAREAS'!AL42),'EDT Y TAREAS'!AI42/'EDT Y TAREAS'!M42,0),IF(AND(91&gt;='EDT Y TAREAS'!AK43,91&lt;'EDT Y TAREAS'!AL43),'EDT Y TAREAS'!AI43/'EDT Y TAREAS'!M43,0),IF(AND(91&gt;='EDT Y TAREAS'!AK44,91&lt;'EDT Y TAREAS'!AL44),'EDT Y TAREAS'!AI44/'EDT Y TAREAS'!M44,0),IF(AND(91&gt;='EDT Y TAREAS'!AK45,91&lt;'EDT Y TAREAS'!AL45),'EDT Y TAREAS'!AI45/'EDT Y TAREAS'!M45,0),IF(AND(91&gt;='EDT Y TAREAS'!AK46,91&lt;'EDT Y TAREAS'!AL46),'EDT Y TAREAS'!AI46/'EDT Y TAREAS'!M46,0),IF(AND(91&gt;='EDT Y TAREAS'!AK48,91&lt;'EDT Y TAREAS'!AL48),'EDT Y TAREAS'!AI48/'EDT Y TAREAS'!M48,0),IF(AND(91&gt;='EDT Y TAREAS'!AK50,91&lt;'EDT Y TAREAS'!AL50),'EDT Y TAREAS'!AI50/'EDT Y TAREAS'!M50,0),IF(AND(91&gt;='EDT Y TAREAS'!AK52,91&lt;'EDT Y TAREAS'!AL52),'EDT Y TAREAS'!AI52/'EDT Y TAREAS'!M52,0))</x:f>
        <x:v>2.4</x:v>
      </x:c>
      <x:c r="H131" s="35" t="n">
        <x:f>SUM(IF(AND(91&gt;='EDT Y TAREAS'!AK11,91&lt;'EDT Y TAREAS'!AL11),'EDT Y TAREAS'!AJ11/'EDT Y TAREAS'!M11,0),IF(AND(91&gt;='EDT Y TAREAS'!AK24,91&lt;'EDT Y TAREAS'!AL24),'EDT Y TAREAS'!AJ24/'EDT Y TAREAS'!M24,0),IF(AND(91&gt;='EDT Y TAREAS'!AK27,91&lt;'EDT Y TAREAS'!AL27),'EDT Y TAREAS'!AJ27/'EDT Y TAREAS'!M27,0),IF(AND(91&gt;='EDT Y TAREAS'!AK28,91&lt;'EDT Y TAREAS'!AL28),'EDT Y TAREAS'!AJ28/'EDT Y TAREAS'!M28,0),IF(AND(91&gt;='EDT Y TAREAS'!AK33,91&lt;'EDT Y TAREAS'!AL33),'EDT Y TAREAS'!AJ33/'EDT Y TAREAS'!M33,0),IF(AND(91&gt;='EDT Y TAREAS'!AK35,91&lt;'EDT Y TAREAS'!AL35),'EDT Y TAREAS'!AJ35/'EDT Y TAREAS'!M35,0),IF(AND(91&gt;='EDT Y TAREAS'!AK36,91&lt;'EDT Y TAREAS'!AL36),'EDT Y TAREAS'!AJ36/'EDT Y TAREAS'!M36,0),IF(AND(91&gt;='EDT Y TAREAS'!AK37,91&lt;'EDT Y TAREAS'!AL37),'EDT Y TAREAS'!AJ37/'EDT Y TAREAS'!M37,0),IF(AND(91&gt;='EDT Y TAREAS'!AK40,91&lt;'EDT Y TAREAS'!AL40),'EDT Y TAREAS'!AJ40/'EDT Y TAREAS'!M40,0),IF(AND(91&gt;='EDT Y TAREAS'!AK42,91&lt;'EDT Y TAREAS'!AL42),'EDT Y TAREAS'!AJ42/'EDT Y TAREAS'!M42,0),IF(AND(91&gt;='EDT Y TAREAS'!AK49,91&lt;'EDT Y TAREAS'!AL49),'EDT Y TAREAS'!AJ49/'EDT Y TAREAS'!M49,0),IF(AND(91&gt;='EDT Y TAREAS'!AK50,91&lt;'EDT Y TAREAS'!AL50),'EDT Y TAREAS'!AJ50/'EDT Y TAREAS'!M50,0),IF(AND(91&gt;='EDT Y TAREAS'!AK51,91&lt;'EDT Y TAREAS'!AL51),'EDT Y TAREAS'!AJ51/'EDT Y TAREAS'!M51,0),IF(AND(91&gt;='EDT Y TAREAS'!AK52,91&lt;'EDT Y TAREAS'!AL52),'EDT Y TAREAS'!AJ52/'EDT Y TAREAS'!M52,0))</x:f>
        <x:v>0</x:v>
      </x:c>
      <x:c r="I131" s="10" t="n">
        <x:f>WORKDAY('RESUMEN'!$D$3-1,A131,'RESUMEN'!$J$6:$J$25)</x:f>
        <x:v>46455</x:v>
      </x:c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  <x:c r="AL131" s="3"/>
      <x:c r="AM131" s="3"/>
      <x:c r="AN131" s="3"/>
      <x:c r="AO131" s="3"/>
    </x:row>
    <x:row r="132" ht="24" customHeight="1">
      <x:c r="A132" s="3" t="n">
        <x:v>93</x:v>
      </x:c>
      <x:c r="B132" s="35" t="n">
        <x:f>SUM(IF(AND(92&gt;='EDT Y TAREAS'!AK6,92&lt;'EDT Y TAREAS'!AL6),'EDT Y TAREAS'!AD6/'EDT Y TAREAS'!M6,0),IF(AND(92&gt;='EDT Y TAREAS'!AK7,92&lt;'EDT Y TAREAS'!AL7),'EDT Y TAREAS'!AD7/'EDT Y TAREAS'!M7,0),IF(AND(92&gt;='EDT Y TAREAS'!AK8,92&lt;'EDT Y TAREAS'!AL8),'EDT Y TAREAS'!AD8/'EDT Y TAREAS'!M8,0),IF(AND(92&gt;='EDT Y TAREAS'!AK9,92&lt;'EDT Y TAREAS'!AL9),'EDT Y TAREAS'!AD9/'EDT Y TAREAS'!M9,0),IF(AND(92&gt;='EDT Y TAREAS'!AK10,92&lt;'EDT Y TAREAS'!AL10),'EDT Y TAREAS'!AD10/'EDT Y TAREAS'!M10,0),IF(AND(92&gt;='EDT Y TAREAS'!AK11,92&lt;'EDT Y TAREAS'!AL11),'EDT Y TAREAS'!AD11/'EDT Y TAREAS'!M11,0),IF(AND(92&gt;='EDT Y TAREAS'!AK12,92&lt;'EDT Y TAREAS'!AL12),'EDT Y TAREAS'!AD12/'EDT Y TAREAS'!M12,0),IF(AND(92&gt;='EDT Y TAREAS'!AK13,92&lt;'EDT Y TAREAS'!AL13),'EDT Y TAREAS'!AD13/'EDT Y TAREAS'!M13,0),IF(AND(92&gt;='EDT Y TAREAS'!AK14,92&lt;'EDT Y TAREAS'!AL14),'EDT Y TAREAS'!AD14/'EDT Y TAREAS'!M14,0),IF(AND(92&gt;='EDT Y TAREAS'!AK15,92&lt;'EDT Y TAREAS'!AL15),'EDT Y TAREAS'!AD15/'EDT Y TAREAS'!M15,0),IF(AND(92&gt;='EDT Y TAREAS'!AK16,92&lt;'EDT Y TAREAS'!AL16),'EDT Y TAREAS'!AD16/'EDT Y TAREAS'!M16,0),IF(AND(92&gt;='EDT Y TAREAS'!AK17,92&lt;'EDT Y TAREAS'!AL17),'EDT Y TAREAS'!AD17/'EDT Y TAREAS'!M17,0),IF(AND(92&gt;='EDT Y TAREAS'!AK18,92&lt;'EDT Y TAREAS'!AL18),'EDT Y TAREAS'!AD18/'EDT Y TAREAS'!M18,0),IF(AND(92&gt;='EDT Y TAREAS'!AK19,92&lt;'EDT Y TAREAS'!AL19),'EDT Y TAREAS'!AD19/'EDT Y TAREAS'!M19,0),IF(AND(92&gt;='EDT Y TAREAS'!AK20,92&lt;'EDT Y TAREAS'!AL20),'EDT Y TAREAS'!AD20/'EDT Y TAREAS'!M20,0),IF(AND(92&gt;='EDT Y TAREAS'!AK21,92&lt;'EDT Y TAREAS'!AL21),'EDT Y TAREAS'!AD21/'EDT Y TAREAS'!M21,0),IF(AND(92&gt;='EDT Y TAREAS'!AK22,92&lt;'EDT Y TAREAS'!AL22),'EDT Y TAREAS'!AD22/'EDT Y TAREAS'!M22,0),IF(AND(92&gt;='EDT Y TAREAS'!AK23,92&lt;'EDT Y TAREAS'!AL23),'EDT Y TAREAS'!AD23/'EDT Y TAREAS'!M23,0),IF(AND(92&gt;='EDT Y TAREAS'!AK26,92&lt;'EDT Y TAREAS'!AL26),'EDT Y TAREAS'!AD26/'EDT Y TAREAS'!M26,0),IF(AND(92&gt;='EDT Y TAREAS'!AK28,92&lt;'EDT Y TAREAS'!AL28),'EDT Y TAREAS'!AD28/'EDT Y TAREAS'!M28,0),IF(AND(92&gt;='EDT Y TAREAS'!AK30,92&lt;'EDT Y TAREAS'!AL30),'EDT Y TAREAS'!AD30/'EDT Y TAREAS'!M30,0),IF(AND(92&gt;='EDT Y TAREAS'!AK32,92&lt;'EDT Y TAREAS'!AL32),'EDT Y TAREAS'!AD32/'EDT Y TAREAS'!M32,0),IF(AND(92&gt;='EDT Y TAREAS'!AK34,92&lt;'EDT Y TAREAS'!AL34),'EDT Y TAREAS'!AD34/'EDT Y TAREAS'!M34,0),IF(AND(92&gt;='EDT Y TAREAS'!AK38,92&lt;'EDT Y TAREAS'!AL38),'EDT Y TAREAS'!AD38/'EDT Y TAREAS'!M38,0),IF(AND(92&gt;='EDT Y TAREAS'!AK39,92&lt;'EDT Y TAREAS'!AL39),'EDT Y TAREAS'!AD39/'EDT Y TAREAS'!M39,0),IF(AND(92&gt;='EDT Y TAREAS'!AK43,92&lt;'EDT Y TAREAS'!AL43),'EDT Y TAREAS'!AD43/'EDT Y TAREAS'!M43,0),IF(AND(92&gt;='EDT Y TAREAS'!AK44,92&lt;'EDT Y TAREAS'!AL44),'EDT Y TAREAS'!AD44/'EDT Y TAREAS'!M44,0),IF(AND(92&gt;='EDT Y TAREAS'!AK45,92&lt;'EDT Y TAREAS'!AL45),'EDT Y TAREAS'!AD45/'EDT Y TAREAS'!M45,0),IF(AND(92&gt;='EDT Y TAREAS'!AK46,92&lt;'EDT Y TAREAS'!AL46),'EDT Y TAREAS'!AD46/'EDT Y TAREAS'!M46,0),IF(AND(92&gt;='EDT Y TAREAS'!AK47,92&lt;'EDT Y TAREAS'!AL47),'EDT Y TAREAS'!AD47/'EDT Y TAREAS'!M47,0),IF(AND(92&gt;='EDT Y TAREAS'!AK49,92&lt;'EDT Y TAREAS'!AL49),'EDT Y TAREAS'!AD49/'EDT Y TAREAS'!M49,0),IF(AND(92&gt;='EDT Y TAREAS'!AK50,92&lt;'EDT Y TAREAS'!AL50),'EDT Y TAREAS'!AD50/'EDT Y TAREAS'!M50,0),IF(AND(92&gt;='EDT Y TAREAS'!AK51,92&lt;'EDT Y TAREAS'!AL51),'EDT Y TAREAS'!AD51/'EDT Y TAREAS'!M51,0),IF(AND(92&gt;='EDT Y TAREAS'!AK52,92&lt;'EDT Y TAREAS'!AL52),'EDT Y TAREAS'!AD52/'EDT Y TAREAS'!M52,0))</x:f>
        <x:v>2.8</x:v>
      </x:c>
      <x:c r="C132" s="35" t="n">
        <x:f>SUM(IF(AND(92&gt;='EDT Y TAREAS'!AK6,92&lt;'EDT Y TAREAS'!AL6),'EDT Y TAREAS'!AE6/'EDT Y TAREAS'!M6,0),IF(AND(92&gt;='EDT Y TAREAS'!AK8,92&lt;'EDT Y TAREAS'!AL8),'EDT Y TAREAS'!AE8/'EDT Y TAREAS'!M8,0),IF(AND(92&gt;='EDT Y TAREAS'!AK9,92&lt;'EDT Y TAREAS'!AL9),'EDT Y TAREAS'!AE9/'EDT Y TAREAS'!M9,0),IF(AND(92&gt;='EDT Y TAREAS'!AK10,92&lt;'EDT Y TAREAS'!AL10),'EDT Y TAREAS'!AE10/'EDT Y TAREAS'!M10,0),IF(AND(92&gt;='EDT Y TAREAS'!AK12,92&lt;'EDT Y TAREAS'!AL12),'EDT Y TAREAS'!AE12/'EDT Y TAREAS'!M12,0),IF(AND(92&gt;='EDT Y TAREAS'!AK16,92&lt;'EDT Y TAREAS'!AL16),'EDT Y TAREAS'!AE16/'EDT Y TAREAS'!M16,0),IF(AND(92&gt;='EDT Y TAREAS'!AK21,92&lt;'EDT Y TAREAS'!AL21),'EDT Y TAREAS'!AE21/'EDT Y TAREAS'!M21,0),IF(AND(92&gt;='EDT Y TAREAS'!AK23,92&lt;'EDT Y TAREAS'!AL23),'EDT Y TAREAS'!AE23/'EDT Y TAREAS'!M23,0),IF(AND(92&gt;='EDT Y TAREAS'!AK37,92&lt;'EDT Y TAREAS'!AL37),'EDT Y TAREAS'!AE37/'EDT Y TAREAS'!M37,0),IF(AND(92&gt;='EDT Y TAREAS'!AK38,92&lt;'EDT Y TAREAS'!AL38),'EDT Y TAREAS'!AE38/'EDT Y TAREAS'!M38,0),IF(AND(92&gt;='EDT Y TAREAS'!AK41,92&lt;'EDT Y TAREAS'!AL41),'EDT Y TAREAS'!AE41/'EDT Y TAREAS'!M41,0),IF(AND(92&gt;='EDT Y TAREAS'!AK43,92&lt;'EDT Y TAREAS'!AL43),'EDT Y TAREAS'!AE43/'EDT Y TAREAS'!M43,0),IF(AND(92&gt;='EDT Y TAREAS'!AK44,92&lt;'EDT Y TAREAS'!AL44),'EDT Y TAREAS'!AE44/'EDT Y TAREAS'!M44,0),IF(AND(92&gt;='EDT Y TAREAS'!AK46,92&lt;'EDT Y TAREAS'!AL46),'EDT Y TAREAS'!AE46/'EDT Y TAREAS'!M46,0),IF(AND(92&gt;='EDT Y TAREAS'!AK47,92&lt;'EDT Y TAREAS'!AL47),'EDT Y TAREAS'!AE47/'EDT Y TAREAS'!M47,0),IF(AND(92&gt;='EDT Y TAREAS'!AK51,92&lt;'EDT Y TAREAS'!AL51),'EDT Y TAREAS'!AE51/'EDT Y TAREAS'!M51,0),IF(AND(92&gt;='EDT Y TAREAS'!AK52,92&lt;'EDT Y TAREAS'!AL52),'EDT Y TAREAS'!AE52/'EDT Y TAREAS'!M52,0))</x:f>
        <x:v>0.4</x:v>
      </x:c>
      <x:c r="D132" s="35" t="n">
        <x:f>SUM(IF(AND(92&gt;='EDT Y TAREAS'!AK11,92&lt;'EDT Y TAREAS'!AL11),'EDT Y TAREAS'!AF11/'EDT Y TAREAS'!M11,0),IF(AND(92&gt;='EDT Y TAREAS'!AK24,92&lt;'EDT Y TAREAS'!AL24),'EDT Y TAREAS'!AF24/'EDT Y TAREAS'!M24,0),IF(AND(92&gt;='EDT Y TAREAS'!AK25,92&lt;'EDT Y TAREAS'!AL25),'EDT Y TAREAS'!AF25/'EDT Y TAREAS'!M25,0),IF(AND(92&gt;='EDT Y TAREAS'!AK26,92&lt;'EDT Y TAREAS'!AL26),'EDT Y TAREAS'!AF26/'EDT Y TAREAS'!M26,0),IF(AND(92&gt;='EDT Y TAREAS'!AK27,92&lt;'EDT Y TAREAS'!AL27),'EDT Y TAREAS'!AF27/'EDT Y TAREAS'!M27,0),IF(AND(92&gt;='EDT Y TAREAS'!AK28,92&lt;'EDT Y TAREAS'!AL28),'EDT Y TAREAS'!AF28/'EDT Y TAREAS'!M28,0),IF(AND(92&gt;='EDT Y TAREAS'!AK31,92&lt;'EDT Y TAREAS'!AL31),'EDT Y TAREAS'!AF31/'EDT Y TAREAS'!M31,0),IF(AND(92&gt;='EDT Y TAREAS'!AK33,92&lt;'EDT Y TAREAS'!AL33),'EDT Y TAREAS'!AF33/'EDT Y TAREAS'!M33,0),IF(AND(92&gt;='EDT Y TAREAS'!AK34,92&lt;'EDT Y TAREAS'!AL34),'EDT Y TAREAS'!AF34/'EDT Y TAREAS'!M34,0),IF(AND(92&gt;='EDT Y TAREAS'!AK35,92&lt;'EDT Y TAREAS'!AL35),'EDT Y TAREAS'!AF35/'EDT Y TAREAS'!M35,0),IF(AND(92&gt;='EDT Y TAREAS'!AK37,92&lt;'EDT Y TAREAS'!AL37),'EDT Y TAREAS'!AF37/'EDT Y TAREAS'!M37,0),IF(AND(92&gt;='EDT Y TAREAS'!AK39,92&lt;'EDT Y TAREAS'!AL39),'EDT Y TAREAS'!AF39/'EDT Y TAREAS'!M39,0),IF(AND(92&gt;='EDT Y TAREAS'!AK40,92&lt;'EDT Y TAREAS'!AL40),'EDT Y TAREAS'!AF40/'EDT Y TAREAS'!M40,0),IF(AND(92&gt;='EDT Y TAREAS'!AK42,92&lt;'EDT Y TAREAS'!AL42),'EDT Y TAREAS'!AF42/'EDT Y TAREAS'!M42,0),IF(AND(92&gt;='EDT Y TAREAS'!AK45,92&lt;'EDT Y TAREAS'!AL45),'EDT Y TAREAS'!AF45/'EDT Y TAREAS'!M45,0),IF(AND(92&gt;='EDT Y TAREAS'!AK49,92&lt;'EDT Y TAREAS'!AL49),'EDT Y TAREAS'!AF49/'EDT Y TAREAS'!M49,0),IF(AND(92&gt;='EDT Y TAREAS'!AK52,92&lt;'EDT Y TAREAS'!AL52),'EDT Y TAREAS'!AF52/'EDT Y TAREAS'!M52,0))</x:f>
        <x:v>0.8</x:v>
      </x:c>
      <x:c r="E132" s="35" t="n">
        <x:f>SUM(IF(AND(92&gt;='EDT Y TAREAS'!AK29,92&lt;'EDT Y TAREAS'!AL29),'EDT Y TAREAS'!AG29/'EDT Y TAREAS'!M29,0),IF(AND(92&gt;='EDT Y TAREAS'!AK30,92&lt;'EDT Y TAREAS'!AL30),'EDT Y TAREAS'!AG30/'EDT Y TAREAS'!M30,0),IF(AND(92&gt;='EDT Y TAREAS'!AK31,92&lt;'EDT Y TAREAS'!AL31),'EDT Y TAREAS'!AG31/'EDT Y TAREAS'!M31,0),IF(AND(92&gt;='EDT Y TAREAS'!AK32,92&lt;'EDT Y TAREAS'!AL32),'EDT Y TAREAS'!AG32/'EDT Y TAREAS'!M32,0),IF(AND(92&gt;='EDT Y TAREAS'!AK41,92&lt;'EDT Y TAREAS'!AL41),'EDT Y TAREAS'!AG41/'EDT Y TAREAS'!M41,0),IF(AND(92&gt;='EDT Y TAREAS'!AK45,92&lt;'EDT Y TAREAS'!AL45),'EDT Y TAREAS'!AG45/'EDT Y TAREAS'!M45,0),IF(AND(92&gt;='EDT Y TAREAS'!AK48,92&lt;'EDT Y TAREAS'!AL48),'EDT Y TAREAS'!AG48/'EDT Y TAREAS'!M48,0))</x:f>
        <x:v>1.6</x:v>
      </x:c>
      <x:c r="F132" s="35" t="n">
        <x:f>SUM(IF(AND(92&gt;='EDT Y TAREAS'!AK10,92&lt;'EDT Y TAREAS'!AL10),'EDT Y TAREAS'!AH10/'EDT Y TAREAS'!M10,0),IF(AND(92&gt;='EDT Y TAREAS'!AK12,92&lt;'EDT Y TAREAS'!AL12),'EDT Y TAREAS'!AH12/'EDT Y TAREAS'!M12,0),IF(AND(92&gt;='EDT Y TAREAS'!AK22,92&lt;'EDT Y TAREAS'!AL22),'EDT Y TAREAS'!AH22/'EDT Y TAREAS'!M22,0),IF(AND(92&gt;='EDT Y TAREAS'!AK23,92&lt;'EDT Y TAREAS'!AL23),'EDT Y TAREAS'!AH23/'EDT Y TAREAS'!M23,0),IF(AND(92&gt;='EDT Y TAREAS'!AK29,92&lt;'EDT Y TAREAS'!AL29),'EDT Y TAREAS'!AH29/'EDT Y TAREAS'!M29,0),IF(AND(92&gt;='EDT Y TAREAS'!AK30,92&lt;'EDT Y TAREAS'!AL30),'EDT Y TAREAS'!AH30/'EDT Y TAREAS'!M30,0),IF(AND(92&gt;='EDT Y TAREAS'!AK32,92&lt;'EDT Y TAREAS'!AL32),'EDT Y TAREAS'!AH32/'EDT Y TAREAS'!M32,0),IF(AND(92&gt;='EDT Y TAREAS'!AK41,92&lt;'EDT Y TAREAS'!AL41),'EDT Y TAREAS'!AH41/'EDT Y TAREAS'!M41,0),IF(AND(92&gt;='EDT Y TAREAS'!AK44,92&lt;'EDT Y TAREAS'!AL44),'EDT Y TAREAS'!AH44/'EDT Y TAREAS'!M44,0),IF(AND(92&gt;='EDT Y TAREAS'!AK46,92&lt;'EDT Y TAREAS'!AL46),'EDT Y TAREAS'!AH46/'EDT Y TAREAS'!M46,0),IF(AND(92&gt;='EDT Y TAREAS'!AK48,92&lt;'EDT Y TAREAS'!AL48),'EDT Y TAREAS'!AH48/'EDT Y TAREAS'!M48,0))</x:f>
        <x:v>2.4</x:v>
      </x:c>
      <x:c r="G132" s="35" t="n">
        <x:f>SUM(IF(AND(92&gt;='EDT Y TAREAS'!AK20,92&lt;'EDT Y TAREAS'!AL20),'EDT Y TAREAS'!AI20/'EDT Y TAREAS'!M20,0),IF(AND(92&gt;='EDT Y TAREAS'!AK25,92&lt;'EDT Y TAREAS'!AL25),'EDT Y TAREAS'!AI25/'EDT Y TAREAS'!M25,0),IF(AND(92&gt;='EDT Y TAREAS'!AK33,92&lt;'EDT Y TAREAS'!AL33),'EDT Y TAREAS'!AI33/'EDT Y TAREAS'!M33,0),IF(AND(92&gt;='EDT Y TAREAS'!AK34,92&lt;'EDT Y TAREAS'!AL34),'EDT Y TAREAS'!AI34/'EDT Y TAREAS'!M34,0),IF(AND(92&gt;='EDT Y TAREAS'!AK36,92&lt;'EDT Y TAREAS'!AL36),'EDT Y TAREAS'!AI36/'EDT Y TAREAS'!M36,0),IF(AND(92&gt;='EDT Y TAREAS'!AK39,92&lt;'EDT Y TAREAS'!AL39),'EDT Y TAREAS'!AI39/'EDT Y TAREAS'!M39,0),IF(AND(92&gt;='EDT Y TAREAS'!AK40,92&lt;'EDT Y TAREAS'!AL40),'EDT Y TAREAS'!AI40/'EDT Y TAREAS'!M40,0),IF(AND(92&gt;='EDT Y TAREAS'!AK42,92&lt;'EDT Y TAREAS'!AL42),'EDT Y TAREAS'!AI42/'EDT Y TAREAS'!M42,0),IF(AND(92&gt;='EDT Y TAREAS'!AK43,92&lt;'EDT Y TAREAS'!AL43),'EDT Y TAREAS'!AI43/'EDT Y TAREAS'!M43,0),IF(AND(92&gt;='EDT Y TAREAS'!AK44,92&lt;'EDT Y TAREAS'!AL44),'EDT Y TAREAS'!AI44/'EDT Y TAREAS'!M44,0),IF(AND(92&gt;='EDT Y TAREAS'!AK45,92&lt;'EDT Y TAREAS'!AL45),'EDT Y TAREAS'!AI45/'EDT Y TAREAS'!M45,0),IF(AND(92&gt;='EDT Y TAREAS'!AK46,92&lt;'EDT Y TAREAS'!AL46),'EDT Y TAREAS'!AI46/'EDT Y TAREAS'!M46,0),IF(AND(92&gt;='EDT Y TAREAS'!AK48,92&lt;'EDT Y TAREAS'!AL48),'EDT Y TAREAS'!AI48/'EDT Y TAREAS'!M48,0),IF(AND(92&gt;='EDT Y TAREAS'!AK50,92&lt;'EDT Y TAREAS'!AL50),'EDT Y TAREAS'!AI50/'EDT Y TAREAS'!M50,0),IF(AND(92&gt;='EDT Y TAREAS'!AK52,92&lt;'EDT Y TAREAS'!AL52),'EDT Y TAREAS'!AI52/'EDT Y TAREAS'!M52,0))</x:f>
        <x:v>2.4</x:v>
      </x:c>
      <x:c r="H132" s="35" t="n">
        <x:f>SUM(IF(AND(92&gt;='EDT Y TAREAS'!AK11,92&lt;'EDT Y TAREAS'!AL11),'EDT Y TAREAS'!AJ11/'EDT Y TAREAS'!M11,0),IF(AND(92&gt;='EDT Y TAREAS'!AK24,92&lt;'EDT Y TAREAS'!AL24),'EDT Y TAREAS'!AJ24/'EDT Y TAREAS'!M24,0),IF(AND(92&gt;='EDT Y TAREAS'!AK27,92&lt;'EDT Y TAREAS'!AL27),'EDT Y TAREAS'!AJ27/'EDT Y TAREAS'!M27,0),IF(AND(92&gt;='EDT Y TAREAS'!AK28,92&lt;'EDT Y TAREAS'!AL28),'EDT Y TAREAS'!AJ28/'EDT Y TAREAS'!M28,0),IF(AND(92&gt;='EDT Y TAREAS'!AK33,92&lt;'EDT Y TAREAS'!AL33),'EDT Y TAREAS'!AJ33/'EDT Y TAREAS'!M33,0),IF(AND(92&gt;='EDT Y TAREAS'!AK35,92&lt;'EDT Y TAREAS'!AL35),'EDT Y TAREAS'!AJ35/'EDT Y TAREAS'!M35,0),IF(AND(92&gt;='EDT Y TAREAS'!AK36,92&lt;'EDT Y TAREAS'!AL36),'EDT Y TAREAS'!AJ36/'EDT Y TAREAS'!M36,0),IF(AND(92&gt;='EDT Y TAREAS'!AK37,92&lt;'EDT Y TAREAS'!AL37),'EDT Y TAREAS'!AJ37/'EDT Y TAREAS'!M37,0),IF(AND(92&gt;='EDT Y TAREAS'!AK40,92&lt;'EDT Y TAREAS'!AL40),'EDT Y TAREAS'!AJ40/'EDT Y TAREAS'!M40,0),IF(AND(92&gt;='EDT Y TAREAS'!AK42,92&lt;'EDT Y TAREAS'!AL42),'EDT Y TAREAS'!AJ42/'EDT Y TAREAS'!M42,0),IF(AND(92&gt;='EDT Y TAREAS'!AK49,92&lt;'EDT Y TAREAS'!AL49),'EDT Y TAREAS'!AJ49/'EDT Y TAREAS'!M49,0),IF(AND(92&gt;='EDT Y TAREAS'!AK50,92&lt;'EDT Y TAREAS'!AL50),'EDT Y TAREAS'!AJ50/'EDT Y TAREAS'!M50,0),IF(AND(92&gt;='EDT Y TAREAS'!AK51,92&lt;'EDT Y TAREAS'!AL51),'EDT Y TAREAS'!AJ51/'EDT Y TAREAS'!M51,0),IF(AND(92&gt;='EDT Y TAREAS'!AK52,92&lt;'EDT Y TAREAS'!AL52),'EDT Y TAREAS'!AJ52/'EDT Y TAREAS'!M52,0))</x:f>
        <x:v>0</x:v>
      </x:c>
      <x:c r="I132" s="10" t="n">
        <x:f>WORKDAY('RESUMEN'!$D$3-1,A132,'RESUMEN'!$J$6:$J$25)</x:f>
        <x:v>46456</x:v>
      </x:c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  <x:c r="AL132" s="3"/>
      <x:c r="AM132" s="3"/>
      <x:c r="AN132" s="3"/>
      <x:c r="AO132" s="3"/>
    </x:row>
    <x:row r="133" ht="24" customHeight="1">
      <x:c r="A133" s="3" t="n">
        <x:v>94</x:v>
      </x:c>
      <x:c r="B133" s="35" t="n">
        <x:f>SUM(IF(AND(93&gt;='EDT Y TAREAS'!AK6,93&lt;'EDT Y TAREAS'!AL6),'EDT Y TAREAS'!AD6/'EDT Y TAREAS'!M6,0),IF(AND(93&gt;='EDT Y TAREAS'!AK7,93&lt;'EDT Y TAREAS'!AL7),'EDT Y TAREAS'!AD7/'EDT Y TAREAS'!M7,0),IF(AND(93&gt;='EDT Y TAREAS'!AK8,93&lt;'EDT Y TAREAS'!AL8),'EDT Y TAREAS'!AD8/'EDT Y TAREAS'!M8,0),IF(AND(93&gt;='EDT Y TAREAS'!AK9,93&lt;'EDT Y TAREAS'!AL9),'EDT Y TAREAS'!AD9/'EDT Y TAREAS'!M9,0),IF(AND(93&gt;='EDT Y TAREAS'!AK10,93&lt;'EDT Y TAREAS'!AL10),'EDT Y TAREAS'!AD10/'EDT Y TAREAS'!M10,0),IF(AND(93&gt;='EDT Y TAREAS'!AK11,93&lt;'EDT Y TAREAS'!AL11),'EDT Y TAREAS'!AD11/'EDT Y TAREAS'!M11,0),IF(AND(93&gt;='EDT Y TAREAS'!AK12,93&lt;'EDT Y TAREAS'!AL12),'EDT Y TAREAS'!AD12/'EDT Y TAREAS'!M12,0),IF(AND(93&gt;='EDT Y TAREAS'!AK13,93&lt;'EDT Y TAREAS'!AL13),'EDT Y TAREAS'!AD13/'EDT Y TAREAS'!M13,0),IF(AND(93&gt;='EDT Y TAREAS'!AK14,93&lt;'EDT Y TAREAS'!AL14),'EDT Y TAREAS'!AD14/'EDT Y TAREAS'!M14,0),IF(AND(93&gt;='EDT Y TAREAS'!AK15,93&lt;'EDT Y TAREAS'!AL15),'EDT Y TAREAS'!AD15/'EDT Y TAREAS'!M15,0),IF(AND(93&gt;='EDT Y TAREAS'!AK16,93&lt;'EDT Y TAREAS'!AL16),'EDT Y TAREAS'!AD16/'EDT Y TAREAS'!M16,0),IF(AND(93&gt;='EDT Y TAREAS'!AK17,93&lt;'EDT Y TAREAS'!AL17),'EDT Y TAREAS'!AD17/'EDT Y TAREAS'!M17,0),IF(AND(93&gt;='EDT Y TAREAS'!AK18,93&lt;'EDT Y TAREAS'!AL18),'EDT Y TAREAS'!AD18/'EDT Y TAREAS'!M18,0),IF(AND(93&gt;='EDT Y TAREAS'!AK19,93&lt;'EDT Y TAREAS'!AL19),'EDT Y TAREAS'!AD19/'EDT Y TAREAS'!M19,0),IF(AND(93&gt;='EDT Y TAREAS'!AK20,93&lt;'EDT Y TAREAS'!AL20),'EDT Y TAREAS'!AD20/'EDT Y TAREAS'!M20,0),IF(AND(93&gt;='EDT Y TAREAS'!AK21,93&lt;'EDT Y TAREAS'!AL21),'EDT Y TAREAS'!AD21/'EDT Y TAREAS'!M21,0),IF(AND(93&gt;='EDT Y TAREAS'!AK22,93&lt;'EDT Y TAREAS'!AL22),'EDT Y TAREAS'!AD22/'EDT Y TAREAS'!M22,0),IF(AND(93&gt;='EDT Y TAREAS'!AK23,93&lt;'EDT Y TAREAS'!AL23),'EDT Y TAREAS'!AD23/'EDT Y TAREAS'!M23,0),IF(AND(93&gt;='EDT Y TAREAS'!AK26,93&lt;'EDT Y TAREAS'!AL26),'EDT Y TAREAS'!AD26/'EDT Y TAREAS'!M26,0),IF(AND(93&gt;='EDT Y TAREAS'!AK28,93&lt;'EDT Y TAREAS'!AL28),'EDT Y TAREAS'!AD28/'EDT Y TAREAS'!M28,0),IF(AND(93&gt;='EDT Y TAREAS'!AK30,93&lt;'EDT Y TAREAS'!AL30),'EDT Y TAREAS'!AD30/'EDT Y TAREAS'!M30,0),IF(AND(93&gt;='EDT Y TAREAS'!AK32,93&lt;'EDT Y TAREAS'!AL32),'EDT Y TAREAS'!AD32/'EDT Y TAREAS'!M32,0),IF(AND(93&gt;='EDT Y TAREAS'!AK34,93&lt;'EDT Y TAREAS'!AL34),'EDT Y TAREAS'!AD34/'EDT Y TAREAS'!M34,0),IF(AND(93&gt;='EDT Y TAREAS'!AK38,93&lt;'EDT Y TAREAS'!AL38),'EDT Y TAREAS'!AD38/'EDT Y TAREAS'!M38,0),IF(AND(93&gt;='EDT Y TAREAS'!AK39,93&lt;'EDT Y TAREAS'!AL39),'EDT Y TAREAS'!AD39/'EDT Y TAREAS'!M39,0),IF(AND(93&gt;='EDT Y TAREAS'!AK43,93&lt;'EDT Y TAREAS'!AL43),'EDT Y TAREAS'!AD43/'EDT Y TAREAS'!M43,0),IF(AND(93&gt;='EDT Y TAREAS'!AK44,93&lt;'EDT Y TAREAS'!AL44),'EDT Y TAREAS'!AD44/'EDT Y TAREAS'!M44,0),IF(AND(93&gt;='EDT Y TAREAS'!AK45,93&lt;'EDT Y TAREAS'!AL45),'EDT Y TAREAS'!AD45/'EDT Y TAREAS'!M45,0),IF(AND(93&gt;='EDT Y TAREAS'!AK46,93&lt;'EDT Y TAREAS'!AL46),'EDT Y TAREAS'!AD46/'EDT Y TAREAS'!M46,0),IF(AND(93&gt;='EDT Y TAREAS'!AK47,93&lt;'EDT Y TAREAS'!AL47),'EDT Y TAREAS'!AD47/'EDT Y TAREAS'!M47,0),IF(AND(93&gt;='EDT Y TAREAS'!AK49,93&lt;'EDT Y TAREAS'!AL49),'EDT Y TAREAS'!AD49/'EDT Y TAREAS'!M49,0),IF(AND(93&gt;='EDT Y TAREAS'!AK50,93&lt;'EDT Y TAREAS'!AL50),'EDT Y TAREAS'!AD50/'EDT Y TAREAS'!M50,0),IF(AND(93&gt;='EDT Y TAREAS'!AK51,93&lt;'EDT Y TAREAS'!AL51),'EDT Y TAREAS'!AD51/'EDT Y TAREAS'!M51,0),IF(AND(93&gt;='EDT Y TAREAS'!AK52,93&lt;'EDT Y TAREAS'!AL52),'EDT Y TAREAS'!AD52/'EDT Y TAREAS'!M52,0))</x:f>
        <x:v>2.8</x:v>
      </x:c>
      <x:c r="C133" s="35" t="n">
        <x:f>SUM(IF(AND(93&gt;='EDT Y TAREAS'!AK6,93&lt;'EDT Y TAREAS'!AL6),'EDT Y TAREAS'!AE6/'EDT Y TAREAS'!M6,0),IF(AND(93&gt;='EDT Y TAREAS'!AK8,93&lt;'EDT Y TAREAS'!AL8),'EDT Y TAREAS'!AE8/'EDT Y TAREAS'!M8,0),IF(AND(93&gt;='EDT Y TAREAS'!AK9,93&lt;'EDT Y TAREAS'!AL9),'EDT Y TAREAS'!AE9/'EDT Y TAREAS'!M9,0),IF(AND(93&gt;='EDT Y TAREAS'!AK10,93&lt;'EDT Y TAREAS'!AL10),'EDT Y TAREAS'!AE10/'EDT Y TAREAS'!M10,0),IF(AND(93&gt;='EDT Y TAREAS'!AK12,93&lt;'EDT Y TAREAS'!AL12),'EDT Y TAREAS'!AE12/'EDT Y TAREAS'!M12,0),IF(AND(93&gt;='EDT Y TAREAS'!AK16,93&lt;'EDT Y TAREAS'!AL16),'EDT Y TAREAS'!AE16/'EDT Y TAREAS'!M16,0),IF(AND(93&gt;='EDT Y TAREAS'!AK21,93&lt;'EDT Y TAREAS'!AL21),'EDT Y TAREAS'!AE21/'EDT Y TAREAS'!M21,0),IF(AND(93&gt;='EDT Y TAREAS'!AK23,93&lt;'EDT Y TAREAS'!AL23),'EDT Y TAREAS'!AE23/'EDT Y TAREAS'!M23,0),IF(AND(93&gt;='EDT Y TAREAS'!AK37,93&lt;'EDT Y TAREAS'!AL37),'EDT Y TAREAS'!AE37/'EDT Y TAREAS'!M37,0),IF(AND(93&gt;='EDT Y TAREAS'!AK38,93&lt;'EDT Y TAREAS'!AL38),'EDT Y TAREAS'!AE38/'EDT Y TAREAS'!M38,0),IF(AND(93&gt;='EDT Y TAREAS'!AK41,93&lt;'EDT Y TAREAS'!AL41),'EDT Y TAREAS'!AE41/'EDT Y TAREAS'!M41,0),IF(AND(93&gt;='EDT Y TAREAS'!AK43,93&lt;'EDT Y TAREAS'!AL43),'EDT Y TAREAS'!AE43/'EDT Y TAREAS'!M43,0),IF(AND(93&gt;='EDT Y TAREAS'!AK44,93&lt;'EDT Y TAREAS'!AL44),'EDT Y TAREAS'!AE44/'EDT Y TAREAS'!M44,0),IF(AND(93&gt;='EDT Y TAREAS'!AK46,93&lt;'EDT Y TAREAS'!AL46),'EDT Y TAREAS'!AE46/'EDT Y TAREAS'!M46,0),IF(AND(93&gt;='EDT Y TAREAS'!AK47,93&lt;'EDT Y TAREAS'!AL47),'EDT Y TAREAS'!AE47/'EDT Y TAREAS'!M47,0),IF(AND(93&gt;='EDT Y TAREAS'!AK51,93&lt;'EDT Y TAREAS'!AL51),'EDT Y TAREAS'!AE51/'EDT Y TAREAS'!M51,0),IF(AND(93&gt;='EDT Y TAREAS'!AK52,93&lt;'EDT Y TAREAS'!AL52),'EDT Y TAREAS'!AE52/'EDT Y TAREAS'!M52,0))</x:f>
        <x:v>0.4</x:v>
      </x:c>
      <x:c r="D133" s="35" t="n">
        <x:f>SUM(IF(AND(93&gt;='EDT Y TAREAS'!AK11,93&lt;'EDT Y TAREAS'!AL11),'EDT Y TAREAS'!AF11/'EDT Y TAREAS'!M11,0),IF(AND(93&gt;='EDT Y TAREAS'!AK24,93&lt;'EDT Y TAREAS'!AL24),'EDT Y TAREAS'!AF24/'EDT Y TAREAS'!M24,0),IF(AND(93&gt;='EDT Y TAREAS'!AK25,93&lt;'EDT Y TAREAS'!AL25),'EDT Y TAREAS'!AF25/'EDT Y TAREAS'!M25,0),IF(AND(93&gt;='EDT Y TAREAS'!AK26,93&lt;'EDT Y TAREAS'!AL26),'EDT Y TAREAS'!AF26/'EDT Y TAREAS'!M26,0),IF(AND(93&gt;='EDT Y TAREAS'!AK27,93&lt;'EDT Y TAREAS'!AL27),'EDT Y TAREAS'!AF27/'EDT Y TAREAS'!M27,0),IF(AND(93&gt;='EDT Y TAREAS'!AK28,93&lt;'EDT Y TAREAS'!AL28),'EDT Y TAREAS'!AF28/'EDT Y TAREAS'!M28,0),IF(AND(93&gt;='EDT Y TAREAS'!AK31,93&lt;'EDT Y TAREAS'!AL31),'EDT Y TAREAS'!AF31/'EDT Y TAREAS'!M31,0),IF(AND(93&gt;='EDT Y TAREAS'!AK33,93&lt;'EDT Y TAREAS'!AL33),'EDT Y TAREAS'!AF33/'EDT Y TAREAS'!M33,0),IF(AND(93&gt;='EDT Y TAREAS'!AK34,93&lt;'EDT Y TAREAS'!AL34),'EDT Y TAREAS'!AF34/'EDT Y TAREAS'!M34,0),IF(AND(93&gt;='EDT Y TAREAS'!AK35,93&lt;'EDT Y TAREAS'!AL35),'EDT Y TAREAS'!AF35/'EDT Y TAREAS'!M35,0),IF(AND(93&gt;='EDT Y TAREAS'!AK37,93&lt;'EDT Y TAREAS'!AL37),'EDT Y TAREAS'!AF37/'EDT Y TAREAS'!M37,0),IF(AND(93&gt;='EDT Y TAREAS'!AK39,93&lt;'EDT Y TAREAS'!AL39),'EDT Y TAREAS'!AF39/'EDT Y TAREAS'!M39,0),IF(AND(93&gt;='EDT Y TAREAS'!AK40,93&lt;'EDT Y TAREAS'!AL40),'EDT Y TAREAS'!AF40/'EDT Y TAREAS'!M40,0),IF(AND(93&gt;='EDT Y TAREAS'!AK42,93&lt;'EDT Y TAREAS'!AL42),'EDT Y TAREAS'!AF42/'EDT Y TAREAS'!M42,0),IF(AND(93&gt;='EDT Y TAREAS'!AK45,93&lt;'EDT Y TAREAS'!AL45),'EDT Y TAREAS'!AF45/'EDT Y TAREAS'!M45,0),IF(AND(93&gt;='EDT Y TAREAS'!AK49,93&lt;'EDT Y TAREAS'!AL49),'EDT Y TAREAS'!AF49/'EDT Y TAREAS'!M49,0),IF(AND(93&gt;='EDT Y TAREAS'!AK52,93&lt;'EDT Y TAREAS'!AL52),'EDT Y TAREAS'!AF52/'EDT Y TAREAS'!M52,0))</x:f>
        <x:v>0.8</x:v>
      </x:c>
      <x:c r="E133" s="35" t="n">
        <x:f>SUM(IF(AND(93&gt;='EDT Y TAREAS'!AK29,93&lt;'EDT Y TAREAS'!AL29),'EDT Y TAREAS'!AG29/'EDT Y TAREAS'!M29,0),IF(AND(93&gt;='EDT Y TAREAS'!AK30,93&lt;'EDT Y TAREAS'!AL30),'EDT Y TAREAS'!AG30/'EDT Y TAREAS'!M30,0),IF(AND(93&gt;='EDT Y TAREAS'!AK31,93&lt;'EDT Y TAREAS'!AL31),'EDT Y TAREAS'!AG31/'EDT Y TAREAS'!M31,0),IF(AND(93&gt;='EDT Y TAREAS'!AK32,93&lt;'EDT Y TAREAS'!AL32),'EDT Y TAREAS'!AG32/'EDT Y TAREAS'!M32,0),IF(AND(93&gt;='EDT Y TAREAS'!AK41,93&lt;'EDT Y TAREAS'!AL41),'EDT Y TAREAS'!AG41/'EDT Y TAREAS'!M41,0),IF(AND(93&gt;='EDT Y TAREAS'!AK45,93&lt;'EDT Y TAREAS'!AL45),'EDT Y TAREAS'!AG45/'EDT Y TAREAS'!M45,0),IF(AND(93&gt;='EDT Y TAREAS'!AK48,93&lt;'EDT Y TAREAS'!AL48),'EDT Y TAREAS'!AG48/'EDT Y TAREAS'!M48,0))</x:f>
        <x:v>1.6</x:v>
      </x:c>
      <x:c r="F133" s="35" t="n">
        <x:f>SUM(IF(AND(93&gt;='EDT Y TAREAS'!AK10,93&lt;'EDT Y TAREAS'!AL10),'EDT Y TAREAS'!AH10/'EDT Y TAREAS'!M10,0),IF(AND(93&gt;='EDT Y TAREAS'!AK12,93&lt;'EDT Y TAREAS'!AL12),'EDT Y TAREAS'!AH12/'EDT Y TAREAS'!M12,0),IF(AND(93&gt;='EDT Y TAREAS'!AK22,93&lt;'EDT Y TAREAS'!AL22),'EDT Y TAREAS'!AH22/'EDT Y TAREAS'!M22,0),IF(AND(93&gt;='EDT Y TAREAS'!AK23,93&lt;'EDT Y TAREAS'!AL23),'EDT Y TAREAS'!AH23/'EDT Y TAREAS'!M23,0),IF(AND(93&gt;='EDT Y TAREAS'!AK29,93&lt;'EDT Y TAREAS'!AL29),'EDT Y TAREAS'!AH29/'EDT Y TAREAS'!M29,0),IF(AND(93&gt;='EDT Y TAREAS'!AK30,93&lt;'EDT Y TAREAS'!AL30),'EDT Y TAREAS'!AH30/'EDT Y TAREAS'!M30,0),IF(AND(93&gt;='EDT Y TAREAS'!AK32,93&lt;'EDT Y TAREAS'!AL32),'EDT Y TAREAS'!AH32/'EDT Y TAREAS'!M32,0),IF(AND(93&gt;='EDT Y TAREAS'!AK41,93&lt;'EDT Y TAREAS'!AL41),'EDT Y TAREAS'!AH41/'EDT Y TAREAS'!M41,0),IF(AND(93&gt;='EDT Y TAREAS'!AK44,93&lt;'EDT Y TAREAS'!AL44),'EDT Y TAREAS'!AH44/'EDT Y TAREAS'!M44,0),IF(AND(93&gt;='EDT Y TAREAS'!AK46,93&lt;'EDT Y TAREAS'!AL46),'EDT Y TAREAS'!AH46/'EDT Y TAREAS'!M46,0),IF(AND(93&gt;='EDT Y TAREAS'!AK48,93&lt;'EDT Y TAREAS'!AL48),'EDT Y TAREAS'!AH48/'EDT Y TAREAS'!M48,0))</x:f>
        <x:v>2.4</x:v>
      </x:c>
      <x:c r="G133" s="35" t="n">
        <x:f>SUM(IF(AND(93&gt;='EDT Y TAREAS'!AK20,93&lt;'EDT Y TAREAS'!AL20),'EDT Y TAREAS'!AI20/'EDT Y TAREAS'!M20,0),IF(AND(93&gt;='EDT Y TAREAS'!AK25,93&lt;'EDT Y TAREAS'!AL25),'EDT Y TAREAS'!AI25/'EDT Y TAREAS'!M25,0),IF(AND(93&gt;='EDT Y TAREAS'!AK33,93&lt;'EDT Y TAREAS'!AL33),'EDT Y TAREAS'!AI33/'EDT Y TAREAS'!M33,0),IF(AND(93&gt;='EDT Y TAREAS'!AK34,93&lt;'EDT Y TAREAS'!AL34),'EDT Y TAREAS'!AI34/'EDT Y TAREAS'!M34,0),IF(AND(93&gt;='EDT Y TAREAS'!AK36,93&lt;'EDT Y TAREAS'!AL36),'EDT Y TAREAS'!AI36/'EDT Y TAREAS'!M36,0),IF(AND(93&gt;='EDT Y TAREAS'!AK39,93&lt;'EDT Y TAREAS'!AL39),'EDT Y TAREAS'!AI39/'EDT Y TAREAS'!M39,0),IF(AND(93&gt;='EDT Y TAREAS'!AK40,93&lt;'EDT Y TAREAS'!AL40),'EDT Y TAREAS'!AI40/'EDT Y TAREAS'!M40,0),IF(AND(93&gt;='EDT Y TAREAS'!AK42,93&lt;'EDT Y TAREAS'!AL42),'EDT Y TAREAS'!AI42/'EDT Y TAREAS'!M42,0),IF(AND(93&gt;='EDT Y TAREAS'!AK43,93&lt;'EDT Y TAREAS'!AL43),'EDT Y TAREAS'!AI43/'EDT Y TAREAS'!M43,0),IF(AND(93&gt;='EDT Y TAREAS'!AK44,93&lt;'EDT Y TAREAS'!AL44),'EDT Y TAREAS'!AI44/'EDT Y TAREAS'!M44,0),IF(AND(93&gt;='EDT Y TAREAS'!AK45,93&lt;'EDT Y TAREAS'!AL45),'EDT Y TAREAS'!AI45/'EDT Y TAREAS'!M45,0),IF(AND(93&gt;='EDT Y TAREAS'!AK46,93&lt;'EDT Y TAREAS'!AL46),'EDT Y TAREAS'!AI46/'EDT Y TAREAS'!M46,0),IF(AND(93&gt;='EDT Y TAREAS'!AK48,93&lt;'EDT Y TAREAS'!AL48),'EDT Y TAREAS'!AI48/'EDT Y TAREAS'!M48,0),IF(AND(93&gt;='EDT Y TAREAS'!AK50,93&lt;'EDT Y TAREAS'!AL50),'EDT Y TAREAS'!AI50/'EDT Y TAREAS'!M50,0),IF(AND(93&gt;='EDT Y TAREAS'!AK52,93&lt;'EDT Y TAREAS'!AL52),'EDT Y TAREAS'!AI52/'EDT Y TAREAS'!M52,0))</x:f>
        <x:v>2.4</x:v>
      </x:c>
      <x:c r="H133" s="35" t="n">
        <x:f>SUM(IF(AND(93&gt;='EDT Y TAREAS'!AK11,93&lt;'EDT Y TAREAS'!AL11),'EDT Y TAREAS'!AJ11/'EDT Y TAREAS'!M11,0),IF(AND(93&gt;='EDT Y TAREAS'!AK24,93&lt;'EDT Y TAREAS'!AL24),'EDT Y TAREAS'!AJ24/'EDT Y TAREAS'!M24,0),IF(AND(93&gt;='EDT Y TAREAS'!AK27,93&lt;'EDT Y TAREAS'!AL27),'EDT Y TAREAS'!AJ27/'EDT Y TAREAS'!M27,0),IF(AND(93&gt;='EDT Y TAREAS'!AK28,93&lt;'EDT Y TAREAS'!AL28),'EDT Y TAREAS'!AJ28/'EDT Y TAREAS'!M28,0),IF(AND(93&gt;='EDT Y TAREAS'!AK33,93&lt;'EDT Y TAREAS'!AL33),'EDT Y TAREAS'!AJ33/'EDT Y TAREAS'!M33,0),IF(AND(93&gt;='EDT Y TAREAS'!AK35,93&lt;'EDT Y TAREAS'!AL35),'EDT Y TAREAS'!AJ35/'EDT Y TAREAS'!M35,0),IF(AND(93&gt;='EDT Y TAREAS'!AK36,93&lt;'EDT Y TAREAS'!AL36),'EDT Y TAREAS'!AJ36/'EDT Y TAREAS'!M36,0),IF(AND(93&gt;='EDT Y TAREAS'!AK37,93&lt;'EDT Y TAREAS'!AL37),'EDT Y TAREAS'!AJ37/'EDT Y TAREAS'!M37,0),IF(AND(93&gt;='EDT Y TAREAS'!AK40,93&lt;'EDT Y TAREAS'!AL40),'EDT Y TAREAS'!AJ40/'EDT Y TAREAS'!M40,0),IF(AND(93&gt;='EDT Y TAREAS'!AK42,93&lt;'EDT Y TAREAS'!AL42),'EDT Y TAREAS'!AJ42/'EDT Y TAREAS'!M42,0),IF(AND(93&gt;='EDT Y TAREAS'!AK49,93&lt;'EDT Y TAREAS'!AL49),'EDT Y TAREAS'!AJ49/'EDT Y TAREAS'!M49,0),IF(AND(93&gt;='EDT Y TAREAS'!AK50,93&lt;'EDT Y TAREAS'!AL50),'EDT Y TAREAS'!AJ50/'EDT Y TAREAS'!M50,0),IF(AND(93&gt;='EDT Y TAREAS'!AK51,93&lt;'EDT Y TAREAS'!AL51),'EDT Y TAREAS'!AJ51/'EDT Y TAREAS'!M51,0),IF(AND(93&gt;='EDT Y TAREAS'!AK52,93&lt;'EDT Y TAREAS'!AL52),'EDT Y TAREAS'!AJ52/'EDT Y TAREAS'!M52,0))</x:f>
        <x:v>0</x:v>
      </x:c>
      <x:c r="I133" s="10" t="n">
        <x:f>WORKDAY('RESUMEN'!$D$3-1,A133,'RESUMEN'!$J$6:$J$25)</x:f>
        <x:v>46457</x:v>
      </x:c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  <x:c r="AO133" s="3"/>
    </x:row>
    <x:row r="134" ht="24" customHeight="1">
      <x:c r="A134" s="3" t="n">
        <x:v>95</x:v>
      </x:c>
      <x:c r="B134" s="35" t="n">
        <x:f>SUM(IF(AND(94&gt;='EDT Y TAREAS'!AK6,94&lt;'EDT Y TAREAS'!AL6),'EDT Y TAREAS'!AD6/'EDT Y TAREAS'!M6,0),IF(AND(94&gt;='EDT Y TAREAS'!AK7,94&lt;'EDT Y TAREAS'!AL7),'EDT Y TAREAS'!AD7/'EDT Y TAREAS'!M7,0),IF(AND(94&gt;='EDT Y TAREAS'!AK8,94&lt;'EDT Y TAREAS'!AL8),'EDT Y TAREAS'!AD8/'EDT Y TAREAS'!M8,0),IF(AND(94&gt;='EDT Y TAREAS'!AK9,94&lt;'EDT Y TAREAS'!AL9),'EDT Y TAREAS'!AD9/'EDT Y TAREAS'!M9,0),IF(AND(94&gt;='EDT Y TAREAS'!AK10,94&lt;'EDT Y TAREAS'!AL10),'EDT Y TAREAS'!AD10/'EDT Y TAREAS'!M10,0),IF(AND(94&gt;='EDT Y TAREAS'!AK11,94&lt;'EDT Y TAREAS'!AL11),'EDT Y TAREAS'!AD11/'EDT Y TAREAS'!M11,0),IF(AND(94&gt;='EDT Y TAREAS'!AK12,94&lt;'EDT Y TAREAS'!AL12),'EDT Y TAREAS'!AD12/'EDT Y TAREAS'!M12,0),IF(AND(94&gt;='EDT Y TAREAS'!AK13,94&lt;'EDT Y TAREAS'!AL13),'EDT Y TAREAS'!AD13/'EDT Y TAREAS'!M13,0),IF(AND(94&gt;='EDT Y TAREAS'!AK14,94&lt;'EDT Y TAREAS'!AL14),'EDT Y TAREAS'!AD14/'EDT Y TAREAS'!M14,0),IF(AND(94&gt;='EDT Y TAREAS'!AK15,94&lt;'EDT Y TAREAS'!AL15),'EDT Y TAREAS'!AD15/'EDT Y TAREAS'!M15,0),IF(AND(94&gt;='EDT Y TAREAS'!AK16,94&lt;'EDT Y TAREAS'!AL16),'EDT Y TAREAS'!AD16/'EDT Y TAREAS'!M16,0),IF(AND(94&gt;='EDT Y TAREAS'!AK17,94&lt;'EDT Y TAREAS'!AL17),'EDT Y TAREAS'!AD17/'EDT Y TAREAS'!M17,0),IF(AND(94&gt;='EDT Y TAREAS'!AK18,94&lt;'EDT Y TAREAS'!AL18),'EDT Y TAREAS'!AD18/'EDT Y TAREAS'!M18,0),IF(AND(94&gt;='EDT Y TAREAS'!AK19,94&lt;'EDT Y TAREAS'!AL19),'EDT Y TAREAS'!AD19/'EDT Y TAREAS'!M19,0),IF(AND(94&gt;='EDT Y TAREAS'!AK20,94&lt;'EDT Y TAREAS'!AL20),'EDT Y TAREAS'!AD20/'EDT Y TAREAS'!M20,0),IF(AND(94&gt;='EDT Y TAREAS'!AK21,94&lt;'EDT Y TAREAS'!AL21),'EDT Y TAREAS'!AD21/'EDT Y TAREAS'!M21,0),IF(AND(94&gt;='EDT Y TAREAS'!AK22,94&lt;'EDT Y TAREAS'!AL22),'EDT Y TAREAS'!AD22/'EDT Y TAREAS'!M22,0),IF(AND(94&gt;='EDT Y TAREAS'!AK23,94&lt;'EDT Y TAREAS'!AL23),'EDT Y TAREAS'!AD23/'EDT Y TAREAS'!M23,0),IF(AND(94&gt;='EDT Y TAREAS'!AK26,94&lt;'EDT Y TAREAS'!AL26),'EDT Y TAREAS'!AD26/'EDT Y TAREAS'!M26,0),IF(AND(94&gt;='EDT Y TAREAS'!AK28,94&lt;'EDT Y TAREAS'!AL28),'EDT Y TAREAS'!AD28/'EDT Y TAREAS'!M28,0),IF(AND(94&gt;='EDT Y TAREAS'!AK30,94&lt;'EDT Y TAREAS'!AL30),'EDT Y TAREAS'!AD30/'EDT Y TAREAS'!M30,0),IF(AND(94&gt;='EDT Y TAREAS'!AK32,94&lt;'EDT Y TAREAS'!AL32),'EDT Y TAREAS'!AD32/'EDT Y TAREAS'!M32,0),IF(AND(94&gt;='EDT Y TAREAS'!AK34,94&lt;'EDT Y TAREAS'!AL34),'EDT Y TAREAS'!AD34/'EDT Y TAREAS'!M34,0),IF(AND(94&gt;='EDT Y TAREAS'!AK38,94&lt;'EDT Y TAREAS'!AL38),'EDT Y TAREAS'!AD38/'EDT Y TAREAS'!M38,0),IF(AND(94&gt;='EDT Y TAREAS'!AK39,94&lt;'EDT Y TAREAS'!AL39),'EDT Y TAREAS'!AD39/'EDT Y TAREAS'!M39,0),IF(AND(94&gt;='EDT Y TAREAS'!AK43,94&lt;'EDT Y TAREAS'!AL43),'EDT Y TAREAS'!AD43/'EDT Y TAREAS'!M43,0),IF(AND(94&gt;='EDT Y TAREAS'!AK44,94&lt;'EDT Y TAREAS'!AL44),'EDT Y TAREAS'!AD44/'EDT Y TAREAS'!M44,0),IF(AND(94&gt;='EDT Y TAREAS'!AK45,94&lt;'EDT Y TAREAS'!AL45),'EDT Y TAREAS'!AD45/'EDT Y TAREAS'!M45,0),IF(AND(94&gt;='EDT Y TAREAS'!AK46,94&lt;'EDT Y TAREAS'!AL46),'EDT Y TAREAS'!AD46/'EDT Y TAREAS'!M46,0),IF(AND(94&gt;='EDT Y TAREAS'!AK47,94&lt;'EDT Y TAREAS'!AL47),'EDT Y TAREAS'!AD47/'EDT Y TAREAS'!M47,0),IF(AND(94&gt;='EDT Y TAREAS'!AK49,94&lt;'EDT Y TAREAS'!AL49),'EDT Y TAREAS'!AD49/'EDT Y TAREAS'!M49,0),IF(AND(94&gt;='EDT Y TAREAS'!AK50,94&lt;'EDT Y TAREAS'!AL50),'EDT Y TAREAS'!AD50/'EDT Y TAREAS'!M50,0),IF(AND(94&gt;='EDT Y TAREAS'!AK51,94&lt;'EDT Y TAREAS'!AL51),'EDT Y TAREAS'!AD51/'EDT Y TAREAS'!M51,0),IF(AND(94&gt;='EDT Y TAREAS'!AK52,94&lt;'EDT Y TAREAS'!AL52),'EDT Y TAREAS'!AD52/'EDT Y TAREAS'!M52,0))</x:f>
        <x:v>2.8</x:v>
      </x:c>
      <x:c r="C134" s="35" t="n">
        <x:f>SUM(IF(AND(94&gt;='EDT Y TAREAS'!AK6,94&lt;'EDT Y TAREAS'!AL6),'EDT Y TAREAS'!AE6/'EDT Y TAREAS'!M6,0),IF(AND(94&gt;='EDT Y TAREAS'!AK8,94&lt;'EDT Y TAREAS'!AL8),'EDT Y TAREAS'!AE8/'EDT Y TAREAS'!M8,0),IF(AND(94&gt;='EDT Y TAREAS'!AK9,94&lt;'EDT Y TAREAS'!AL9),'EDT Y TAREAS'!AE9/'EDT Y TAREAS'!M9,0),IF(AND(94&gt;='EDT Y TAREAS'!AK10,94&lt;'EDT Y TAREAS'!AL10),'EDT Y TAREAS'!AE10/'EDT Y TAREAS'!M10,0),IF(AND(94&gt;='EDT Y TAREAS'!AK12,94&lt;'EDT Y TAREAS'!AL12),'EDT Y TAREAS'!AE12/'EDT Y TAREAS'!M12,0),IF(AND(94&gt;='EDT Y TAREAS'!AK16,94&lt;'EDT Y TAREAS'!AL16),'EDT Y TAREAS'!AE16/'EDT Y TAREAS'!M16,0),IF(AND(94&gt;='EDT Y TAREAS'!AK21,94&lt;'EDT Y TAREAS'!AL21),'EDT Y TAREAS'!AE21/'EDT Y TAREAS'!M21,0),IF(AND(94&gt;='EDT Y TAREAS'!AK23,94&lt;'EDT Y TAREAS'!AL23),'EDT Y TAREAS'!AE23/'EDT Y TAREAS'!M23,0),IF(AND(94&gt;='EDT Y TAREAS'!AK37,94&lt;'EDT Y TAREAS'!AL37),'EDT Y TAREAS'!AE37/'EDT Y TAREAS'!M37,0),IF(AND(94&gt;='EDT Y TAREAS'!AK38,94&lt;'EDT Y TAREAS'!AL38),'EDT Y TAREAS'!AE38/'EDT Y TAREAS'!M38,0),IF(AND(94&gt;='EDT Y TAREAS'!AK41,94&lt;'EDT Y TAREAS'!AL41),'EDT Y TAREAS'!AE41/'EDT Y TAREAS'!M41,0),IF(AND(94&gt;='EDT Y TAREAS'!AK43,94&lt;'EDT Y TAREAS'!AL43),'EDT Y TAREAS'!AE43/'EDT Y TAREAS'!M43,0),IF(AND(94&gt;='EDT Y TAREAS'!AK44,94&lt;'EDT Y TAREAS'!AL44),'EDT Y TAREAS'!AE44/'EDT Y TAREAS'!M44,0),IF(AND(94&gt;='EDT Y TAREAS'!AK46,94&lt;'EDT Y TAREAS'!AL46),'EDT Y TAREAS'!AE46/'EDT Y TAREAS'!M46,0),IF(AND(94&gt;='EDT Y TAREAS'!AK47,94&lt;'EDT Y TAREAS'!AL47),'EDT Y TAREAS'!AE47/'EDT Y TAREAS'!M47,0),IF(AND(94&gt;='EDT Y TAREAS'!AK51,94&lt;'EDT Y TAREAS'!AL51),'EDT Y TAREAS'!AE51/'EDT Y TAREAS'!M51,0),IF(AND(94&gt;='EDT Y TAREAS'!AK52,94&lt;'EDT Y TAREAS'!AL52),'EDT Y TAREAS'!AE52/'EDT Y TAREAS'!M52,0))</x:f>
        <x:v>0.4</x:v>
      </x:c>
      <x:c r="D134" s="35" t="n">
        <x:f>SUM(IF(AND(94&gt;='EDT Y TAREAS'!AK11,94&lt;'EDT Y TAREAS'!AL11),'EDT Y TAREAS'!AF11/'EDT Y TAREAS'!M11,0),IF(AND(94&gt;='EDT Y TAREAS'!AK24,94&lt;'EDT Y TAREAS'!AL24),'EDT Y TAREAS'!AF24/'EDT Y TAREAS'!M24,0),IF(AND(94&gt;='EDT Y TAREAS'!AK25,94&lt;'EDT Y TAREAS'!AL25),'EDT Y TAREAS'!AF25/'EDT Y TAREAS'!M25,0),IF(AND(94&gt;='EDT Y TAREAS'!AK26,94&lt;'EDT Y TAREAS'!AL26),'EDT Y TAREAS'!AF26/'EDT Y TAREAS'!M26,0),IF(AND(94&gt;='EDT Y TAREAS'!AK27,94&lt;'EDT Y TAREAS'!AL27),'EDT Y TAREAS'!AF27/'EDT Y TAREAS'!M27,0),IF(AND(94&gt;='EDT Y TAREAS'!AK28,94&lt;'EDT Y TAREAS'!AL28),'EDT Y TAREAS'!AF28/'EDT Y TAREAS'!M28,0),IF(AND(94&gt;='EDT Y TAREAS'!AK31,94&lt;'EDT Y TAREAS'!AL31),'EDT Y TAREAS'!AF31/'EDT Y TAREAS'!M31,0),IF(AND(94&gt;='EDT Y TAREAS'!AK33,94&lt;'EDT Y TAREAS'!AL33),'EDT Y TAREAS'!AF33/'EDT Y TAREAS'!M33,0),IF(AND(94&gt;='EDT Y TAREAS'!AK34,94&lt;'EDT Y TAREAS'!AL34),'EDT Y TAREAS'!AF34/'EDT Y TAREAS'!M34,0),IF(AND(94&gt;='EDT Y TAREAS'!AK35,94&lt;'EDT Y TAREAS'!AL35),'EDT Y TAREAS'!AF35/'EDT Y TAREAS'!M35,0),IF(AND(94&gt;='EDT Y TAREAS'!AK37,94&lt;'EDT Y TAREAS'!AL37),'EDT Y TAREAS'!AF37/'EDT Y TAREAS'!M37,0),IF(AND(94&gt;='EDT Y TAREAS'!AK39,94&lt;'EDT Y TAREAS'!AL39),'EDT Y TAREAS'!AF39/'EDT Y TAREAS'!M39,0),IF(AND(94&gt;='EDT Y TAREAS'!AK40,94&lt;'EDT Y TAREAS'!AL40),'EDT Y TAREAS'!AF40/'EDT Y TAREAS'!M40,0),IF(AND(94&gt;='EDT Y TAREAS'!AK42,94&lt;'EDT Y TAREAS'!AL42),'EDT Y TAREAS'!AF42/'EDT Y TAREAS'!M42,0),IF(AND(94&gt;='EDT Y TAREAS'!AK45,94&lt;'EDT Y TAREAS'!AL45),'EDT Y TAREAS'!AF45/'EDT Y TAREAS'!M45,0),IF(AND(94&gt;='EDT Y TAREAS'!AK49,94&lt;'EDT Y TAREAS'!AL49),'EDT Y TAREAS'!AF49/'EDT Y TAREAS'!M49,0),IF(AND(94&gt;='EDT Y TAREAS'!AK52,94&lt;'EDT Y TAREAS'!AL52),'EDT Y TAREAS'!AF52/'EDT Y TAREAS'!M52,0))</x:f>
        <x:v>0.8</x:v>
      </x:c>
      <x:c r="E134" s="35" t="n">
        <x:f>SUM(IF(AND(94&gt;='EDT Y TAREAS'!AK29,94&lt;'EDT Y TAREAS'!AL29),'EDT Y TAREAS'!AG29/'EDT Y TAREAS'!M29,0),IF(AND(94&gt;='EDT Y TAREAS'!AK30,94&lt;'EDT Y TAREAS'!AL30),'EDT Y TAREAS'!AG30/'EDT Y TAREAS'!M30,0),IF(AND(94&gt;='EDT Y TAREAS'!AK31,94&lt;'EDT Y TAREAS'!AL31),'EDT Y TAREAS'!AG31/'EDT Y TAREAS'!M31,0),IF(AND(94&gt;='EDT Y TAREAS'!AK32,94&lt;'EDT Y TAREAS'!AL32),'EDT Y TAREAS'!AG32/'EDT Y TAREAS'!M32,0),IF(AND(94&gt;='EDT Y TAREAS'!AK41,94&lt;'EDT Y TAREAS'!AL41),'EDT Y TAREAS'!AG41/'EDT Y TAREAS'!M41,0),IF(AND(94&gt;='EDT Y TAREAS'!AK45,94&lt;'EDT Y TAREAS'!AL45),'EDT Y TAREAS'!AG45/'EDT Y TAREAS'!M45,0),IF(AND(94&gt;='EDT Y TAREAS'!AK48,94&lt;'EDT Y TAREAS'!AL48),'EDT Y TAREAS'!AG48/'EDT Y TAREAS'!M48,0))</x:f>
        <x:v>1.6</x:v>
      </x:c>
      <x:c r="F134" s="35" t="n">
        <x:f>SUM(IF(AND(94&gt;='EDT Y TAREAS'!AK10,94&lt;'EDT Y TAREAS'!AL10),'EDT Y TAREAS'!AH10/'EDT Y TAREAS'!M10,0),IF(AND(94&gt;='EDT Y TAREAS'!AK12,94&lt;'EDT Y TAREAS'!AL12),'EDT Y TAREAS'!AH12/'EDT Y TAREAS'!M12,0),IF(AND(94&gt;='EDT Y TAREAS'!AK22,94&lt;'EDT Y TAREAS'!AL22),'EDT Y TAREAS'!AH22/'EDT Y TAREAS'!M22,0),IF(AND(94&gt;='EDT Y TAREAS'!AK23,94&lt;'EDT Y TAREAS'!AL23),'EDT Y TAREAS'!AH23/'EDT Y TAREAS'!M23,0),IF(AND(94&gt;='EDT Y TAREAS'!AK29,94&lt;'EDT Y TAREAS'!AL29),'EDT Y TAREAS'!AH29/'EDT Y TAREAS'!M29,0),IF(AND(94&gt;='EDT Y TAREAS'!AK30,94&lt;'EDT Y TAREAS'!AL30),'EDT Y TAREAS'!AH30/'EDT Y TAREAS'!M30,0),IF(AND(94&gt;='EDT Y TAREAS'!AK32,94&lt;'EDT Y TAREAS'!AL32),'EDT Y TAREAS'!AH32/'EDT Y TAREAS'!M32,0),IF(AND(94&gt;='EDT Y TAREAS'!AK41,94&lt;'EDT Y TAREAS'!AL41),'EDT Y TAREAS'!AH41/'EDT Y TAREAS'!M41,0),IF(AND(94&gt;='EDT Y TAREAS'!AK44,94&lt;'EDT Y TAREAS'!AL44),'EDT Y TAREAS'!AH44/'EDT Y TAREAS'!M44,0),IF(AND(94&gt;='EDT Y TAREAS'!AK46,94&lt;'EDT Y TAREAS'!AL46),'EDT Y TAREAS'!AH46/'EDT Y TAREAS'!M46,0),IF(AND(94&gt;='EDT Y TAREAS'!AK48,94&lt;'EDT Y TAREAS'!AL48),'EDT Y TAREAS'!AH48/'EDT Y TAREAS'!M48,0))</x:f>
        <x:v>2.4</x:v>
      </x:c>
      <x:c r="G134" s="35" t="n">
        <x:f>SUM(IF(AND(94&gt;='EDT Y TAREAS'!AK20,94&lt;'EDT Y TAREAS'!AL20),'EDT Y TAREAS'!AI20/'EDT Y TAREAS'!M20,0),IF(AND(94&gt;='EDT Y TAREAS'!AK25,94&lt;'EDT Y TAREAS'!AL25),'EDT Y TAREAS'!AI25/'EDT Y TAREAS'!M25,0),IF(AND(94&gt;='EDT Y TAREAS'!AK33,94&lt;'EDT Y TAREAS'!AL33),'EDT Y TAREAS'!AI33/'EDT Y TAREAS'!M33,0),IF(AND(94&gt;='EDT Y TAREAS'!AK34,94&lt;'EDT Y TAREAS'!AL34),'EDT Y TAREAS'!AI34/'EDT Y TAREAS'!M34,0),IF(AND(94&gt;='EDT Y TAREAS'!AK36,94&lt;'EDT Y TAREAS'!AL36),'EDT Y TAREAS'!AI36/'EDT Y TAREAS'!M36,0),IF(AND(94&gt;='EDT Y TAREAS'!AK39,94&lt;'EDT Y TAREAS'!AL39),'EDT Y TAREAS'!AI39/'EDT Y TAREAS'!M39,0),IF(AND(94&gt;='EDT Y TAREAS'!AK40,94&lt;'EDT Y TAREAS'!AL40),'EDT Y TAREAS'!AI40/'EDT Y TAREAS'!M40,0),IF(AND(94&gt;='EDT Y TAREAS'!AK42,94&lt;'EDT Y TAREAS'!AL42),'EDT Y TAREAS'!AI42/'EDT Y TAREAS'!M42,0),IF(AND(94&gt;='EDT Y TAREAS'!AK43,94&lt;'EDT Y TAREAS'!AL43),'EDT Y TAREAS'!AI43/'EDT Y TAREAS'!M43,0),IF(AND(94&gt;='EDT Y TAREAS'!AK44,94&lt;'EDT Y TAREAS'!AL44),'EDT Y TAREAS'!AI44/'EDT Y TAREAS'!M44,0),IF(AND(94&gt;='EDT Y TAREAS'!AK45,94&lt;'EDT Y TAREAS'!AL45),'EDT Y TAREAS'!AI45/'EDT Y TAREAS'!M45,0),IF(AND(94&gt;='EDT Y TAREAS'!AK46,94&lt;'EDT Y TAREAS'!AL46),'EDT Y TAREAS'!AI46/'EDT Y TAREAS'!M46,0),IF(AND(94&gt;='EDT Y TAREAS'!AK48,94&lt;'EDT Y TAREAS'!AL48),'EDT Y TAREAS'!AI48/'EDT Y TAREAS'!M48,0),IF(AND(94&gt;='EDT Y TAREAS'!AK50,94&lt;'EDT Y TAREAS'!AL50),'EDT Y TAREAS'!AI50/'EDT Y TAREAS'!M50,0),IF(AND(94&gt;='EDT Y TAREAS'!AK52,94&lt;'EDT Y TAREAS'!AL52),'EDT Y TAREAS'!AI52/'EDT Y TAREAS'!M52,0))</x:f>
        <x:v>2.4</x:v>
      </x:c>
      <x:c r="H134" s="35" t="n">
        <x:f>SUM(IF(AND(94&gt;='EDT Y TAREAS'!AK11,94&lt;'EDT Y TAREAS'!AL11),'EDT Y TAREAS'!AJ11/'EDT Y TAREAS'!M11,0),IF(AND(94&gt;='EDT Y TAREAS'!AK24,94&lt;'EDT Y TAREAS'!AL24),'EDT Y TAREAS'!AJ24/'EDT Y TAREAS'!M24,0),IF(AND(94&gt;='EDT Y TAREAS'!AK27,94&lt;'EDT Y TAREAS'!AL27),'EDT Y TAREAS'!AJ27/'EDT Y TAREAS'!M27,0),IF(AND(94&gt;='EDT Y TAREAS'!AK28,94&lt;'EDT Y TAREAS'!AL28),'EDT Y TAREAS'!AJ28/'EDT Y TAREAS'!M28,0),IF(AND(94&gt;='EDT Y TAREAS'!AK33,94&lt;'EDT Y TAREAS'!AL33),'EDT Y TAREAS'!AJ33/'EDT Y TAREAS'!M33,0),IF(AND(94&gt;='EDT Y TAREAS'!AK35,94&lt;'EDT Y TAREAS'!AL35),'EDT Y TAREAS'!AJ35/'EDT Y TAREAS'!M35,0),IF(AND(94&gt;='EDT Y TAREAS'!AK36,94&lt;'EDT Y TAREAS'!AL36),'EDT Y TAREAS'!AJ36/'EDT Y TAREAS'!M36,0),IF(AND(94&gt;='EDT Y TAREAS'!AK37,94&lt;'EDT Y TAREAS'!AL37),'EDT Y TAREAS'!AJ37/'EDT Y TAREAS'!M37,0),IF(AND(94&gt;='EDT Y TAREAS'!AK40,94&lt;'EDT Y TAREAS'!AL40),'EDT Y TAREAS'!AJ40/'EDT Y TAREAS'!M40,0),IF(AND(94&gt;='EDT Y TAREAS'!AK42,94&lt;'EDT Y TAREAS'!AL42),'EDT Y TAREAS'!AJ42/'EDT Y TAREAS'!M42,0),IF(AND(94&gt;='EDT Y TAREAS'!AK49,94&lt;'EDT Y TAREAS'!AL49),'EDT Y TAREAS'!AJ49/'EDT Y TAREAS'!M49,0),IF(AND(94&gt;='EDT Y TAREAS'!AK50,94&lt;'EDT Y TAREAS'!AL50),'EDT Y TAREAS'!AJ50/'EDT Y TAREAS'!M50,0),IF(AND(94&gt;='EDT Y TAREAS'!AK51,94&lt;'EDT Y TAREAS'!AL51),'EDT Y TAREAS'!AJ51/'EDT Y TAREAS'!M51,0),IF(AND(94&gt;='EDT Y TAREAS'!AK52,94&lt;'EDT Y TAREAS'!AL52),'EDT Y TAREAS'!AJ52/'EDT Y TAREAS'!M52,0))</x:f>
        <x:v>0</x:v>
      </x:c>
      <x:c r="I134" s="10" t="n">
        <x:f>WORKDAY('RESUMEN'!$D$3-1,A134,'RESUMEN'!$J$6:$J$25)</x:f>
        <x:v>46458</x:v>
      </x:c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  <x:c r="AO134" s="3"/>
    </x:row>
    <x:row r="135" ht="24" customHeight="1">
      <x:c r="A135" s="3" t="n">
        <x:v>96</x:v>
      </x:c>
      <x:c r="B135" s="35" t="n">
        <x:f>SUM(IF(AND(95&gt;='EDT Y TAREAS'!AK6,95&lt;'EDT Y TAREAS'!AL6),'EDT Y TAREAS'!AD6/'EDT Y TAREAS'!M6,0),IF(AND(95&gt;='EDT Y TAREAS'!AK7,95&lt;'EDT Y TAREAS'!AL7),'EDT Y TAREAS'!AD7/'EDT Y TAREAS'!M7,0),IF(AND(95&gt;='EDT Y TAREAS'!AK8,95&lt;'EDT Y TAREAS'!AL8),'EDT Y TAREAS'!AD8/'EDT Y TAREAS'!M8,0),IF(AND(95&gt;='EDT Y TAREAS'!AK9,95&lt;'EDT Y TAREAS'!AL9),'EDT Y TAREAS'!AD9/'EDT Y TAREAS'!M9,0),IF(AND(95&gt;='EDT Y TAREAS'!AK10,95&lt;'EDT Y TAREAS'!AL10),'EDT Y TAREAS'!AD10/'EDT Y TAREAS'!M10,0),IF(AND(95&gt;='EDT Y TAREAS'!AK11,95&lt;'EDT Y TAREAS'!AL11),'EDT Y TAREAS'!AD11/'EDT Y TAREAS'!M11,0),IF(AND(95&gt;='EDT Y TAREAS'!AK12,95&lt;'EDT Y TAREAS'!AL12),'EDT Y TAREAS'!AD12/'EDT Y TAREAS'!M12,0),IF(AND(95&gt;='EDT Y TAREAS'!AK13,95&lt;'EDT Y TAREAS'!AL13),'EDT Y TAREAS'!AD13/'EDT Y TAREAS'!M13,0),IF(AND(95&gt;='EDT Y TAREAS'!AK14,95&lt;'EDT Y TAREAS'!AL14),'EDT Y TAREAS'!AD14/'EDT Y TAREAS'!M14,0),IF(AND(95&gt;='EDT Y TAREAS'!AK15,95&lt;'EDT Y TAREAS'!AL15),'EDT Y TAREAS'!AD15/'EDT Y TAREAS'!M15,0),IF(AND(95&gt;='EDT Y TAREAS'!AK16,95&lt;'EDT Y TAREAS'!AL16),'EDT Y TAREAS'!AD16/'EDT Y TAREAS'!M16,0),IF(AND(95&gt;='EDT Y TAREAS'!AK17,95&lt;'EDT Y TAREAS'!AL17),'EDT Y TAREAS'!AD17/'EDT Y TAREAS'!M17,0),IF(AND(95&gt;='EDT Y TAREAS'!AK18,95&lt;'EDT Y TAREAS'!AL18),'EDT Y TAREAS'!AD18/'EDT Y TAREAS'!M18,0),IF(AND(95&gt;='EDT Y TAREAS'!AK19,95&lt;'EDT Y TAREAS'!AL19),'EDT Y TAREAS'!AD19/'EDT Y TAREAS'!M19,0),IF(AND(95&gt;='EDT Y TAREAS'!AK20,95&lt;'EDT Y TAREAS'!AL20),'EDT Y TAREAS'!AD20/'EDT Y TAREAS'!M20,0),IF(AND(95&gt;='EDT Y TAREAS'!AK21,95&lt;'EDT Y TAREAS'!AL21),'EDT Y TAREAS'!AD21/'EDT Y TAREAS'!M21,0),IF(AND(95&gt;='EDT Y TAREAS'!AK22,95&lt;'EDT Y TAREAS'!AL22),'EDT Y TAREAS'!AD22/'EDT Y TAREAS'!M22,0),IF(AND(95&gt;='EDT Y TAREAS'!AK23,95&lt;'EDT Y TAREAS'!AL23),'EDT Y TAREAS'!AD23/'EDT Y TAREAS'!M23,0),IF(AND(95&gt;='EDT Y TAREAS'!AK26,95&lt;'EDT Y TAREAS'!AL26),'EDT Y TAREAS'!AD26/'EDT Y TAREAS'!M26,0),IF(AND(95&gt;='EDT Y TAREAS'!AK28,95&lt;'EDT Y TAREAS'!AL28),'EDT Y TAREAS'!AD28/'EDT Y TAREAS'!M28,0),IF(AND(95&gt;='EDT Y TAREAS'!AK30,95&lt;'EDT Y TAREAS'!AL30),'EDT Y TAREAS'!AD30/'EDT Y TAREAS'!M30,0),IF(AND(95&gt;='EDT Y TAREAS'!AK32,95&lt;'EDT Y TAREAS'!AL32),'EDT Y TAREAS'!AD32/'EDT Y TAREAS'!M32,0),IF(AND(95&gt;='EDT Y TAREAS'!AK34,95&lt;'EDT Y TAREAS'!AL34),'EDT Y TAREAS'!AD34/'EDT Y TAREAS'!M34,0),IF(AND(95&gt;='EDT Y TAREAS'!AK38,95&lt;'EDT Y TAREAS'!AL38),'EDT Y TAREAS'!AD38/'EDT Y TAREAS'!M38,0),IF(AND(95&gt;='EDT Y TAREAS'!AK39,95&lt;'EDT Y TAREAS'!AL39),'EDT Y TAREAS'!AD39/'EDT Y TAREAS'!M39,0),IF(AND(95&gt;='EDT Y TAREAS'!AK43,95&lt;'EDT Y TAREAS'!AL43),'EDT Y TAREAS'!AD43/'EDT Y TAREAS'!M43,0),IF(AND(95&gt;='EDT Y TAREAS'!AK44,95&lt;'EDT Y TAREAS'!AL44),'EDT Y TAREAS'!AD44/'EDT Y TAREAS'!M44,0),IF(AND(95&gt;='EDT Y TAREAS'!AK45,95&lt;'EDT Y TAREAS'!AL45),'EDT Y TAREAS'!AD45/'EDT Y TAREAS'!M45,0),IF(AND(95&gt;='EDT Y TAREAS'!AK46,95&lt;'EDT Y TAREAS'!AL46),'EDT Y TAREAS'!AD46/'EDT Y TAREAS'!M46,0),IF(AND(95&gt;='EDT Y TAREAS'!AK47,95&lt;'EDT Y TAREAS'!AL47),'EDT Y TAREAS'!AD47/'EDT Y TAREAS'!M47,0),IF(AND(95&gt;='EDT Y TAREAS'!AK49,95&lt;'EDT Y TAREAS'!AL49),'EDT Y TAREAS'!AD49/'EDT Y TAREAS'!M49,0),IF(AND(95&gt;='EDT Y TAREAS'!AK50,95&lt;'EDT Y TAREAS'!AL50),'EDT Y TAREAS'!AD50/'EDT Y TAREAS'!M50,0),IF(AND(95&gt;='EDT Y TAREAS'!AK51,95&lt;'EDT Y TAREAS'!AL51),'EDT Y TAREAS'!AD51/'EDT Y TAREAS'!M51,0),IF(AND(95&gt;='EDT Y TAREAS'!AK52,95&lt;'EDT Y TAREAS'!AL52),'EDT Y TAREAS'!AD52/'EDT Y TAREAS'!M52,0))</x:f>
        <x:v>2.8</x:v>
      </x:c>
      <x:c r="C135" s="35" t="n">
        <x:f>SUM(IF(AND(95&gt;='EDT Y TAREAS'!AK6,95&lt;'EDT Y TAREAS'!AL6),'EDT Y TAREAS'!AE6/'EDT Y TAREAS'!M6,0),IF(AND(95&gt;='EDT Y TAREAS'!AK8,95&lt;'EDT Y TAREAS'!AL8),'EDT Y TAREAS'!AE8/'EDT Y TAREAS'!M8,0),IF(AND(95&gt;='EDT Y TAREAS'!AK9,95&lt;'EDT Y TAREAS'!AL9),'EDT Y TAREAS'!AE9/'EDT Y TAREAS'!M9,0),IF(AND(95&gt;='EDT Y TAREAS'!AK10,95&lt;'EDT Y TAREAS'!AL10),'EDT Y TAREAS'!AE10/'EDT Y TAREAS'!M10,0),IF(AND(95&gt;='EDT Y TAREAS'!AK12,95&lt;'EDT Y TAREAS'!AL12),'EDT Y TAREAS'!AE12/'EDT Y TAREAS'!M12,0),IF(AND(95&gt;='EDT Y TAREAS'!AK16,95&lt;'EDT Y TAREAS'!AL16),'EDT Y TAREAS'!AE16/'EDT Y TAREAS'!M16,0),IF(AND(95&gt;='EDT Y TAREAS'!AK21,95&lt;'EDT Y TAREAS'!AL21),'EDT Y TAREAS'!AE21/'EDT Y TAREAS'!M21,0),IF(AND(95&gt;='EDT Y TAREAS'!AK23,95&lt;'EDT Y TAREAS'!AL23),'EDT Y TAREAS'!AE23/'EDT Y TAREAS'!M23,0),IF(AND(95&gt;='EDT Y TAREAS'!AK37,95&lt;'EDT Y TAREAS'!AL37),'EDT Y TAREAS'!AE37/'EDT Y TAREAS'!M37,0),IF(AND(95&gt;='EDT Y TAREAS'!AK38,95&lt;'EDT Y TAREAS'!AL38),'EDT Y TAREAS'!AE38/'EDT Y TAREAS'!M38,0),IF(AND(95&gt;='EDT Y TAREAS'!AK41,95&lt;'EDT Y TAREAS'!AL41),'EDT Y TAREAS'!AE41/'EDT Y TAREAS'!M41,0),IF(AND(95&gt;='EDT Y TAREAS'!AK43,95&lt;'EDT Y TAREAS'!AL43),'EDT Y TAREAS'!AE43/'EDT Y TAREAS'!M43,0),IF(AND(95&gt;='EDT Y TAREAS'!AK44,95&lt;'EDT Y TAREAS'!AL44),'EDT Y TAREAS'!AE44/'EDT Y TAREAS'!M44,0),IF(AND(95&gt;='EDT Y TAREAS'!AK46,95&lt;'EDT Y TAREAS'!AL46),'EDT Y TAREAS'!AE46/'EDT Y TAREAS'!M46,0),IF(AND(95&gt;='EDT Y TAREAS'!AK47,95&lt;'EDT Y TAREAS'!AL47),'EDT Y TAREAS'!AE47/'EDT Y TAREAS'!M47,0),IF(AND(95&gt;='EDT Y TAREAS'!AK51,95&lt;'EDT Y TAREAS'!AL51),'EDT Y TAREAS'!AE51/'EDT Y TAREAS'!M51,0),IF(AND(95&gt;='EDT Y TAREAS'!AK52,95&lt;'EDT Y TAREAS'!AL52),'EDT Y TAREAS'!AE52/'EDT Y TAREAS'!M52,0))</x:f>
        <x:v>0.4</x:v>
      </x:c>
      <x:c r="D135" s="35" t="n">
        <x:f>SUM(IF(AND(95&gt;='EDT Y TAREAS'!AK11,95&lt;'EDT Y TAREAS'!AL11),'EDT Y TAREAS'!AF11/'EDT Y TAREAS'!M11,0),IF(AND(95&gt;='EDT Y TAREAS'!AK24,95&lt;'EDT Y TAREAS'!AL24),'EDT Y TAREAS'!AF24/'EDT Y TAREAS'!M24,0),IF(AND(95&gt;='EDT Y TAREAS'!AK25,95&lt;'EDT Y TAREAS'!AL25),'EDT Y TAREAS'!AF25/'EDT Y TAREAS'!M25,0),IF(AND(95&gt;='EDT Y TAREAS'!AK26,95&lt;'EDT Y TAREAS'!AL26),'EDT Y TAREAS'!AF26/'EDT Y TAREAS'!M26,0),IF(AND(95&gt;='EDT Y TAREAS'!AK27,95&lt;'EDT Y TAREAS'!AL27),'EDT Y TAREAS'!AF27/'EDT Y TAREAS'!M27,0),IF(AND(95&gt;='EDT Y TAREAS'!AK28,95&lt;'EDT Y TAREAS'!AL28),'EDT Y TAREAS'!AF28/'EDT Y TAREAS'!M28,0),IF(AND(95&gt;='EDT Y TAREAS'!AK31,95&lt;'EDT Y TAREAS'!AL31),'EDT Y TAREAS'!AF31/'EDT Y TAREAS'!M31,0),IF(AND(95&gt;='EDT Y TAREAS'!AK33,95&lt;'EDT Y TAREAS'!AL33),'EDT Y TAREAS'!AF33/'EDT Y TAREAS'!M33,0),IF(AND(95&gt;='EDT Y TAREAS'!AK34,95&lt;'EDT Y TAREAS'!AL34),'EDT Y TAREAS'!AF34/'EDT Y TAREAS'!M34,0),IF(AND(95&gt;='EDT Y TAREAS'!AK35,95&lt;'EDT Y TAREAS'!AL35),'EDT Y TAREAS'!AF35/'EDT Y TAREAS'!M35,0),IF(AND(95&gt;='EDT Y TAREAS'!AK37,95&lt;'EDT Y TAREAS'!AL37),'EDT Y TAREAS'!AF37/'EDT Y TAREAS'!M37,0),IF(AND(95&gt;='EDT Y TAREAS'!AK39,95&lt;'EDT Y TAREAS'!AL39),'EDT Y TAREAS'!AF39/'EDT Y TAREAS'!M39,0),IF(AND(95&gt;='EDT Y TAREAS'!AK40,95&lt;'EDT Y TAREAS'!AL40),'EDT Y TAREAS'!AF40/'EDT Y TAREAS'!M40,0),IF(AND(95&gt;='EDT Y TAREAS'!AK42,95&lt;'EDT Y TAREAS'!AL42),'EDT Y TAREAS'!AF42/'EDT Y TAREAS'!M42,0),IF(AND(95&gt;='EDT Y TAREAS'!AK45,95&lt;'EDT Y TAREAS'!AL45),'EDT Y TAREAS'!AF45/'EDT Y TAREAS'!M45,0),IF(AND(95&gt;='EDT Y TAREAS'!AK49,95&lt;'EDT Y TAREAS'!AL49),'EDT Y TAREAS'!AF49/'EDT Y TAREAS'!M49,0),IF(AND(95&gt;='EDT Y TAREAS'!AK52,95&lt;'EDT Y TAREAS'!AL52),'EDT Y TAREAS'!AF52/'EDT Y TAREAS'!M52,0))</x:f>
        <x:v>0.8</x:v>
      </x:c>
      <x:c r="E135" s="35" t="n">
        <x:f>SUM(IF(AND(95&gt;='EDT Y TAREAS'!AK29,95&lt;'EDT Y TAREAS'!AL29),'EDT Y TAREAS'!AG29/'EDT Y TAREAS'!M29,0),IF(AND(95&gt;='EDT Y TAREAS'!AK30,95&lt;'EDT Y TAREAS'!AL30),'EDT Y TAREAS'!AG30/'EDT Y TAREAS'!M30,0),IF(AND(95&gt;='EDT Y TAREAS'!AK31,95&lt;'EDT Y TAREAS'!AL31),'EDT Y TAREAS'!AG31/'EDT Y TAREAS'!M31,0),IF(AND(95&gt;='EDT Y TAREAS'!AK32,95&lt;'EDT Y TAREAS'!AL32),'EDT Y TAREAS'!AG32/'EDT Y TAREAS'!M32,0),IF(AND(95&gt;='EDT Y TAREAS'!AK41,95&lt;'EDT Y TAREAS'!AL41),'EDT Y TAREAS'!AG41/'EDT Y TAREAS'!M41,0),IF(AND(95&gt;='EDT Y TAREAS'!AK45,95&lt;'EDT Y TAREAS'!AL45),'EDT Y TAREAS'!AG45/'EDT Y TAREAS'!M45,0),IF(AND(95&gt;='EDT Y TAREAS'!AK48,95&lt;'EDT Y TAREAS'!AL48),'EDT Y TAREAS'!AG48/'EDT Y TAREAS'!M48,0))</x:f>
        <x:v>1.6</x:v>
      </x:c>
      <x:c r="F135" s="35" t="n">
        <x:f>SUM(IF(AND(95&gt;='EDT Y TAREAS'!AK10,95&lt;'EDT Y TAREAS'!AL10),'EDT Y TAREAS'!AH10/'EDT Y TAREAS'!M10,0),IF(AND(95&gt;='EDT Y TAREAS'!AK12,95&lt;'EDT Y TAREAS'!AL12),'EDT Y TAREAS'!AH12/'EDT Y TAREAS'!M12,0),IF(AND(95&gt;='EDT Y TAREAS'!AK22,95&lt;'EDT Y TAREAS'!AL22),'EDT Y TAREAS'!AH22/'EDT Y TAREAS'!M22,0),IF(AND(95&gt;='EDT Y TAREAS'!AK23,95&lt;'EDT Y TAREAS'!AL23),'EDT Y TAREAS'!AH23/'EDT Y TAREAS'!M23,0),IF(AND(95&gt;='EDT Y TAREAS'!AK29,95&lt;'EDT Y TAREAS'!AL29),'EDT Y TAREAS'!AH29/'EDT Y TAREAS'!M29,0),IF(AND(95&gt;='EDT Y TAREAS'!AK30,95&lt;'EDT Y TAREAS'!AL30),'EDT Y TAREAS'!AH30/'EDT Y TAREAS'!M30,0),IF(AND(95&gt;='EDT Y TAREAS'!AK32,95&lt;'EDT Y TAREAS'!AL32),'EDT Y TAREAS'!AH32/'EDT Y TAREAS'!M32,0),IF(AND(95&gt;='EDT Y TAREAS'!AK41,95&lt;'EDT Y TAREAS'!AL41),'EDT Y TAREAS'!AH41/'EDT Y TAREAS'!M41,0),IF(AND(95&gt;='EDT Y TAREAS'!AK44,95&lt;'EDT Y TAREAS'!AL44),'EDT Y TAREAS'!AH44/'EDT Y TAREAS'!M44,0),IF(AND(95&gt;='EDT Y TAREAS'!AK46,95&lt;'EDT Y TAREAS'!AL46),'EDT Y TAREAS'!AH46/'EDT Y TAREAS'!M46,0),IF(AND(95&gt;='EDT Y TAREAS'!AK48,95&lt;'EDT Y TAREAS'!AL48),'EDT Y TAREAS'!AH48/'EDT Y TAREAS'!M48,0))</x:f>
        <x:v>2.4</x:v>
      </x:c>
      <x:c r="G135" s="35" t="n">
        <x:f>SUM(IF(AND(95&gt;='EDT Y TAREAS'!AK20,95&lt;'EDT Y TAREAS'!AL20),'EDT Y TAREAS'!AI20/'EDT Y TAREAS'!M20,0),IF(AND(95&gt;='EDT Y TAREAS'!AK25,95&lt;'EDT Y TAREAS'!AL25),'EDT Y TAREAS'!AI25/'EDT Y TAREAS'!M25,0),IF(AND(95&gt;='EDT Y TAREAS'!AK33,95&lt;'EDT Y TAREAS'!AL33),'EDT Y TAREAS'!AI33/'EDT Y TAREAS'!M33,0),IF(AND(95&gt;='EDT Y TAREAS'!AK34,95&lt;'EDT Y TAREAS'!AL34),'EDT Y TAREAS'!AI34/'EDT Y TAREAS'!M34,0),IF(AND(95&gt;='EDT Y TAREAS'!AK36,95&lt;'EDT Y TAREAS'!AL36),'EDT Y TAREAS'!AI36/'EDT Y TAREAS'!M36,0),IF(AND(95&gt;='EDT Y TAREAS'!AK39,95&lt;'EDT Y TAREAS'!AL39),'EDT Y TAREAS'!AI39/'EDT Y TAREAS'!M39,0),IF(AND(95&gt;='EDT Y TAREAS'!AK40,95&lt;'EDT Y TAREAS'!AL40),'EDT Y TAREAS'!AI40/'EDT Y TAREAS'!M40,0),IF(AND(95&gt;='EDT Y TAREAS'!AK42,95&lt;'EDT Y TAREAS'!AL42),'EDT Y TAREAS'!AI42/'EDT Y TAREAS'!M42,0),IF(AND(95&gt;='EDT Y TAREAS'!AK43,95&lt;'EDT Y TAREAS'!AL43),'EDT Y TAREAS'!AI43/'EDT Y TAREAS'!M43,0),IF(AND(95&gt;='EDT Y TAREAS'!AK44,95&lt;'EDT Y TAREAS'!AL44),'EDT Y TAREAS'!AI44/'EDT Y TAREAS'!M44,0),IF(AND(95&gt;='EDT Y TAREAS'!AK45,95&lt;'EDT Y TAREAS'!AL45),'EDT Y TAREAS'!AI45/'EDT Y TAREAS'!M45,0),IF(AND(95&gt;='EDT Y TAREAS'!AK46,95&lt;'EDT Y TAREAS'!AL46),'EDT Y TAREAS'!AI46/'EDT Y TAREAS'!M46,0),IF(AND(95&gt;='EDT Y TAREAS'!AK48,95&lt;'EDT Y TAREAS'!AL48),'EDT Y TAREAS'!AI48/'EDT Y TAREAS'!M48,0),IF(AND(95&gt;='EDT Y TAREAS'!AK50,95&lt;'EDT Y TAREAS'!AL50),'EDT Y TAREAS'!AI50/'EDT Y TAREAS'!M50,0),IF(AND(95&gt;='EDT Y TAREAS'!AK52,95&lt;'EDT Y TAREAS'!AL52),'EDT Y TAREAS'!AI52/'EDT Y TAREAS'!M52,0))</x:f>
        <x:v>2.4</x:v>
      </x:c>
      <x:c r="H135" s="35" t="n">
        <x:f>SUM(IF(AND(95&gt;='EDT Y TAREAS'!AK11,95&lt;'EDT Y TAREAS'!AL11),'EDT Y TAREAS'!AJ11/'EDT Y TAREAS'!M11,0),IF(AND(95&gt;='EDT Y TAREAS'!AK24,95&lt;'EDT Y TAREAS'!AL24),'EDT Y TAREAS'!AJ24/'EDT Y TAREAS'!M24,0),IF(AND(95&gt;='EDT Y TAREAS'!AK27,95&lt;'EDT Y TAREAS'!AL27),'EDT Y TAREAS'!AJ27/'EDT Y TAREAS'!M27,0),IF(AND(95&gt;='EDT Y TAREAS'!AK28,95&lt;'EDT Y TAREAS'!AL28),'EDT Y TAREAS'!AJ28/'EDT Y TAREAS'!M28,0),IF(AND(95&gt;='EDT Y TAREAS'!AK33,95&lt;'EDT Y TAREAS'!AL33),'EDT Y TAREAS'!AJ33/'EDT Y TAREAS'!M33,0),IF(AND(95&gt;='EDT Y TAREAS'!AK35,95&lt;'EDT Y TAREAS'!AL35),'EDT Y TAREAS'!AJ35/'EDT Y TAREAS'!M35,0),IF(AND(95&gt;='EDT Y TAREAS'!AK36,95&lt;'EDT Y TAREAS'!AL36),'EDT Y TAREAS'!AJ36/'EDT Y TAREAS'!M36,0),IF(AND(95&gt;='EDT Y TAREAS'!AK37,95&lt;'EDT Y TAREAS'!AL37),'EDT Y TAREAS'!AJ37/'EDT Y TAREAS'!M37,0),IF(AND(95&gt;='EDT Y TAREAS'!AK40,95&lt;'EDT Y TAREAS'!AL40),'EDT Y TAREAS'!AJ40/'EDT Y TAREAS'!M40,0),IF(AND(95&gt;='EDT Y TAREAS'!AK42,95&lt;'EDT Y TAREAS'!AL42),'EDT Y TAREAS'!AJ42/'EDT Y TAREAS'!M42,0),IF(AND(95&gt;='EDT Y TAREAS'!AK49,95&lt;'EDT Y TAREAS'!AL49),'EDT Y TAREAS'!AJ49/'EDT Y TAREAS'!M49,0),IF(AND(95&gt;='EDT Y TAREAS'!AK50,95&lt;'EDT Y TAREAS'!AL50),'EDT Y TAREAS'!AJ50/'EDT Y TAREAS'!M50,0),IF(AND(95&gt;='EDT Y TAREAS'!AK51,95&lt;'EDT Y TAREAS'!AL51),'EDT Y TAREAS'!AJ51/'EDT Y TAREAS'!M51,0),IF(AND(95&gt;='EDT Y TAREAS'!AK52,95&lt;'EDT Y TAREAS'!AL52),'EDT Y TAREAS'!AJ52/'EDT Y TAREAS'!M52,0))</x:f>
        <x:v>0</x:v>
      </x:c>
      <x:c r="I135" s="10" t="n">
        <x:f>WORKDAY('RESUMEN'!$D$3-1,A135,'RESUMEN'!$J$6:$J$25)</x:f>
        <x:v>46461</x:v>
      </x:c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  <x:c r="AC135" s="3"/>
      <x:c r="AD135" s="3"/>
      <x:c r="AE135" s="3"/>
      <x:c r="AF135" s="3"/>
      <x:c r="AG135" s="3"/>
      <x:c r="AH135" s="3"/>
      <x:c r="AI135" s="3"/>
      <x:c r="AJ135" s="3"/>
      <x:c r="AK135" s="3"/>
      <x:c r="AL135" s="3"/>
      <x:c r="AM135" s="3"/>
      <x:c r="AN135" s="3"/>
      <x:c r="AO135" s="3"/>
    </x:row>
    <x:row r="136" ht="24" customHeight="1">
      <x:c r="A136" s="3" t="n">
        <x:v>97</x:v>
      </x:c>
      <x:c r="B136" s="35" t="n">
        <x:f>SUM(IF(AND(96&gt;='EDT Y TAREAS'!AK6,96&lt;'EDT Y TAREAS'!AL6),'EDT Y TAREAS'!AD6/'EDT Y TAREAS'!M6,0),IF(AND(96&gt;='EDT Y TAREAS'!AK7,96&lt;'EDT Y TAREAS'!AL7),'EDT Y TAREAS'!AD7/'EDT Y TAREAS'!M7,0),IF(AND(96&gt;='EDT Y TAREAS'!AK8,96&lt;'EDT Y TAREAS'!AL8),'EDT Y TAREAS'!AD8/'EDT Y TAREAS'!M8,0),IF(AND(96&gt;='EDT Y TAREAS'!AK9,96&lt;'EDT Y TAREAS'!AL9),'EDT Y TAREAS'!AD9/'EDT Y TAREAS'!M9,0),IF(AND(96&gt;='EDT Y TAREAS'!AK10,96&lt;'EDT Y TAREAS'!AL10),'EDT Y TAREAS'!AD10/'EDT Y TAREAS'!M10,0),IF(AND(96&gt;='EDT Y TAREAS'!AK11,96&lt;'EDT Y TAREAS'!AL11),'EDT Y TAREAS'!AD11/'EDT Y TAREAS'!M11,0),IF(AND(96&gt;='EDT Y TAREAS'!AK12,96&lt;'EDT Y TAREAS'!AL12),'EDT Y TAREAS'!AD12/'EDT Y TAREAS'!M12,0),IF(AND(96&gt;='EDT Y TAREAS'!AK13,96&lt;'EDT Y TAREAS'!AL13),'EDT Y TAREAS'!AD13/'EDT Y TAREAS'!M13,0),IF(AND(96&gt;='EDT Y TAREAS'!AK14,96&lt;'EDT Y TAREAS'!AL14),'EDT Y TAREAS'!AD14/'EDT Y TAREAS'!M14,0),IF(AND(96&gt;='EDT Y TAREAS'!AK15,96&lt;'EDT Y TAREAS'!AL15),'EDT Y TAREAS'!AD15/'EDT Y TAREAS'!M15,0),IF(AND(96&gt;='EDT Y TAREAS'!AK16,96&lt;'EDT Y TAREAS'!AL16),'EDT Y TAREAS'!AD16/'EDT Y TAREAS'!M16,0),IF(AND(96&gt;='EDT Y TAREAS'!AK17,96&lt;'EDT Y TAREAS'!AL17),'EDT Y TAREAS'!AD17/'EDT Y TAREAS'!M17,0),IF(AND(96&gt;='EDT Y TAREAS'!AK18,96&lt;'EDT Y TAREAS'!AL18),'EDT Y TAREAS'!AD18/'EDT Y TAREAS'!M18,0),IF(AND(96&gt;='EDT Y TAREAS'!AK19,96&lt;'EDT Y TAREAS'!AL19),'EDT Y TAREAS'!AD19/'EDT Y TAREAS'!M19,0),IF(AND(96&gt;='EDT Y TAREAS'!AK20,96&lt;'EDT Y TAREAS'!AL20),'EDT Y TAREAS'!AD20/'EDT Y TAREAS'!M20,0),IF(AND(96&gt;='EDT Y TAREAS'!AK21,96&lt;'EDT Y TAREAS'!AL21),'EDT Y TAREAS'!AD21/'EDT Y TAREAS'!M21,0),IF(AND(96&gt;='EDT Y TAREAS'!AK22,96&lt;'EDT Y TAREAS'!AL22),'EDT Y TAREAS'!AD22/'EDT Y TAREAS'!M22,0),IF(AND(96&gt;='EDT Y TAREAS'!AK23,96&lt;'EDT Y TAREAS'!AL23),'EDT Y TAREAS'!AD23/'EDT Y TAREAS'!M23,0),IF(AND(96&gt;='EDT Y TAREAS'!AK26,96&lt;'EDT Y TAREAS'!AL26),'EDT Y TAREAS'!AD26/'EDT Y TAREAS'!M26,0),IF(AND(96&gt;='EDT Y TAREAS'!AK28,96&lt;'EDT Y TAREAS'!AL28),'EDT Y TAREAS'!AD28/'EDT Y TAREAS'!M28,0),IF(AND(96&gt;='EDT Y TAREAS'!AK30,96&lt;'EDT Y TAREAS'!AL30),'EDT Y TAREAS'!AD30/'EDT Y TAREAS'!M30,0),IF(AND(96&gt;='EDT Y TAREAS'!AK32,96&lt;'EDT Y TAREAS'!AL32),'EDT Y TAREAS'!AD32/'EDT Y TAREAS'!M32,0),IF(AND(96&gt;='EDT Y TAREAS'!AK34,96&lt;'EDT Y TAREAS'!AL34),'EDT Y TAREAS'!AD34/'EDT Y TAREAS'!M34,0),IF(AND(96&gt;='EDT Y TAREAS'!AK38,96&lt;'EDT Y TAREAS'!AL38),'EDT Y TAREAS'!AD38/'EDT Y TAREAS'!M38,0),IF(AND(96&gt;='EDT Y TAREAS'!AK39,96&lt;'EDT Y TAREAS'!AL39),'EDT Y TAREAS'!AD39/'EDT Y TAREAS'!M39,0),IF(AND(96&gt;='EDT Y TAREAS'!AK43,96&lt;'EDT Y TAREAS'!AL43),'EDT Y TAREAS'!AD43/'EDT Y TAREAS'!M43,0),IF(AND(96&gt;='EDT Y TAREAS'!AK44,96&lt;'EDT Y TAREAS'!AL44),'EDT Y TAREAS'!AD44/'EDT Y TAREAS'!M44,0),IF(AND(96&gt;='EDT Y TAREAS'!AK45,96&lt;'EDT Y TAREAS'!AL45),'EDT Y TAREAS'!AD45/'EDT Y TAREAS'!M45,0),IF(AND(96&gt;='EDT Y TAREAS'!AK46,96&lt;'EDT Y TAREAS'!AL46),'EDT Y TAREAS'!AD46/'EDT Y TAREAS'!M46,0),IF(AND(96&gt;='EDT Y TAREAS'!AK47,96&lt;'EDT Y TAREAS'!AL47),'EDT Y TAREAS'!AD47/'EDT Y TAREAS'!M47,0),IF(AND(96&gt;='EDT Y TAREAS'!AK49,96&lt;'EDT Y TAREAS'!AL49),'EDT Y TAREAS'!AD49/'EDT Y TAREAS'!M49,0),IF(AND(96&gt;='EDT Y TAREAS'!AK50,96&lt;'EDT Y TAREAS'!AL50),'EDT Y TAREAS'!AD50/'EDT Y TAREAS'!M50,0),IF(AND(96&gt;='EDT Y TAREAS'!AK51,96&lt;'EDT Y TAREAS'!AL51),'EDT Y TAREAS'!AD51/'EDT Y TAREAS'!M51,0),IF(AND(96&gt;='EDT Y TAREAS'!AK52,96&lt;'EDT Y TAREAS'!AL52),'EDT Y TAREAS'!AD52/'EDT Y TAREAS'!M52,0))</x:f>
        <x:v>2.8</x:v>
      </x:c>
      <x:c r="C136" s="35" t="n">
        <x:f>SUM(IF(AND(96&gt;='EDT Y TAREAS'!AK6,96&lt;'EDT Y TAREAS'!AL6),'EDT Y TAREAS'!AE6/'EDT Y TAREAS'!M6,0),IF(AND(96&gt;='EDT Y TAREAS'!AK8,96&lt;'EDT Y TAREAS'!AL8),'EDT Y TAREAS'!AE8/'EDT Y TAREAS'!M8,0),IF(AND(96&gt;='EDT Y TAREAS'!AK9,96&lt;'EDT Y TAREAS'!AL9),'EDT Y TAREAS'!AE9/'EDT Y TAREAS'!M9,0),IF(AND(96&gt;='EDT Y TAREAS'!AK10,96&lt;'EDT Y TAREAS'!AL10),'EDT Y TAREAS'!AE10/'EDT Y TAREAS'!M10,0),IF(AND(96&gt;='EDT Y TAREAS'!AK12,96&lt;'EDT Y TAREAS'!AL12),'EDT Y TAREAS'!AE12/'EDT Y TAREAS'!M12,0),IF(AND(96&gt;='EDT Y TAREAS'!AK16,96&lt;'EDT Y TAREAS'!AL16),'EDT Y TAREAS'!AE16/'EDT Y TAREAS'!M16,0),IF(AND(96&gt;='EDT Y TAREAS'!AK21,96&lt;'EDT Y TAREAS'!AL21),'EDT Y TAREAS'!AE21/'EDT Y TAREAS'!M21,0),IF(AND(96&gt;='EDT Y TAREAS'!AK23,96&lt;'EDT Y TAREAS'!AL23),'EDT Y TAREAS'!AE23/'EDT Y TAREAS'!M23,0),IF(AND(96&gt;='EDT Y TAREAS'!AK37,96&lt;'EDT Y TAREAS'!AL37),'EDT Y TAREAS'!AE37/'EDT Y TAREAS'!M37,0),IF(AND(96&gt;='EDT Y TAREAS'!AK38,96&lt;'EDT Y TAREAS'!AL38),'EDT Y TAREAS'!AE38/'EDT Y TAREAS'!M38,0),IF(AND(96&gt;='EDT Y TAREAS'!AK41,96&lt;'EDT Y TAREAS'!AL41),'EDT Y TAREAS'!AE41/'EDT Y TAREAS'!M41,0),IF(AND(96&gt;='EDT Y TAREAS'!AK43,96&lt;'EDT Y TAREAS'!AL43),'EDT Y TAREAS'!AE43/'EDT Y TAREAS'!M43,0),IF(AND(96&gt;='EDT Y TAREAS'!AK44,96&lt;'EDT Y TAREAS'!AL44),'EDT Y TAREAS'!AE44/'EDT Y TAREAS'!M44,0),IF(AND(96&gt;='EDT Y TAREAS'!AK46,96&lt;'EDT Y TAREAS'!AL46),'EDT Y TAREAS'!AE46/'EDT Y TAREAS'!M46,0),IF(AND(96&gt;='EDT Y TAREAS'!AK47,96&lt;'EDT Y TAREAS'!AL47),'EDT Y TAREAS'!AE47/'EDT Y TAREAS'!M47,0),IF(AND(96&gt;='EDT Y TAREAS'!AK51,96&lt;'EDT Y TAREAS'!AL51),'EDT Y TAREAS'!AE51/'EDT Y TAREAS'!M51,0),IF(AND(96&gt;='EDT Y TAREAS'!AK52,96&lt;'EDT Y TAREAS'!AL52),'EDT Y TAREAS'!AE52/'EDT Y TAREAS'!M52,0))</x:f>
        <x:v>0.4</x:v>
      </x:c>
      <x:c r="D136" s="35" t="n">
        <x:f>SUM(IF(AND(96&gt;='EDT Y TAREAS'!AK11,96&lt;'EDT Y TAREAS'!AL11),'EDT Y TAREAS'!AF11/'EDT Y TAREAS'!M11,0),IF(AND(96&gt;='EDT Y TAREAS'!AK24,96&lt;'EDT Y TAREAS'!AL24),'EDT Y TAREAS'!AF24/'EDT Y TAREAS'!M24,0),IF(AND(96&gt;='EDT Y TAREAS'!AK25,96&lt;'EDT Y TAREAS'!AL25),'EDT Y TAREAS'!AF25/'EDT Y TAREAS'!M25,0),IF(AND(96&gt;='EDT Y TAREAS'!AK26,96&lt;'EDT Y TAREAS'!AL26),'EDT Y TAREAS'!AF26/'EDT Y TAREAS'!M26,0),IF(AND(96&gt;='EDT Y TAREAS'!AK27,96&lt;'EDT Y TAREAS'!AL27),'EDT Y TAREAS'!AF27/'EDT Y TAREAS'!M27,0),IF(AND(96&gt;='EDT Y TAREAS'!AK28,96&lt;'EDT Y TAREAS'!AL28),'EDT Y TAREAS'!AF28/'EDT Y TAREAS'!M28,0),IF(AND(96&gt;='EDT Y TAREAS'!AK31,96&lt;'EDT Y TAREAS'!AL31),'EDT Y TAREAS'!AF31/'EDT Y TAREAS'!M31,0),IF(AND(96&gt;='EDT Y TAREAS'!AK33,96&lt;'EDT Y TAREAS'!AL33),'EDT Y TAREAS'!AF33/'EDT Y TAREAS'!M33,0),IF(AND(96&gt;='EDT Y TAREAS'!AK34,96&lt;'EDT Y TAREAS'!AL34),'EDT Y TAREAS'!AF34/'EDT Y TAREAS'!M34,0),IF(AND(96&gt;='EDT Y TAREAS'!AK35,96&lt;'EDT Y TAREAS'!AL35),'EDT Y TAREAS'!AF35/'EDT Y TAREAS'!M35,0),IF(AND(96&gt;='EDT Y TAREAS'!AK37,96&lt;'EDT Y TAREAS'!AL37),'EDT Y TAREAS'!AF37/'EDT Y TAREAS'!M37,0),IF(AND(96&gt;='EDT Y TAREAS'!AK39,96&lt;'EDT Y TAREAS'!AL39),'EDT Y TAREAS'!AF39/'EDT Y TAREAS'!M39,0),IF(AND(96&gt;='EDT Y TAREAS'!AK40,96&lt;'EDT Y TAREAS'!AL40),'EDT Y TAREAS'!AF40/'EDT Y TAREAS'!M40,0),IF(AND(96&gt;='EDT Y TAREAS'!AK42,96&lt;'EDT Y TAREAS'!AL42),'EDT Y TAREAS'!AF42/'EDT Y TAREAS'!M42,0),IF(AND(96&gt;='EDT Y TAREAS'!AK45,96&lt;'EDT Y TAREAS'!AL45),'EDT Y TAREAS'!AF45/'EDT Y TAREAS'!M45,0),IF(AND(96&gt;='EDT Y TAREAS'!AK49,96&lt;'EDT Y TAREAS'!AL49),'EDT Y TAREAS'!AF49/'EDT Y TAREAS'!M49,0),IF(AND(96&gt;='EDT Y TAREAS'!AK52,96&lt;'EDT Y TAREAS'!AL52),'EDT Y TAREAS'!AF52/'EDT Y TAREAS'!M52,0))</x:f>
        <x:v>0.8</x:v>
      </x:c>
      <x:c r="E136" s="35" t="n">
        <x:f>SUM(IF(AND(96&gt;='EDT Y TAREAS'!AK29,96&lt;'EDT Y TAREAS'!AL29),'EDT Y TAREAS'!AG29/'EDT Y TAREAS'!M29,0),IF(AND(96&gt;='EDT Y TAREAS'!AK30,96&lt;'EDT Y TAREAS'!AL30),'EDT Y TAREAS'!AG30/'EDT Y TAREAS'!M30,0),IF(AND(96&gt;='EDT Y TAREAS'!AK31,96&lt;'EDT Y TAREAS'!AL31),'EDT Y TAREAS'!AG31/'EDT Y TAREAS'!M31,0),IF(AND(96&gt;='EDT Y TAREAS'!AK32,96&lt;'EDT Y TAREAS'!AL32),'EDT Y TAREAS'!AG32/'EDT Y TAREAS'!M32,0),IF(AND(96&gt;='EDT Y TAREAS'!AK41,96&lt;'EDT Y TAREAS'!AL41),'EDT Y TAREAS'!AG41/'EDT Y TAREAS'!M41,0),IF(AND(96&gt;='EDT Y TAREAS'!AK45,96&lt;'EDT Y TAREAS'!AL45),'EDT Y TAREAS'!AG45/'EDT Y TAREAS'!M45,0),IF(AND(96&gt;='EDT Y TAREAS'!AK48,96&lt;'EDT Y TAREAS'!AL48),'EDT Y TAREAS'!AG48/'EDT Y TAREAS'!M48,0))</x:f>
        <x:v>1.6</x:v>
      </x:c>
      <x:c r="F136" s="35" t="n">
        <x:f>SUM(IF(AND(96&gt;='EDT Y TAREAS'!AK10,96&lt;'EDT Y TAREAS'!AL10),'EDT Y TAREAS'!AH10/'EDT Y TAREAS'!M10,0),IF(AND(96&gt;='EDT Y TAREAS'!AK12,96&lt;'EDT Y TAREAS'!AL12),'EDT Y TAREAS'!AH12/'EDT Y TAREAS'!M12,0),IF(AND(96&gt;='EDT Y TAREAS'!AK22,96&lt;'EDT Y TAREAS'!AL22),'EDT Y TAREAS'!AH22/'EDT Y TAREAS'!M22,0),IF(AND(96&gt;='EDT Y TAREAS'!AK23,96&lt;'EDT Y TAREAS'!AL23),'EDT Y TAREAS'!AH23/'EDT Y TAREAS'!M23,0),IF(AND(96&gt;='EDT Y TAREAS'!AK29,96&lt;'EDT Y TAREAS'!AL29),'EDT Y TAREAS'!AH29/'EDT Y TAREAS'!M29,0),IF(AND(96&gt;='EDT Y TAREAS'!AK30,96&lt;'EDT Y TAREAS'!AL30),'EDT Y TAREAS'!AH30/'EDT Y TAREAS'!M30,0),IF(AND(96&gt;='EDT Y TAREAS'!AK32,96&lt;'EDT Y TAREAS'!AL32),'EDT Y TAREAS'!AH32/'EDT Y TAREAS'!M32,0),IF(AND(96&gt;='EDT Y TAREAS'!AK41,96&lt;'EDT Y TAREAS'!AL41),'EDT Y TAREAS'!AH41/'EDT Y TAREAS'!M41,0),IF(AND(96&gt;='EDT Y TAREAS'!AK44,96&lt;'EDT Y TAREAS'!AL44),'EDT Y TAREAS'!AH44/'EDT Y TAREAS'!M44,0),IF(AND(96&gt;='EDT Y TAREAS'!AK46,96&lt;'EDT Y TAREAS'!AL46),'EDT Y TAREAS'!AH46/'EDT Y TAREAS'!M46,0),IF(AND(96&gt;='EDT Y TAREAS'!AK48,96&lt;'EDT Y TAREAS'!AL48),'EDT Y TAREAS'!AH48/'EDT Y TAREAS'!M48,0))</x:f>
        <x:v>2.4</x:v>
      </x:c>
      <x:c r="G136" s="35" t="n">
        <x:f>SUM(IF(AND(96&gt;='EDT Y TAREAS'!AK20,96&lt;'EDT Y TAREAS'!AL20),'EDT Y TAREAS'!AI20/'EDT Y TAREAS'!M20,0),IF(AND(96&gt;='EDT Y TAREAS'!AK25,96&lt;'EDT Y TAREAS'!AL25),'EDT Y TAREAS'!AI25/'EDT Y TAREAS'!M25,0),IF(AND(96&gt;='EDT Y TAREAS'!AK33,96&lt;'EDT Y TAREAS'!AL33),'EDT Y TAREAS'!AI33/'EDT Y TAREAS'!M33,0),IF(AND(96&gt;='EDT Y TAREAS'!AK34,96&lt;'EDT Y TAREAS'!AL34),'EDT Y TAREAS'!AI34/'EDT Y TAREAS'!M34,0),IF(AND(96&gt;='EDT Y TAREAS'!AK36,96&lt;'EDT Y TAREAS'!AL36),'EDT Y TAREAS'!AI36/'EDT Y TAREAS'!M36,0),IF(AND(96&gt;='EDT Y TAREAS'!AK39,96&lt;'EDT Y TAREAS'!AL39),'EDT Y TAREAS'!AI39/'EDT Y TAREAS'!M39,0),IF(AND(96&gt;='EDT Y TAREAS'!AK40,96&lt;'EDT Y TAREAS'!AL40),'EDT Y TAREAS'!AI40/'EDT Y TAREAS'!M40,0),IF(AND(96&gt;='EDT Y TAREAS'!AK42,96&lt;'EDT Y TAREAS'!AL42),'EDT Y TAREAS'!AI42/'EDT Y TAREAS'!M42,0),IF(AND(96&gt;='EDT Y TAREAS'!AK43,96&lt;'EDT Y TAREAS'!AL43),'EDT Y TAREAS'!AI43/'EDT Y TAREAS'!M43,0),IF(AND(96&gt;='EDT Y TAREAS'!AK44,96&lt;'EDT Y TAREAS'!AL44),'EDT Y TAREAS'!AI44/'EDT Y TAREAS'!M44,0),IF(AND(96&gt;='EDT Y TAREAS'!AK45,96&lt;'EDT Y TAREAS'!AL45),'EDT Y TAREAS'!AI45/'EDT Y TAREAS'!M45,0),IF(AND(96&gt;='EDT Y TAREAS'!AK46,96&lt;'EDT Y TAREAS'!AL46),'EDT Y TAREAS'!AI46/'EDT Y TAREAS'!M46,0),IF(AND(96&gt;='EDT Y TAREAS'!AK48,96&lt;'EDT Y TAREAS'!AL48),'EDT Y TAREAS'!AI48/'EDT Y TAREAS'!M48,0),IF(AND(96&gt;='EDT Y TAREAS'!AK50,96&lt;'EDT Y TAREAS'!AL50),'EDT Y TAREAS'!AI50/'EDT Y TAREAS'!M50,0),IF(AND(96&gt;='EDT Y TAREAS'!AK52,96&lt;'EDT Y TAREAS'!AL52),'EDT Y TAREAS'!AI52/'EDT Y TAREAS'!M52,0))</x:f>
        <x:v>2.4</x:v>
      </x:c>
      <x:c r="H136" s="35" t="n">
        <x:f>SUM(IF(AND(96&gt;='EDT Y TAREAS'!AK11,96&lt;'EDT Y TAREAS'!AL11),'EDT Y TAREAS'!AJ11/'EDT Y TAREAS'!M11,0),IF(AND(96&gt;='EDT Y TAREAS'!AK24,96&lt;'EDT Y TAREAS'!AL24),'EDT Y TAREAS'!AJ24/'EDT Y TAREAS'!M24,0),IF(AND(96&gt;='EDT Y TAREAS'!AK27,96&lt;'EDT Y TAREAS'!AL27),'EDT Y TAREAS'!AJ27/'EDT Y TAREAS'!M27,0),IF(AND(96&gt;='EDT Y TAREAS'!AK28,96&lt;'EDT Y TAREAS'!AL28),'EDT Y TAREAS'!AJ28/'EDT Y TAREAS'!M28,0),IF(AND(96&gt;='EDT Y TAREAS'!AK33,96&lt;'EDT Y TAREAS'!AL33),'EDT Y TAREAS'!AJ33/'EDT Y TAREAS'!M33,0),IF(AND(96&gt;='EDT Y TAREAS'!AK35,96&lt;'EDT Y TAREAS'!AL35),'EDT Y TAREAS'!AJ35/'EDT Y TAREAS'!M35,0),IF(AND(96&gt;='EDT Y TAREAS'!AK36,96&lt;'EDT Y TAREAS'!AL36),'EDT Y TAREAS'!AJ36/'EDT Y TAREAS'!M36,0),IF(AND(96&gt;='EDT Y TAREAS'!AK37,96&lt;'EDT Y TAREAS'!AL37),'EDT Y TAREAS'!AJ37/'EDT Y TAREAS'!M37,0),IF(AND(96&gt;='EDT Y TAREAS'!AK40,96&lt;'EDT Y TAREAS'!AL40),'EDT Y TAREAS'!AJ40/'EDT Y TAREAS'!M40,0),IF(AND(96&gt;='EDT Y TAREAS'!AK42,96&lt;'EDT Y TAREAS'!AL42),'EDT Y TAREAS'!AJ42/'EDT Y TAREAS'!M42,0),IF(AND(96&gt;='EDT Y TAREAS'!AK49,96&lt;'EDT Y TAREAS'!AL49),'EDT Y TAREAS'!AJ49/'EDT Y TAREAS'!M49,0),IF(AND(96&gt;='EDT Y TAREAS'!AK50,96&lt;'EDT Y TAREAS'!AL50),'EDT Y TAREAS'!AJ50/'EDT Y TAREAS'!M50,0),IF(AND(96&gt;='EDT Y TAREAS'!AK51,96&lt;'EDT Y TAREAS'!AL51),'EDT Y TAREAS'!AJ51/'EDT Y TAREAS'!M51,0),IF(AND(96&gt;='EDT Y TAREAS'!AK52,96&lt;'EDT Y TAREAS'!AL52),'EDT Y TAREAS'!AJ52/'EDT Y TAREAS'!M52,0))</x:f>
        <x:v>0</x:v>
      </x:c>
      <x:c r="I136" s="10" t="n">
        <x:f>WORKDAY('RESUMEN'!$D$3-1,A136,'RESUMEN'!$J$6:$J$25)</x:f>
        <x:v>46462</x:v>
      </x:c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  <x:c r="AC136" s="3"/>
      <x:c r="AD136" s="3"/>
      <x:c r="AE136" s="3"/>
      <x:c r="AF136" s="3"/>
      <x:c r="AG136" s="3"/>
      <x:c r="AH136" s="3"/>
      <x:c r="AI136" s="3"/>
      <x:c r="AJ136" s="3"/>
      <x:c r="AK136" s="3"/>
      <x:c r="AL136" s="3"/>
      <x:c r="AM136" s="3"/>
      <x:c r="AN136" s="3"/>
      <x:c r="AO136" s="3"/>
    </x:row>
    <x:row r="137" ht="24" customHeight="1">
      <x:c r="A137" s="3" t="n">
        <x:v>98</x:v>
      </x:c>
      <x:c r="B137" s="35" t="n">
        <x:f>SUM(IF(AND(97&gt;='EDT Y TAREAS'!AK6,97&lt;'EDT Y TAREAS'!AL6),'EDT Y TAREAS'!AD6/'EDT Y TAREAS'!M6,0),IF(AND(97&gt;='EDT Y TAREAS'!AK7,97&lt;'EDT Y TAREAS'!AL7),'EDT Y TAREAS'!AD7/'EDT Y TAREAS'!M7,0),IF(AND(97&gt;='EDT Y TAREAS'!AK8,97&lt;'EDT Y TAREAS'!AL8),'EDT Y TAREAS'!AD8/'EDT Y TAREAS'!M8,0),IF(AND(97&gt;='EDT Y TAREAS'!AK9,97&lt;'EDT Y TAREAS'!AL9),'EDT Y TAREAS'!AD9/'EDT Y TAREAS'!M9,0),IF(AND(97&gt;='EDT Y TAREAS'!AK10,97&lt;'EDT Y TAREAS'!AL10),'EDT Y TAREAS'!AD10/'EDT Y TAREAS'!M10,0),IF(AND(97&gt;='EDT Y TAREAS'!AK11,97&lt;'EDT Y TAREAS'!AL11),'EDT Y TAREAS'!AD11/'EDT Y TAREAS'!M11,0),IF(AND(97&gt;='EDT Y TAREAS'!AK12,97&lt;'EDT Y TAREAS'!AL12),'EDT Y TAREAS'!AD12/'EDT Y TAREAS'!M12,0),IF(AND(97&gt;='EDT Y TAREAS'!AK13,97&lt;'EDT Y TAREAS'!AL13),'EDT Y TAREAS'!AD13/'EDT Y TAREAS'!M13,0),IF(AND(97&gt;='EDT Y TAREAS'!AK14,97&lt;'EDT Y TAREAS'!AL14),'EDT Y TAREAS'!AD14/'EDT Y TAREAS'!M14,0),IF(AND(97&gt;='EDT Y TAREAS'!AK15,97&lt;'EDT Y TAREAS'!AL15),'EDT Y TAREAS'!AD15/'EDT Y TAREAS'!M15,0),IF(AND(97&gt;='EDT Y TAREAS'!AK16,97&lt;'EDT Y TAREAS'!AL16),'EDT Y TAREAS'!AD16/'EDT Y TAREAS'!M16,0),IF(AND(97&gt;='EDT Y TAREAS'!AK17,97&lt;'EDT Y TAREAS'!AL17),'EDT Y TAREAS'!AD17/'EDT Y TAREAS'!M17,0),IF(AND(97&gt;='EDT Y TAREAS'!AK18,97&lt;'EDT Y TAREAS'!AL18),'EDT Y TAREAS'!AD18/'EDT Y TAREAS'!M18,0),IF(AND(97&gt;='EDT Y TAREAS'!AK19,97&lt;'EDT Y TAREAS'!AL19),'EDT Y TAREAS'!AD19/'EDT Y TAREAS'!M19,0),IF(AND(97&gt;='EDT Y TAREAS'!AK20,97&lt;'EDT Y TAREAS'!AL20),'EDT Y TAREAS'!AD20/'EDT Y TAREAS'!M20,0),IF(AND(97&gt;='EDT Y TAREAS'!AK21,97&lt;'EDT Y TAREAS'!AL21),'EDT Y TAREAS'!AD21/'EDT Y TAREAS'!M21,0),IF(AND(97&gt;='EDT Y TAREAS'!AK22,97&lt;'EDT Y TAREAS'!AL22),'EDT Y TAREAS'!AD22/'EDT Y TAREAS'!M22,0),IF(AND(97&gt;='EDT Y TAREAS'!AK23,97&lt;'EDT Y TAREAS'!AL23),'EDT Y TAREAS'!AD23/'EDT Y TAREAS'!M23,0),IF(AND(97&gt;='EDT Y TAREAS'!AK26,97&lt;'EDT Y TAREAS'!AL26),'EDT Y TAREAS'!AD26/'EDT Y TAREAS'!M26,0),IF(AND(97&gt;='EDT Y TAREAS'!AK28,97&lt;'EDT Y TAREAS'!AL28),'EDT Y TAREAS'!AD28/'EDT Y TAREAS'!M28,0),IF(AND(97&gt;='EDT Y TAREAS'!AK30,97&lt;'EDT Y TAREAS'!AL30),'EDT Y TAREAS'!AD30/'EDT Y TAREAS'!M30,0),IF(AND(97&gt;='EDT Y TAREAS'!AK32,97&lt;'EDT Y TAREAS'!AL32),'EDT Y TAREAS'!AD32/'EDT Y TAREAS'!M32,0),IF(AND(97&gt;='EDT Y TAREAS'!AK34,97&lt;'EDT Y TAREAS'!AL34),'EDT Y TAREAS'!AD34/'EDT Y TAREAS'!M34,0),IF(AND(97&gt;='EDT Y TAREAS'!AK38,97&lt;'EDT Y TAREAS'!AL38),'EDT Y TAREAS'!AD38/'EDT Y TAREAS'!M38,0),IF(AND(97&gt;='EDT Y TAREAS'!AK39,97&lt;'EDT Y TAREAS'!AL39),'EDT Y TAREAS'!AD39/'EDT Y TAREAS'!M39,0),IF(AND(97&gt;='EDT Y TAREAS'!AK43,97&lt;'EDT Y TAREAS'!AL43),'EDT Y TAREAS'!AD43/'EDT Y TAREAS'!M43,0),IF(AND(97&gt;='EDT Y TAREAS'!AK44,97&lt;'EDT Y TAREAS'!AL44),'EDT Y TAREAS'!AD44/'EDT Y TAREAS'!M44,0),IF(AND(97&gt;='EDT Y TAREAS'!AK45,97&lt;'EDT Y TAREAS'!AL45),'EDT Y TAREAS'!AD45/'EDT Y TAREAS'!M45,0),IF(AND(97&gt;='EDT Y TAREAS'!AK46,97&lt;'EDT Y TAREAS'!AL46),'EDT Y TAREAS'!AD46/'EDT Y TAREAS'!M46,0),IF(AND(97&gt;='EDT Y TAREAS'!AK47,97&lt;'EDT Y TAREAS'!AL47),'EDT Y TAREAS'!AD47/'EDT Y TAREAS'!M47,0),IF(AND(97&gt;='EDT Y TAREAS'!AK49,97&lt;'EDT Y TAREAS'!AL49),'EDT Y TAREAS'!AD49/'EDT Y TAREAS'!M49,0),IF(AND(97&gt;='EDT Y TAREAS'!AK50,97&lt;'EDT Y TAREAS'!AL50),'EDT Y TAREAS'!AD50/'EDT Y TAREAS'!M50,0),IF(AND(97&gt;='EDT Y TAREAS'!AK51,97&lt;'EDT Y TAREAS'!AL51),'EDT Y TAREAS'!AD51/'EDT Y TAREAS'!M51,0),IF(AND(97&gt;='EDT Y TAREAS'!AK52,97&lt;'EDT Y TAREAS'!AL52),'EDT Y TAREAS'!AD52/'EDT Y TAREAS'!M52,0))</x:f>
        <x:v>2.8</x:v>
      </x:c>
      <x:c r="C137" s="35" t="n">
        <x:f>SUM(IF(AND(97&gt;='EDT Y TAREAS'!AK6,97&lt;'EDT Y TAREAS'!AL6),'EDT Y TAREAS'!AE6/'EDT Y TAREAS'!M6,0),IF(AND(97&gt;='EDT Y TAREAS'!AK8,97&lt;'EDT Y TAREAS'!AL8),'EDT Y TAREAS'!AE8/'EDT Y TAREAS'!M8,0),IF(AND(97&gt;='EDT Y TAREAS'!AK9,97&lt;'EDT Y TAREAS'!AL9),'EDT Y TAREAS'!AE9/'EDT Y TAREAS'!M9,0),IF(AND(97&gt;='EDT Y TAREAS'!AK10,97&lt;'EDT Y TAREAS'!AL10),'EDT Y TAREAS'!AE10/'EDT Y TAREAS'!M10,0),IF(AND(97&gt;='EDT Y TAREAS'!AK12,97&lt;'EDT Y TAREAS'!AL12),'EDT Y TAREAS'!AE12/'EDT Y TAREAS'!M12,0),IF(AND(97&gt;='EDT Y TAREAS'!AK16,97&lt;'EDT Y TAREAS'!AL16),'EDT Y TAREAS'!AE16/'EDT Y TAREAS'!M16,0),IF(AND(97&gt;='EDT Y TAREAS'!AK21,97&lt;'EDT Y TAREAS'!AL21),'EDT Y TAREAS'!AE21/'EDT Y TAREAS'!M21,0),IF(AND(97&gt;='EDT Y TAREAS'!AK23,97&lt;'EDT Y TAREAS'!AL23),'EDT Y TAREAS'!AE23/'EDT Y TAREAS'!M23,0),IF(AND(97&gt;='EDT Y TAREAS'!AK37,97&lt;'EDT Y TAREAS'!AL37),'EDT Y TAREAS'!AE37/'EDT Y TAREAS'!M37,0),IF(AND(97&gt;='EDT Y TAREAS'!AK38,97&lt;'EDT Y TAREAS'!AL38),'EDT Y TAREAS'!AE38/'EDT Y TAREAS'!M38,0),IF(AND(97&gt;='EDT Y TAREAS'!AK41,97&lt;'EDT Y TAREAS'!AL41),'EDT Y TAREAS'!AE41/'EDT Y TAREAS'!M41,0),IF(AND(97&gt;='EDT Y TAREAS'!AK43,97&lt;'EDT Y TAREAS'!AL43),'EDT Y TAREAS'!AE43/'EDT Y TAREAS'!M43,0),IF(AND(97&gt;='EDT Y TAREAS'!AK44,97&lt;'EDT Y TAREAS'!AL44),'EDT Y TAREAS'!AE44/'EDT Y TAREAS'!M44,0),IF(AND(97&gt;='EDT Y TAREAS'!AK46,97&lt;'EDT Y TAREAS'!AL46),'EDT Y TAREAS'!AE46/'EDT Y TAREAS'!M46,0),IF(AND(97&gt;='EDT Y TAREAS'!AK47,97&lt;'EDT Y TAREAS'!AL47),'EDT Y TAREAS'!AE47/'EDT Y TAREAS'!M47,0),IF(AND(97&gt;='EDT Y TAREAS'!AK51,97&lt;'EDT Y TAREAS'!AL51),'EDT Y TAREAS'!AE51/'EDT Y TAREAS'!M51,0),IF(AND(97&gt;='EDT Y TAREAS'!AK52,97&lt;'EDT Y TAREAS'!AL52),'EDT Y TAREAS'!AE52/'EDT Y TAREAS'!M52,0))</x:f>
        <x:v>0.4</x:v>
      </x:c>
      <x:c r="D137" s="35" t="n">
        <x:f>SUM(IF(AND(97&gt;='EDT Y TAREAS'!AK11,97&lt;'EDT Y TAREAS'!AL11),'EDT Y TAREAS'!AF11/'EDT Y TAREAS'!M11,0),IF(AND(97&gt;='EDT Y TAREAS'!AK24,97&lt;'EDT Y TAREAS'!AL24),'EDT Y TAREAS'!AF24/'EDT Y TAREAS'!M24,0),IF(AND(97&gt;='EDT Y TAREAS'!AK25,97&lt;'EDT Y TAREAS'!AL25),'EDT Y TAREAS'!AF25/'EDT Y TAREAS'!M25,0),IF(AND(97&gt;='EDT Y TAREAS'!AK26,97&lt;'EDT Y TAREAS'!AL26),'EDT Y TAREAS'!AF26/'EDT Y TAREAS'!M26,0),IF(AND(97&gt;='EDT Y TAREAS'!AK27,97&lt;'EDT Y TAREAS'!AL27),'EDT Y TAREAS'!AF27/'EDT Y TAREAS'!M27,0),IF(AND(97&gt;='EDT Y TAREAS'!AK28,97&lt;'EDT Y TAREAS'!AL28),'EDT Y TAREAS'!AF28/'EDT Y TAREAS'!M28,0),IF(AND(97&gt;='EDT Y TAREAS'!AK31,97&lt;'EDT Y TAREAS'!AL31),'EDT Y TAREAS'!AF31/'EDT Y TAREAS'!M31,0),IF(AND(97&gt;='EDT Y TAREAS'!AK33,97&lt;'EDT Y TAREAS'!AL33),'EDT Y TAREAS'!AF33/'EDT Y TAREAS'!M33,0),IF(AND(97&gt;='EDT Y TAREAS'!AK34,97&lt;'EDT Y TAREAS'!AL34),'EDT Y TAREAS'!AF34/'EDT Y TAREAS'!M34,0),IF(AND(97&gt;='EDT Y TAREAS'!AK35,97&lt;'EDT Y TAREAS'!AL35),'EDT Y TAREAS'!AF35/'EDT Y TAREAS'!M35,0),IF(AND(97&gt;='EDT Y TAREAS'!AK37,97&lt;'EDT Y TAREAS'!AL37),'EDT Y TAREAS'!AF37/'EDT Y TAREAS'!M37,0),IF(AND(97&gt;='EDT Y TAREAS'!AK39,97&lt;'EDT Y TAREAS'!AL39),'EDT Y TAREAS'!AF39/'EDT Y TAREAS'!M39,0),IF(AND(97&gt;='EDT Y TAREAS'!AK40,97&lt;'EDT Y TAREAS'!AL40),'EDT Y TAREAS'!AF40/'EDT Y TAREAS'!M40,0),IF(AND(97&gt;='EDT Y TAREAS'!AK42,97&lt;'EDT Y TAREAS'!AL42),'EDT Y TAREAS'!AF42/'EDT Y TAREAS'!M42,0),IF(AND(97&gt;='EDT Y TAREAS'!AK45,97&lt;'EDT Y TAREAS'!AL45),'EDT Y TAREAS'!AF45/'EDT Y TAREAS'!M45,0),IF(AND(97&gt;='EDT Y TAREAS'!AK49,97&lt;'EDT Y TAREAS'!AL49),'EDT Y TAREAS'!AF49/'EDT Y TAREAS'!M49,0),IF(AND(97&gt;='EDT Y TAREAS'!AK52,97&lt;'EDT Y TAREAS'!AL52),'EDT Y TAREAS'!AF52/'EDT Y TAREAS'!M52,0))</x:f>
        <x:v>0.8</x:v>
      </x:c>
      <x:c r="E137" s="35" t="n">
        <x:f>SUM(IF(AND(97&gt;='EDT Y TAREAS'!AK29,97&lt;'EDT Y TAREAS'!AL29),'EDT Y TAREAS'!AG29/'EDT Y TAREAS'!M29,0),IF(AND(97&gt;='EDT Y TAREAS'!AK30,97&lt;'EDT Y TAREAS'!AL30),'EDT Y TAREAS'!AG30/'EDT Y TAREAS'!M30,0),IF(AND(97&gt;='EDT Y TAREAS'!AK31,97&lt;'EDT Y TAREAS'!AL31),'EDT Y TAREAS'!AG31/'EDT Y TAREAS'!M31,0),IF(AND(97&gt;='EDT Y TAREAS'!AK32,97&lt;'EDT Y TAREAS'!AL32),'EDT Y TAREAS'!AG32/'EDT Y TAREAS'!M32,0),IF(AND(97&gt;='EDT Y TAREAS'!AK41,97&lt;'EDT Y TAREAS'!AL41),'EDT Y TAREAS'!AG41/'EDT Y TAREAS'!M41,0),IF(AND(97&gt;='EDT Y TAREAS'!AK45,97&lt;'EDT Y TAREAS'!AL45),'EDT Y TAREAS'!AG45/'EDT Y TAREAS'!M45,0),IF(AND(97&gt;='EDT Y TAREAS'!AK48,97&lt;'EDT Y TAREAS'!AL48),'EDT Y TAREAS'!AG48/'EDT Y TAREAS'!M48,0))</x:f>
        <x:v>1.6</x:v>
      </x:c>
      <x:c r="F137" s="35" t="n">
        <x:f>SUM(IF(AND(97&gt;='EDT Y TAREAS'!AK10,97&lt;'EDT Y TAREAS'!AL10),'EDT Y TAREAS'!AH10/'EDT Y TAREAS'!M10,0),IF(AND(97&gt;='EDT Y TAREAS'!AK12,97&lt;'EDT Y TAREAS'!AL12),'EDT Y TAREAS'!AH12/'EDT Y TAREAS'!M12,0),IF(AND(97&gt;='EDT Y TAREAS'!AK22,97&lt;'EDT Y TAREAS'!AL22),'EDT Y TAREAS'!AH22/'EDT Y TAREAS'!M22,0),IF(AND(97&gt;='EDT Y TAREAS'!AK23,97&lt;'EDT Y TAREAS'!AL23),'EDT Y TAREAS'!AH23/'EDT Y TAREAS'!M23,0),IF(AND(97&gt;='EDT Y TAREAS'!AK29,97&lt;'EDT Y TAREAS'!AL29),'EDT Y TAREAS'!AH29/'EDT Y TAREAS'!M29,0),IF(AND(97&gt;='EDT Y TAREAS'!AK30,97&lt;'EDT Y TAREAS'!AL30),'EDT Y TAREAS'!AH30/'EDT Y TAREAS'!M30,0),IF(AND(97&gt;='EDT Y TAREAS'!AK32,97&lt;'EDT Y TAREAS'!AL32),'EDT Y TAREAS'!AH32/'EDT Y TAREAS'!M32,0),IF(AND(97&gt;='EDT Y TAREAS'!AK41,97&lt;'EDT Y TAREAS'!AL41),'EDT Y TAREAS'!AH41/'EDT Y TAREAS'!M41,0),IF(AND(97&gt;='EDT Y TAREAS'!AK44,97&lt;'EDT Y TAREAS'!AL44),'EDT Y TAREAS'!AH44/'EDT Y TAREAS'!M44,0),IF(AND(97&gt;='EDT Y TAREAS'!AK46,97&lt;'EDT Y TAREAS'!AL46),'EDT Y TAREAS'!AH46/'EDT Y TAREAS'!M46,0),IF(AND(97&gt;='EDT Y TAREAS'!AK48,97&lt;'EDT Y TAREAS'!AL48),'EDT Y TAREAS'!AH48/'EDT Y TAREAS'!M48,0))</x:f>
        <x:v>2.4</x:v>
      </x:c>
      <x:c r="G137" s="35" t="n">
        <x:f>SUM(IF(AND(97&gt;='EDT Y TAREAS'!AK20,97&lt;'EDT Y TAREAS'!AL20),'EDT Y TAREAS'!AI20/'EDT Y TAREAS'!M20,0),IF(AND(97&gt;='EDT Y TAREAS'!AK25,97&lt;'EDT Y TAREAS'!AL25),'EDT Y TAREAS'!AI25/'EDT Y TAREAS'!M25,0),IF(AND(97&gt;='EDT Y TAREAS'!AK33,97&lt;'EDT Y TAREAS'!AL33),'EDT Y TAREAS'!AI33/'EDT Y TAREAS'!M33,0),IF(AND(97&gt;='EDT Y TAREAS'!AK34,97&lt;'EDT Y TAREAS'!AL34),'EDT Y TAREAS'!AI34/'EDT Y TAREAS'!M34,0),IF(AND(97&gt;='EDT Y TAREAS'!AK36,97&lt;'EDT Y TAREAS'!AL36),'EDT Y TAREAS'!AI36/'EDT Y TAREAS'!M36,0),IF(AND(97&gt;='EDT Y TAREAS'!AK39,97&lt;'EDT Y TAREAS'!AL39),'EDT Y TAREAS'!AI39/'EDT Y TAREAS'!M39,0),IF(AND(97&gt;='EDT Y TAREAS'!AK40,97&lt;'EDT Y TAREAS'!AL40),'EDT Y TAREAS'!AI40/'EDT Y TAREAS'!M40,0),IF(AND(97&gt;='EDT Y TAREAS'!AK42,97&lt;'EDT Y TAREAS'!AL42),'EDT Y TAREAS'!AI42/'EDT Y TAREAS'!M42,0),IF(AND(97&gt;='EDT Y TAREAS'!AK43,97&lt;'EDT Y TAREAS'!AL43),'EDT Y TAREAS'!AI43/'EDT Y TAREAS'!M43,0),IF(AND(97&gt;='EDT Y TAREAS'!AK44,97&lt;'EDT Y TAREAS'!AL44),'EDT Y TAREAS'!AI44/'EDT Y TAREAS'!M44,0),IF(AND(97&gt;='EDT Y TAREAS'!AK45,97&lt;'EDT Y TAREAS'!AL45),'EDT Y TAREAS'!AI45/'EDT Y TAREAS'!M45,0),IF(AND(97&gt;='EDT Y TAREAS'!AK46,97&lt;'EDT Y TAREAS'!AL46),'EDT Y TAREAS'!AI46/'EDT Y TAREAS'!M46,0),IF(AND(97&gt;='EDT Y TAREAS'!AK48,97&lt;'EDT Y TAREAS'!AL48),'EDT Y TAREAS'!AI48/'EDT Y TAREAS'!M48,0),IF(AND(97&gt;='EDT Y TAREAS'!AK50,97&lt;'EDT Y TAREAS'!AL50),'EDT Y TAREAS'!AI50/'EDT Y TAREAS'!M50,0),IF(AND(97&gt;='EDT Y TAREAS'!AK52,97&lt;'EDT Y TAREAS'!AL52),'EDT Y TAREAS'!AI52/'EDT Y TAREAS'!M52,0))</x:f>
        <x:v>2.4</x:v>
      </x:c>
      <x:c r="H137" s="35" t="n">
        <x:f>SUM(IF(AND(97&gt;='EDT Y TAREAS'!AK11,97&lt;'EDT Y TAREAS'!AL11),'EDT Y TAREAS'!AJ11/'EDT Y TAREAS'!M11,0),IF(AND(97&gt;='EDT Y TAREAS'!AK24,97&lt;'EDT Y TAREAS'!AL24),'EDT Y TAREAS'!AJ24/'EDT Y TAREAS'!M24,0),IF(AND(97&gt;='EDT Y TAREAS'!AK27,97&lt;'EDT Y TAREAS'!AL27),'EDT Y TAREAS'!AJ27/'EDT Y TAREAS'!M27,0),IF(AND(97&gt;='EDT Y TAREAS'!AK28,97&lt;'EDT Y TAREAS'!AL28),'EDT Y TAREAS'!AJ28/'EDT Y TAREAS'!M28,0),IF(AND(97&gt;='EDT Y TAREAS'!AK33,97&lt;'EDT Y TAREAS'!AL33),'EDT Y TAREAS'!AJ33/'EDT Y TAREAS'!M33,0),IF(AND(97&gt;='EDT Y TAREAS'!AK35,97&lt;'EDT Y TAREAS'!AL35),'EDT Y TAREAS'!AJ35/'EDT Y TAREAS'!M35,0),IF(AND(97&gt;='EDT Y TAREAS'!AK36,97&lt;'EDT Y TAREAS'!AL36),'EDT Y TAREAS'!AJ36/'EDT Y TAREAS'!M36,0),IF(AND(97&gt;='EDT Y TAREAS'!AK37,97&lt;'EDT Y TAREAS'!AL37),'EDT Y TAREAS'!AJ37/'EDT Y TAREAS'!M37,0),IF(AND(97&gt;='EDT Y TAREAS'!AK40,97&lt;'EDT Y TAREAS'!AL40),'EDT Y TAREAS'!AJ40/'EDT Y TAREAS'!M40,0),IF(AND(97&gt;='EDT Y TAREAS'!AK42,97&lt;'EDT Y TAREAS'!AL42),'EDT Y TAREAS'!AJ42/'EDT Y TAREAS'!M42,0),IF(AND(97&gt;='EDT Y TAREAS'!AK49,97&lt;'EDT Y TAREAS'!AL49),'EDT Y TAREAS'!AJ49/'EDT Y TAREAS'!M49,0),IF(AND(97&gt;='EDT Y TAREAS'!AK50,97&lt;'EDT Y TAREAS'!AL50),'EDT Y TAREAS'!AJ50/'EDT Y TAREAS'!M50,0),IF(AND(97&gt;='EDT Y TAREAS'!AK51,97&lt;'EDT Y TAREAS'!AL51),'EDT Y TAREAS'!AJ51/'EDT Y TAREAS'!M51,0),IF(AND(97&gt;='EDT Y TAREAS'!AK52,97&lt;'EDT Y TAREAS'!AL52),'EDT Y TAREAS'!AJ52/'EDT Y TAREAS'!M52,0))</x:f>
        <x:v>0</x:v>
      </x:c>
      <x:c r="I137" s="10" t="n">
        <x:f>WORKDAY('RESUMEN'!$D$3-1,A137,'RESUMEN'!$J$6:$J$25)</x:f>
        <x:v>46463</x:v>
      </x:c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  <x:c r="AL137" s="3"/>
      <x:c r="AM137" s="3"/>
      <x:c r="AN137" s="3"/>
      <x:c r="AO137" s="3"/>
    </x:row>
    <x:row r="138" ht="24" customHeight="1">
      <x:c r="A138" s="3" t="n">
        <x:v>99</x:v>
      </x:c>
      <x:c r="B138" s="35" t="n">
        <x:f>SUM(IF(AND(98&gt;='EDT Y TAREAS'!AK6,98&lt;'EDT Y TAREAS'!AL6),'EDT Y TAREAS'!AD6/'EDT Y TAREAS'!M6,0),IF(AND(98&gt;='EDT Y TAREAS'!AK7,98&lt;'EDT Y TAREAS'!AL7),'EDT Y TAREAS'!AD7/'EDT Y TAREAS'!M7,0),IF(AND(98&gt;='EDT Y TAREAS'!AK8,98&lt;'EDT Y TAREAS'!AL8),'EDT Y TAREAS'!AD8/'EDT Y TAREAS'!M8,0),IF(AND(98&gt;='EDT Y TAREAS'!AK9,98&lt;'EDT Y TAREAS'!AL9),'EDT Y TAREAS'!AD9/'EDT Y TAREAS'!M9,0),IF(AND(98&gt;='EDT Y TAREAS'!AK10,98&lt;'EDT Y TAREAS'!AL10),'EDT Y TAREAS'!AD10/'EDT Y TAREAS'!M10,0),IF(AND(98&gt;='EDT Y TAREAS'!AK11,98&lt;'EDT Y TAREAS'!AL11),'EDT Y TAREAS'!AD11/'EDT Y TAREAS'!M11,0),IF(AND(98&gt;='EDT Y TAREAS'!AK12,98&lt;'EDT Y TAREAS'!AL12),'EDT Y TAREAS'!AD12/'EDT Y TAREAS'!M12,0),IF(AND(98&gt;='EDT Y TAREAS'!AK13,98&lt;'EDT Y TAREAS'!AL13),'EDT Y TAREAS'!AD13/'EDT Y TAREAS'!M13,0),IF(AND(98&gt;='EDT Y TAREAS'!AK14,98&lt;'EDT Y TAREAS'!AL14),'EDT Y TAREAS'!AD14/'EDT Y TAREAS'!M14,0),IF(AND(98&gt;='EDT Y TAREAS'!AK15,98&lt;'EDT Y TAREAS'!AL15),'EDT Y TAREAS'!AD15/'EDT Y TAREAS'!M15,0),IF(AND(98&gt;='EDT Y TAREAS'!AK16,98&lt;'EDT Y TAREAS'!AL16),'EDT Y TAREAS'!AD16/'EDT Y TAREAS'!M16,0),IF(AND(98&gt;='EDT Y TAREAS'!AK17,98&lt;'EDT Y TAREAS'!AL17),'EDT Y TAREAS'!AD17/'EDT Y TAREAS'!M17,0),IF(AND(98&gt;='EDT Y TAREAS'!AK18,98&lt;'EDT Y TAREAS'!AL18),'EDT Y TAREAS'!AD18/'EDT Y TAREAS'!M18,0),IF(AND(98&gt;='EDT Y TAREAS'!AK19,98&lt;'EDT Y TAREAS'!AL19),'EDT Y TAREAS'!AD19/'EDT Y TAREAS'!M19,0),IF(AND(98&gt;='EDT Y TAREAS'!AK20,98&lt;'EDT Y TAREAS'!AL20),'EDT Y TAREAS'!AD20/'EDT Y TAREAS'!M20,0),IF(AND(98&gt;='EDT Y TAREAS'!AK21,98&lt;'EDT Y TAREAS'!AL21),'EDT Y TAREAS'!AD21/'EDT Y TAREAS'!M21,0),IF(AND(98&gt;='EDT Y TAREAS'!AK22,98&lt;'EDT Y TAREAS'!AL22),'EDT Y TAREAS'!AD22/'EDT Y TAREAS'!M22,0),IF(AND(98&gt;='EDT Y TAREAS'!AK23,98&lt;'EDT Y TAREAS'!AL23),'EDT Y TAREAS'!AD23/'EDT Y TAREAS'!M23,0),IF(AND(98&gt;='EDT Y TAREAS'!AK26,98&lt;'EDT Y TAREAS'!AL26),'EDT Y TAREAS'!AD26/'EDT Y TAREAS'!M26,0),IF(AND(98&gt;='EDT Y TAREAS'!AK28,98&lt;'EDT Y TAREAS'!AL28),'EDT Y TAREAS'!AD28/'EDT Y TAREAS'!M28,0),IF(AND(98&gt;='EDT Y TAREAS'!AK30,98&lt;'EDT Y TAREAS'!AL30),'EDT Y TAREAS'!AD30/'EDT Y TAREAS'!M30,0),IF(AND(98&gt;='EDT Y TAREAS'!AK32,98&lt;'EDT Y TAREAS'!AL32),'EDT Y TAREAS'!AD32/'EDT Y TAREAS'!M32,0),IF(AND(98&gt;='EDT Y TAREAS'!AK34,98&lt;'EDT Y TAREAS'!AL34),'EDT Y TAREAS'!AD34/'EDT Y TAREAS'!M34,0),IF(AND(98&gt;='EDT Y TAREAS'!AK38,98&lt;'EDT Y TAREAS'!AL38),'EDT Y TAREAS'!AD38/'EDT Y TAREAS'!M38,0),IF(AND(98&gt;='EDT Y TAREAS'!AK39,98&lt;'EDT Y TAREAS'!AL39),'EDT Y TAREAS'!AD39/'EDT Y TAREAS'!M39,0),IF(AND(98&gt;='EDT Y TAREAS'!AK43,98&lt;'EDT Y TAREAS'!AL43),'EDT Y TAREAS'!AD43/'EDT Y TAREAS'!M43,0),IF(AND(98&gt;='EDT Y TAREAS'!AK44,98&lt;'EDT Y TAREAS'!AL44),'EDT Y TAREAS'!AD44/'EDT Y TAREAS'!M44,0),IF(AND(98&gt;='EDT Y TAREAS'!AK45,98&lt;'EDT Y TAREAS'!AL45),'EDT Y TAREAS'!AD45/'EDT Y TAREAS'!M45,0),IF(AND(98&gt;='EDT Y TAREAS'!AK46,98&lt;'EDT Y TAREAS'!AL46),'EDT Y TAREAS'!AD46/'EDT Y TAREAS'!M46,0),IF(AND(98&gt;='EDT Y TAREAS'!AK47,98&lt;'EDT Y TAREAS'!AL47),'EDT Y TAREAS'!AD47/'EDT Y TAREAS'!M47,0),IF(AND(98&gt;='EDT Y TAREAS'!AK49,98&lt;'EDT Y TAREAS'!AL49),'EDT Y TAREAS'!AD49/'EDT Y TAREAS'!M49,0),IF(AND(98&gt;='EDT Y TAREAS'!AK50,98&lt;'EDT Y TAREAS'!AL50),'EDT Y TAREAS'!AD50/'EDT Y TAREAS'!M50,0),IF(AND(98&gt;='EDT Y TAREAS'!AK51,98&lt;'EDT Y TAREAS'!AL51),'EDT Y TAREAS'!AD51/'EDT Y TAREAS'!M51,0),IF(AND(98&gt;='EDT Y TAREAS'!AK52,98&lt;'EDT Y TAREAS'!AL52),'EDT Y TAREAS'!AD52/'EDT Y TAREAS'!M52,0))</x:f>
        <x:v>2.8</x:v>
      </x:c>
      <x:c r="C138" s="35" t="n">
        <x:f>SUM(IF(AND(98&gt;='EDT Y TAREAS'!AK6,98&lt;'EDT Y TAREAS'!AL6),'EDT Y TAREAS'!AE6/'EDT Y TAREAS'!M6,0),IF(AND(98&gt;='EDT Y TAREAS'!AK8,98&lt;'EDT Y TAREAS'!AL8),'EDT Y TAREAS'!AE8/'EDT Y TAREAS'!M8,0),IF(AND(98&gt;='EDT Y TAREAS'!AK9,98&lt;'EDT Y TAREAS'!AL9),'EDT Y TAREAS'!AE9/'EDT Y TAREAS'!M9,0),IF(AND(98&gt;='EDT Y TAREAS'!AK10,98&lt;'EDT Y TAREAS'!AL10),'EDT Y TAREAS'!AE10/'EDT Y TAREAS'!M10,0),IF(AND(98&gt;='EDT Y TAREAS'!AK12,98&lt;'EDT Y TAREAS'!AL12),'EDT Y TAREAS'!AE12/'EDT Y TAREAS'!M12,0),IF(AND(98&gt;='EDT Y TAREAS'!AK16,98&lt;'EDT Y TAREAS'!AL16),'EDT Y TAREAS'!AE16/'EDT Y TAREAS'!M16,0),IF(AND(98&gt;='EDT Y TAREAS'!AK21,98&lt;'EDT Y TAREAS'!AL21),'EDT Y TAREAS'!AE21/'EDT Y TAREAS'!M21,0),IF(AND(98&gt;='EDT Y TAREAS'!AK23,98&lt;'EDT Y TAREAS'!AL23),'EDT Y TAREAS'!AE23/'EDT Y TAREAS'!M23,0),IF(AND(98&gt;='EDT Y TAREAS'!AK37,98&lt;'EDT Y TAREAS'!AL37),'EDT Y TAREAS'!AE37/'EDT Y TAREAS'!M37,0),IF(AND(98&gt;='EDT Y TAREAS'!AK38,98&lt;'EDT Y TAREAS'!AL38),'EDT Y TAREAS'!AE38/'EDT Y TAREAS'!M38,0),IF(AND(98&gt;='EDT Y TAREAS'!AK41,98&lt;'EDT Y TAREAS'!AL41),'EDT Y TAREAS'!AE41/'EDT Y TAREAS'!M41,0),IF(AND(98&gt;='EDT Y TAREAS'!AK43,98&lt;'EDT Y TAREAS'!AL43),'EDT Y TAREAS'!AE43/'EDT Y TAREAS'!M43,0),IF(AND(98&gt;='EDT Y TAREAS'!AK44,98&lt;'EDT Y TAREAS'!AL44),'EDT Y TAREAS'!AE44/'EDT Y TAREAS'!M44,0),IF(AND(98&gt;='EDT Y TAREAS'!AK46,98&lt;'EDT Y TAREAS'!AL46),'EDT Y TAREAS'!AE46/'EDT Y TAREAS'!M46,0),IF(AND(98&gt;='EDT Y TAREAS'!AK47,98&lt;'EDT Y TAREAS'!AL47),'EDT Y TAREAS'!AE47/'EDT Y TAREAS'!M47,0),IF(AND(98&gt;='EDT Y TAREAS'!AK51,98&lt;'EDT Y TAREAS'!AL51),'EDT Y TAREAS'!AE51/'EDT Y TAREAS'!M51,0),IF(AND(98&gt;='EDT Y TAREAS'!AK52,98&lt;'EDT Y TAREAS'!AL52),'EDT Y TAREAS'!AE52/'EDT Y TAREAS'!M52,0))</x:f>
        <x:v>0.4</x:v>
      </x:c>
      <x:c r="D138" s="35" t="n">
        <x:f>SUM(IF(AND(98&gt;='EDT Y TAREAS'!AK11,98&lt;'EDT Y TAREAS'!AL11),'EDT Y TAREAS'!AF11/'EDT Y TAREAS'!M11,0),IF(AND(98&gt;='EDT Y TAREAS'!AK24,98&lt;'EDT Y TAREAS'!AL24),'EDT Y TAREAS'!AF24/'EDT Y TAREAS'!M24,0),IF(AND(98&gt;='EDT Y TAREAS'!AK25,98&lt;'EDT Y TAREAS'!AL25),'EDT Y TAREAS'!AF25/'EDT Y TAREAS'!M25,0),IF(AND(98&gt;='EDT Y TAREAS'!AK26,98&lt;'EDT Y TAREAS'!AL26),'EDT Y TAREAS'!AF26/'EDT Y TAREAS'!M26,0),IF(AND(98&gt;='EDT Y TAREAS'!AK27,98&lt;'EDT Y TAREAS'!AL27),'EDT Y TAREAS'!AF27/'EDT Y TAREAS'!M27,0),IF(AND(98&gt;='EDT Y TAREAS'!AK28,98&lt;'EDT Y TAREAS'!AL28),'EDT Y TAREAS'!AF28/'EDT Y TAREAS'!M28,0),IF(AND(98&gt;='EDT Y TAREAS'!AK31,98&lt;'EDT Y TAREAS'!AL31),'EDT Y TAREAS'!AF31/'EDT Y TAREAS'!M31,0),IF(AND(98&gt;='EDT Y TAREAS'!AK33,98&lt;'EDT Y TAREAS'!AL33),'EDT Y TAREAS'!AF33/'EDT Y TAREAS'!M33,0),IF(AND(98&gt;='EDT Y TAREAS'!AK34,98&lt;'EDT Y TAREAS'!AL34),'EDT Y TAREAS'!AF34/'EDT Y TAREAS'!M34,0),IF(AND(98&gt;='EDT Y TAREAS'!AK35,98&lt;'EDT Y TAREAS'!AL35),'EDT Y TAREAS'!AF35/'EDT Y TAREAS'!M35,0),IF(AND(98&gt;='EDT Y TAREAS'!AK37,98&lt;'EDT Y TAREAS'!AL37),'EDT Y TAREAS'!AF37/'EDT Y TAREAS'!M37,0),IF(AND(98&gt;='EDT Y TAREAS'!AK39,98&lt;'EDT Y TAREAS'!AL39),'EDT Y TAREAS'!AF39/'EDT Y TAREAS'!M39,0),IF(AND(98&gt;='EDT Y TAREAS'!AK40,98&lt;'EDT Y TAREAS'!AL40),'EDT Y TAREAS'!AF40/'EDT Y TAREAS'!M40,0),IF(AND(98&gt;='EDT Y TAREAS'!AK42,98&lt;'EDT Y TAREAS'!AL42),'EDT Y TAREAS'!AF42/'EDT Y TAREAS'!M42,0),IF(AND(98&gt;='EDT Y TAREAS'!AK45,98&lt;'EDT Y TAREAS'!AL45),'EDT Y TAREAS'!AF45/'EDT Y TAREAS'!M45,0),IF(AND(98&gt;='EDT Y TAREAS'!AK49,98&lt;'EDT Y TAREAS'!AL49),'EDT Y TAREAS'!AF49/'EDT Y TAREAS'!M49,0),IF(AND(98&gt;='EDT Y TAREAS'!AK52,98&lt;'EDT Y TAREAS'!AL52),'EDT Y TAREAS'!AF52/'EDT Y TAREAS'!M52,0))</x:f>
        <x:v>0.8</x:v>
      </x:c>
      <x:c r="E138" s="35" t="n">
        <x:f>SUM(IF(AND(98&gt;='EDT Y TAREAS'!AK29,98&lt;'EDT Y TAREAS'!AL29),'EDT Y TAREAS'!AG29/'EDT Y TAREAS'!M29,0),IF(AND(98&gt;='EDT Y TAREAS'!AK30,98&lt;'EDT Y TAREAS'!AL30),'EDT Y TAREAS'!AG30/'EDT Y TAREAS'!M30,0),IF(AND(98&gt;='EDT Y TAREAS'!AK31,98&lt;'EDT Y TAREAS'!AL31),'EDT Y TAREAS'!AG31/'EDT Y TAREAS'!M31,0),IF(AND(98&gt;='EDT Y TAREAS'!AK32,98&lt;'EDT Y TAREAS'!AL32),'EDT Y TAREAS'!AG32/'EDT Y TAREAS'!M32,0),IF(AND(98&gt;='EDT Y TAREAS'!AK41,98&lt;'EDT Y TAREAS'!AL41),'EDT Y TAREAS'!AG41/'EDT Y TAREAS'!M41,0),IF(AND(98&gt;='EDT Y TAREAS'!AK45,98&lt;'EDT Y TAREAS'!AL45),'EDT Y TAREAS'!AG45/'EDT Y TAREAS'!M45,0),IF(AND(98&gt;='EDT Y TAREAS'!AK48,98&lt;'EDT Y TAREAS'!AL48),'EDT Y TAREAS'!AG48/'EDT Y TAREAS'!M48,0))</x:f>
        <x:v>1.6</x:v>
      </x:c>
      <x:c r="F138" s="35" t="n">
        <x:f>SUM(IF(AND(98&gt;='EDT Y TAREAS'!AK10,98&lt;'EDT Y TAREAS'!AL10),'EDT Y TAREAS'!AH10/'EDT Y TAREAS'!M10,0),IF(AND(98&gt;='EDT Y TAREAS'!AK12,98&lt;'EDT Y TAREAS'!AL12),'EDT Y TAREAS'!AH12/'EDT Y TAREAS'!M12,0),IF(AND(98&gt;='EDT Y TAREAS'!AK22,98&lt;'EDT Y TAREAS'!AL22),'EDT Y TAREAS'!AH22/'EDT Y TAREAS'!M22,0),IF(AND(98&gt;='EDT Y TAREAS'!AK23,98&lt;'EDT Y TAREAS'!AL23),'EDT Y TAREAS'!AH23/'EDT Y TAREAS'!M23,0),IF(AND(98&gt;='EDT Y TAREAS'!AK29,98&lt;'EDT Y TAREAS'!AL29),'EDT Y TAREAS'!AH29/'EDT Y TAREAS'!M29,0),IF(AND(98&gt;='EDT Y TAREAS'!AK30,98&lt;'EDT Y TAREAS'!AL30),'EDT Y TAREAS'!AH30/'EDT Y TAREAS'!M30,0),IF(AND(98&gt;='EDT Y TAREAS'!AK32,98&lt;'EDT Y TAREAS'!AL32),'EDT Y TAREAS'!AH32/'EDT Y TAREAS'!M32,0),IF(AND(98&gt;='EDT Y TAREAS'!AK41,98&lt;'EDT Y TAREAS'!AL41),'EDT Y TAREAS'!AH41/'EDT Y TAREAS'!M41,0),IF(AND(98&gt;='EDT Y TAREAS'!AK44,98&lt;'EDT Y TAREAS'!AL44),'EDT Y TAREAS'!AH44/'EDT Y TAREAS'!M44,0),IF(AND(98&gt;='EDT Y TAREAS'!AK46,98&lt;'EDT Y TAREAS'!AL46),'EDT Y TAREAS'!AH46/'EDT Y TAREAS'!M46,0),IF(AND(98&gt;='EDT Y TAREAS'!AK48,98&lt;'EDT Y TAREAS'!AL48),'EDT Y TAREAS'!AH48/'EDT Y TAREAS'!M48,0))</x:f>
        <x:v>2.4</x:v>
      </x:c>
      <x:c r="G138" s="35" t="n">
        <x:f>SUM(IF(AND(98&gt;='EDT Y TAREAS'!AK20,98&lt;'EDT Y TAREAS'!AL20),'EDT Y TAREAS'!AI20/'EDT Y TAREAS'!M20,0),IF(AND(98&gt;='EDT Y TAREAS'!AK25,98&lt;'EDT Y TAREAS'!AL25),'EDT Y TAREAS'!AI25/'EDT Y TAREAS'!M25,0),IF(AND(98&gt;='EDT Y TAREAS'!AK33,98&lt;'EDT Y TAREAS'!AL33),'EDT Y TAREAS'!AI33/'EDT Y TAREAS'!M33,0),IF(AND(98&gt;='EDT Y TAREAS'!AK34,98&lt;'EDT Y TAREAS'!AL34),'EDT Y TAREAS'!AI34/'EDT Y TAREAS'!M34,0),IF(AND(98&gt;='EDT Y TAREAS'!AK36,98&lt;'EDT Y TAREAS'!AL36),'EDT Y TAREAS'!AI36/'EDT Y TAREAS'!M36,0),IF(AND(98&gt;='EDT Y TAREAS'!AK39,98&lt;'EDT Y TAREAS'!AL39),'EDT Y TAREAS'!AI39/'EDT Y TAREAS'!M39,0),IF(AND(98&gt;='EDT Y TAREAS'!AK40,98&lt;'EDT Y TAREAS'!AL40),'EDT Y TAREAS'!AI40/'EDT Y TAREAS'!M40,0),IF(AND(98&gt;='EDT Y TAREAS'!AK42,98&lt;'EDT Y TAREAS'!AL42),'EDT Y TAREAS'!AI42/'EDT Y TAREAS'!M42,0),IF(AND(98&gt;='EDT Y TAREAS'!AK43,98&lt;'EDT Y TAREAS'!AL43),'EDT Y TAREAS'!AI43/'EDT Y TAREAS'!M43,0),IF(AND(98&gt;='EDT Y TAREAS'!AK44,98&lt;'EDT Y TAREAS'!AL44),'EDT Y TAREAS'!AI44/'EDT Y TAREAS'!M44,0),IF(AND(98&gt;='EDT Y TAREAS'!AK45,98&lt;'EDT Y TAREAS'!AL45),'EDT Y TAREAS'!AI45/'EDT Y TAREAS'!M45,0),IF(AND(98&gt;='EDT Y TAREAS'!AK46,98&lt;'EDT Y TAREAS'!AL46),'EDT Y TAREAS'!AI46/'EDT Y TAREAS'!M46,0),IF(AND(98&gt;='EDT Y TAREAS'!AK48,98&lt;'EDT Y TAREAS'!AL48),'EDT Y TAREAS'!AI48/'EDT Y TAREAS'!M48,0),IF(AND(98&gt;='EDT Y TAREAS'!AK50,98&lt;'EDT Y TAREAS'!AL50),'EDT Y TAREAS'!AI50/'EDT Y TAREAS'!M50,0),IF(AND(98&gt;='EDT Y TAREAS'!AK52,98&lt;'EDT Y TAREAS'!AL52),'EDT Y TAREAS'!AI52/'EDT Y TAREAS'!M52,0))</x:f>
        <x:v>2.4</x:v>
      </x:c>
      <x:c r="H138" s="35" t="n">
        <x:f>SUM(IF(AND(98&gt;='EDT Y TAREAS'!AK11,98&lt;'EDT Y TAREAS'!AL11),'EDT Y TAREAS'!AJ11/'EDT Y TAREAS'!M11,0),IF(AND(98&gt;='EDT Y TAREAS'!AK24,98&lt;'EDT Y TAREAS'!AL24),'EDT Y TAREAS'!AJ24/'EDT Y TAREAS'!M24,0),IF(AND(98&gt;='EDT Y TAREAS'!AK27,98&lt;'EDT Y TAREAS'!AL27),'EDT Y TAREAS'!AJ27/'EDT Y TAREAS'!M27,0),IF(AND(98&gt;='EDT Y TAREAS'!AK28,98&lt;'EDT Y TAREAS'!AL28),'EDT Y TAREAS'!AJ28/'EDT Y TAREAS'!M28,0),IF(AND(98&gt;='EDT Y TAREAS'!AK33,98&lt;'EDT Y TAREAS'!AL33),'EDT Y TAREAS'!AJ33/'EDT Y TAREAS'!M33,0),IF(AND(98&gt;='EDT Y TAREAS'!AK35,98&lt;'EDT Y TAREAS'!AL35),'EDT Y TAREAS'!AJ35/'EDT Y TAREAS'!M35,0),IF(AND(98&gt;='EDT Y TAREAS'!AK36,98&lt;'EDT Y TAREAS'!AL36),'EDT Y TAREAS'!AJ36/'EDT Y TAREAS'!M36,0),IF(AND(98&gt;='EDT Y TAREAS'!AK37,98&lt;'EDT Y TAREAS'!AL37),'EDT Y TAREAS'!AJ37/'EDT Y TAREAS'!M37,0),IF(AND(98&gt;='EDT Y TAREAS'!AK40,98&lt;'EDT Y TAREAS'!AL40),'EDT Y TAREAS'!AJ40/'EDT Y TAREAS'!M40,0),IF(AND(98&gt;='EDT Y TAREAS'!AK42,98&lt;'EDT Y TAREAS'!AL42),'EDT Y TAREAS'!AJ42/'EDT Y TAREAS'!M42,0),IF(AND(98&gt;='EDT Y TAREAS'!AK49,98&lt;'EDT Y TAREAS'!AL49),'EDT Y TAREAS'!AJ49/'EDT Y TAREAS'!M49,0),IF(AND(98&gt;='EDT Y TAREAS'!AK50,98&lt;'EDT Y TAREAS'!AL50),'EDT Y TAREAS'!AJ50/'EDT Y TAREAS'!M50,0),IF(AND(98&gt;='EDT Y TAREAS'!AK51,98&lt;'EDT Y TAREAS'!AL51),'EDT Y TAREAS'!AJ51/'EDT Y TAREAS'!M51,0),IF(AND(98&gt;='EDT Y TAREAS'!AK52,98&lt;'EDT Y TAREAS'!AL52),'EDT Y TAREAS'!AJ52/'EDT Y TAREAS'!M52,0))</x:f>
        <x:v>0</x:v>
      </x:c>
      <x:c r="I138" s="10" t="n">
        <x:f>WORKDAY('RESUMEN'!$D$3-1,A138,'RESUMEN'!$J$6:$J$25)</x:f>
        <x:v>46464</x:v>
      </x:c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  <x:c r="AC138" s="3"/>
      <x:c r="AD138" s="3"/>
      <x:c r="AE138" s="3"/>
      <x:c r="AF138" s="3"/>
      <x:c r="AG138" s="3"/>
      <x:c r="AH138" s="3"/>
      <x:c r="AI138" s="3"/>
      <x:c r="AJ138" s="3"/>
      <x:c r="AK138" s="3"/>
      <x:c r="AL138" s="3"/>
      <x:c r="AM138" s="3"/>
      <x:c r="AN138" s="3"/>
      <x:c r="AO138" s="3"/>
    </x:row>
    <x:row r="139" ht="24" customHeight="1">
      <x:c r="A139" s="3" t="n">
        <x:v>100</x:v>
      </x:c>
      <x:c r="B139" s="35" t="n">
        <x:f>SUM(IF(AND(99&gt;='EDT Y TAREAS'!AK6,99&lt;'EDT Y TAREAS'!AL6),'EDT Y TAREAS'!AD6/'EDT Y TAREAS'!M6,0),IF(AND(99&gt;='EDT Y TAREAS'!AK7,99&lt;'EDT Y TAREAS'!AL7),'EDT Y TAREAS'!AD7/'EDT Y TAREAS'!M7,0),IF(AND(99&gt;='EDT Y TAREAS'!AK8,99&lt;'EDT Y TAREAS'!AL8),'EDT Y TAREAS'!AD8/'EDT Y TAREAS'!M8,0),IF(AND(99&gt;='EDT Y TAREAS'!AK9,99&lt;'EDT Y TAREAS'!AL9),'EDT Y TAREAS'!AD9/'EDT Y TAREAS'!M9,0),IF(AND(99&gt;='EDT Y TAREAS'!AK10,99&lt;'EDT Y TAREAS'!AL10),'EDT Y TAREAS'!AD10/'EDT Y TAREAS'!M10,0),IF(AND(99&gt;='EDT Y TAREAS'!AK11,99&lt;'EDT Y TAREAS'!AL11),'EDT Y TAREAS'!AD11/'EDT Y TAREAS'!M11,0),IF(AND(99&gt;='EDT Y TAREAS'!AK12,99&lt;'EDT Y TAREAS'!AL12),'EDT Y TAREAS'!AD12/'EDT Y TAREAS'!M12,0),IF(AND(99&gt;='EDT Y TAREAS'!AK13,99&lt;'EDT Y TAREAS'!AL13),'EDT Y TAREAS'!AD13/'EDT Y TAREAS'!M13,0),IF(AND(99&gt;='EDT Y TAREAS'!AK14,99&lt;'EDT Y TAREAS'!AL14),'EDT Y TAREAS'!AD14/'EDT Y TAREAS'!M14,0),IF(AND(99&gt;='EDT Y TAREAS'!AK15,99&lt;'EDT Y TAREAS'!AL15),'EDT Y TAREAS'!AD15/'EDT Y TAREAS'!M15,0),IF(AND(99&gt;='EDT Y TAREAS'!AK16,99&lt;'EDT Y TAREAS'!AL16),'EDT Y TAREAS'!AD16/'EDT Y TAREAS'!M16,0),IF(AND(99&gt;='EDT Y TAREAS'!AK17,99&lt;'EDT Y TAREAS'!AL17),'EDT Y TAREAS'!AD17/'EDT Y TAREAS'!M17,0),IF(AND(99&gt;='EDT Y TAREAS'!AK18,99&lt;'EDT Y TAREAS'!AL18),'EDT Y TAREAS'!AD18/'EDT Y TAREAS'!M18,0),IF(AND(99&gt;='EDT Y TAREAS'!AK19,99&lt;'EDT Y TAREAS'!AL19),'EDT Y TAREAS'!AD19/'EDT Y TAREAS'!M19,0),IF(AND(99&gt;='EDT Y TAREAS'!AK20,99&lt;'EDT Y TAREAS'!AL20),'EDT Y TAREAS'!AD20/'EDT Y TAREAS'!M20,0),IF(AND(99&gt;='EDT Y TAREAS'!AK21,99&lt;'EDT Y TAREAS'!AL21),'EDT Y TAREAS'!AD21/'EDT Y TAREAS'!M21,0),IF(AND(99&gt;='EDT Y TAREAS'!AK22,99&lt;'EDT Y TAREAS'!AL22),'EDT Y TAREAS'!AD22/'EDT Y TAREAS'!M22,0),IF(AND(99&gt;='EDT Y TAREAS'!AK23,99&lt;'EDT Y TAREAS'!AL23),'EDT Y TAREAS'!AD23/'EDT Y TAREAS'!M23,0),IF(AND(99&gt;='EDT Y TAREAS'!AK26,99&lt;'EDT Y TAREAS'!AL26),'EDT Y TAREAS'!AD26/'EDT Y TAREAS'!M26,0),IF(AND(99&gt;='EDT Y TAREAS'!AK28,99&lt;'EDT Y TAREAS'!AL28),'EDT Y TAREAS'!AD28/'EDT Y TAREAS'!M28,0),IF(AND(99&gt;='EDT Y TAREAS'!AK30,99&lt;'EDT Y TAREAS'!AL30),'EDT Y TAREAS'!AD30/'EDT Y TAREAS'!M30,0),IF(AND(99&gt;='EDT Y TAREAS'!AK32,99&lt;'EDT Y TAREAS'!AL32),'EDT Y TAREAS'!AD32/'EDT Y TAREAS'!M32,0),IF(AND(99&gt;='EDT Y TAREAS'!AK34,99&lt;'EDT Y TAREAS'!AL34),'EDT Y TAREAS'!AD34/'EDT Y TAREAS'!M34,0),IF(AND(99&gt;='EDT Y TAREAS'!AK38,99&lt;'EDT Y TAREAS'!AL38),'EDT Y TAREAS'!AD38/'EDT Y TAREAS'!M38,0),IF(AND(99&gt;='EDT Y TAREAS'!AK39,99&lt;'EDT Y TAREAS'!AL39),'EDT Y TAREAS'!AD39/'EDT Y TAREAS'!M39,0),IF(AND(99&gt;='EDT Y TAREAS'!AK43,99&lt;'EDT Y TAREAS'!AL43),'EDT Y TAREAS'!AD43/'EDT Y TAREAS'!M43,0),IF(AND(99&gt;='EDT Y TAREAS'!AK44,99&lt;'EDT Y TAREAS'!AL44),'EDT Y TAREAS'!AD44/'EDT Y TAREAS'!M44,0),IF(AND(99&gt;='EDT Y TAREAS'!AK45,99&lt;'EDT Y TAREAS'!AL45),'EDT Y TAREAS'!AD45/'EDT Y TAREAS'!M45,0),IF(AND(99&gt;='EDT Y TAREAS'!AK46,99&lt;'EDT Y TAREAS'!AL46),'EDT Y TAREAS'!AD46/'EDT Y TAREAS'!M46,0),IF(AND(99&gt;='EDT Y TAREAS'!AK47,99&lt;'EDT Y TAREAS'!AL47),'EDT Y TAREAS'!AD47/'EDT Y TAREAS'!M47,0),IF(AND(99&gt;='EDT Y TAREAS'!AK49,99&lt;'EDT Y TAREAS'!AL49),'EDT Y TAREAS'!AD49/'EDT Y TAREAS'!M49,0),IF(AND(99&gt;='EDT Y TAREAS'!AK50,99&lt;'EDT Y TAREAS'!AL50),'EDT Y TAREAS'!AD50/'EDT Y TAREAS'!M50,0),IF(AND(99&gt;='EDT Y TAREAS'!AK51,99&lt;'EDT Y TAREAS'!AL51),'EDT Y TAREAS'!AD51/'EDT Y TAREAS'!M51,0),IF(AND(99&gt;='EDT Y TAREAS'!AK52,99&lt;'EDT Y TAREAS'!AL52),'EDT Y TAREAS'!AD52/'EDT Y TAREAS'!M52,0))</x:f>
        <x:v>2.8</x:v>
      </x:c>
      <x:c r="C139" s="35" t="n">
        <x:f>SUM(IF(AND(99&gt;='EDT Y TAREAS'!AK6,99&lt;'EDT Y TAREAS'!AL6),'EDT Y TAREAS'!AE6/'EDT Y TAREAS'!M6,0),IF(AND(99&gt;='EDT Y TAREAS'!AK8,99&lt;'EDT Y TAREAS'!AL8),'EDT Y TAREAS'!AE8/'EDT Y TAREAS'!M8,0),IF(AND(99&gt;='EDT Y TAREAS'!AK9,99&lt;'EDT Y TAREAS'!AL9),'EDT Y TAREAS'!AE9/'EDT Y TAREAS'!M9,0),IF(AND(99&gt;='EDT Y TAREAS'!AK10,99&lt;'EDT Y TAREAS'!AL10),'EDT Y TAREAS'!AE10/'EDT Y TAREAS'!M10,0),IF(AND(99&gt;='EDT Y TAREAS'!AK12,99&lt;'EDT Y TAREAS'!AL12),'EDT Y TAREAS'!AE12/'EDT Y TAREAS'!M12,0),IF(AND(99&gt;='EDT Y TAREAS'!AK16,99&lt;'EDT Y TAREAS'!AL16),'EDT Y TAREAS'!AE16/'EDT Y TAREAS'!M16,0),IF(AND(99&gt;='EDT Y TAREAS'!AK21,99&lt;'EDT Y TAREAS'!AL21),'EDT Y TAREAS'!AE21/'EDT Y TAREAS'!M21,0),IF(AND(99&gt;='EDT Y TAREAS'!AK23,99&lt;'EDT Y TAREAS'!AL23),'EDT Y TAREAS'!AE23/'EDT Y TAREAS'!M23,0),IF(AND(99&gt;='EDT Y TAREAS'!AK37,99&lt;'EDT Y TAREAS'!AL37),'EDT Y TAREAS'!AE37/'EDT Y TAREAS'!M37,0),IF(AND(99&gt;='EDT Y TAREAS'!AK38,99&lt;'EDT Y TAREAS'!AL38),'EDT Y TAREAS'!AE38/'EDT Y TAREAS'!M38,0),IF(AND(99&gt;='EDT Y TAREAS'!AK41,99&lt;'EDT Y TAREAS'!AL41),'EDT Y TAREAS'!AE41/'EDT Y TAREAS'!M41,0),IF(AND(99&gt;='EDT Y TAREAS'!AK43,99&lt;'EDT Y TAREAS'!AL43),'EDT Y TAREAS'!AE43/'EDT Y TAREAS'!M43,0),IF(AND(99&gt;='EDT Y TAREAS'!AK44,99&lt;'EDT Y TAREAS'!AL44),'EDT Y TAREAS'!AE44/'EDT Y TAREAS'!M44,0),IF(AND(99&gt;='EDT Y TAREAS'!AK46,99&lt;'EDT Y TAREAS'!AL46),'EDT Y TAREAS'!AE46/'EDT Y TAREAS'!M46,0),IF(AND(99&gt;='EDT Y TAREAS'!AK47,99&lt;'EDT Y TAREAS'!AL47),'EDT Y TAREAS'!AE47/'EDT Y TAREAS'!M47,0),IF(AND(99&gt;='EDT Y TAREAS'!AK51,99&lt;'EDT Y TAREAS'!AL51),'EDT Y TAREAS'!AE51/'EDT Y TAREAS'!M51,0),IF(AND(99&gt;='EDT Y TAREAS'!AK52,99&lt;'EDT Y TAREAS'!AL52),'EDT Y TAREAS'!AE52/'EDT Y TAREAS'!M52,0))</x:f>
        <x:v>0.4</x:v>
      </x:c>
      <x:c r="D139" s="35" t="n">
        <x:f>SUM(IF(AND(99&gt;='EDT Y TAREAS'!AK11,99&lt;'EDT Y TAREAS'!AL11),'EDT Y TAREAS'!AF11/'EDT Y TAREAS'!M11,0),IF(AND(99&gt;='EDT Y TAREAS'!AK24,99&lt;'EDT Y TAREAS'!AL24),'EDT Y TAREAS'!AF24/'EDT Y TAREAS'!M24,0),IF(AND(99&gt;='EDT Y TAREAS'!AK25,99&lt;'EDT Y TAREAS'!AL25),'EDT Y TAREAS'!AF25/'EDT Y TAREAS'!M25,0),IF(AND(99&gt;='EDT Y TAREAS'!AK26,99&lt;'EDT Y TAREAS'!AL26),'EDT Y TAREAS'!AF26/'EDT Y TAREAS'!M26,0),IF(AND(99&gt;='EDT Y TAREAS'!AK27,99&lt;'EDT Y TAREAS'!AL27),'EDT Y TAREAS'!AF27/'EDT Y TAREAS'!M27,0),IF(AND(99&gt;='EDT Y TAREAS'!AK28,99&lt;'EDT Y TAREAS'!AL28),'EDT Y TAREAS'!AF28/'EDT Y TAREAS'!M28,0),IF(AND(99&gt;='EDT Y TAREAS'!AK31,99&lt;'EDT Y TAREAS'!AL31),'EDT Y TAREAS'!AF31/'EDT Y TAREAS'!M31,0),IF(AND(99&gt;='EDT Y TAREAS'!AK33,99&lt;'EDT Y TAREAS'!AL33),'EDT Y TAREAS'!AF33/'EDT Y TAREAS'!M33,0),IF(AND(99&gt;='EDT Y TAREAS'!AK34,99&lt;'EDT Y TAREAS'!AL34),'EDT Y TAREAS'!AF34/'EDT Y TAREAS'!M34,0),IF(AND(99&gt;='EDT Y TAREAS'!AK35,99&lt;'EDT Y TAREAS'!AL35),'EDT Y TAREAS'!AF35/'EDT Y TAREAS'!M35,0),IF(AND(99&gt;='EDT Y TAREAS'!AK37,99&lt;'EDT Y TAREAS'!AL37),'EDT Y TAREAS'!AF37/'EDT Y TAREAS'!M37,0),IF(AND(99&gt;='EDT Y TAREAS'!AK39,99&lt;'EDT Y TAREAS'!AL39),'EDT Y TAREAS'!AF39/'EDT Y TAREAS'!M39,0),IF(AND(99&gt;='EDT Y TAREAS'!AK40,99&lt;'EDT Y TAREAS'!AL40),'EDT Y TAREAS'!AF40/'EDT Y TAREAS'!M40,0),IF(AND(99&gt;='EDT Y TAREAS'!AK42,99&lt;'EDT Y TAREAS'!AL42),'EDT Y TAREAS'!AF42/'EDT Y TAREAS'!M42,0),IF(AND(99&gt;='EDT Y TAREAS'!AK45,99&lt;'EDT Y TAREAS'!AL45),'EDT Y TAREAS'!AF45/'EDT Y TAREAS'!M45,0),IF(AND(99&gt;='EDT Y TAREAS'!AK49,99&lt;'EDT Y TAREAS'!AL49),'EDT Y TAREAS'!AF49/'EDT Y TAREAS'!M49,0),IF(AND(99&gt;='EDT Y TAREAS'!AK52,99&lt;'EDT Y TAREAS'!AL52),'EDT Y TAREAS'!AF52/'EDT Y TAREAS'!M52,0))</x:f>
        <x:v>0.8</x:v>
      </x:c>
      <x:c r="E139" s="35" t="n">
        <x:f>SUM(IF(AND(99&gt;='EDT Y TAREAS'!AK29,99&lt;'EDT Y TAREAS'!AL29),'EDT Y TAREAS'!AG29/'EDT Y TAREAS'!M29,0),IF(AND(99&gt;='EDT Y TAREAS'!AK30,99&lt;'EDT Y TAREAS'!AL30),'EDT Y TAREAS'!AG30/'EDT Y TAREAS'!M30,0),IF(AND(99&gt;='EDT Y TAREAS'!AK31,99&lt;'EDT Y TAREAS'!AL31),'EDT Y TAREAS'!AG31/'EDT Y TAREAS'!M31,0),IF(AND(99&gt;='EDT Y TAREAS'!AK32,99&lt;'EDT Y TAREAS'!AL32),'EDT Y TAREAS'!AG32/'EDT Y TAREAS'!M32,0),IF(AND(99&gt;='EDT Y TAREAS'!AK41,99&lt;'EDT Y TAREAS'!AL41),'EDT Y TAREAS'!AG41/'EDT Y TAREAS'!M41,0),IF(AND(99&gt;='EDT Y TAREAS'!AK45,99&lt;'EDT Y TAREAS'!AL45),'EDT Y TAREAS'!AG45/'EDT Y TAREAS'!M45,0),IF(AND(99&gt;='EDT Y TAREAS'!AK48,99&lt;'EDT Y TAREAS'!AL48),'EDT Y TAREAS'!AG48/'EDT Y TAREAS'!M48,0))</x:f>
        <x:v>1.6</x:v>
      </x:c>
      <x:c r="F139" s="35" t="n">
        <x:f>SUM(IF(AND(99&gt;='EDT Y TAREAS'!AK10,99&lt;'EDT Y TAREAS'!AL10),'EDT Y TAREAS'!AH10/'EDT Y TAREAS'!M10,0),IF(AND(99&gt;='EDT Y TAREAS'!AK12,99&lt;'EDT Y TAREAS'!AL12),'EDT Y TAREAS'!AH12/'EDT Y TAREAS'!M12,0),IF(AND(99&gt;='EDT Y TAREAS'!AK22,99&lt;'EDT Y TAREAS'!AL22),'EDT Y TAREAS'!AH22/'EDT Y TAREAS'!M22,0),IF(AND(99&gt;='EDT Y TAREAS'!AK23,99&lt;'EDT Y TAREAS'!AL23),'EDT Y TAREAS'!AH23/'EDT Y TAREAS'!M23,0),IF(AND(99&gt;='EDT Y TAREAS'!AK29,99&lt;'EDT Y TAREAS'!AL29),'EDT Y TAREAS'!AH29/'EDT Y TAREAS'!M29,0),IF(AND(99&gt;='EDT Y TAREAS'!AK30,99&lt;'EDT Y TAREAS'!AL30),'EDT Y TAREAS'!AH30/'EDT Y TAREAS'!M30,0),IF(AND(99&gt;='EDT Y TAREAS'!AK32,99&lt;'EDT Y TAREAS'!AL32),'EDT Y TAREAS'!AH32/'EDT Y TAREAS'!M32,0),IF(AND(99&gt;='EDT Y TAREAS'!AK41,99&lt;'EDT Y TAREAS'!AL41),'EDT Y TAREAS'!AH41/'EDT Y TAREAS'!M41,0),IF(AND(99&gt;='EDT Y TAREAS'!AK44,99&lt;'EDT Y TAREAS'!AL44),'EDT Y TAREAS'!AH44/'EDT Y TAREAS'!M44,0),IF(AND(99&gt;='EDT Y TAREAS'!AK46,99&lt;'EDT Y TAREAS'!AL46),'EDT Y TAREAS'!AH46/'EDT Y TAREAS'!M46,0),IF(AND(99&gt;='EDT Y TAREAS'!AK48,99&lt;'EDT Y TAREAS'!AL48),'EDT Y TAREAS'!AH48/'EDT Y TAREAS'!M48,0))</x:f>
        <x:v>2.4</x:v>
      </x:c>
      <x:c r="G139" s="35" t="n">
        <x:f>SUM(IF(AND(99&gt;='EDT Y TAREAS'!AK20,99&lt;'EDT Y TAREAS'!AL20),'EDT Y TAREAS'!AI20/'EDT Y TAREAS'!M20,0),IF(AND(99&gt;='EDT Y TAREAS'!AK25,99&lt;'EDT Y TAREAS'!AL25),'EDT Y TAREAS'!AI25/'EDT Y TAREAS'!M25,0),IF(AND(99&gt;='EDT Y TAREAS'!AK33,99&lt;'EDT Y TAREAS'!AL33),'EDT Y TAREAS'!AI33/'EDT Y TAREAS'!M33,0),IF(AND(99&gt;='EDT Y TAREAS'!AK34,99&lt;'EDT Y TAREAS'!AL34),'EDT Y TAREAS'!AI34/'EDT Y TAREAS'!M34,0),IF(AND(99&gt;='EDT Y TAREAS'!AK36,99&lt;'EDT Y TAREAS'!AL36),'EDT Y TAREAS'!AI36/'EDT Y TAREAS'!M36,0),IF(AND(99&gt;='EDT Y TAREAS'!AK39,99&lt;'EDT Y TAREAS'!AL39),'EDT Y TAREAS'!AI39/'EDT Y TAREAS'!M39,0),IF(AND(99&gt;='EDT Y TAREAS'!AK40,99&lt;'EDT Y TAREAS'!AL40),'EDT Y TAREAS'!AI40/'EDT Y TAREAS'!M40,0),IF(AND(99&gt;='EDT Y TAREAS'!AK42,99&lt;'EDT Y TAREAS'!AL42),'EDT Y TAREAS'!AI42/'EDT Y TAREAS'!M42,0),IF(AND(99&gt;='EDT Y TAREAS'!AK43,99&lt;'EDT Y TAREAS'!AL43),'EDT Y TAREAS'!AI43/'EDT Y TAREAS'!M43,0),IF(AND(99&gt;='EDT Y TAREAS'!AK44,99&lt;'EDT Y TAREAS'!AL44),'EDT Y TAREAS'!AI44/'EDT Y TAREAS'!M44,0),IF(AND(99&gt;='EDT Y TAREAS'!AK45,99&lt;'EDT Y TAREAS'!AL45),'EDT Y TAREAS'!AI45/'EDT Y TAREAS'!M45,0),IF(AND(99&gt;='EDT Y TAREAS'!AK46,99&lt;'EDT Y TAREAS'!AL46),'EDT Y TAREAS'!AI46/'EDT Y TAREAS'!M46,0),IF(AND(99&gt;='EDT Y TAREAS'!AK48,99&lt;'EDT Y TAREAS'!AL48),'EDT Y TAREAS'!AI48/'EDT Y TAREAS'!M48,0),IF(AND(99&gt;='EDT Y TAREAS'!AK50,99&lt;'EDT Y TAREAS'!AL50),'EDT Y TAREAS'!AI50/'EDT Y TAREAS'!M50,0),IF(AND(99&gt;='EDT Y TAREAS'!AK52,99&lt;'EDT Y TAREAS'!AL52),'EDT Y TAREAS'!AI52/'EDT Y TAREAS'!M52,0))</x:f>
        <x:v>2.4</x:v>
      </x:c>
      <x:c r="H139" s="35" t="n">
        <x:f>SUM(IF(AND(99&gt;='EDT Y TAREAS'!AK11,99&lt;'EDT Y TAREAS'!AL11),'EDT Y TAREAS'!AJ11/'EDT Y TAREAS'!M11,0),IF(AND(99&gt;='EDT Y TAREAS'!AK24,99&lt;'EDT Y TAREAS'!AL24),'EDT Y TAREAS'!AJ24/'EDT Y TAREAS'!M24,0),IF(AND(99&gt;='EDT Y TAREAS'!AK27,99&lt;'EDT Y TAREAS'!AL27),'EDT Y TAREAS'!AJ27/'EDT Y TAREAS'!M27,0),IF(AND(99&gt;='EDT Y TAREAS'!AK28,99&lt;'EDT Y TAREAS'!AL28),'EDT Y TAREAS'!AJ28/'EDT Y TAREAS'!M28,0),IF(AND(99&gt;='EDT Y TAREAS'!AK33,99&lt;'EDT Y TAREAS'!AL33),'EDT Y TAREAS'!AJ33/'EDT Y TAREAS'!M33,0),IF(AND(99&gt;='EDT Y TAREAS'!AK35,99&lt;'EDT Y TAREAS'!AL35),'EDT Y TAREAS'!AJ35/'EDT Y TAREAS'!M35,0),IF(AND(99&gt;='EDT Y TAREAS'!AK36,99&lt;'EDT Y TAREAS'!AL36),'EDT Y TAREAS'!AJ36/'EDT Y TAREAS'!M36,0),IF(AND(99&gt;='EDT Y TAREAS'!AK37,99&lt;'EDT Y TAREAS'!AL37),'EDT Y TAREAS'!AJ37/'EDT Y TAREAS'!M37,0),IF(AND(99&gt;='EDT Y TAREAS'!AK40,99&lt;'EDT Y TAREAS'!AL40),'EDT Y TAREAS'!AJ40/'EDT Y TAREAS'!M40,0),IF(AND(99&gt;='EDT Y TAREAS'!AK42,99&lt;'EDT Y TAREAS'!AL42),'EDT Y TAREAS'!AJ42/'EDT Y TAREAS'!M42,0),IF(AND(99&gt;='EDT Y TAREAS'!AK49,99&lt;'EDT Y TAREAS'!AL49),'EDT Y TAREAS'!AJ49/'EDT Y TAREAS'!M49,0),IF(AND(99&gt;='EDT Y TAREAS'!AK50,99&lt;'EDT Y TAREAS'!AL50),'EDT Y TAREAS'!AJ50/'EDT Y TAREAS'!M50,0),IF(AND(99&gt;='EDT Y TAREAS'!AK51,99&lt;'EDT Y TAREAS'!AL51),'EDT Y TAREAS'!AJ51/'EDT Y TAREAS'!M51,0),IF(AND(99&gt;='EDT Y TAREAS'!AK52,99&lt;'EDT Y TAREAS'!AL52),'EDT Y TAREAS'!AJ52/'EDT Y TAREAS'!M52,0))</x:f>
        <x:v>0</x:v>
      </x:c>
      <x:c r="I139" s="10" t="n">
        <x:f>WORKDAY('RESUMEN'!$D$3-1,A139,'RESUMEN'!$J$6:$J$25)</x:f>
        <x:v>46465</x:v>
      </x:c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  <x:c r="AC139" s="3"/>
      <x:c r="AD139" s="3"/>
      <x:c r="AE139" s="3"/>
      <x:c r="AF139" s="3"/>
      <x:c r="AG139" s="3"/>
      <x:c r="AH139" s="3"/>
      <x:c r="AI139" s="3"/>
      <x:c r="AJ139" s="3"/>
      <x:c r="AK139" s="3"/>
      <x:c r="AL139" s="3"/>
      <x:c r="AM139" s="3"/>
      <x:c r="AN139" s="3"/>
      <x:c r="AO139" s="3"/>
    </x:row>
    <x:row r="140" ht="24" customHeight="1">
      <x:c r="A140" s="3" t="n">
        <x:v>101</x:v>
      </x:c>
      <x:c r="B140" s="35" t="n">
        <x:f>SUM(IF(AND(100&gt;='EDT Y TAREAS'!AK6,100&lt;'EDT Y TAREAS'!AL6),'EDT Y TAREAS'!AD6/'EDT Y TAREAS'!M6,0),IF(AND(100&gt;='EDT Y TAREAS'!AK7,100&lt;'EDT Y TAREAS'!AL7),'EDT Y TAREAS'!AD7/'EDT Y TAREAS'!M7,0),IF(AND(100&gt;='EDT Y TAREAS'!AK8,100&lt;'EDT Y TAREAS'!AL8),'EDT Y TAREAS'!AD8/'EDT Y TAREAS'!M8,0),IF(AND(100&gt;='EDT Y TAREAS'!AK9,100&lt;'EDT Y TAREAS'!AL9),'EDT Y TAREAS'!AD9/'EDT Y TAREAS'!M9,0),IF(AND(100&gt;='EDT Y TAREAS'!AK10,100&lt;'EDT Y TAREAS'!AL10),'EDT Y TAREAS'!AD10/'EDT Y TAREAS'!M10,0),IF(AND(100&gt;='EDT Y TAREAS'!AK11,100&lt;'EDT Y TAREAS'!AL11),'EDT Y TAREAS'!AD11/'EDT Y TAREAS'!M11,0),IF(AND(100&gt;='EDT Y TAREAS'!AK12,100&lt;'EDT Y TAREAS'!AL12),'EDT Y TAREAS'!AD12/'EDT Y TAREAS'!M12,0),IF(AND(100&gt;='EDT Y TAREAS'!AK13,100&lt;'EDT Y TAREAS'!AL13),'EDT Y TAREAS'!AD13/'EDT Y TAREAS'!M13,0),IF(AND(100&gt;='EDT Y TAREAS'!AK14,100&lt;'EDT Y TAREAS'!AL14),'EDT Y TAREAS'!AD14/'EDT Y TAREAS'!M14,0),IF(AND(100&gt;='EDT Y TAREAS'!AK15,100&lt;'EDT Y TAREAS'!AL15),'EDT Y TAREAS'!AD15/'EDT Y TAREAS'!M15,0),IF(AND(100&gt;='EDT Y TAREAS'!AK16,100&lt;'EDT Y TAREAS'!AL16),'EDT Y TAREAS'!AD16/'EDT Y TAREAS'!M16,0),IF(AND(100&gt;='EDT Y TAREAS'!AK17,100&lt;'EDT Y TAREAS'!AL17),'EDT Y TAREAS'!AD17/'EDT Y TAREAS'!M17,0),IF(AND(100&gt;='EDT Y TAREAS'!AK18,100&lt;'EDT Y TAREAS'!AL18),'EDT Y TAREAS'!AD18/'EDT Y TAREAS'!M18,0),IF(AND(100&gt;='EDT Y TAREAS'!AK19,100&lt;'EDT Y TAREAS'!AL19),'EDT Y TAREAS'!AD19/'EDT Y TAREAS'!M19,0),IF(AND(100&gt;='EDT Y TAREAS'!AK20,100&lt;'EDT Y TAREAS'!AL20),'EDT Y TAREAS'!AD20/'EDT Y TAREAS'!M20,0),IF(AND(100&gt;='EDT Y TAREAS'!AK21,100&lt;'EDT Y TAREAS'!AL21),'EDT Y TAREAS'!AD21/'EDT Y TAREAS'!M21,0),IF(AND(100&gt;='EDT Y TAREAS'!AK22,100&lt;'EDT Y TAREAS'!AL22),'EDT Y TAREAS'!AD22/'EDT Y TAREAS'!M22,0),IF(AND(100&gt;='EDT Y TAREAS'!AK23,100&lt;'EDT Y TAREAS'!AL23),'EDT Y TAREAS'!AD23/'EDT Y TAREAS'!M23,0),IF(AND(100&gt;='EDT Y TAREAS'!AK26,100&lt;'EDT Y TAREAS'!AL26),'EDT Y TAREAS'!AD26/'EDT Y TAREAS'!M26,0),IF(AND(100&gt;='EDT Y TAREAS'!AK28,100&lt;'EDT Y TAREAS'!AL28),'EDT Y TAREAS'!AD28/'EDT Y TAREAS'!M28,0),IF(AND(100&gt;='EDT Y TAREAS'!AK30,100&lt;'EDT Y TAREAS'!AL30),'EDT Y TAREAS'!AD30/'EDT Y TAREAS'!M30,0),IF(AND(100&gt;='EDT Y TAREAS'!AK32,100&lt;'EDT Y TAREAS'!AL32),'EDT Y TAREAS'!AD32/'EDT Y TAREAS'!M32,0),IF(AND(100&gt;='EDT Y TAREAS'!AK34,100&lt;'EDT Y TAREAS'!AL34),'EDT Y TAREAS'!AD34/'EDT Y TAREAS'!M34,0),IF(AND(100&gt;='EDT Y TAREAS'!AK38,100&lt;'EDT Y TAREAS'!AL38),'EDT Y TAREAS'!AD38/'EDT Y TAREAS'!M38,0),IF(AND(100&gt;='EDT Y TAREAS'!AK39,100&lt;'EDT Y TAREAS'!AL39),'EDT Y TAREAS'!AD39/'EDT Y TAREAS'!M39,0),IF(AND(100&gt;='EDT Y TAREAS'!AK43,100&lt;'EDT Y TAREAS'!AL43),'EDT Y TAREAS'!AD43/'EDT Y TAREAS'!M43,0),IF(AND(100&gt;='EDT Y TAREAS'!AK44,100&lt;'EDT Y TAREAS'!AL44),'EDT Y TAREAS'!AD44/'EDT Y TAREAS'!M44,0),IF(AND(100&gt;='EDT Y TAREAS'!AK45,100&lt;'EDT Y TAREAS'!AL45),'EDT Y TAREAS'!AD45/'EDT Y TAREAS'!M45,0),IF(AND(100&gt;='EDT Y TAREAS'!AK46,100&lt;'EDT Y TAREAS'!AL46),'EDT Y TAREAS'!AD46/'EDT Y TAREAS'!M46,0),IF(AND(100&gt;='EDT Y TAREAS'!AK47,100&lt;'EDT Y TAREAS'!AL47),'EDT Y TAREAS'!AD47/'EDT Y TAREAS'!M47,0),IF(AND(100&gt;='EDT Y TAREAS'!AK49,100&lt;'EDT Y TAREAS'!AL49),'EDT Y TAREAS'!AD49/'EDT Y TAREAS'!M49,0),IF(AND(100&gt;='EDT Y TAREAS'!AK50,100&lt;'EDT Y TAREAS'!AL50),'EDT Y TAREAS'!AD50/'EDT Y TAREAS'!M50,0),IF(AND(100&gt;='EDT Y TAREAS'!AK51,100&lt;'EDT Y TAREAS'!AL51),'EDT Y TAREAS'!AD51/'EDT Y TAREAS'!M51,0),IF(AND(100&gt;='EDT Y TAREAS'!AK52,100&lt;'EDT Y TAREAS'!AL52),'EDT Y TAREAS'!AD52/'EDT Y TAREAS'!M52,0))</x:f>
        <x:v>2.8</x:v>
      </x:c>
      <x:c r="C140" s="35" t="n">
        <x:f>SUM(IF(AND(100&gt;='EDT Y TAREAS'!AK6,100&lt;'EDT Y TAREAS'!AL6),'EDT Y TAREAS'!AE6/'EDT Y TAREAS'!M6,0),IF(AND(100&gt;='EDT Y TAREAS'!AK8,100&lt;'EDT Y TAREAS'!AL8),'EDT Y TAREAS'!AE8/'EDT Y TAREAS'!M8,0),IF(AND(100&gt;='EDT Y TAREAS'!AK9,100&lt;'EDT Y TAREAS'!AL9),'EDT Y TAREAS'!AE9/'EDT Y TAREAS'!M9,0),IF(AND(100&gt;='EDT Y TAREAS'!AK10,100&lt;'EDT Y TAREAS'!AL10),'EDT Y TAREAS'!AE10/'EDT Y TAREAS'!M10,0),IF(AND(100&gt;='EDT Y TAREAS'!AK12,100&lt;'EDT Y TAREAS'!AL12),'EDT Y TAREAS'!AE12/'EDT Y TAREAS'!M12,0),IF(AND(100&gt;='EDT Y TAREAS'!AK16,100&lt;'EDT Y TAREAS'!AL16),'EDT Y TAREAS'!AE16/'EDT Y TAREAS'!M16,0),IF(AND(100&gt;='EDT Y TAREAS'!AK21,100&lt;'EDT Y TAREAS'!AL21),'EDT Y TAREAS'!AE21/'EDT Y TAREAS'!M21,0),IF(AND(100&gt;='EDT Y TAREAS'!AK23,100&lt;'EDT Y TAREAS'!AL23),'EDT Y TAREAS'!AE23/'EDT Y TAREAS'!M23,0),IF(AND(100&gt;='EDT Y TAREAS'!AK37,100&lt;'EDT Y TAREAS'!AL37),'EDT Y TAREAS'!AE37/'EDT Y TAREAS'!M37,0),IF(AND(100&gt;='EDT Y TAREAS'!AK38,100&lt;'EDT Y TAREAS'!AL38),'EDT Y TAREAS'!AE38/'EDT Y TAREAS'!M38,0),IF(AND(100&gt;='EDT Y TAREAS'!AK41,100&lt;'EDT Y TAREAS'!AL41),'EDT Y TAREAS'!AE41/'EDT Y TAREAS'!M41,0),IF(AND(100&gt;='EDT Y TAREAS'!AK43,100&lt;'EDT Y TAREAS'!AL43),'EDT Y TAREAS'!AE43/'EDT Y TAREAS'!M43,0),IF(AND(100&gt;='EDT Y TAREAS'!AK44,100&lt;'EDT Y TAREAS'!AL44),'EDT Y TAREAS'!AE44/'EDT Y TAREAS'!M44,0),IF(AND(100&gt;='EDT Y TAREAS'!AK46,100&lt;'EDT Y TAREAS'!AL46),'EDT Y TAREAS'!AE46/'EDT Y TAREAS'!M46,0),IF(AND(100&gt;='EDT Y TAREAS'!AK47,100&lt;'EDT Y TAREAS'!AL47),'EDT Y TAREAS'!AE47/'EDT Y TAREAS'!M47,0),IF(AND(100&gt;='EDT Y TAREAS'!AK51,100&lt;'EDT Y TAREAS'!AL51),'EDT Y TAREAS'!AE51/'EDT Y TAREAS'!M51,0),IF(AND(100&gt;='EDT Y TAREAS'!AK52,100&lt;'EDT Y TAREAS'!AL52),'EDT Y TAREAS'!AE52/'EDT Y TAREAS'!M52,0))</x:f>
        <x:v>0.4</x:v>
      </x:c>
      <x:c r="D140" s="35" t="n">
        <x:f>SUM(IF(AND(100&gt;='EDT Y TAREAS'!AK11,100&lt;'EDT Y TAREAS'!AL11),'EDT Y TAREAS'!AF11/'EDT Y TAREAS'!M11,0),IF(AND(100&gt;='EDT Y TAREAS'!AK24,100&lt;'EDT Y TAREAS'!AL24),'EDT Y TAREAS'!AF24/'EDT Y TAREAS'!M24,0),IF(AND(100&gt;='EDT Y TAREAS'!AK25,100&lt;'EDT Y TAREAS'!AL25),'EDT Y TAREAS'!AF25/'EDT Y TAREAS'!M25,0),IF(AND(100&gt;='EDT Y TAREAS'!AK26,100&lt;'EDT Y TAREAS'!AL26),'EDT Y TAREAS'!AF26/'EDT Y TAREAS'!M26,0),IF(AND(100&gt;='EDT Y TAREAS'!AK27,100&lt;'EDT Y TAREAS'!AL27),'EDT Y TAREAS'!AF27/'EDT Y TAREAS'!M27,0),IF(AND(100&gt;='EDT Y TAREAS'!AK28,100&lt;'EDT Y TAREAS'!AL28),'EDT Y TAREAS'!AF28/'EDT Y TAREAS'!M28,0),IF(AND(100&gt;='EDT Y TAREAS'!AK31,100&lt;'EDT Y TAREAS'!AL31),'EDT Y TAREAS'!AF31/'EDT Y TAREAS'!M31,0),IF(AND(100&gt;='EDT Y TAREAS'!AK33,100&lt;'EDT Y TAREAS'!AL33),'EDT Y TAREAS'!AF33/'EDT Y TAREAS'!M33,0),IF(AND(100&gt;='EDT Y TAREAS'!AK34,100&lt;'EDT Y TAREAS'!AL34),'EDT Y TAREAS'!AF34/'EDT Y TAREAS'!M34,0),IF(AND(100&gt;='EDT Y TAREAS'!AK35,100&lt;'EDT Y TAREAS'!AL35),'EDT Y TAREAS'!AF35/'EDT Y TAREAS'!M35,0),IF(AND(100&gt;='EDT Y TAREAS'!AK37,100&lt;'EDT Y TAREAS'!AL37),'EDT Y TAREAS'!AF37/'EDT Y TAREAS'!M37,0),IF(AND(100&gt;='EDT Y TAREAS'!AK39,100&lt;'EDT Y TAREAS'!AL39),'EDT Y TAREAS'!AF39/'EDT Y TAREAS'!M39,0),IF(AND(100&gt;='EDT Y TAREAS'!AK40,100&lt;'EDT Y TAREAS'!AL40),'EDT Y TAREAS'!AF40/'EDT Y TAREAS'!M40,0),IF(AND(100&gt;='EDT Y TAREAS'!AK42,100&lt;'EDT Y TAREAS'!AL42),'EDT Y TAREAS'!AF42/'EDT Y TAREAS'!M42,0),IF(AND(100&gt;='EDT Y TAREAS'!AK45,100&lt;'EDT Y TAREAS'!AL45),'EDT Y TAREAS'!AF45/'EDT Y TAREAS'!M45,0),IF(AND(100&gt;='EDT Y TAREAS'!AK49,100&lt;'EDT Y TAREAS'!AL49),'EDT Y TAREAS'!AF49/'EDT Y TAREAS'!M49,0),IF(AND(100&gt;='EDT Y TAREAS'!AK52,100&lt;'EDT Y TAREAS'!AL52),'EDT Y TAREAS'!AF52/'EDT Y TAREAS'!M52,0))</x:f>
        <x:v>0.8</x:v>
      </x:c>
      <x:c r="E140" s="35" t="n">
        <x:f>SUM(IF(AND(100&gt;='EDT Y TAREAS'!AK29,100&lt;'EDT Y TAREAS'!AL29),'EDT Y TAREAS'!AG29/'EDT Y TAREAS'!M29,0),IF(AND(100&gt;='EDT Y TAREAS'!AK30,100&lt;'EDT Y TAREAS'!AL30),'EDT Y TAREAS'!AG30/'EDT Y TAREAS'!M30,0),IF(AND(100&gt;='EDT Y TAREAS'!AK31,100&lt;'EDT Y TAREAS'!AL31),'EDT Y TAREAS'!AG31/'EDT Y TAREAS'!M31,0),IF(AND(100&gt;='EDT Y TAREAS'!AK32,100&lt;'EDT Y TAREAS'!AL32),'EDT Y TAREAS'!AG32/'EDT Y TAREAS'!M32,0),IF(AND(100&gt;='EDT Y TAREAS'!AK41,100&lt;'EDT Y TAREAS'!AL41),'EDT Y TAREAS'!AG41/'EDT Y TAREAS'!M41,0),IF(AND(100&gt;='EDT Y TAREAS'!AK45,100&lt;'EDT Y TAREAS'!AL45),'EDT Y TAREAS'!AG45/'EDT Y TAREAS'!M45,0),IF(AND(100&gt;='EDT Y TAREAS'!AK48,100&lt;'EDT Y TAREAS'!AL48),'EDT Y TAREAS'!AG48/'EDT Y TAREAS'!M48,0))</x:f>
        <x:v>1.6</x:v>
      </x:c>
      <x:c r="F140" s="35" t="n">
        <x:f>SUM(IF(AND(100&gt;='EDT Y TAREAS'!AK10,100&lt;'EDT Y TAREAS'!AL10),'EDT Y TAREAS'!AH10/'EDT Y TAREAS'!M10,0),IF(AND(100&gt;='EDT Y TAREAS'!AK12,100&lt;'EDT Y TAREAS'!AL12),'EDT Y TAREAS'!AH12/'EDT Y TAREAS'!M12,0),IF(AND(100&gt;='EDT Y TAREAS'!AK22,100&lt;'EDT Y TAREAS'!AL22),'EDT Y TAREAS'!AH22/'EDT Y TAREAS'!M22,0),IF(AND(100&gt;='EDT Y TAREAS'!AK23,100&lt;'EDT Y TAREAS'!AL23),'EDT Y TAREAS'!AH23/'EDT Y TAREAS'!M23,0),IF(AND(100&gt;='EDT Y TAREAS'!AK29,100&lt;'EDT Y TAREAS'!AL29),'EDT Y TAREAS'!AH29/'EDT Y TAREAS'!M29,0),IF(AND(100&gt;='EDT Y TAREAS'!AK30,100&lt;'EDT Y TAREAS'!AL30),'EDT Y TAREAS'!AH30/'EDT Y TAREAS'!M30,0),IF(AND(100&gt;='EDT Y TAREAS'!AK32,100&lt;'EDT Y TAREAS'!AL32),'EDT Y TAREAS'!AH32/'EDT Y TAREAS'!M32,0),IF(AND(100&gt;='EDT Y TAREAS'!AK41,100&lt;'EDT Y TAREAS'!AL41),'EDT Y TAREAS'!AH41/'EDT Y TAREAS'!M41,0),IF(AND(100&gt;='EDT Y TAREAS'!AK44,100&lt;'EDT Y TAREAS'!AL44),'EDT Y TAREAS'!AH44/'EDT Y TAREAS'!M44,0),IF(AND(100&gt;='EDT Y TAREAS'!AK46,100&lt;'EDT Y TAREAS'!AL46),'EDT Y TAREAS'!AH46/'EDT Y TAREAS'!M46,0),IF(AND(100&gt;='EDT Y TAREAS'!AK48,100&lt;'EDT Y TAREAS'!AL48),'EDT Y TAREAS'!AH48/'EDT Y TAREAS'!M48,0))</x:f>
        <x:v>2.4</x:v>
      </x:c>
      <x:c r="G140" s="35" t="n">
        <x:f>SUM(IF(AND(100&gt;='EDT Y TAREAS'!AK20,100&lt;'EDT Y TAREAS'!AL20),'EDT Y TAREAS'!AI20/'EDT Y TAREAS'!M20,0),IF(AND(100&gt;='EDT Y TAREAS'!AK25,100&lt;'EDT Y TAREAS'!AL25),'EDT Y TAREAS'!AI25/'EDT Y TAREAS'!M25,0),IF(AND(100&gt;='EDT Y TAREAS'!AK33,100&lt;'EDT Y TAREAS'!AL33),'EDT Y TAREAS'!AI33/'EDT Y TAREAS'!M33,0),IF(AND(100&gt;='EDT Y TAREAS'!AK34,100&lt;'EDT Y TAREAS'!AL34),'EDT Y TAREAS'!AI34/'EDT Y TAREAS'!M34,0),IF(AND(100&gt;='EDT Y TAREAS'!AK36,100&lt;'EDT Y TAREAS'!AL36),'EDT Y TAREAS'!AI36/'EDT Y TAREAS'!M36,0),IF(AND(100&gt;='EDT Y TAREAS'!AK39,100&lt;'EDT Y TAREAS'!AL39),'EDT Y TAREAS'!AI39/'EDT Y TAREAS'!M39,0),IF(AND(100&gt;='EDT Y TAREAS'!AK40,100&lt;'EDT Y TAREAS'!AL40),'EDT Y TAREAS'!AI40/'EDT Y TAREAS'!M40,0),IF(AND(100&gt;='EDT Y TAREAS'!AK42,100&lt;'EDT Y TAREAS'!AL42),'EDT Y TAREAS'!AI42/'EDT Y TAREAS'!M42,0),IF(AND(100&gt;='EDT Y TAREAS'!AK43,100&lt;'EDT Y TAREAS'!AL43),'EDT Y TAREAS'!AI43/'EDT Y TAREAS'!M43,0),IF(AND(100&gt;='EDT Y TAREAS'!AK44,100&lt;'EDT Y TAREAS'!AL44),'EDT Y TAREAS'!AI44/'EDT Y TAREAS'!M44,0),IF(AND(100&gt;='EDT Y TAREAS'!AK45,100&lt;'EDT Y TAREAS'!AL45),'EDT Y TAREAS'!AI45/'EDT Y TAREAS'!M45,0),IF(AND(100&gt;='EDT Y TAREAS'!AK46,100&lt;'EDT Y TAREAS'!AL46),'EDT Y TAREAS'!AI46/'EDT Y TAREAS'!M46,0),IF(AND(100&gt;='EDT Y TAREAS'!AK48,100&lt;'EDT Y TAREAS'!AL48),'EDT Y TAREAS'!AI48/'EDT Y TAREAS'!M48,0),IF(AND(100&gt;='EDT Y TAREAS'!AK50,100&lt;'EDT Y TAREAS'!AL50),'EDT Y TAREAS'!AI50/'EDT Y TAREAS'!M50,0),IF(AND(100&gt;='EDT Y TAREAS'!AK52,100&lt;'EDT Y TAREAS'!AL52),'EDT Y TAREAS'!AI52/'EDT Y TAREAS'!M52,0))</x:f>
        <x:v>2.4</x:v>
      </x:c>
      <x:c r="H140" s="35" t="n">
        <x:f>SUM(IF(AND(100&gt;='EDT Y TAREAS'!AK11,100&lt;'EDT Y TAREAS'!AL11),'EDT Y TAREAS'!AJ11/'EDT Y TAREAS'!M11,0),IF(AND(100&gt;='EDT Y TAREAS'!AK24,100&lt;'EDT Y TAREAS'!AL24),'EDT Y TAREAS'!AJ24/'EDT Y TAREAS'!M24,0),IF(AND(100&gt;='EDT Y TAREAS'!AK27,100&lt;'EDT Y TAREAS'!AL27),'EDT Y TAREAS'!AJ27/'EDT Y TAREAS'!M27,0),IF(AND(100&gt;='EDT Y TAREAS'!AK28,100&lt;'EDT Y TAREAS'!AL28),'EDT Y TAREAS'!AJ28/'EDT Y TAREAS'!M28,0),IF(AND(100&gt;='EDT Y TAREAS'!AK33,100&lt;'EDT Y TAREAS'!AL33),'EDT Y TAREAS'!AJ33/'EDT Y TAREAS'!M33,0),IF(AND(100&gt;='EDT Y TAREAS'!AK35,100&lt;'EDT Y TAREAS'!AL35),'EDT Y TAREAS'!AJ35/'EDT Y TAREAS'!M35,0),IF(AND(100&gt;='EDT Y TAREAS'!AK36,100&lt;'EDT Y TAREAS'!AL36),'EDT Y TAREAS'!AJ36/'EDT Y TAREAS'!M36,0),IF(AND(100&gt;='EDT Y TAREAS'!AK37,100&lt;'EDT Y TAREAS'!AL37),'EDT Y TAREAS'!AJ37/'EDT Y TAREAS'!M37,0),IF(AND(100&gt;='EDT Y TAREAS'!AK40,100&lt;'EDT Y TAREAS'!AL40),'EDT Y TAREAS'!AJ40/'EDT Y TAREAS'!M40,0),IF(AND(100&gt;='EDT Y TAREAS'!AK42,100&lt;'EDT Y TAREAS'!AL42),'EDT Y TAREAS'!AJ42/'EDT Y TAREAS'!M42,0),IF(AND(100&gt;='EDT Y TAREAS'!AK49,100&lt;'EDT Y TAREAS'!AL49),'EDT Y TAREAS'!AJ49/'EDT Y TAREAS'!M49,0),IF(AND(100&gt;='EDT Y TAREAS'!AK50,100&lt;'EDT Y TAREAS'!AL50),'EDT Y TAREAS'!AJ50/'EDT Y TAREAS'!M50,0),IF(AND(100&gt;='EDT Y TAREAS'!AK51,100&lt;'EDT Y TAREAS'!AL51),'EDT Y TAREAS'!AJ51/'EDT Y TAREAS'!M51,0),IF(AND(100&gt;='EDT Y TAREAS'!AK52,100&lt;'EDT Y TAREAS'!AL52),'EDT Y TAREAS'!AJ52/'EDT Y TAREAS'!M52,0))</x:f>
        <x:v>0</x:v>
      </x:c>
      <x:c r="I140" s="10" t="n">
        <x:f>WORKDAY('RESUMEN'!$D$3-1,A140,'RESUMEN'!$J$6:$J$25)</x:f>
        <x:v>46468</x:v>
      </x:c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  <x:c r="AC140" s="3"/>
      <x:c r="AD140" s="3"/>
      <x:c r="AE140" s="3"/>
      <x:c r="AF140" s="3"/>
      <x:c r="AG140" s="3"/>
      <x:c r="AH140" s="3"/>
      <x:c r="AI140" s="3"/>
      <x:c r="AJ140" s="3"/>
      <x:c r="AK140" s="3"/>
      <x:c r="AL140" s="3"/>
      <x:c r="AM140" s="3"/>
      <x:c r="AN140" s="3"/>
      <x:c r="AO140" s="3"/>
    </x:row>
    <x:row r="141" ht="24" customHeight="1">
      <x:c r="A141" s="3" t="n">
        <x:v>102</x:v>
      </x:c>
      <x:c r="B141" s="35" t="n">
        <x:f>SUM(IF(AND(101&gt;='EDT Y TAREAS'!AK6,101&lt;'EDT Y TAREAS'!AL6),'EDT Y TAREAS'!AD6/'EDT Y TAREAS'!M6,0),IF(AND(101&gt;='EDT Y TAREAS'!AK7,101&lt;'EDT Y TAREAS'!AL7),'EDT Y TAREAS'!AD7/'EDT Y TAREAS'!M7,0),IF(AND(101&gt;='EDT Y TAREAS'!AK8,101&lt;'EDT Y TAREAS'!AL8),'EDT Y TAREAS'!AD8/'EDT Y TAREAS'!M8,0),IF(AND(101&gt;='EDT Y TAREAS'!AK9,101&lt;'EDT Y TAREAS'!AL9),'EDT Y TAREAS'!AD9/'EDT Y TAREAS'!M9,0),IF(AND(101&gt;='EDT Y TAREAS'!AK10,101&lt;'EDT Y TAREAS'!AL10),'EDT Y TAREAS'!AD10/'EDT Y TAREAS'!M10,0),IF(AND(101&gt;='EDT Y TAREAS'!AK11,101&lt;'EDT Y TAREAS'!AL11),'EDT Y TAREAS'!AD11/'EDT Y TAREAS'!M11,0),IF(AND(101&gt;='EDT Y TAREAS'!AK12,101&lt;'EDT Y TAREAS'!AL12),'EDT Y TAREAS'!AD12/'EDT Y TAREAS'!M12,0),IF(AND(101&gt;='EDT Y TAREAS'!AK13,101&lt;'EDT Y TAREAS'!AL13),'EDT Y TAREAS'!AD13/'EDT Y TAREAS'!M13,0),IF(AND(101&gt;='EDT Y TAREAS'!AK14,101&lt;'EDT Y TAREAS'!AL14),'EDT Y TAREAS'!AD14/'EDT Y TAREAS'!M14,0),IF(AND(101&gt;='EDT Y TAREAS'!AK15,101&lt;'EDT Y TAREAS'!AL15),'EDT Y TAREAS'!AD15/'EDT Y TAREAS'!M15,0),IF(AND(101&gt;='EDT Y TAREAS'!AK16,101&lt;'EDT Y TAREAS'!AL16),'EDT Y TAREAS'!AD16/'EDT Y TAREAS'!M16,0),IF(AND(101&gt;='EDT Y TAREAS'!AK17,101&lt;'EDT Y TAREAS'!AL17),'EDT Y TAREAS'!AD17/'EDT Y TAREAS'!M17,0),IF(AND(101&gt;='EDT Y TAREAS'!AK18,101&lt;'EDT Y TAREAS'!AL18),'EDT Y TAREAS'!AD18/'EDT Y TAREAS'!M18,0),IF(AND(101&gt;='EDT Y TAREAS'!AK19,101&lt;'EDT Y TAREAS'!AL19),'EDT Y TAREAS'!AD19/'EDT Y TAREAS'!M19,0),IF(AND(101&gt;='EDT Y TAREAS'!AK20,101&lt;'EDT Y TAREAS'!AL20),'EDT Y TAREAS'!AD20/'EDT Y TAREAS'!M20,0),IF(AND(101&gt;='EDT Y TAREAS'!AK21,101&lt;'EDT Y TAREAS'!AL21),'EDT Y TAREAS'!AD21/'EDT Y TAREAS'!M21,0),IF(AND(101&gt;='EDT Y TAREAS'!AK22,101&lt;'EDT Y TAREAS'!AL22),'EDT Y TAREAS'!AD22/'EDT Y TAREAS'!M22,0),IF(AND(101&gt;='EDT Y TAREAS'!AK23,101&lt;'EDT Y TAREAS'!AL23),'EDT Y TAREAS'!AD23/'EDT Y TAREAS'!M23,0),IF(AND(101&gt;='EDT Y TAREAS'!AK26,101&lt;'EDT Y TAREAS'!AL26),'EDT Y TAREAS'!AD26/'EDT Y TAREAS'!M26,0),IF(AND(101&gt;='EDT Y TAREAS'!AK28,101&lt;'EDT Y TAREAS'!AL28),'EDT Y TAREAS'!AD28/'EDT Y TAREAS'!M28,0),IF(AND(101&gt;='EDT Y TAREAS'!AK30,101&lt;'EDT Y TAREAS'!AL30),'EDT Y TAREAS'!AD30/'EDT Y TAREAS'!M30,0),IF(AND(101&gt;='EDT Y TAREAS'!AK32,101&lt;'EDT Y TAREAS'!AL32),'EDT Y TAREAS'!AD32/'EDT Y TAREAS'!M32,0),IF(AND(101&gt;='EDT Y TAREAS'!AK34,101&lt;'EDT Y TAREAS'!AL34),'EDT Y TAREAS'!AD34/'EDT Y TAREAS'!M34,0),IF(AND(101&gt;='EDT Y TAREAS'!AK38,101&lt;'EDT Y TAREAS'!AL38),'EDT Y TAREAS'!AD38/'EDT Y TAREAS'!M38,0),IF(AND(101&gt;='EDT Y TAREAS'!AK39,101&lt;'EDT Y TAREAS'!AL39),'EDT Y TAREAS'!AD39/'EDT Y TAREAS'!M39,0),IF(AND(101&gt;='EDT Y TAREAS'!AK43,101&lt;'EDT Y TAREAS'!AL43),'EDT Y TAREAS'!AD43/'EDT Y TAREAS'!M43,0),IF(AND(101&gt;='EDT Y TAREAS'!AK44,101&lt;'EDT Y TAREAS'!AL44),'EDT Y TAREAS'!AD44/'EDT Y TAREAS'!M44,0),IF(AND(101&gt;='EDT Y TAREAS'!AK45,101&lt;'EDT Y TAREAS'!AL45),'EDT Y TAREAS'!AD45/'EDT Y TAREAS'!M45,0),IF(AND(101&gt;='EDT Y TAREAS'!AK46,101&lt;'EDT Y TAREAS'!AL46),'EDT Y TAREAS'!AD46/'EDT Y TAREAS'!M46,0),IF(AND(101&gt;='EDT Y TAREAS'!AK47,101&lt;'EDT Y TAREAS'!AL47),'EDT Y TAREAS'!AD47/'EDT Y TAREAS'!M47,0),IF(AND(101&gt;='EDT Y TAREAS'!AK49,101&lt;'EDT Y TAREAS'!AL49),'EDT Y TAREAS'!AD49/'EDT Y TAREAS'!M49,0),IF(AND(101&gt;='EDT Y TAREAS'!AK50,101&lt;'EDT Y TAREAS'!AL50),'EDT Y TAREAS'!AD50/'EDT Y TAREAS'!M50,0),IF(AND(101&gt;='EDT Y TAREAS'!AK51,101&lt;'EDT Y TAREAS'!AL51),'EDT Y TAREAS'!AD51/'EDT Y TAREAS'!M51,0),IF(AND(101&gt;='EDT Y TAREAS'!AK52,101&lt;'EDT Y TAREAS'!AL52),'EDT Y TAREAS'!AD52/'EDT Y TAREAS'!M52,0))</x:f>
        <x:v>1.5</x:v>
      </x:c>
      <x:c r="C141" s="35" t="n">
        <x:f>SUM(IF(AND(101&gt;='EDT Y TAREAS'!AK6,101&lt;'EDT Y TAREAS'!AL6),'EDT Y TAREAS'!AE6/'EDT Y TAREAS'!M6,0),IF(AND(101&gt;='EDT Y TAREAS'!AK8,101&lt;'EDT Y TAREAS'!AL8),'EDT Y TAREAS'!AE8/'EDT Y TAREAS'!M8,0),IF(AND(101&gt;='EDT Y TAREAS'!AK9,101&lt;'EDT Y TAREAS'!AL9),'EDT Y TAREAS'!AE9/'EDT Y TAREAS'!M9,0),IF(AND(101&gt;='EDT Y TAREAS'!AK10,101&lt;'EDT Y TAREAS'!AL10),'EDT Y TAREAS'!AE10/'EDT Y TAREAS'!M10,0),IF(AND(101&gt;='EDT Y TAREAS'!AK12,101&lt;'EDT Y TAREAS'!AL12),'EDT Y TAREAS'!AE12/'EDT Y TAREAS'!M12,0),IF(AND(101&gt;='EDT Y TAREAS'!AK16,101&lt;'EDT Y TAREAS'!AL16),'EDT Y TAREAS'!AE16/'EDT Y TAREAS'!M16,0),IF(AND(101&gt;='EDT Y TAREAS'!AK21,101&lt;'EDT Y TAREAS'!AL21),'EDT Y TAREAS'!AE21/'EDT Y TAREAS'!M21,0),IF(AND(101&gt;='EDT Y TAREAS'!AK23,101&lt;'EDT Y TAREAS'!AL23),'EDT Y TAREAS'!AE23/'EDT Y TAREAS'!M23,0),IF(AND(101&gt;='EDT Y TAREAS'!AK37,101&lt;'EDT Y TAREAS'!AL37),'EDT Y TAREAS'!AE37/'EDT Y TAREAS'!M37,0),IF(AND(101&gt;='EDT Y TAREAS'!AK38,101&lt;'EDT Y TAREAS'!AL38),'EDT Y TAREAS'!AE38/'EDT Y TAREAS'!M38,0),IF(AND(101&gt;='EDT Y TAREAS'!AK41,101&lt;'EDT Y TAREAS'!AL41),'EDT Y TAREAS'!AE41/'EDT Y TAREAS'!M41,0),IF(AND(101&gt;='EDT Y TAREAS'!AK43,101&lt;'EDT Y TAREAS'!AL43),'EDT Y TAREAS'!AE43/'EDT Y TAREAS'!M43,0),IF(AND(101&gt;='EDT Y TAREAS'!AK44,101&lt;'EDT Y TAREAS'!AL44),'EDT Y TAREAS'!AE44/'EDT Y TAREAS'!M44,0),IF(AND(101&gt;='EDT Y TAREAS'!AK46,101&lt;'EDT Y TAREAS'!AL46),'EDT Y TAREAS'!AE46/'EDT Y TAREAS'!M46,0),IF(AND(101&gt;='EDT Y TAREAS'!AK47,101&lt;'EDT Y TAREAS'!AL47),'EDT Y TAREAS'!AE47/'EDT Y TAREAS'!M47,0),IF(AND(101&gt;='EDT Y TAREAS'!AK51,101&lt;'EDT Y TAREAS'!AL51),'EDT Y TAREAS'!AE51/'EDT Y TAREAS'!M51,0),IF(AND(101&gt;='EDT Y TAREAS'!AK52,101&lt;'EDT Y TAREAS'!AL52),'EDT Y TAREAS'!AE52/'EDT Y TAREAS'!M52,0))</x:f>
        <x:v>0</x:v>
      </x:c>
      <x:c r="D141" s="35" t="n">
        <x:f>SUM(IF(AND(101&gt;='EDT Y TAREAS'!AK11,101&lt;'EDT Y TAREAS'!AL11),'EDT Y TAREAS'!AF11/'EDT Y TAREAS'!M11,0),IF(AND(101&gt;='EDT Y TAREAS'!AK24,101&lt;'EDT Y TAREAS'!AL24),'EDT Y TAREAS'!AF24/'EDT Y TAREAS'!M24,0),IF(AND(101&gt;='EDT Y TAREAS'!AK25,101&lt;'EDT Y TAREAS'!AL25),'EDT Y TAREAS'!AF25/'EDT Y TAREAS'!M25,0),IF(AND(101&gt;='EDT Y TAREAS'!AK26,101&lt;'EDT Y TAREAS'!AL26),'EDT Y TAREAS'!AF26/'EDT Y TAREAS'!M26,0),IF(AND(101&gt;='EDT Y TAREAS'!AK27,101&lt;'EDT Y TAREAS'!AL27),'EDT Y TAREAS'!AF27/'EDT Y TAREAS'!M27,0),IF(AND(101&gt;='EDT Y TAREAS'!AK28,101&lt;'EDT Y TAREAS'!AL28),'EDT Y TAREAS'!AF28/'EDT Y TAREAS'!M28,0),IF(AND(101&gt;='EDT Y TAREAS'!AK31,101&lt;'EDT Y TAREAS'!AL31),'EDT Y TAREAS'!AF31/'EDT Y TAREAS'!M31,0),IF(AND(101&gt;='EDT Y TAREAS'!AK33,101&lt;'EDT Y TAREAS'!AL33),'EDT Y TAREAS'!AF33/'EDT Y TAREAS'!M33,0),IF(AND(101&gt;='EDT Y TAREAS'!AK34,101&lt;'EDT Y TAREAS'!AL34),'EDT Y TAREAS'!AF34/'EDT Y TAREAS'!M34,0),IF(AND(101&gt;='EDT Y TAREAS'!AK35,101&lt;'EDT Y TAREAS'!AL35),'EDT Y TAREAS'!AF35/'EDT Y TAREAS'!M35,0),IF(AND(101&gt;='EDT Y TAREAS'!AK37,101&lt;'EDT Y TAREAS'!AL37),'EDT Y TAREAS'!AF37/'EDT Y TAREAS'!M37,0),IF(AND(101&gt;='EDT Y TAREAS'!AK39,101&lt;'EDT Y TAREAS'!AL39),'EDT Y TAREAS'!AF39/'EDT Y TAREAS'!M39,0),IF(AND(101&gt;='EDT Y TAREAS'!AK40,101&lt;'EDT Y TAREAS'!AL40),'EDT Y TAREAS'!AF40/'EDT Y TAREAS'!M40,0),IF(AND(101&gt;='EDT Y TAREAS'!AK42,101&lt;'EDT Y TAREAS'!AL42),'EDT Y TAREAS'!AF42/'EDT Y TAREAS'!M42,0),IF(AND(101&gt;='EDT Y TAREAS'!AK45,101&lt;'EDT Y TAREAS'!AL45),'EDT Y TAREAS'!AF45/'EDT Y TAREAS'!M45,0),IF(AND(101&gt;='EDT Y TAREAS'!AK49,101&lt;'EDT Y TAREAS'!AL49),'EDT Y TAREAS'!AF49/'EDT Y TAREAS'!M49,0),IF(AND(101&gt;='EDT Y TAREAS'!AK52,101&lt;'EDT Y TAREAS'!AL52),'EDT Y TAREAS'!AF52/'EDT Y TAREAS'!M52,0))</x:f>
        <x:v>2</x:v>
      </x:c>
      <x:c r="E141" s="35" t="n">
        <x:f>SUM(IF(AND(101&gt;='EDT Y TAREAS'!AK29,101&lt;'EDT Y TAREAS'!AL29),'EDT Y TAREAS'!AG29/'EDT Y TAREAS'!M29,0),IF(AND(101&gt;='EDT Y TAREAS'!AK30,101&lt;'EDT Y TAREAS'!AL30),'EDT Y TAREAS'!AG30/'EDT Y TAREAS'!M30,0),IF(AND(101&gt;='EDT Y TAREAS'!AK31,101&lt;'EDT Y TAREAS'!AL31),'EDT Y TAREAS'!AG31/'EDT Y TAREAS'!M31,0),IF(AND(101&gt;='EDT Y TAREAS'!AK32,101&lt;'EDT Y TAREAS'!AL32),'EDT Y TAREAS'!AG32/'EDT Y TAREAS'!M32,0),IF(AND(101&gt;='EDT Y TAREAS'!AK41,101&lt;'EDT Y TAREAS'!AL41),'EDT Y TAREAS'!AG41/'EDT Y TAREAS'!M41,0),IF(AND(101&gt;='EDT Y TAREAS'!AK45,101&lt;'EDT Y TAREAS'!AL45),'EDT Y TAREAS'!AG45/'EDT Y TAREAS'!M45,0),IF(AND(101&gt;='EDT Y TAREAS'!AK48,101&lt;'EDT Y TAREAS'!AL48),'EDT Y TAREAS'!AG48/'EDT Y TAREAS'!M48,0))</x:f>
        <x:v>0</x:v>
      </x:c>
      <x:c r="F141" s="35" t="n">
        <x:f>SUM(IF(AND(101&gt;='EDT Y TAREAS'!AK10,101&lt;'EDT Y TAREAS'!AL10),'EDT Y TAREAS'!AH10/'EDT Y TAREAS'!M10,0),IF(AND(101&gt;='EDT Y TAREAS'!AK12,101&lt;'EDT Y TAREAS'!AL12),'EDT Y TAREAS'!AH12/'EDT Y TAREAS'!M12,0),IF(AND(101&gt;='EDT Y TAREAS'!AK22,101&lt;'EDT Y TAREAS'!AL22),'EDT Y TAREAS'!AH22/'EDT Y TAREAS'!M22,0),IF(AND(101&gt;='EDT Y TAREAS'!AK23,101&lt;'EDT Y TAREAS'!AL23),'EDT Y TAREAS'!AH23/'EDT Y TAREAS'!M23,0),IF(AND(101&gt;='EDT Y TAREAS'!AK29,101&lt;'EDT Y TAREAS'!AL29),'EDT Y TAREAS'!AH29/'EDT Y TAREAS'!M29,0),IF(AND(101&gt;='EDT Y TAREAS'!AK30,101&lt;'EDT Y TAREAS'!AL30),'EDT Y TAREAS'!AH30/'EDT Y TAREAS'!M30,0),IF(AND(101&gt;='EDT Y TAREAS'!AK32,101&lt;'EDT Y TAREAS'!AL32),'EDT Y TAREAS'!AH32/'EDT Y TAREAS'!M32,0),IF(AND(101&gt;='EDT Y TAREAS'!AK41,101&lt;'EDT Y TAREAS'!AL41),'EDT Y TAREAS'!AH41/'EDT Y TAREAS'!M41,0),IF(AND(101&gt;='EDT Y TAREAS'!AK44,101&lt;'EDT Y TAREAS'!AL44),'EDT Y TAREAS'!AH44/'EDT Y TAREAS'!M44,0),IF(AND(101&gt;='EDT Y TAREAS'!AK46,101&lt;'EDT Y TAREAS'!AL46),'EDT Y TAREAS'!AH46/'EDT Y TAREAS'!M46,0),IF(AND(101&gt;='EDT Y TAREAS'!AK48,101&lt;'EDT Y TAREAS'!AL48),'EDT Y TAREAS'!AH48/'EDT Y TAREAS'!M48,0))</x:f>
        <x:v>0</x:v>
      </x:c>
      <x:c r="G141" s="35" t="n">
        <x:f>SUM(IF(AND(101&gt;='EDT Y TAREAS'!AK20,101&lt;'EDT Y TAREAS'!AL20),'EDT Y TAREAS'!AI20/'EDT Y TAREAS'!M20,0),IF(AND(101&gt;='EDT Y TAREAS'!AK25,101&lt;'EDT Y TAREAS'!AL25),'EDT Y TAREAS'!AI25/'EDT Y TAREAS'!M25,0),IF(AND(101&gt;='EDT Y TAREAS'!AK33,101&lt;'EDT Y TAREAS'!AL33),'EDT Y TAREAS'!AI33/'EDT Y TAREAS'!M33,0),IF(AND(101&gt;='EDT Y TAREAS'!AK34,101&lt;'EDT Y TAREAS'!AL34),'EDT Y TAREAS'!AI34/'EDT Y TAREAS'!M34,0),IF(AND(101&gt;='EDT Y TAREAS'!AK36,101&lt;'EDT Y TAREAS'!AL36),'EDT Y TAREAS'!AI36/'EDT Y TAREAS'!M36,0),IF(AND(101&gt;='EDT Y TAREAS'!AK39,101&lt;'EDT Y TAREAS'!AL39),'EDT Y TAREAS'!AI39/'EDT Y TAREAS'!M39,0),IF(AND(101&gt;='EDT Y TAREAS'!AK40,101&lt;'EDT Y TAREAS'!AL40),'EDT Y TAREAS'!AI40/'EDT Y TAREAS'!M40,0),IF(AND(101&gt;='EDT Y TAREAS'!AK42,101&lt;'EDT Y TAREAS'!AL42),'EDT Y TAREAS'!AI42/'EDT Y TAREAS'!M42,0),IF(AND(101&gt;='EDT Y TAREAS'!AK43,101&lt;'EDT Y TAREAS'!AL43),'EDT Y TAREAS'!AI43/'EDT Y TAREAS'!M43,0),IF(AND(101&gt;='EDT Y TAREAS'!AK44,101&lt;'EDT Y TAREAS'!AL44),'EDT Y TAREAS'!AI44/'EDT Y TAREAS'!M44,0),IF(AND(101&gt;='EDT Y TAREAS'!AK45,101&lt;'EDT Y TAREAS'!AL45),'EDT Y TAREAS'!AI45/'EDT Y TAREAS'!M45,0),IF(AND(101&gt;='EDT Y TAREAS'!AK46,101&lt;'EDT Y TAREAS'!AL46),'EDT Y TAREAS'!AI46/'EDT Y TAREAS'!M46,0),IF(AND(101&gt;='EDT Y TAREAS'!AK48,101&lt;'EDT Y TAREAS'!AL48),'EDT Y TAREAS'!AI48/'EDT Y TAREAS'!M48,0),IF(AND(101&gt;='EDT Y TAREAS'!AK50,101&lt;'EDT Y TAREAS'!AL50),'EDT Y TAREAS'!AI50/'EDT Y TAREAS'!M50,0),IF(AND(101&gt;='EDT Y TAREAS'!AK52,101&lt;'EDT Y TAREAS'!AL52),'EDT Y TAREAS'!AI52/'EDT Y TAREAS'!M52,0))</x:f>
        <x:v>5</x:v>
      </x:c>
      <x:c r="H141" s="35" t="n">
        <x:f>SUM(IF(AND(101&gt;='EDT Y TAREAS'!AK11,101&lt;'EDT Y TAREAS'!AL11),'EDT Y TAREAS'!AJ11/'EDT Y TAREAS'!M11,0),IF(AND(101&gt;='EDT Y TAREAS'!AK24,101&lt;'EDT Y TAREAS'!AL24),'EDT Y TAREAS'!AJ24/'EDT Y TAREAS'!M24,0),IF(AND(101&gt;='EDT Y TAREAS'!AK27,101&lt;'EDT Y TAREAS'!AL27),'EDT Y TAREAS'!AJ27/'EDT Y TAREAS'!M27,0),IF(AND(101&gt;='EDT Y TAREAS'!AK28,101&lt;'EDT Y TAREAS'!AL28),'EDT Y TAREAS'!AJ28/'EDT Y TAREAS'!M28,0),IF(AND(101&gt;='EDT Y TAREAS'!AK33,101&lt;'EDT Y TAREAS'!AL33),'EDT Y TAREAS'!AJ33/'EDT Y TAREAS'!M33,0),IF(AND(101&gt;='EDT Y TAREAS'!AK35,101&lt;'EDT Y TAREAS'!AL35),'EDT Y TAREAS'!AJ35/'EDT Y TAREAS'!M35,0),IF(AND(101&gt;='EDT Y TAREAS'!AK36,101&lt;'EDT Y TAREAS'!AL36),'EDT Y TAREAS'!AJ36/'EDT Y TAREAS'!M36,0),IF(AND(101&gt;='EDT Y TAREAS'!AK37,101&lt;'EDT Y TAREAS'!AL37),'EDT Y TAREAS'!AJ37/'EDT Y TAREAS'!M37,0),IF(AND(101&gt;='EDT Y TAREAS'!AK40,101&lt;'EDT Y TAREAS'!AL40),'EDT Y TAREAS'!AJ40/'EDT Y TAREAS'!M40,0),IF(AND(101&gt;='EDT Y TAREAS'!AK42,101&lt;'EDT Y TAREAS'!AL42),'EDT Y TAREAS'!AJ42/'EDT Y TAREAS'!M42,0),IF(AND(101&gt;='EDT Y TAREAS'!AK49,101&lt;'EDT Y TAREAS'!AL49),'EDT Y TAREAS'!AJ49/'EDT Y TAREAS'!M49,0),IF(AND(101&gt;='EDT Y TAREAS'!AK50,101&lt;'EDT Y TAREAS'!AL50),'EDT Y TAREAS'!AJ50/'EDT Y TAREAS'!M50,0),IF(AND(101&gt;='EDT Y TAREAS'!AK51,101&lt;'EDT Y TAREAS'!AL51),'EDT Y TAREAS'!AJ51/'EDT Y TAREAS'!M51,0),IF(AND(101&gt;='EDT Y TAREAS'!AK52,101&lt;'EDT Y TAREAS'!AL52),'EDT Y TAREAS'!AJ52/'EDT Y TAREAS'!M52,0))</x:f>
        <x:v>0</x:v>
      </x:c>
      <x:c r="I141" s="10" t="n">
        <x:f>WORKDAY('RESUMEN'!$D$3-1,A141,'RESUMEN'!$J$6:$J$25)</x:f>
        <x:v>46469</x:v>
      </x:c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  <x:c r="AC141" s="3"/>
      <x:c r="AD141" s="3"/>
      <x:c r="AE141" s="3"/>
      <x:c r="AF141" s="3"/>
      <x:c r="AG141" s="3"/>
      <x:c r="AH141" s="3"/>
      <x:c r="AI141" s="3"/>
      <x:c r="AJ141" s="3"/>
      <x:c r="AK141" s="3"/>
      <x:c r="AL141" s="3"/>
      <x:c r="AM141" s="3"/>
      <x:c r="AN141" s="3"/>
      <x:c r="AO141" s="3"/>
    </x:row>
    <x:row r="142" ht="24" customHeight="1">
      <x:c r="A142" s="3" t="n">
        <x:v>103</x:v>
      </x:c>
      <x:c r="B142" s="35" t="n">
        <x:f>SUM(IF(AND(102&gt;='EDT Y TAREAS'!AK6,102&lt;'EDT Y TAREAS'!AL6),'EDT Y TAREAS'!AD6/'EDT Y TAREAS'!M6,0),IF(AND(102&gt;='EDT Y TAREAS'!AK7,102&lt;'EDT Y TAREAS'!AL7),'EDT Y TAREAS'!AD7/'EDT Y TAREAS'!M7,0),IF(AND(102&gt;='EDT Y TAREAS'!AK8,102&lt;'EDT Y TAREAS'!AL8),'EDT Y TAREAS'!AD8/'EDT Y TAREAS'!M8,0),IF(AND(102&gt;='EDT Y TAREAS'!AK9,102&lt;'EDT Y TAREAS'!AL9),'EDT Y TAREAS'!AD9/'EDT Y TAREAS'!M9,0),IF(AND(102&gt;='EDT Y TAREAS'!AK10,102&lt;'EDT Y TAREAS'!AL10),'EDT Y TAREAS'!AD10/'EDT Y TAREAS'!M10,0),IF(AND(102&gt;='EDT Y TAREAS'!AK11,102&lt;'EDT Y TAREAS'!AL11),'EDT Y TAREAS'!AD11/'EDT Y TAREAS'!M11,0),IF(AND(102&gt;='EDT Y TAREAS'!AK12,102&lt;'EDT Y TAREAS'!AL12),'EDT Y TAREAS'!AD12/'EDT Y TAREAS'!M12,0),IF(AND(102&gt;='EDT Y TAREAS'!AK13,102&lt;'EDT Y TAREAS'!AL13),'EDT Y TAREAS'!AD13/'EDT Y TAREAS'!M13,0),IF(AND(102&gt;='EDT Y TAREAS'!AK14,102&lt;'EDT Y TAREAS'!AL14),'EDT Y TAREAS'!AD14/'EDT Y TAREAS'!M14,0),IF(AND(102&gt;='EDT Y TAREAS'!AK15,102&lt;'EDT Y TAREAS'!AL15),'EDT Y TAREAS'!AD15/'EDT Y TAREAS'!M15,0),IF(AND(102&gt;='EDT Y TAREAS'!AK16,102&lt;'EDT Y TAREAS'!AL16),'EDT Y TAREAS'!AD16/'EDT Y TAREAS'!M16,0),IF(AND(102&gt;='EDT Y TAREAS'!AK17,102&lt;'EDT Y TAREAS'!AL17),'EDT Y TAREAS'!AD17/'EDT Y TAREAS'!M17,0),IF(AND(102&gt;='EDT Y TAREAS'!AK18,102&lt;'EDT Y TAREAS'!AL18),'EDT Y TAREAS'!AD18/'EDT Y TAREAS'!M18,0),IF(AND(102&gt;='EDT Y TAREAS'!AK19,102&lt;'EDT Y TAREAS'!AL19),'EDT Y TAREAS'!AD19/'EDT Y TAREAS'!M19,0),IF(AND(102&gt;='EDT Y TAREAS'!AK20,102&lt;'EDT Y TAREAS'!AL20),'EDT Y TAREAS'!AD20/'EDT Y TAREAS'!M20,0),IF(AND(102&gt;='EDT Y TAREAS'!AK21,102&lt;'EDT Y TAREAS'!AL21),'EDT Y TAREAS'!AD21/'EDT Y TAREAS'!M21,0),IF(AND(102&gt;='EDT Y TAREAS'!AK22,102&lt;'EDT Y TAREAS'!AL22),'EDT Y TAREAS'!AD22/'EDT Y TAREAS'!M22,0),IF(AND(102&gt;='EDT Y TAREAS'!AK23,102&lt;'EDT Y TAREAS'!AL23),'EDT Y TAREAS'!AD23/'EDT Y TAREAS'!M23,0),IF(AND(102&gt;='EDT Y TAREAS'!AK26,102&lt;'EDT Y TAREAS'!AL26),'EDT Y TAREAS'!AD26/'EDT Y TAREAS'!M26,0),IF(AND(102&gt;='EDT Y TAREAS'!AK28,102&lt;'EDT Y TAREAS'!AL28),'EDT Y TAREAS'!AD28/'EDT Y TAREAS'!M28,0),IF(AND(102&gt;='EDT Y TAREAS'!AK30,102&lt;'EDT Y TAREAS'!AL30),'EDT Y TAREAS'!AD30/'EDT Y TAREAS'!M30,0),IF(AND(102&gt;='EDT Y TAREAS'!AK32,102&lt;'EDT Y TAREAS'!AL32),'EDT Y TAREAS'!AD32/'EDT Y TAREAS'!M32,0),IF(AND(102&gt;='EDT Y TAREAS'!AK34,102&lt;'EDT Y TAREAS'!AL34),'EDT Y TAREAS'!AD34/'EDT Y TAREAS'!M34,0),IF(AND(102&gt;='EDT Y TAREAS'!AK38,102&lt;'EDT Y TAREAS'!AL38),'EDT Y TAREAS'!AD38/'EDT Y TAREAS'!M38,0),IF(AND(102&gt;='EDT Y TAREAS'!AK39,102&lt;'EDT Y TAREAS'!AL39),'EDT Y TAREAS'!AD39/'EDT Y TAREAS'!M39,0),IF(AND(102&gt;='EDT Y TAREAS'!AK43,102&lt;'EDT Y TAREAS'!AL43),'EDT Y TAREAS'!AD43/'EDT Y TAREAS'!M43,0),IF(AND(102&gt;='EDT Y TAREAS'!AK44,102&lt;'EDT Y TAREAS'!AL44),'EDT Y TAREAS'!AD44/'EDT Y TAREAS'!M44,0),IF(AND(102&gt;='EDT Y TAREAS'!AK45,102&lt;'EDT Y TAREAS'!AL45),'EDT Y TAREAS'!AD45/'EDT Y TAREAS'!M45,0),IF(AND(102&gt;='EDT Y TAREAS'!AK46,102&lt;'EDT Y TAREAS'!AL46),'EDT Y TAREAS'!AD46/'EDT Y TAREAS'!M46,0),IF(AND(102&gt;='EDT Y TAREAS'!AK47,102&lt;'EDT Y TAREAS'!AL47),'EDT Y TAREAS'!AD47/'EDT Y TAREAS'!M47,0),IF(AND(102&gt;='EDT Y TAREAS'!AK49,102&lt;'EDT Y TAREAS'!AL49),'EDT Y TAREAS'!AD49/'EDT Y TAREAS'!M49,0),IF(AND(102&gt;='EDT Y TAREAS'!AK50,102&lt;'EDT Y TAREAS'!AL50),'EDT Y TAREAS'!AD50/'EDT Y TAREAS'!M50,0),IF(AND(102&gt;='EDT Y TAREAS'!AK51,102&lt;'EDT Y TAREAS'!AL51),'EDT Y TAREAS'!AD51/'EDT Y TAREAS'!M51,0),IF(AND(102&gt;='EDT Y TAREAS'!AK52,102&lt;'EDT Y TAREAS'!AL52),'EDT Y TAREAS'!AD52/'EDT Y TAREAS'!M52,0))</x:f>
        <x:v>1.5</x:v>
      </x:c>
      <x:c r="C142" s="35" t="n">
        <x:f>SUM(IF(AND(102&gt;='EDT Y TAREAS'!AK6,102&lt;'EDT Y TAREAS'!AL6),'EDT Y TAREAS'!AE6/'EDT Y TAREAS'!M6,0),IF(AND(102&gt;='EDT Y TAREAS'!AK8,102&lt;'EDT Y TAREAS'!AL8),'EDT Y TAREAS'!AE8/'EDT Y TAREAS'!M8,0),IF(AND(102&gt;='EDT Y TAREAS'!AK9,102&lt;'EDT Y TAREAS'!AL9),'EDT Y TAREAS'!AE9/'EDT Y TAREAS'!M9,0),IF(AND(102&gt;='EDT Y TAREAS'!AK10,102&lt;'EDT Y TAREAS'!AL10),'EDT Y TAREAS'!AE10/'EDT Y TAREAS'!M10,0),IF(AND(102&gt;='EDT Y TAREAS'!AK12,102&lt;'EDT Y TAREAS'!AL12),'EDT Y TAREAS'!AE12/'EDT Y TAREAS'!M12,0),IF(AND(102&gt;='EDT Y TAREAS'!AK16,102&lt;'EDT Y TAREAS'!AL16),'EDT Y TAREAS'!AE16/'EDT Y TAREAS'!M16,0),IF(AND(102&gt;='EDT Y TAREAS'!AK21,102&lt;'EDT Y TAREAS'!AL21),'EDT Y TAREAS'!AE21/'EDT Y TAREAS'!M21,0),IF(AND(102&gt;='EDT Y TAREAS'!AK23,102&lt;'EDT Y TAREAS'!AL23),'EDT Y TAREAS'!AE23/'EDT Y TAREAS'!M23,0),IF(AND(102&gt;='EDT Y TAREAS'!AK37,102&lt;'EDT Y TAREAS'!AL37),'EDT Y TAREAS'!AE37/'EDT Y TAREAS'!M37,0),IF(AND(102&gt;='EDT Y TAREAS'!AK38,102&lt;'EDT Y TAREAS'!AL38),'EDT Y TAREAS'!AE38/'EDT Y TAREAS'!M38,0),IF(AND(102&gt;='EDT Y TAREAS'!AK41,102&lt;'EDT Y TAREAS'!AL41),'EDT Y TAREAS'!AE41/'EDT Y TAREAS'!M41,0),IF(AND(102&gt;='EDT Y TAREAS'!AK43,102&lt;'EDT Y TAREAS'!AL43),'EDT Y TAREAS'!AE43/'EDT Y TAREAS'!M43,0),IF(AND(102&gt;='EDT Y TAREAS'!AK44,102&lt;'EDT Y TAREAS'!AL44),'EDT Y TAREAS'!AE44/'EDT Y TAREAS'!M44,0),IF(AND(102&gt;='EDT Y TAREAS'!AK46,102&lt;'EDT Y TAREAS'!AL46),'EDT Y TAREAS'!AE46/'EDT Y TAREAS'!M46,0),IF(AND(102&gt;='EDT Y TAREAS'!AK47,102&lt;'EDT Y TAREAS'!AL47),'EDT Y TAREAS'!AE47/'EDT Y TAREAS'!M47,0),IF(AND(102&gt;='EDT Y TAREAS'!AK51,102&lt;'EDT Y TAREAS'!AL51),'EDT Y TAREAS'!AE51/'EDT Y TAREAS'!M51,0),IF(AND(102&gt;='EDT Y TAREAS'!AK52,102&lt;'EDT Y TAREAS'!AL52),'EDT Y TAREAS'!AE52/'EDT Y TAREAS'!M52,0))</x:f>
        <x:v>0</x:v>
      </x:c>
      <x:c r="D142" s="35" t="n">
        <x:f>SUM(IF(AND(102&gt;='EDT Y TAREAS'!AK11,102&lt;'EDT Y TAREAS'!AL11),'EDT Y TAREAS'!AF11/'EDT Y TAREAS'!M11,0),IF(AND(102&gt;='EDT Y TAREAS'!AK24,102&lt;'EDT Y TAREAS'!AL24),'EDT Y TAREAS'!AF24/'EDT Y TAREAS'!M24,0),IF(AND(102&gt;='EDT Y TAREAS'!AK25,102&lt;'EDT Y TAREAS'!AL25),'EDT Y TAREAS'!AF25/'EDT Y TAREAS'!M25,0),IF(AND(102&gt;='EDT Y TAREAS'!AK26,102&lt;'EDT Y TAREAS'!AL26),'EDT Y TAREAS'!AF26/'EDT Y TAREAS'!M26,0),IF(AND(102&gt;='EDT Y TAREAS'!AK27,102&lt;'EDT Y TAREAS'!AL27),'EDT Y TAREAS'!AF27/'EDT Y TAREAS'!M27,0),IF(AND(102&gt;='EDT Y TAREAS'!AK28,102&lt;'EDT Y TAREAS'!AL28),'EDT Y TAREAS'!AF28/'EDT Y TAREAS'!M28,0),IF(AND(102&gt;='EDT Y TAREAS'!AK31,102&lt;'EDT Y TAREAS'!AL31),'EDT Y TAREAS'!AF31/'EDT Y TAREAS'!M31,0),IF(AND(102&gt;='EDT Y TAREAS'!AK33,102&lt;'EDT Y TAREAS'!AL33),'EDT Y TAREAS'!AF33/'EDT Y TAREAS'!M33,0),IF(AND(102&gt;='EDT Y TAREAS'!AK34,102&lt;'EDT Y TAREAS'!AL34),'EDT Y TAREAS'!AF34/'EDT Y TAREAS'!M34,0),IF(AND(102&gt;='EDT Y TAREAS'!AK35,102&lt;'EDT Y TAREAS'!AL35),'EDT Y TAREAS'!AF35/'EDT Y TAREAS'!M35,0),IF(AND(102&gt;='EDT Y TAREAS'!AK37,102&lt;'EDT Y TAREAS'!AL37),'EDT Y TAREAS'!AF37/'EDT Y TAREAS'!M37,0),IF(AND(102&gt;='EDT Y TAREAS'!AK39,102&lt;'EDT Y TAREAS'!AL39),'EDT Y TAREAS'!AF39/'EDT Y TAREAS'!M39,0),IF(AND(102&gt;='EDT Y TAREAS'!AK40,102&lt;'EDT Y TAREAS'!AL40),'EDT Y TAREAS'!AF40/'EDT Y TAREAS'!M40,0),IF(AND(102&gt;='EDT Y TAREAS'!AK42,102&lt;'EDT Y TAREAS'!AL42),'EDT Y TAREAS'!AF42/'EDT Y TAREAS'!M42,0),IF(AND(102&gt;='EDT Y TAREAS'!AK45,102&lt;'EDT Y TAREAS'!AL45),'EDT Y TAREAS'!AF45/'EDT Y TAREAS'!M45,0),IF(AND(102&gt;='EDT Y TAREAS'!AK49,102&lt;'EDT Y TAREAS'!AL49),'EDT Y TAREAS'!AF49/'EDT Y TAREAS'!M49,0),IF(AND(102&gt;='EDT Y TAREAS'!AK52,102&lt;'EDT Y TAREAS'!AL52),'EDT Y TAREAS'!AF52/'EDT Y TAREAS'!M52,0))</x:f>
        <x:v>2</x:v>
      </x:c>
      <x:c r="E142" s="35" t="n">
        <x:f>SUM(IF(AND(102&gt;='EDT Y TAREAS'!AK29,102&lt;'EDT Y TAREAS'!AL29),'EDT Y TAREAS'!AG29/'EDT Y TAREAS'!M29,0),IF(AND(102&gt;='EDT Y TAREAS'!AK30,102&lt;'EDT Y TAREAS'!AL30),'EDT Y TAREAS'!AG30/'EDT Y TAREAS'!M30,0),IF(AND(102&gt;='EDT Y TAREAS'!AK31,102&lt;'EDT Y TAREAS'!AL31),'EDT Y TAREAS'!AG31/'EDT Y TAREAS'!M31,0),IF(AND(102&gt;='EDT Y TAREAS'!AK32,102&lt;'EDT Y TAREAS'!AL32),'EDT Y TAREAS'!AG32/'EDT Y TAREAS'!M32,0),IF(AND(102&gt;='EDT Y TAREAS'!AK41,102&lt;'EDT Y TAREAS'!AL41),'EDT Y TAREAS'!AG41/'EDT Y TAREAS'!M41,0),IF(AND(102&gt;='EDT Y TAREAS'!AK45,102&lt;'EDT Y TAREAS'!AL45),'EDT Y TAREAS'!AG45/'EDT Y TAREAS'!M45,0),IF(AND(102&gt;='EDT Y TAREAS'!AK48,102&lt;'EDT Y TAREAS'!AL48),'EDT Y TAREAS'!AG48/'EDT Y TAREAS'!M48,0))</x:f>
        <x:v>0</x:v>
      </x:c>
      <x:c r="F142" s="35" t="n">
        <x:f>SUM(IF(AND(102&gt;='EDT Y TAREAS'!AK10,102&lt;'EDT Y TAREAS'!AL10),'EDT Y TAREAS'!AH10/'EDT Y TAREAS'!M10,0),IF(AND(102&gt;='EDT Y TAREAS'!AK12,102&lt;'EDT Y TAREAS'!AL12),'EDT Y TAREAS'!AH12/'EDT Y TAREAS'!M12,0),IF(AND(102&gt;='EDT Y TAREAS'!AK22,102&lt;'EDT Y TAREAS'!AL22),'EDT Y TAREAS'!AH22/'EDT Y TAREAS'!M22,0),IF(AND(102&gt;='EDT Y TAREAS'!AK23,102&lt;'EDT Y TAREAS'!AL23),'EDT Y TAREAS'!AH23/'EDT Y TAREAS'!M23,0),IF(AND(102&gt;='EDT Y TAREAS'!AK29,102&lt;'EDT Y TAREAS'!AL29),'EDT Y TAREAS'!AH29/'EDT Y TAREAS'!M29,0),IF(AND(102&gt;='EDT Y TAREAS'!AK30,102&lt;'EDT Y TAREAS'!AL30),'EDT Y TAREAS'!AH30/'EDT Y TAREAS'!M30,0),IF(AND(102&gt;='EDT Y TAREAS'!AK32,102&lt;'EDT Y TAREAS'!AL32),'EDT Y TAREAS'!AH32/'EDT Y TAREAS'!M32,0),IF(AND(102&gt;='EDT Y TAREAS'!AK41,102&lt;'EDT Y TAREAS'!AL41),'EDT Y TAREAS'!AH41/'EDT Y TAREAS'!M41,0),IF(AND(102&gt;='EDT Y TAREAS'!AK44,102&lt;'EDT Y TAREAS'!AL44),'EDT Y TAREAS'!AH44/'EDT Y TAREAS'!M44,0),IF(AND(102&gt;='EDT Y TAREAS'!AK46,102&lt;'EDT Y TAREAS'!AL46),'EDT Y TAREAS'!AH46/'EDT Y TAREAS'!M46,0),IF(AND(102&gt;='EDT Y TAREAS'!AK48,102&lt;'EDT Y TAREAS'!AL48),'EDT Y TAREAS'!AH48/'EDT Y TAREAS'!M48,0))</x:f>
        <x:v>0</x:v>
      </x:c>
      <x:c r="G142" s="35" t="n">
        <x:f>SUM(IF(AND(102&gt;='EDT Y TAREAS'!AK20,102&lt;'EDT Y TAREAS'!AL20),'EDT Y TAREAS'!AI20/'EDT Y TAREAS'!M20,0),IF(AND(102&gt;='EDT Y TAREAS'!AK25,102&lt;'EDT Y TAREAS'!AL25),'EDT Y TAREAS'!AI25/'EDT Y TAREAS'!M25,0),IF(AND(102&gt;='EDT Y TAREAS'!AK33,102&lt;'EDT Y TAREAS'!AL33),'EDT Y TAREAS'!AI33/'EDT Y TAREAS'!M33,0),IF(AND(102&gt;='EDT Y TAREAS'!AK34,102&lt;'EDT Y TAREAS'!AL34),'EDT Y TAREAS'!AI34/'EDT Y TAREAS'!M34,0),IF(AND(102&gt;='EDT Y TAREAS'!AK36,102&lt;'EDT Y TAREAS'!AL36),'EDT Y TAREAS'!AI36/'EDT Y TAREAS'!M36,0),IF(AND(102&gt;='EDT Y TAREAS'!AK39,102&lt;'EDT Y TAREAS'!AL39),'EDT Y TAREAS'!AI39/'EDT Y TAREAS'!M39,0),IF(AND(102&gt;='EDT Y TAREAS'!AK40,102&lt;'EDT Y TAREAS'!AL40),'EDT Y TAREAS'!AI40/'EDT Y TAREAS'!M40,0),IF(AND(102&gt;='EDT Y TAREAS'!AK42,102&lt;'EDT Y TAREAS'!AL42),'EDT Y TAREAS'!AI42/'EDT Y TAREAS'!M42,0),IF(AND(102&gt;='EDT Y TAREAS'!AK43,102&lt;'EDT Y TAREAS'!AL43),'EDT Y TAREAS'!AI43/'EDT Y TAREAS'!M43,0),IF(AND(102&gt;='EDT Y TAREAS'!AK44,102&lt;'EDT Y TAREAS'!AL44),'EDT Y TAREAS'!AI44/'EDT Y TAREAS'!M44,0),IF(AND(102&gt;='EDT Y TAREAS'!AK45,102&lt;'EDT Y TAREAS'!AL45),'EDT Y TAREAS'!AI45/'EDT Y TAREAS'!M45,0),IF(AND(102&gt;='EDT Y TAREAS'!AK46,102&lt;'EDT Y TAREAS'!AL46),'EDT Y TAREAS'!AI46/'EDT Y TAREAS'!M46,0),IF(AND(102&gt;='EDT Y TAREAS'!AK48,102&lt;'EDT Y TAREAS'!AL48),'EDT Y TAREAS'!AI48/'EDT Y TAREAS'!M48,0),IF(AND(102&gt;='EDT Y TAREAS'!AK50,102&lt;'EDT Y TAREAS'!AL50),'EDT Y TAREAS'!AI50/'EDT Y TAREAS'!M50,0),IF(AND(102&gt;='EDT Y TAREAS'!AK52,102&lt;'EDT Y TAREAS'!AL52),'EDT Y TAREAS'!AI52/'EDT Y TAREAS'!M52,0))</x:f>
        <x:v>5</x:v>
      </x:c>
      <x:c r="H142" s="35" t="n">
        <x:f>SUM(IF(AND(102&gt;='EDT Y TAREAS'!AK11,102&lt;'EDT Y TAREAS'!AL11),'EDT Y TAREAS'!AJ11/'EDT Y TAREAS'!M11,0),IF(AND(102&gt;='EDT Y TAREAS'!AK24,102&lt;'EDT Y TAREAS'!AL24),'EDT Y TAREAS'!AJ24/'EDT Y TAREAS'!M24,0),IF(AND(102&gt;='EDT Y TAREAS'!AK27,102&lt;'EDT Y TAREAS'!AL27),'EDT Y TAREAS'!AJ27/'EDT Y TAREAS'!M27,0),IF(AND(102&gt;='EDT Y TAREAS'!AK28,102&lt;'EDT Y TAREAS'!AL28),'EDT Y TAREAS'!AJ28/'EDT Y TAREAS'!M28,0),IF(AND(102&gt;='EDT Y TAREAS'!AK33,102&lt;'EDT Y TAREAS'!AL33),'EDT Y TAREAS'!AJ33/'EDT Y TAREAS'!M33,0),IF(AND(102&gt;='EDT Y TAREAS'!AK35,102&lt;'EDT Y TAREAS'!AL35),'EDT Y TAREAS'!AJ35/'EDT Y TAREAS'!M35,0),IF(AND(102&gt;='EDT Y TAREAS'!AK36,102&lt;'EDT Y TAREAS'!AL36),'EDT Y TAREAS'!AJ36/'EDT Y TAREAS'!M36,0),IF(AND(102&gt;='EDT Y TAREAS'!AK37,102&lt;'EDT Y TAREAS'!AL37),'EDT Y TAREAS'!AJ37/'EDT Y TAREAS'!M37,0),IF(AND(102&gt;='EDT Y TAREAS'!AK40,102&lt;'EDT Y TAREAS'!AL40),'EDT Y TAREAS'!AJ40/'EDT Y TAREAS'!M40,0),IF(AND(102&gt;='EDT Y TAREAS'!AK42,102&lt;'EDT Y TAREAS'!AL42),'EDT Y TAREAS'!AJ42/'EDT Y TAREAS'!M42,0),IF(AND(102&gt;='EDT Y TAREAS'!AK49,102&lt;'EDT Y TAREAS'!AL49),'EDT Y TAREAS'!AJ49/'EDT Y TAREAS'!M49,0),IF(AND(102&gt;='EDT Y TAREAS'!AK50,102&lt;'EDT Y TAREAS'!AL50),'EDT Y TAREAS'!AJ50/'EDT Y TAREAS'!M50,0),IF(AND(102&gt;='EDT Y TAREAS'!AK51,102&lt;'EDT Y TAREAS'!AL51),'EDT Y TAREAS'!AJ51/'EDT Y TAREAS'!M51,0),IF(AND(102&gt;='EDT Y TAREAS'!AK52,102&lt;'EDT Y TAREAS'!AL52),'EDT Y TAREAS'!AJ52/'EDT Y TAREAS'!M52,0))</x:f>
        <x:v>0</x:v>
      </x:c>
      <x:c r="I142" s="10" t="n">
        <x:f>WORKDAY('RESUMEN'!$D$3-1,A142,'RESUMEN'!$J$6:$J$25)</x:f>
        <x:v>46470</x:v>
      </x:c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  <x:c r="AO142" s="3"/>
    </x:row>
    <x:row r="143" ht="24" customHeight="1">
      <x:c r="A143" s="3" t="n">
        <x:v>104</x:v>
      </x:c>
      <x:c r="B143" s="35" t="n">
        <x:f>SUM(IF(AND(103&gt;='EDT Y TAREAS'!AK6,103&lt;'EDT Y TAREAS'!AL6),'EDT Y TAREAS'!AD6/'EDT Y TAREAS'!M6,0),IF(AND(103&gt;='EDT Y TAREAS'!AK7,103&lt;'EDT Y TAREAS'!AL7),'EDT Y TAREAS'!AD7/'EDT Y TAREAS'!M7,0),IF(AND(103&gt;='EDT Y TAREAS'!AK8,103&lt;'EDT Y TAREAS'!AL8),'EDT Y TAREAS'!AD8/'EDT Y TAREAS'!M8,0),IF(AND(103&gt;='EDT Y TAREAS'!AK9,103&lt;'EDT Y TAREAS'!AL9),'EDT Y TAREAS'!AD9/'EDT Y TAREAS'!M9,0),IF(AND(103&gt;='EDT Y TAREAS'!AK10,103&lt;'EDT Y TAREAS'!AL10),'EDT Y TAREAS'!AD10/'EDT Y TAREAS'!M10,0),IF(AND(103&gt;='EDT Y TAREAS'!AK11,103&lt;'EDT Y TAREAS'!AL11),'EDT Y TAREAS'!AD11/'EDT Y TAREAS'!M11,0),IF(AND(103&gt;='EDT Y TAREAS'!AK12,103&lt;'EDT Y TAREAS'!AL12),'EDT Y TAREAS'!AD12/'EDT Y TAREAS'!M12,0),IF(AND(103&gt;='EDT Y TAREAS'!AK13,103&lt;'EDT Y TAREAS'!AL13),'EDT Y TAREAS'!AD13/'EDT Y TAREAS'!M13,0),IF(AND(103&gt;='EDT Y TAREAS'!AK14,103&lt;'EDT Y TAREAS'!AL14),'EDT Y TAREAS'!AD14/'EDT Y TAREAS'!M14,0),IF(AND(103&gt;='EDT Y TAREAS'!AK15,103&lt;'EDT Y TAREAS'!AL15),'EDT Y TAREAS'!AD15/'EDT Y TAREAS'!M15,0),IF(AND(103&gt;='EDT Y TAREAS'!AK16,103&lt;'EDT Y TAREAS'!AL16),'EDT Y TAREAS'!AD16/'EDT Y TAREAS'!M16,0),IF(AND(103&gt;='EDT Y TAREAS'!AK17,103&lt;'EDT Y TAREAS'!AL17),'EDT Y TAREAS'!AD17/'EDT Y TAREAS'!M17,0),IF(AND(103&gt;='EDT Y TAREAS'!AK18,103&lt;'EDT Y TAREAS'!AL18),'EDT Y TAREAS'!AD18/'EDT Y TAREAS'!M18,0),IF(AND(103&gt;='EDT Y TAREAS'!AK19,103&lt;'EDT Y TAREAS'!AL19),'EDT Y TAREAS'!AD19/'EDT Y TAREAS'!M19,0),IF(AND(103&gt;='EDT Y TAREAS'!AK20,103&lt;'EDT Y TAREAS'!AL20),'EDT Y TAREAS'!AD20/'EDT Y TAREAS'!M20,0),IF(AND(103&gt;='EDT Y TAREAS'!AK21,103&lt;'EDT Y TAREAS'!AL21),'EDT Y TAREAS'!AD21/'EDT Y TAREAS'!M21,0),IF(AND(103&gt;='EDT Y TAREAS'!AK22,103&lt;'EDT Y TAREAS'!AL22),'EDT Y TAREAS'!AD22/'EDT Y TAREAS'!M22,0),IF(AND(103&gt;='EDT Y TAREAS'!AK23,103&lt;'EDT Y TAREAS'!AL23),'EDT Y TAREAS'!AD23/'EDT Y TAREAS'!M23,0),IF(AND(103&gt;='EDT Y TAREAS'!AK26,103&lt;'EDT Y TAREAS'!AL26),'EDT Y TAREAS'!AD26/'EDT Y TAREAS'!M26,0),IF(AND(103&gt;='EDT Y TAREAS'!AK28,103&lt;'EDT Y TAREAS'!AL28),'EDT Y TAREAS'!AD28/'EDT Y TAREAS'!M28,0),IF(AND(103&gt;='EDT Y TAREAS'!AK30,103&lt;'EDT Y TAREAS'!AL30),'EDT Y TAREAS'!AD30/'EDT Y TAREAS'!M30,0),IF(AND(103&gt;='EDT Y TAREAS'!AK32,103&lt;'EDT Y TAREAS'!AL32),'EDT Y TAREAS'!AD32/'EDT Y TAREAS'!M32,0),IF(AND(103&gt;='EDT Y TAREAS'!AK34,103&lt;'EDT Y TAREAS'!AL34),'EDT Y TAREAS'!AD34/'EDT Y TAREAS'!M34,0),IF(AND(103&gt;='EDT Y TAREAS'!AK38,103&lt;'EDT Y TAREAS'!AL38),'EDT Y TAREAS'!AD38/'EDT Y TAREAS'!M38,0),IF(AND(103&gt;='EDT Y TAREAS'!AK39,103&lt;'EDT Y TAREAS'!AL39),'EDT Y TAREAS'!AD39/'EDT Y TAREAS'!M39,0),IF(AND(103&gt;='EDT Y TAREAS'!AK43,103&lt;'EDT Y TAREAS'!AL43),'EDT Y TAREAS'!AD43/'EDT Y TAREAS'!M43,0),IF(AND(103&gt;='EDT Y TAREAS'!AK44,103&lt;'EDT Y TAREAS'!AL44),'EDT Y TAREAS'!AD44/'EDT Y TAREAS'!M44,0),IF(AND(103&gt;='EDT Y TAREAS'!AK45,103&lt;'EDT Y TAREAS'!AL45),'EDT Y TAREAS'!AD45/'EDT Y TAREAS'!M45,0),IF(AND(103&gt;='EDT Y TAREAS'!AK46,103&lt;'EDT Y TAREAS'!AL46),'EDT Y TAREAS'!AD46/'EDT Y TAREAS'!M46,0),IF(AND(103&gt;='EDT Y TAREAS'!AK47,103&lt;'EDT Y TAREAS'!AL47),'EDT Y TAREAS'!AD47/'EDT Y TAREAS'!M47,0),IF(AND(103&gt;='EDT Y TAREAS'!AK49,103&lt;'EDT Y TAREAS'!AL49),'EDT Y TAREAS'!AD49/'EDT Y TAREAS'!M49,0),IF(AND(103&gt;='EDT Y TAREAS'!AK50,103&lt;'EDT Y TAREAS'!AL50),'EDT Y TAREAS'!AD50/'EDT Y TAREAS'!M50,0),IF(AND(103&gt;='EDT Y TAREAS'!AK51,103&lt;'EDT Y TAREAS'!AL51),'EDT Y TAREAS'!AD51/'EDT Y TAREAS'!M51,0),IF(AND(103&gt;='EDT Y TAREAS'!AK52,103&lt;'EDT Y TAREAS'!AL52),'EDT Y TAREAS'!AD52/'EDT Y TAREAS'!M52,0))</x:f>
        <x:v>1.5</x:v>
      </x:c>
      <x:c r="C143" s="35" t="n">
        <x:f>SUM(IF(AND(103&gt;='EDT Y TAREAS'!AK6,103&lt;'EDT Y TAREAS'!AL6),'EDT Y TAREAS'!AE6/'EDT Y TAREAS'!M6,0),IF(AND(103&gt;='EDT Y TAREAS'!AK8,103&lt;'EDT Y TAREAS'!AL8),'EDT Y TAREAS'!AE8/'EDT Y TAREAS'!M8,0),IF(AND(103&gt;='EDT Y TAREAS'!AK9,103&lt;'EDT Y TAREAS'!AL9),'EDT Y TAREAS'!AE9/'EDT Y TAREAS'!M9,0),IF(AND(103&gt;='EDT Y TAREAS'!AK10,103&lt;'EDT Y TAREAS'!AL10),'EDT Y TAREAS'!AE10/'EDT Y TAREAS'!M10,0),IF(AND(103&gt;='EDT Y TAREAS'!AK12,103&lt;'EDT Y TAREAS'!AL12),'EDT Y TAREAS'!AE12/'EDT Y TAREAS'!M12,0),IF(AND(103&gt;='EDT Y TAREAS'!AK16,103&lt;'EDT Y TAREAS'!AL16),'EDT Y TAREAS'!AE16/'EDT Y TAREAS'!M16,0),IF(AND(103&gt;='EDT Y TAREAS'!AK21,103&lt;'EDT Y TAREAS'!AL21),'EDT Y TAREAS'!AE21/'EDT Y TAREAS'!M21,0),IF(AND(103&gt;='EDT Y TAREAS'!AK23,103&lt;'EDT Y TAREAS'!AL23),'EDT Y TAREAS'!AE23/'EDT Y TAREAS'!M23,0),IF(AND(103&gt;='EDT Y TAREAS'!AK37,103&lt;'EDT Y TAREAS'!AL37),'EDT Y TAREAS'!AE37/'EDT Y TAREAS'!M37,0),IF(AND(103&gt;='EDT Y TAREAS'!AK38,103&lt;'EDT Y TAREAS'!AL38),'EDT Y TAREAS'!AE38/'EDT Y TAREAS'!M38,0),IF(AND(103&gt;='EDT Y TAREAS'!AK41,103&lt;'EDT Y TAREAS'!AL41),'EDT Y TAREAS'!AE41/'EDT Y TAREAS'!M41,0),IF(AND(103&gt;='EDT Y TAREAS'!AK43,103&lt;'EDT Y TAREAS'!AL43),'EDT Y TAREAS'!AE43/'EDT Y TAREAS'!M43,0),IF(AND(103&gt;='EDT Y TAREAS'!AK44,103&lt;'EDT Y TAREAS'!AL44),'EDT Y TAREAS'!AE44/'EDT Y TAREAS'!M44,0),IF(AND(103&gt;='EDT Y TAREAS'!AK46,103&lt;'EDT Y TAREAS'!AL46),'EDT Y TAREAS'!AE46/'EDT Y TAREAS'!M46,0),IF(AND(103&gt;='EDT Y TAREAS'!AK47,103&lt;'EDT Y TAREAS'!AL47),'EDT Y TAREAS'!AE47/'EDT Y TAREAS'!M47,0),IF(AND(103&gt;='EDT Y TAREAS'!AK51,103&lt;'EDT Y TAREAS'!AL51),'EDT Y TAREAS'!AE51/'EDT Y TAREAS'!M51,0),IF(AND(103&gt;='EDT Y TAREAS'!AK52,103&lt;'EDT Y TAREAS'!AL52),'EDT Y TAREAS'!AE52/'EDT Y TAREAS'!M52,0))</x:f>
        <x:v>0</x:v>
      </x:c>
      <x:c r="D143" s="35" t="n">
        <x:f>SUM(IF(AND(103&gt;='EDT Y TAREAS'!AK11,103&lt;'EDT Y TAREAS'!AL11),'EDT Y TAREAS'!AF11/'EDT Y TAREAS'!M11,0),IF(AND(103&gt;='EDT Y TAREAS'!AK24,103&lt;'EDT Y TAREAS'!AL24),'EDT Y TAREAS'!AF24/'EDT Y TAREAS'!M24,0),IF(AND(103&gt;='EDT Y TAREAS'!AK25,103&lt;'EDT Y TAREAS'!AL25),'EDT Y TAREAS'!AF25/'EDT Y TAREAS'!M25,0),IF(AND(103&gt;='EDT Y TAREAS'!AK26,103&lt;'EDT Y TAREAS'!AL26),'EDT Y TAREAS'!AF26/'EDT Y TAREAS'!M26,0),IF(AND(103&gt;='EDT Y TAREAS'!AK27,103&lt;'EDT Y TAREAS'!AL27),'EDT Y TAREAS'!AF27/'EDT Y TAREAS'!M27,0),IF(AND(103&gt;='EDT Y TAREAS'!AK28,103&lt;'EDT Y TAREAS'!AL28),'EDT Y TAREAS'!AF28/'EDT Y TAREAS'!M28,0),IF(AND(103&gt;='EDT Y TAREAS'!AK31,103&lt;'EDT Y TAREAS'!AL31),'EDT Y TAREAS'!AF31/'EDT Y TAREAS'!M31,0),IF(AND(103&gt;='EDT Y TAREAS'!AK33,103&lt;'EDT Y TAREAS'!AL33),'EDT Y TAREAS'!AF33/'EDT Y TAREAS'!M33,0),IF(AND(103&gt;='EDT Y TAREAS'!AK34,103&lt;'EDT Y TAREAS'!AL34),'EDT Y TAREAS'!AF34/'EDT Y TAREAS'!M34,0),IF(AND(103&gt;='EDT Y TAREAS'!AK35,103&lt;'EDT Y TAREAS'!AL35),'EDT Y TAREAS'!AF35/'EDT Y TAREAS'!M35,0),IF(AND(103&gt;='EDT Y TAREAS'!AK37,103&lt;'EDT Y TAREAS'!AL37),'EDT Y TAREAS'!AF37/'EDT Y TAREAS'!M37,0),IF(AND(103&gt;='EDT Y TAREAS'!AK39,103&lt;'EDT Y TAREAS'!AL39),'EDT Y TAREAS'!AF39/'EDT Y TAREAS'!M39,0),IF(AND(103&gt;='EDT Y TAREAS'!AK40,103&lt;'EDT Y TAREAS'!AL40),'EDT Y TAREAS'!AF40/'EDT Y TAREAS'!M40,0),IF(AND(103&gt;='EDT Y TAREAS'!AK42,103&lt;'EDT Y TAREAS'!AL42),'EDT Y TAREAS'!AF42/'EDT Y TAREAS'!M42,0),IF(AND(103&gt;='EDT Y TAREAS'!AK45,103&lt;'EDT Y TAREAS'!AL45),'EDT Y TAREAS'!AF45/'EDT Y TAREAS'!M45,0),IF(AND(103&gt;='EDT Y TAREAS'!AK49,103&lt;'EDT Y TAREAS'!AL49),'EDT Y TAREAS'!AF49/'EDT Y TAREAS'!M49,0),IF(AND(103&gt;='EDT Y TAREAS'!AK52,103&lt;'EDT Y TAREAS'!AL52),'EDT Y TAREAS'!AF52/'EDT Y TAREAS'!M52,0))</x:f>
        <x:v>2</x:v>
      </x:c>
      <x:c r="E143" s="35" t="n">
        <x:f>SUM(IF(AND(103&gt;='EDT Y TAREAS'!AK29,103&lt;'EDT Y TAREAS'!AL29),'EDT Y TAREAS'!AG29/'EDT Y TAREAS'!M29,0),IF(AND(103&gt;='EDT Y TAREAS'!AK30,103&lt;'EDT Y TAREAS'!AL30),'EDT Y TAREAS'!AG30/'EDT Y TAREAS'!M30,0),IF(AND(103&gt;='EDT Y TAREAS'!AK31,103&lt;'EDT Y TAREAS'!AL31),'EDT Y TAREAS'!AG31/'EDT Y TAREAS'!M31,0),IF(AND(103&gt;='EDT Y TAREAS'!AK32,103&lt;'EDT Y TAREAS'!AL32),'EDT Y TAREAS'!AG32/'EDT Y TAREAS'!M32,0),IF(AND(103&gt;='EDT Y TAREAS'!AK41,103&lt;'EDT Y TAREAS'!AL41),'EDT Y TAREAS'!AG41/'EDT Y TAREAS'!M41,0),IF(AND(103&gt;='EDT Y TAREAS'!AK45,103&lt;'EDT Y TAREAS'!AL45),'EDT Y TAREAS'!AG45/'EDT Y TAREAS'!M45,0),IF(AND(103&gt;='EDT Y TAREAS'!AK48,103&lt;'EDT Y TAREAS'!AL48),'EDT Y TAREAS'!AG48/'EDT Y TAREAS'!M48,0))</x:f>
        <x:v>0</x:v>
      </x:c>
      <x:c r="F143" s="35" t="n">
        <x:f>SUM(IF(AND(103&gt;='EDT Y TAREAS'!AK10,103&lt;'EDT Y TAREAS'!AL10),'EDT Y TAREAS'!AH10/'EDT Y TAREAS'!M10,0),IF(AND(103&gt;='EDT Y TAREAS'!AK12,103&lt;'EDT Y TAREAS'!AL12),'EDT Y TAREAS'!AH12/'EDT Y TAREAS'!M12,0),IF(AND(103&gt;='EDT Y TAREAS'!AK22,103&lt;'EDT Y TAREAS'!AL22),'EDT Y TAREAS'!AH22/'EDT Y TAREAS'!M22,0),IF(AND(103&gt;='EDT Y TAREAS'!AK23,103&lt;'EDT Y TAREAS'!AL23),'EDT Y TAREAS'!AH23/'EDT Y TAREAS'!M23,0),IF(AND(103&gt;='EDT Y TAREAS'!AK29,103&lt;'EDT Y TAREAS'!AL29),'EDT Y TAREAS'!AH29/'EDT Y TAREAS'!M29,0),IF(AND(103&gt;='EDT Y TAREAS'!AK30,103&lt;'EDT Y TAREAS'!AL30),'EDT Y TAREAS'!AH30/'EDT Y TAREAS'!M30,0),IF(AND(103&gt;='EDT Y TAREAS'!AK32,103&lt;'EDT Y TAREAS'!AL32),'EDT Y TAREAS'!AH32/'EDT Y TAREAS'!M32,0),IF(AND(103&gt;='EDT Y TAREAS'!AK41,103&lt;'EDT Y TAREAS'!AL41),'EDT Y TAREAS'!AH41/'EDT Y TAREAS'!M41,0),IF(AND(103&gt;='EDT Y TAREAS'!AK44,103&lt;'EDT Y TAREAS'!AL44),'EDT Y TAREAS'!AH44/'EDT Y TAREAS'!M44,0),IF(AND(103&gt;='EDT Y TAREAS'!AK46,103&lt;'EDT Y TAREAS'!AL46),'EDT Y TAREAS'!AH46/'EDT Y TAREAS'!M46,0),IF(AND(103&gt;='EDT Y TAREAS'!AK48,103&lt;'EDT Y TAREAS'!AL48),'EDT Y TAREAS'!AH48/'EDT Y TAREAS'!M48,0))</x:f>
        <x:v>0</x:v>
      </x:c>
      <x:c r="G143" s="35" t="n">
        <x:f>SUM(IF(AND(103&gt;='EDT Y TAREAS'!AK20,103&lt;'EDT Y TAREAS'!AL20),'EDT Y TAREAS'!AI20/'EDT Y TAREAS'!M20,0),IF(AND(103&gt;='EDT Y TAREAS'!AK25,103&lt;'EDT Y TAREAS'!AL25),'EDT Y TAREAS'!AI25/'EDT Y TAREAS'!M25,0),IF(AND(103&gt;='EDT Y TAREAS'!AK33,103&lt;'EDT Y TAREAS'!AL33),'EDT Y TAREAS'!AI33/'EDT Y TAREAS'!M33,0),IF(AND(103&gt;='EDT Y TAREAS'!AK34,103&lt;'EDT Y TAREAS'!AL34),'EDT Y TAREAS'!AI34/'EDT Y TAREAS'!M34,0),IF(AND(103&gt;='EDT Y TAREAS'!AK36,103&lt;'EDT Y TAREAS'!AL36),'EDT Y TAREAS'!AI36/'EDT Y TAREAS'!M36,0),IF(AND(103&gt;='EDT Y TAREAS'!AK39,103&lt;'EDT Y TAREAS'!AL39),'EDT Y TAREAS'!AI39/'EDT Y TAREAS'!M39,0),IF(AND(103&gt;='EDT Y TAREAS'!AK40,103&lt;'EDT Y TAREAS'!AL40),'EDT Y TAREAS'!AI40/'EDT Y TAREAS'!M40,0),IF(AND(103&gt;='EDT Y TAREAS'!AK42,103&lt;'EDT Y TAREAS'!AL42),'EDT Y TAREAS'!AI42/'EDT Y TAREAS'!M42,0),IF(AND(103&gt;='EDT Y TAREAS'!AK43,103&lt;'EDT Y TAREAS'!AL43),'EDT Y TAREAS'!AI43/'EDT Y TAREAS'!M43,0),IF(AND(103&gt;='EDT Y TAREAS'!AK44,103&lt;'EDT Y TAREAS'!AL44),'EDT Y TAREAS'!AI44/'EDT Y TAREAS'!M44,0),IF(AND(103&gt;='EDT Y TAREAS'!AK45,103&lt;'EDT Y TAREAS'!AL45),'EDT Y TAREAS'!AI45/'EDT Y TAREAS'!M45,0),IF(AND(103&gt;='EDT Y TAREAS'!AK46,103&lt;'EDT Y TAREAS'!AL46),'EDT Y TAREAS'!AI46/'EDT Y TAREAS'!M46,0),IF(AND(103&gt;='EDT Y TAREAS'!AK48,103&lt;'EDT Y TAREAS'!AL48),'EDT Y TAREAS'!AI48/'EDT Y TAREAS'!M48,0),IF(AND(103&gt;='EDT Y TAREAS'!AK50,103&lt;'EDT Y TAREAS'!AL50),'EDT Y TAREAS'!AI50/'EDT Y TAREAS'!M50,0),IF(AND(103&gt;='EDT Y TAREAS'!AK52,103&lt;'EDT Y TAREAS'!AL52),'EDT Y TAREAS'!AI52/'EDT Y TAREAS'!M52,0))</x:f>
        <x:v>5</x:v>
      </x:c>
      <x:c r="H143" s="35" t="n">
        <x:f>SUM(IF(AND(103&gt;='EDT Y TAREAS'!AK11,103&lt;'EDT Y TAREAS'!AL11),'EDT Y TAREAS'!AJ11/'EDT Y TAREAS'!M11,0),IF(AND(103&gt;='EDT Y TAREAS'!AK24,103&lt;'EDT Y TAREAS'!AL24),'EDT Y TAREAS'!AJ24/'EDT Y TAREAS'!M24,0),IF(AND(103&gt;='EDT Y TAREAS'!AK27,103&lt;'EDT Y TAREAS'!AL27),'EDT Y TAREAS'!AJ27/'EDT Y TAREAS'!M27,0),IF(AND(103&gt;='EDT Y TAREAS'!AK28,103&lt;'EDT Y TAREAS'!AL28),'EDT Y TAREAS'!AJ28/'EDT Y TAREAS'!M28,0),IF(AND(103&gt;='EDT Y TAREAS'!AK33,103&lt;'EDT Y TAREAS'!AL33),'EDT Y TAREAS'!AJ33/'EDT Y TAREAS'!M33,0),IF(AND(103&gt;='EDT Y TAREAS'!AK35,103&lt;'EDT Y TAREAS'!AL35),'EDT Y TAREAS'!AJ35/'EDT Y TAREAS'!M35,0),IF(AND(103&gt;='EDT Y TAREAS'!AK36,103&lt;'EDT Y TAREAS'!AL36),'EDT Y TAREAS'!AJ36/'EDT Y TAREAS'!M36,0),IF(AND(103&gt;='EDT Y TAREAS'!AK37,103&lt;'EDT Y TAREAS'!AL37),'EDT Y TAREAS'!AJ37/'EDT Y TAREAS'!M37,0),IF(AND(103&gt;='EDT Y TAREAS'!AK40,103&lt;'EDT Y TAREAS'!AL40),'EDT Y TAREAS'!AJ40/'EDT Y TAREAS'!M40,0),IF(AND(103&gt;='EDT Y TAREAS'!AK42,103&lt;'EDT Y TAREAS'!AL42),'EDT Y TAREAS'!AJ42/'EDT Y TAREAS'!M42,0),IF(AND(103&gt;='EDT Y TAREAS'!AK49,103&lt;'EDT Y TAREAS'!AL49),'EDT Y TAREAS'!AJ49/'EDT Y TAREAS'!M49,0),IF(AND(103&gt;='EDT Y TAREAS'!AK50,103&lt;'EDT Y TAREAS'!AL50),'EDT Y TAREAS'!AJ50/'EDT Y TAREAS'!M50,0),IF(AND(103&gt;='EDT Y TAREAS'!AK51,103&lt;'EDT Y TAREAS'!AL51),'EDT Y TAREAS'!AJ51/'EDT Y TAREAS'!M51,0),IF(AND(103&gt;='EDT Y TAREAS'!AK52,103&lt;'EDT Y TAREAS'!AL52),'EDT Y TAREAS'!AJ52/'EDT Y TAREAS'!M52,0))</x:f>
        <x:v>0</x:v>
      </x:c>
      <x:c r="I143" s="10" t="n">
        <x:f>WORKDAY('RESUMEN'!$D$3-1,A143,'RESUMEN'!$J$6:$J$25)</x:f>
        <x:v>46471</x:v>
      </x:c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  <x:c r="AC143" s="3"/>
      <x:c r="AD143" s="3"/>
      <x:c r="AE143" s="3"/>
      <x:c r="AF143" s="3"/>
      <x:c r="AG143" s="3"/>
      <x:c r="AH143" s="3"/>
      <x:c r="AI143" s="3"/>
      <x:c r="AJ143" s="3"/>
      <x:c r="AK143" s="3"/>
      <x:c r="AL143" s="3"/>
      <x:c r="AM143" s="3"/>
      <x:c r="AN143" s="3"/>
      <x:c r="AO143" s="3"/>
    </x:row>
    <x:row r="144" ht="24" customHeight="1">
      <x:c r="A144" s="3" t="n">
        <x:v>105</x:v>
      </x:c>
      <x:c r="B144" s="35" t="n">
        <x:f>SUM(IF(AND(104&gt;='EDT Y TAREAS'!AK6,104&lt;'EDT Y TAREAS'!AL6),'EDT Y TAREAS'!AD6/'EDT Y TAREAS'!M6,0),IF(AND(104&gt;='EDT Y TAREAS'!AK7,104&lt;'EDT Y TAREAS'!AL7),'EDT Y TAREAS'!AD7/'EDT Y TAREAS'!M7,0),IF(AND(104&gt;='EDT Y TAREAS'!AK8,104&lt;'EDT Y TAREAS'!AL8),'EDT Y TAREAS'!AD8/'EDT Y TAREAS'!M8,0),IF(AND(104&gt;='EDT Y TAREAS'!AK9,104&lt;'EDT Y TAREAS'!AL9),'EDT Y TAREAS'!AD9/'EDT Y TAREAS'!M9,0),IF(AND(104&gt;='EDT Y TAREAS'!AK10,104&lt;'EDT Y TAREAS'!AL10),'EDT Y TAREAS'!AD10/'EDT Y TAREAS'!M10,0),IF(AND(104&gt;='EDT Y TAREAS'!AK11,104&lt;'EDT Y TAREAS'!AL11),'EDT Y TAREAS'!AD11/'EDT Y TAREAS'!M11,0),IF(AND(104&gt;='EDT Y TAREAS'!AK12,104&lt;'EDT Y TAREAS'!AL12),'EDT Y TAREAS'!AD12/'EDT Y TAREAS'!M12,0),IF(AND(104&gt;='EDT Y TAREAS'!AK13,104&lt;'EDT Y TAREAS'!AL13),'EDT Y TAREAS'!AD13/'EDT Y TAREAS'!M13,0),IF(AND(104&gt;='EDT Y TAREAS'!AK14,104&lt;'EDT Y TAREAS'!AL14),'EDT Y TAREAS'!AD14/'EDT Y TAREAS'!M14,0),IF(AND(104&gt;='EDT Y TAREAS'!AK15,104&lt;'EDT Y TAREAS'!AL15),'EDT Y TAREAS'!AD15/'EDT Y TAREAS'!M15,0),IF(AND(104&gt;='EDT Y TAREAS'!AK16,104&lt;'EDT Y TAREAS'!AL16),'EDT Y TAREAS'!AD16/'EDT Y TAREAS'!M16,0),IF(AND(104&gt;='EDT Y TAREAS'!AK17,104&lt;'EDT Y TAREAS'!AL17),'EDT Y TAREAS'!AD17/'EDT Y TAREAS'!M17,0),IF(AND(104&gt;='EDT Y TAREAS'!AK18,104&lt;'EDT Y TAREAS'!AL18),'EDT Y TAREAS'!AD18/'EDT Y TAREAS'!M18,0),IF(AND(104&gt;='EDT Y TAREAS'!AK19,104&lt;'EDT Y TAREAS'!AL19),'EDT Y TAREAS'!AD19/'EDT Y TAREAS'!M19,0),IF(AND(104&gt;='EDT Y TAREAS'!AK20,104&lt;'EDT Y TAREAS'!AL20),'EDT Y TAREAS'!AD20/'EDT Y TAREAS'!M20,0),IF(AND(104&gt;='EDT Y TAREAS'!AK21,104&lt;'EDT Y TAREAS'!AL21),'EDT Y TAREAS'!AD21/'EDT Y TAREAS'!M21,0),IF(AND(104&gt;='EDT Y TAREAS'!AK22,104&lt;'EDT Y TAREAS'!AL22),'EDT Y TAREAS'!AD22/'EDT Y TAREAS'!M22,0),IF(AND(104&gt;='EDT Y TAREAS'!AK23,104&lt;'EDT Y TAREAS'!AL23),'EDT Y TAREAS'!AD23/'EDT Y TAREAS'!M23,0),IF(AND(104&gt;='EDT Y TAREAS'!AK26,104&lt;'EDT Y TAREAS'!AL26),'EDT Y TAREAS'!AD26/'EDT Y TAREAS'!M26,0),IF(AND(104&gt;='EDT Y TAREAS'!AK28,104&lt;'EDT Y TAREAS'!AL28),'EDT Y TAREAS'!AD28/'EDT Y TAREAS'!M28,0),IF(AND(104&gt;='EDT Y TAREAS'!AK30,104&lt;'EDT Y TAREAS'!AL30),'EDT Y TAREAS'!AD30/'EDT Y TAREAS'!M30,0),IF(AND(104&gt;='EDT Y TAREAS'!AK32,104&lt;'EDT Y TAREAS'!AL32),'EDT Y TAREAS'!AD32/'EDT Y TAREAS'!M32,0),IF(AND(104&gt;='EDT Y TAREAS'!AK34,104&lt;'EDT Y TAREAS'!AL34),'EDT Y TAREAS'!AD34/'EDT Y TAREAS'!M34,0),IF(AND(104&gt;='EDT Y TAREAS'!AK38,104&lt;'EDT Y TAREAS'!AL38),'EDT Y TAREAS'!AD38/'EDT Y TAREAS'!M38,0),IF(AND(104&gt;='EDT Y TAREAS'!AK39,104&lt;'EDT Y TAREAS'!AL39),'EDT Y TAREAS'!AD39/'EDT Y TAREAS'!M39,0),IF(AND(104&gt;='EDT Y TAREAS'!AK43,104&lt;'EDT Y TAREAS'!AL43),'EDT Y TAREAS'!AD43/'EDT Y TAREAS'!M43,0),IF(AND(104&gt;='EDT Y TAREAS'!AK44,104&lt;'EDT Y TAREAS'!AL44),'EDT Y TAREAS'!AD44/'EDT Y TAREAS'!M44,0),IF(AND(104&gt;='EDT Y TAREAS'!AK45,104&lt;'EDT Y TAREAS'!AL45),'EDT Y TAREAS'!AD45/'EDT Y TAREAS'!M45,0),IF(AND(104&gt;='EDT Y TAREAS'!AK46,104&lt;'EDT Y TAREAS'!AL46),'EDT Y TAREAS'!AD46/'EDT Y TAREAS'!M46,0),IF(AND(104&gt;='EDT Y TAREAS'!AK47,104&lt;'EDT Y TAREAS'!AL47),'EDT Y TAREAS'!AD47/'EDT Y TAREAS'!M47,0),IF(AND(104&gt;='EDT Y TAREAS'!AK49,104&lt;'EDT Y TAREAS'!AL49),'EDT Y TAREAS'!AD49/'EDT Y TAREAS'!M49,0),IF(AND(104&gt;='EDT Y TAREAS'!AK50,104&lt;'EDT Y TAREAS'!AL50),'EDT Y TAREAS'!AD50/'EDT Y TAREAS'!M50,0),IF(AND(104&gt;='EDT Y TAREAS'!AK51,104&lt;'EDT Y TAREAS'!AL51),'EDT Y TAREAS'!AD51/'EDT Y TAREAS'!M51,0),IF(AND(104&gt;='EDT Y TAREAS'!AK52,104&lt;'EDT Y TAREAS'!AL52),'EDT Y TAREAS'!AD52/'EDT Y TAREAS'!M52,0))</x:f>
        <x:v>1.5</x:v>
      </x:c>
      <x:c r="C144" s="35" t="n">
        <x:f>SUM(IF(AND(104&gt;='EDT Y TAREAS'!AK6,104&lt;'EDT Y TAREAS'!AL6),'EDT Y TAREAS'!AE6/'EDT Y TAREAS'!M6,0),IF(AND(104&gt;='EDT Y TAREAS'!AK8,104&lt;'EDT Y TAREAS'!AL8),'EDT Y TAREAS'!AE8/'EDT Y TAREAS'!M8,0),IF(AND(104&gt;='EDT Y TAREAS'!AK9,104&lt;'EDT Y TAREAS'!AL9),'EDT Y TAREAS'!AE9/'EDT Y TAREAS'!M9,0),IF(AND(104&gt;='EDT Y TAREAS'!AK10,104&lt;'EDT Y TAREAS'!AL10),'EDT Y TAREAS'!AE10/'EDT Y TAREAS'!M10,0),IF(AND(104&gt;='EDT Y TAREAS'!AK12,104&lt;'EDT Y TAREAS'!AL12),'EDT Y TAREAS'!AE12/'EDT Y TAREAS'!M12,0),IF(AND(104&gt;='EDT Y TAREAS'!AK16,104&lt;'EDT Y TAREAS'!AL16),'EDT Y TAREAS'!AE16/'EDT Y TAREAS'!M16,0),IF(AND(104&gt;='EDT Y TAREAS'!AK21,104&lt;'EDT Y TAREAS'!AL21),'EDT Y TAREAS'!AE21/'EDT Y TAREAS'!M21,0),IF(AND(104&gt;='EDT Y TAREAS'!AK23,104&lt;'EDT Y TAREAS'!AL23),'EDT Y TAREAS'!AE23/'EDT Y TAREAS'!M23,0),IF(AND(104&gt;='EDT Y TAREAS'!AK37,104&lt;'EDT Y TAREAS'!AL37),'EDT Y TAREAS'!AE37/'EDT Y TAREAS'!M37,0),IF(AND(104&gt;='EDT Y TAREAS'!AK38,104&lt;'EDT Y TAREAS'!AL38),'EDT Y TAREAS'!AE38/'EDT Y TAREAS'!M38,0),IF(AND(104&gt;='EDT Y TAREAS'!AK41,104&lt;'EDT Y TAREAS'!AL41),'EDT Y TAREAS'!AE41/'EDT Y TAREAS'!M41,0),IF(AND(104&gt;='EDT Y TAREAS'!AK43,104&lt;'EDT Y TAREAS'!AL43),'EDT Y TAREAS'!AE43/'EDT Y TAREAS'!M43,0),IF(AND(104&gt;='EDT Y TAREAS'!AK44,104&lt;'EDT Y TAREAS'!AL44),'EDT Y TAREAS'!AE44/'EDT Y TAREAS'!M44,0),IF(AND(104&gt;='EDT Y TAREAS'!AK46,104&lt;'EDT Y TAREAS'!AL46),'EDT Y TAREAS'!AE46/'EDT Y TAREAS'!M46,0),IF(AND(104&gt;='EDT Y TAREAS'!AK47,104&lt;'EDT Y TAREAS'!AL47),'EDT Y TAREAS'!AE47/'EDT Y TAREAS'!M47,0),IF(AND(104&gt;='EDT Y TAREAS'!AK51,104&lt;'EDT Y TAREAS'!AL51),'EDT Y TAREAS'!AE51/'EDT Y TAREAS'!M51,0),IF(AND(104&gt;='EDT Y TAREAS'!AK52,104&lt;'EDT Y TAREAS'!AL52),'EDT Y TAREAS'!AE52/'EDT Y TAREAS'!M52,0))</x:f>
        <x:v>0</x:v>
      </x:c>
      <x:c r="D144" s="35" t="n">
        <x:f>SUM(IF(AND(104&gt;='EDT Y TAREAS'!AK11,104&lt;'EDT Y TAREAS'!AL11),'EDT Y TAREAS'!AF11/'EDT Y TAREAS'!M11,0),IF(AND(104&gt;='EDT Y TAREAS'!AK24,104&lt;'EDT Y TAREAS'!AL24),'EDT Y TAREAS'!AF24/'EDT Y TAREAS'!M24,0),IF(AND(104&gt;='EDT Y TAREAS'!AK25,104&lt;'EDT Y TAREAS'!AL25),'EDT Y TAREAS'!AF25/'EDT Y TAREAS'!M25,0),IF(AND(104&gt;='EDT Y TAREAS'!AK26,104&lt;'EDT Y TAREAS'!AL26),'EDT Y TAREAS'!AF26/'EDT Y TAREAS'!M26,0),IF(AND(104&gt;='EDT Y TAREAS'!AK27,104&lt;'EDT Y TAREAS'!AL27),'EDT Y TAREAS'!AF27/'EDT Y TAREAS'!M27,0),IF(AND(104&gt;='EDT Y TAREAS'!AK28,104&lt;'EDT Y TAREAS'!AL28),'EDT Y TAREAS'!AF28/'EDT Y TAREAS'!M28,0),IF(AND(104&gt;='EDT Y TAREAS'!AK31,104&lt;'EDT Y TAREAS'!AL31),'EDT Y TAREAS'!AF31/'EDT Y TAREAS'!M31,0),IF(AND(104&gt;='EDT Y TAREAS'!AK33,104&lt;'EDT Y TAREAS'!AL33),'EDT Y TAREAS'!AF33/'EDT Y TAREAS'!M33,0),IF(AND(104&gt;='EDT Y TAREAS'!AK34,104&lt;'EDT Y TAREAS'!AL34),'EDT Y TAREAS'!AF34/'EDT Y TAREAS'!M34,0),IF(AND(104&gt;='EDT Y TAREAS'!AK35,104&lt;'EDT Y TAREAS'!AL35),'EDT Y TAREAS'!AF35/'EDT Y TAREAS'!M35,0),IF(AND(104&gt;='EDT Y TAREAS'!AK37,104&lt;'EDT Y TAREAS'!AL37),'EDT Y TAREAS'!AF37/'EDT Y TAREAS'!M37,0),IF(AND(104&gt;='EDT Y TAREAS'!AK39,104&lt;'EDT Y TAREAS'!AL39),'EDT Y TAREAS'!AF39/'EDT Y TAREAS'!M39,0),IF(AND(104&gt;='EDT Y TAREAS'!AK40,104&lt;'EDT Y TAREAS'!AL40),'EDT Y TAREAS'!AF40/'EDT Y TAREAS'!M40,0),IF(AND(104&gt;='EDT Y TAREAS'!AK42,104&lt;'EDT Y TAREAS'!AL42),'EDT Y TAREAS'!AF42/'EDT Y TAREAS'!M42,0),IF(AND(104&gt;='EDT Y TAREAS'!AK45,104&lt;'EDT Y TAREAS'!AL45),'EDT Y TAREAS'!AF45/'EDT Y TAREAS'!M45,0),IF(AND(104&gt;='EDT Y TAREAS'!AK49,104&lt;'EDT Y TAREAS'!AL49),'EDT Y TAREAS'!AF49/'EDT Y TAREAS'!M49,0),IF(AND(104&gt;='EDT Y TAREAS'!AK52,104&lt;'EDT Y TAREAS'!AL52),'EDT Y TAREAS'!AF52/'EDT Y TAREAS'!M52,0))</x:f>
        <x:v>2</x:v>
      </x:c>
      <x:c r="E144" s="35" t="n">
        <x:f>SUM(IF(AND(104&gt;='EDT Y TAREAS'!AK29,104&lt;'EDT Y TAREAS'!AL29),'EDT Y TAREAS'!AG29/'EDT Y TAREAS'!M29,0),IF(AND(104&gt;='EDT Y TAREAS'!AK30,104&lt;'EDT Y TAREAS'!AL30),'EDT Y TAREAS'!AG30/'EDT Y TAREAS'!M30,0),IF(AND(104&gt;='EDT Y TAREAS'!AK31,104&lt;'EDT Y TAREAS'!AL31),'EDT Y TAREAS'!AG31/'EDT Y TAREAS'!M31,0),IF(AND(104&gt;='EDT Y TAREAS'!AK32,104&lt;'EDT Y TAREAS'!AL32),'EDT Y TAREAS'!AG32/'EDT Y TAREAS'!M32,0),IF(AND(104&gt;='EDT Y TAREAS'!AK41,104&lt;'EDT Y TAREAS'!AL41),'EDT Y TAREAS'!AG41/'EDT Y TAREAS'!M41,0),IF(AND(104&gt;='EDT Y TAREAS'!AK45,104&lt;'EDT Y TAREAS'!AL45),'EDT Y TAREAS'!AG45/'EDT Y TAREAS'!M45,0),IF(AND(104&gt;='EDT Y TAREAS'!AK48,104&lt;'EDT Y TAREAS'!AL48),'EDT Y TAREAS'!AG48/'EDT Y TAREAS'!M48,0))</x:f>
        <x:v>0</x:v>
      </x:c>
      <x:c r="F144" s="35" t="n">
        <x:f>SUM(IF(AND(104&gt;='EDT Y TAREAS'!AK10,104&lt;'EDT Y TAREAS'!AL10),'EDT Y TAREAS'!AH10/'EDT Y TAREAS'!M10,0),IF(AND(104&gt;='EDT Y TAREAS'!AK12,104&lt;'EDT Y TAREAS'!AL12),'EDT Y TAREAS'!AH12/'EDT Y TAREAS'!M12,0),IF(AND(104&gt;='EDT Y TAREAS'!AK22,104&lt;'EDT Y TAREAS'!AL22),'EDT Y TAREAS'!AH22/'EDT Y TAREAS'!M22,0),IF(AND(104&gt;='EDT Y TAREAS'!AK23,104&lt;'EDT Y TAREAS'!AL23),'EDT Y TAREAS'!AH23/'EDT Y TAREAS'!M23,0),IF(AND(104&gt;='EDT Y TAREAS'!AK29,104&lt;'EDT Y TAREAS'!AL29),'EDT Y TAREAS'!AH29/'EDT Y TAREAS'!M29,0),IF(AND(104&gt;='EDT Y TAREAS'!AK30,104&lt;'EDT Y TAREAS'!AL30),'EDT Y TAREAS'!AH30/'EDT Y TAREAS'!M30,0),IF(AND(104&gt;='EDT Y TAREAS'!AK32,104&lt;'EDT Y TAREAS'!AL32),'EDT Y TAREAS'!AH32/'EDT Y TAREAS'!M32,0),IF(AND(104&gt;='EDT Y TAREAS'!AK41,104&lt;'EDT Y TAREAS'!AL41),'EDT Y TAREAS'!AH41/'EDT Y TAREAS'!M41,0),IF(AND(104&gt;='EDT Y TAREAS'!AK44,104&lt;'EDT Y TAREAS'!AL44),'EDT Y TAREAS'!AH44/'EDT Y TAREAS'!M44,0),IF(AND(104&gt;='EDT Y TAREAS'!AK46,104&lt;'EDT Y TAREAS'!AL46),'EDT Y TAREAS'!AH46/'EDT Y TAREAS'!M46,0),IF(AND(104&gt;='EDT Y TAREAS'!AK48,104&lt;'EDT Y TAREAS'!AL48),'EDT Y TAREAS'!AH48/'EDT Y TAREAS'!M48,0))</x:f>
        <x:v>0</x:v>
      </x:c>
      <x:c r="G144" s="35" t="n">
        <x:f>SUM(IF(AND(104&gt;='EDT Y TAREAS'!AK20,104&lt;'EDT Y TAREAS'!AL20),'EDT Y TAREAS'!AI20/'EDT Y TAREAS'!M20,0),IF(AND(104&gt;='EDT Y TAREAS'!AK25,104&lt;'EDT Y TAREAS'!AL25),'EDT Y TAREAS'!AI25/'EDT Y TAREAS'!M25,0),IF(AND(104&gt;='EDT Y TAREAS'!AK33,104&lt;'EDT Y TAREAS'!AL33),'EDT Y TAREAS'!AI33/'EDT Y TAREAS'!M33,0),IF(AND(104&gt;='EDT Y TAREAS'!AK34,104&lt;'EDT Y TAREAS'!AL34),'EDT Y TAREAS'!AI34/'EDT Y TAREAS'!M34,0),IF(AND(104&gt;='EDT Y TAREAS'!AK36,104&lt;'EDT Y TAREAS'!AL36),'EDT Y TAREAS'!AI36/'EDT Y TAREAS'!M36,0),IF(AND(104&gt;='EDT Y TAREAS'!AK39,104&lt;'EDT Y TAREAS'!AL39),'EDT Y TAREAS'!AI39/'EDT Y TAREAS'!M39,0),IF(AND(104&gt;='EDT Y TAREAS'!AK40,104&lt;'EDT Y TAREAS'!AL40),'EDT Y TAREAS'!AI40/'EDT Y TAREAS'!M40,0),IF(AND(104&gt;='EDT Y TAREAS'!AK42,104&lt;'EDT Y TAREAS'!AL42),'EDT Y TAREAS'!AI42/'EDT Y TAREAS'!M42,0),IF(AND(104&gt;='EDT Y TAREAS'!AK43,104&lt;'EDT Y TAREAS'!AL43),'EDT Y TAREAS'!AI43/'EDT Y TAREAS'!M43,0),IF(AND(104&gt;='EDT Y TAREAS'!AK44,104&lt;'EDT Y TAREAS'!AL44),'EDT Y TAREAS'!AI44/'EDT Y TAREAS'!M44,0),IF(AND(104&gt;='EDT Y TAREAS'!AK45,104&lt;'EDT Y TAREAS'!AL45),'EDT Y TAREAS'!AI45/'EDT Y TAREAS'!M45,0),IF(AND(104&gt;='EDT Y TAREAS'!AK46,104&lt;'EDT Y TAREAS'!AL46),'EDT Y TAREAS'!AI46/'EDT Y TAREAS'!M46,0),IF(AND(104&gt;='EDT Y TAREAS'!AK48,104&lt;'EDT Y TAREAS'!AL48),'EDT Y TAREAS'!AI48/'EDT Y TAREAS'!M48,0),IF(AND(104&gt;='EDT Y TAREAS'!AK50,104&lt;'EDT Y TAREAS'!AL50),'EDT Y TAREAS'!AI50/'EDT Y TAREAS'!M50,0),IF(AND(104&gt;='EDT Y TAREAS'!AK52,104&lt;'EDT Y TAREAS'!AL52),'EDT Y TAREAS'!AI52/'EDT Y TAREAS'!M52,0))</x:f>
        <x:v>5</x:v>
      </x:c>
      <x:c r="H144" s="35" t="n">
        <x:f>SUM(IF(AND(104&gt;='EDT Y TAREAS'!AK11,104&lt;'EDT Y TAREAS'!AL11),'EDT Y TAREAS'!AJ11/'EDT Y TAREAS'!M11,0),IF(AND(104&gt;='EDT Y TAREAS'!AK24,104&lt;'EDT Y TAREAS'!AL24),'EDT Y TAREAS'!AJ24/'EDT Y TAREAS'!M24,0),IF(AND(104&gt;='EDT Y TAREAS'!AK27,104&lt;'EDT Y TAREAS'!AL27),'EDT Y TAREAS'!AJ27/'EDT Y TAREAS'!M27,0),IF(AND(104&gt;='EDT Y TAREAS'!AK28,104&lt;'EDT Y TAREAS'!AL28),'EDT Y TAREAS'!AJ28/'EDT Y TAREAS'!M28,0),IF(AND(104&gt;='EDT Y TAREAS'!AK33,104&lt;'EDT Y TAREAS'!AL33),'EDT Y TAREAS'!AJ33/'EDT Y TAREAS'!M33,0),IF(AND(104&gt;='EDT Y TAREAS'!AK35,104&lt;'EDT Y TAREAS'!AL35),'EDT Y TAREAS'!AJ35/'EDT Y TAREAS'!M35,0),IF(AND(104&gt;='EDT Y TAREAS'!AK36,104&lt;'EDT Y TAREAS'!AL36),'EDT Y TAREAS'!AJ36/'EDT Y TAREAS'!M36,0),IF(AND(104&gt;='EDT Y TAREAS'!AK37,104&lt;'EDT Y TAREAS'!AL37),'EDT Y TAREAS'!AJ37/'EDT Y TAREAS'!M37,0),IF(AND(104&gt;='EDT Y TAREAS'!AK40,104&lt;'EDT Y TAREAS'!AL40),'EDT Y TAREAS'!AJ40/'EDT Y TAREAS'!M40,0),IF(AND(104&gt;='EDT Y TAREAS'!AK42,104&lt;'EDT Y TAREAS'!AL42),'EDT Y TAREAS'!AJ42/'EDT Y TAREAS'!M42,0),IF(AND(104&gt;='EDT Y TAREAS'!AK49,104&lt;'EDT Y TAREAS'!AL49),'EDT Y TAREAS'!AJ49/'EDT Y TAREAS'!M49,0),IF(AND(104&gt;='EDT Y TAREAS'!AK50,104&lt;'EDT Y TAREAS'!AL50),'EDT Y TAREAS'!AJ50/'EDT Y TAREAS'!M50,0),IF(AND(104&gt;='EDT Y TAREAS'!AK51,104&lt;'EDT Y TAREAS'!AL51),'EDT Y TAREAS'!AJ51/'EDT Y TAREAS'!M51,0),IF(AND(104&gt;='EDT Y TAREAS'!AK52,104&lt;'EDT Y TAREAS'!AL52),'EDT Y TAREAS'!AJ52/'EDT Y TAREAS'!M52,0))</x:f>
        <x:v>0</x:v>
      </x:c>
      <x:c r="I144" s="10" t="n">
        <x:f>WORKDAY('RESUMEN'!$D$3-1,A144,'RESUMEN'!$J$6:$J$25)</x:f>
        <x:v>46472</x:v>
      </x:c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  <x:c r="AC144" s="3"/>
      <x:c r="AD144" s="3"/>
      <x:c r="AE144" s="3"/>
      <x:c r="AF144" s="3"/>
      <x:c r="AG144" s="3"/>
      <x:c r="AH144" s="3"/>
      <x:c r="AI144" s="3"/>
      <x:c r="AJ144" s="3"/>
      <x:c r="AK144" s="3"/>
      <x:c r="AL144" s="3"/>
      <x:c r="AM144" s="3"/>
      <x:c r="AN144" s="3"/>
      <x:c r="AO144" s="3"/>
    </x:row>
    <x:row r="145" ht="24" customHeight="1">
      <x:c r="A145" s="3" t="n">
        <x:v>106</x:v>
      </x:c>
      <x:c r="B145" s="35" t="n">
        <x:f>SUM(IF(AND(105&gt;='EDT Y TAREAS'!AK6,105&lt;'EDT Y TAREAS'!AL6),'EDT Y TAREAS'!AD6/'EDT Y TAREAS'!M6,0),IF(AND(105&gt;='EDT Y TAREAS'!AK7,105&lt;'EDT Y TAREAS'!AL7),'EDT Y TAREAS'!AD7/'EDT Y TAREAS'!M7,0),IF(AND(105&gt;='EDT Y TAREAS'!AK8,105&lt;'EDT Y TAREAS'!AL8),'EDT Y TAREAS'!AD8/'EDT Y TAREAS'!M8,0),IF(AND(105&gt;='EDT Y TAREAS'!AK9,105&lt;'EDT Y TAREAS'!AL9),'EDT Y TAREAS'!AD9/'EDT Y TAREAS'!M9,0),IF(AND(105&gt;='EDT Y TAREAS'!AK10,105&lt;'EDT Y TAREAS'!AL10),'EDT Y TAREAS'!AD10/'EDT Y TAREAS'!M10,0),IF(AND(105&gt;='EDT Y TAREAS'!AK11,105&lt;'EDT Y TAREAS'!AL11),'EDT Y TAREAS'!AD11/'EDT Y TAREAS'!M11,0),IF(AND(105&gt;='EDT Y TAREAS'!AK12,105&lt;'EDT Y TAREAS'!AL12),'EDT Y TAREAS'!AD12/'EDT Y TAREAS'!M12,0),IF(AND(105&gt;='EDT Y TAREAS'!AK13,105&lt;'EDT Y TAREAS'!AL13),'EDT Y TAREAS'!AD13/'EDT Y TAREAS'!M13,0),IF(AND(105&gt;='EDT Y TAREAS'!AK14,105&lt;'EDT Y TAREAS'!AL14),'EDT Y TAREAS'!AD14/'EDT Y TAREAS'!M14,0),IF(AND(105&gt;='EDT Y TAREAS'!AK15,105&lt;'EDT Y TAREAS'!AL15),'EDT Y TAREAS'!AD15/'EDT Y TAREAS'!M15,0),IF(AND(105&gt;='EDT Y TAREAS'!AK16,105&lt;'EDT Y TAREAS'!AL16),'EDT Y TAREAS'!AD16/'EDT Y TAREAS'!M16,0),IF(AND(105&gt;='EDT Y TAREAS'!AK17,105&lt;'EDT Y TAREAS'!AL17),'EDT Y TAREAS'!AD17/'EDT Y TAREAS'!M17,0),IF(AND(105&gt;='EDT Y TAREAS'!AK18,105&lt;'EDT Y TAREAS'!AL18),'EDT Y TAREAS'!AD18/'EDT Y TAREAS'!M18,0),IF(AND(105&gt;='EDT Y TAREAS'!AK19,105&lt;'EDT Y TAREAS'!AL19),'EDT Y TAREAS'!AD19/'EDT Y TAREAS'!M19,0),IF(AND(105&gt;='EDT Y TAREAS'!AK20,105&lt;'EDT Y TAREAS'!AL20),'EDT Y TAREAS'!AD20/'EDT Y TAREAS'!M20,0),IF(AND(105&gt;='EDT Y TAREAS'!AK21,105&lt;'EDT Y TAREAS'!AL21),'EDT Y TAREAS'!AD21/'EDT Y TAREAS'!M21,0),IF(AND(105&gt;='EDT Y TAREAS'!AK22,105&lt;'EDT Y TAREAS'!AL22),'EDT Y TAREAS'!AD22/'EDT Y TAREAS'!M22,0),IF(AND(105&gt;='EDT Y TAREAS'!AK23,105&lt;'EDT Y TAREAS'!AL23),'EDT Y TAREAS'!AD23/'EDT Y TAREAS'!M23,0),IF(AND(105&gt;='EDT Y TAREAS'!AK26,105&lt;'EDT Y TAREAS'!AL26),'EDT Y TAREAS'!AD26/'EDT Y TAREAS'!M26,0),IF(AND(105&gt;='EDT Y TAREAS'!AK28,105&lt;'EDT Y TAREAS'!AL28),'EDT Y TAREAS'!AD28/'EDT Y TAREAS'!M28,0),IF(AND(105&gt;='EDT Y TAREAS'!AK30,105&lt;'EDT Y TAREAS'!AL30),'EDT Y TAREAS'!AD30/'EDT Y TAREAS'!M30,0),IF(AND(105&gt;='EDT Y TAREAS'!AK32,105&lt;'EDT Y TAREAS'!AL32),'EDT Y TAREAS'!AD32/'EDT Y TAREAS'!M32,0),IF(AND(105&gt;='EDT Y TAREAS'!AK34,105&lt;'EDT Y TAREAS'!AL34),'EDT Y TAREAS'!AD34/'EDT Y TAREAS'!M34,0),IF(AND(105&gt;='EDT Y TAREAS'!AK38,105&lt;'EDT Y TAREAS'!AL38),'EDT Y TAREAS'!AD38/'EDT Y TAREAS'!M38,0),IF(AND(105&gt;='EDT Y TAREAS'!AK39,105&lt;'EDT Y TAREAS'!AL39),'EDT Y TAREAS'!AD39/'EDT Y TAREAS'!M39,0),IF(AND(105&gt;='EDT Y TAREAS'!AK43,105&lt;'EDT Y TAREAS'!AL43),'EDT Y TAREAS'!AD43/'EDT Y TAREAS'!M43,0),IF(AND(105&gt;='EDT Y TAREAS'!AK44,105&lt;'EDT Y TAREAS'!AL44),'EDT Y TAREAS'!AD44/'EDT Y TAREAS'!M44,0),IF(AND(105&gt;='EDT Y TAREAS'!AK45,105&lt;'EDT Y TAREAS'!AL45),'EDT Y TAREAS'!AD45/'EDT Y TAREAS'!M45,0),IF(AND(105&gt;='EDT Y TAREAS'!AK46,105&lt;'EDT Y TAREAS'!AL46),'EDT Y TAREAS'!AD46/'EDT Y TAREAS'!M46,0),IF(AND(105&gt;='EDT Y TAREAS'!AK47,105&lt;'EDT Y TAREAS'!AL47),'EDT Y TAREAS'!AD47/'EDT Y TAREAS'!M47,0),IF(AND(105&gt;='EDT Y TAREAS'!AK49,105&lt;'EDT Y TAREAS'!AL49),'EDT Y TAREAS'!AD49/'EDT Y TAREAS'!M49,0),IF(AND(105&gt;='EDT Y TAREAS'!AK50,105&lt;'EDT Y TAREAS'!AL50),'EDT Y TAREAS'!AD50/'EDT Y TAREAS'!M50,0),IF(AND(105&gt;='EDT Y TAREAS'!AK51,105&lt;'EDT Y TAREAS'!AL51),'EDT Y TAREAS'!AD51/'EDT Y TAREAS'!M51,0),IF(AND(105&gt;='EDT Y TAREAS'!AK52,105&lt;'EDT Y TAREAS'!AL52),'EDT Y TAREAS'!AD52/'EDT Y TAREAS'!M52,0))</x:f>
        <x:v>1.5</x:v>
      </x:c>
      <x:c r="C145" s="35" t="n">
        <x:f>SUM(IF(AND(105&gt;='EDT Y TAREAS'!AK6,105&lt;'EDT Y TAREAS'!AL6),'EDT Y TAREAS'!AE6/'EDT Y TAREAS'!M6,0),IF(AND(105&gt;='EDT Y TAREAS'!AK8,105&lt;'EDT Y TAREAS'!AL8),'EDT Y TAREAS'!AE8/'EDT Y TAREAS'!M8,0),IF(AND(105&gt;='EDT Y TAREAS'!AK9,105&lt;'EDT Y TAREAS'!AL9),'EDT Y TAREAS'!AE9/'EDT Y TAREAS'!M9,0),IF(AND(105&gt;='EDT Y TAREAS'!AK10,105&lt;'EDT Y TAREAS'!AL10),'EDT Y TAREAS'!AE10/'EDT Y TAREAS'!M10,0),IF(AND(105&gt;='EDT Y TAREAS'!AK12,105&lt;'EDT Y TAREAS'!AL12),'EDT Y TAREAS'!AE12/'EDT Y TAREAS'!M12,0),IF(AND(105&gt;='EDT Y TAREAS'!AK16,105&lt;'EDT Y TAREAS'!AL16),'EDT Y TAREAS'!AE16/'EDT Y TAREAS'!M16,0),IF(AND(105&gt;='EDT Y TAREAS'!AK21,105&lt;'EDT Y TAREAS'!AL21),'EDT Y TAREAS'!AE21/'EDT Y TAREAS'!M21,0),IF(AND(105&gt;='EDT Y TAREAS'!AK23,105&lt;'EDT Y TAREAS'!AL23),'EDT Y TAREAS'!AE23/'EDT Y TAREAS'!M23,0),IF(AND(105&gt;='EDT Y TAREAS'!AK37,105&lt;'EDT Y TAREAS'!AL37),'EDT Y TAREAS'!AE37/'EDT Y TAREAS'!M37,0),IF(AND(105&gt;='EDT Y TAREAS'!AK38,105&lt;'EDT Y TAREAS'!AL38),'EDT Y TAREAS'!AE38/'EDT Y TAREAS'!M38,0),IF(AND(105&gt;='EDT Y TAREAS'!AK41,105&lt;'EDT Y TAREAS'!AL41),'EDT Y TAREAS'!AE41/'EDT Y TAREAS'!M41,0),IF(AND(105&gt;='EDT Y TAREAS'!AK43,105&lt;'EDT Y TAREAS'!AL43),'EDT Y TAREAS'!AE43/'EDT Y TAREAS'!M43,0),IF(AND(105&gt;='EDT Y TAREAS'!AK44,105&lt;'EDT Y TAREAS'!AL44),'EDT Y TAREAS'!AE44/'EDT Y TAREAS'!M44,0),IF(AND(105&gt;='EDT Y TAREAS'!AK46,105&lt;'EDT Y TAREAS'!AL46),'EDT Y TAREAS'!AE46/'EDT Y TAREAS'!M46,0),IF(AND(105&gt;='EDT Y TAREAS'!AK47,105&lt;'EDT Y TAREAS'!AL47),'EDT Y TAREAS'!AE47/'EDT Y TAREAS'!M47,0),IF(AND(105&gt;='EDT Y TAREAS'!AK51,105&lt;'EDT Y TAREAS'!AL51),'EDT Y TAREAS'!AE51/'EDT Y TAREAS'!M51,0),IF(AND(105&gt;='EDT Y TAREAS'!AK52,105&lt;'EDT Y TAREAS'!AL52),'EDT Y TAREAS'!AE52/'EDT Y TAREAS'!M52,0))</x:f>
        <x:v>0</x:v>
      </x:c>
      <x:c r="D145" s="35" t="n">
        <x:f>SUM(IF(AND(105&gt;='EDT Y TAREAS'!AK11,105&lt;'EDT Y TAREAS'!AL11),'EDT Y TAREAS'!AF11/'EDT Y TAREAS'!M11,0),IF(AND(105&gt;='EDT Y TAREAS'!AK24,105&lt;'EDT Y TAREAS'!AL24),'EDT Y TAREAS'!AF24/'EDT Y TAREAS'!M24,0),IF(AND(105&gt;='EDT Y TAREAS'!AK25,105&lt;'EDT Y TAREAS'!AL25),'EDT Y TAREAS'!AF25/'EDT Y TAREAS'!M25,0),IF(AND(105&gt;='EDT Y TAREAS'!AK26,105&lt;'EDT Y TAREAS'!AL26),'EDT Y TAREAS'!AF26/'EDT Y TAREAS'!M26,0),IF(AND(105&gt;='EDT Y TAREAS'!AK27,105&lt;'EDT Y TAREAS'!AL27),'EDT Y TAREAS'!AF27/'EDT Y TAREAS'!M27,0),IF(AND(105&gt;='EDT Y TAREAS'!AK28,105&lt;'EDT Y TAREAS'!AL28),'EDT Y TAREAS'!AF28/'EDT Y TAREAS'!M28,0),IF(AND(105&gt;='EDT Y TAREAS'!AK31,105&lt;'EDT Y TAREAS'!AL31),'EDT Y TAREAS'!AF31/'EDT Y TAREAS'!M31,0),IF(AND(105&gt;='EDT Y TAREAS'!AK33,105&lt;'EDT Y TAREAS'!AL33),'EDT Y TAREAS'!AF33/'EDT Y TAREAS'!M33,0),IF(AND(105&gt;='EDT Y TAREAS'!AK34,105&lt;'EDT Y TAREAS'!AL34),'EDT Y TAREAS'!AF34/'EDT Y TAREAS'!M34,0),IF(AND(105&gt;='EDT Y TAREAS'!AK35,105&lt;'EDT Y TAREAS'!AL35),'EDT Y TAREAS'!AF35/'EDT Y TAREAS'!M35,0),IF(AND(105&gt;='EDT Y TAREAS'!AK37,105&lt;'EDT Y TAREAS'!AL37),'EDT Y TAREAS'!AF37/'EDT Y TAREAS'!M37,0),IF(AND(105&gt;='EDT Y TAREAS'!AK39,105&lt;'EDT Y TAREAS'!AL39),'EDT Y TAREAS'!AF39/'EDT Y TAREAS'!M39,0),IF(AND(105&gt;='EDT Y TAREAS'!AK40,105&lt;'EDT Y TAREAS'!AL40),'EDT Y TAREAS'!AF40/'EDT Y TAREAS'!M40,0),IF(AND(105&gt;='EDT Y TAREAS'!AK42,105&lt;'EDT Y TAREAS'!AL42),'EDT Y TAREAS'!AF42/'EDT Y TAREAS'!M42,0),IF(AND(105&gt;='EDT Y TAREAS'!AK45,105&lt;'EDT Y TAREAS'!AL45),'EDT Y TAREAS'!AF45/'EDT Y TAREAS'!M45,0),IF(AND(105&gt;='EDT Y TAREAS'!AK49,105&lt;'EDT Y TAREAS'!AL49),'EDT Y TAREAS'!AF49/'EDT Y TAREAS'!M49,0),IF(AND(105&gt;='EDT Y TAREAS'!AK52,105&lt;'EDT Y TAREAS'!AL52),'EDT Y TAREAS'!AF52/'EDT Y TAREAS'!M52,0))</x:f>
        <x:v>2</x:v>
      </x:c>
      <x:c r="E145" s="35" t="n">
        <x:f>SUM(IF(AND(105&gt;='EDT Y TAREAS'!AK29,105&lt;'EDT Y TAREAS'!AL29),'EDT Y TAREAS'!AG29/'EDT Y TAREAS'!M29,0),IF(AND(105&gt;='EDT Y TAREAS'!AK30,105&lt;'EDT Y TAREAS'!AL30),'EDT Y TAREAS'!AG30/'EDT Y TAREAS'!M30,0),IF(AND(105&gt;='EDT Y TAREAS'!AK31,105&lt;'EDT Y TAREAS'!AL31),'EDT Y TAREAS'!AG31/'EDT Y TAREAS'!M31,0),IF(AND(105&gt;='EDT Y TAREAS'!AK32,105&lt;'EDT Y TAREAS'!AL32),'EDT Y TAREAS'!AG32/'EDT Y TAREAS'!M32,0),IF(AND(105&gt;='EDT Y TAREAS'!AK41,105&lt;'EDT Y TAREAS'!AL41),'EDT Y TAREAS'!AG41/'EDT Y TAREAS'!M41,0),IF(AND(105&gt;='EDT Y TAREAS'!AK45,105&lt;'EDT Y TAREAS'!AL45),'EDT Y TAREAS'!AG45/'EDT Y TAREAS'!M45,0),IF(AND(105&gt;='EDT Y TAREAS'!AK48,105&lt;'EDT Y TAREAS'!AL48),'EDT Y TAREAS'!AG48/'EDT Y TAREAS'!M48,0))</x:f>
        <x:v>0</x:v>
      </x:c>
      <x:c r="F145" s="35" t="n">
        <x:f>SUM(IF(AND(105&gt;='EDT Y TAREAS'!AK10,105&lt;'EDT Y TAREAS'!AL10),'EDT Y TAREAS'!AH10/'EDT Y TAREAS'!M10,0),IF(AND(105&gt;='EDT Y TAREAS'!AK12,105&lt;'EDT Y TAREAS'!AL12),'EDT Y TAREAS'!AH12/'EDT Y TAREAS'!M12,0),IF(AND(105&gt;='EDT Y TAREAS'!AK22,105&lt;'EDT Y TAREAS'!AL22),'EDT Y TAREAS'!AH22/'EDT Y TAREAS'!M22,0),IF(AND(105&gt;='EDT Y TAREAS'!AK23,105&lt;'EDT Y TAREAS'!AL23),'EDT Y TAREAS'!AH23/'EDT Y TAREAS'!M23,0),IF(AND(105&gt;='EDT Y TAREAS'!AK29,105&lt;'EDT Y TAREAS'!AL29),'EDT Y TAREAS'!AH29/'EDT Y TAREAS'!M29,0),IF(AND(105&gt;='EDT Y TAREAS'!AK30,105&lt;'EDT Y TAREAS'!AL30),'EDT Y TAREAS'!AH30/'EDT Y TAREAS'!M30,0),IF(AND(105&gt;='EDT Y TAREAS'!AK32,105&lt;'EDT Y TAREAS'!AL32),'EDT Y TAREAS'!AH32/'EDT Y TAREAS'!M32,0),IF(AND(105&gt;='EDT Y TAREAS'!AK41,105&lt;'EDT Y TAREAS'!AL41),'EDT Y TAREAS'!AH41/'EDT Y TAREAS'!M41,0),IF(AND(105&gt;='EDT Y TAREAS'!AK44,105&lt;'EDT Y TAREAS'!AL44),'EDT Y TAREAS'!AH44/'EDT Y TAREAS'!M44,0),IF(AND(105&gt;='EDT Y TAREAS'!AK46,105&lt;'EDT Y TAREAS'!AL46),'EDT Y TAREAS'!AH46/'EDT Y TAREAS'!M46,0),IF(AND(105&gt;='EDT Y TAREAS'!AK48,105&lt;'EDT Y TAREAS'!AL48),'EDT Y TAREAS'!AH48/'EDT Y TAREAS'!M48,0))</x:f>
        <x:v>0</x:v>
      </x:c>
      <x:c r="G145" s="35" t="n">
        <x:f>SUM(IF(AND(105&gt;='EDT Y TAREAS'!AK20,105&lt;'EDT Y TAREAS'!AL20),'EDT Y TAREAS'!AI20/'EDT Y TAREAS'!M20,0),IF(AND(105&gt;='EDT Y TAREAS'!AK25,105&lt;'EDT Y TAREAS'!AL25),'EDT Y TAREAS'!AI25/'EDT Y TAREAS'!M25,0),IF(AND(105&gt;='EDT Y TAREAS'!AK33,105&lt;'EDT Y TAREAS'!AL33),'EDT Y TAREAS'!AI33/'EDT Y TAREAS'!M33,0),IF(AND(105&gt;='EDT Y TAREAS'!AK34,105&lt;'EDT Y TAREAS'!AL34),'EDT Y TAREAS'!AI34/'EDT Y TAREAS'!M34,0),IF(AND(105&gt;='EDT Y TAREAS'!AK36,105&lt;'EDT Y TAREAS'!AL36),'EDT Y TAREAS'!AI36/'EDT Y TAREAS'!M36,0),IF(AND(105&gt;='EDT Y TAREAS'!AK39,105&lt;'EDT Y TAREAS'!AL39),'EDT Y TAREAS'!AI39/'EDT Y TAREAS'!M39,0),IF(AND(105&gt;='EDT Y TAREAS'!AK40,105&lt;'EDT Y TAREAS'!AL40),'EDT Y TAREAS'!AI40/'EDT Y TAREAS'!M40,0),IF(AND(105&gt;='EDT Y TAREAS'!AK42,105&lt;'EDT Y TAREAS'!AL42),'EDT Y TAREAS'!AI42/'EDT Y TAREAS'!M42,0),IF(AND(105&gt;='EDT Y TAREAS'!AK43,105&lt;'EDT Y TAREAS'!AL43),'EDT Y TAREAS'!AI43/'EDT Y TAREAS'!M43,0),IF(AND(105&gt;='EDT Y TAREAS'!AK44,105&lt;'EDT Y TAREAS'!AL44),'EDT Y TAREAS'!AI44/'EDT Y TAREAS'!M44,0),IF(AND(105&gt;='EDT Y TAREAS'!AK45,105&lt;'EDT Y TAREAS'!AL45),'EDT Y TAREAS'!AI45/'EDT Y TAREAS'!M45,0),IF(AND(105&gt;='EDT Y TAREAS'!AK46,105&lt;'EDT Y TAREAS'!AL46),'EDT Y TAREAS'!AI46/'EDT Y TAREAS'!M46,0),IF(AND(105&gt;='EDT Y TAREAS'!AK48,105&lt;'EDT Y TAREAS'!AL48),'EDT Y TAREAS'!AI48/'EDT Y TAREAS'!M48,0),IF(AND(105&gt;='EDT Y TAREAS'!AK50,105&lt;'EDT Y TAREAS'!AL50),'EDT Y TAREAS'!AI50/'EDT Y TAREAS'!M50,0),IF(AND(105&gt;='EDT Y TAREAS'!AK52,105&lt;'EDT Y TAREAS'!AL52),'EDT Y TAREAS'!AI52/'EDT Y TAREAS'!M52,0))</x:f>
        <x:v>5</x:v>
      </x:c>
      <x:c r="H145" s="35" t="n">
        <x:f>SUM(IF(AND(105&gt;='EDT Y TAREAS'!AK11,105&lt;'EDT Y TAREAS'!AL11),'EDT Y TAREAS'!AJ11/'EDT Y TAREAS'!M11,0),IF(AND(105&gt;='EDT Y TAREAS'!AK24,105&lt;'EDT Y TAREAS'!AL24),'EDT Y TAREAS'!AJ24/'EDT Y TAREAS'!M24,0),IF(AND(105&gt;='EDT Y TAREAS'!AK27,105&lt;'EDT Y TAREAS'!AL27),'EDT Y TAREAS'!AJ27/'EDT Y TAREAS'!M27,0),IF(AND(105&gt;='EDT Y TAREAS'!AK28,105&lt;'EDT Y TAREAS'!AL28),'EDT Y TAREAS'!AJ28/'EDT Y TAREAS'!M28,0),IF(AND(105&gt;='EDT Y TAREAS'!AK33,105&lt;'EDT Y TAREAS'!AL33),'EDT Y TAREAS'!AJ33/'EDT Y TAREAS'!M33,0),IF(AND(105&gt;='EDT Y TAREAS'!AK35,105&lt;'EDT Y TAREAS'!AL35),'EDT Y TAREAS'!AJ35/'EDT Y TAREAS'!M35,0),IF(AND(105&gt;='EDT Y TAREAS'!AK36,105&lt;'EDT Y TAREAS'!AL36),'EDT Y TAREAS'!AJ36/'EDT Y TAREAS'!M36,0),IF(AND(105&gt;='EDT Y TAREAS'!AK37,105&lt;'EDT Y TAREAS'!AL37),'EDT Y TAREAS'!AJ37/'EDT Y TAREAS'!M37,0),IF(AND(105&gt;='EDT Y TAREAS'!AK40,105&lt;'EDT Y TAREAS'!AL40),'EDT Y TAREAS'!AJ40/'EDT Y TAREAS'!M40,0),IF(AND(105&gt;='EDT Y TAREAS'!AK42,105&lt;'EDT Y TAREAS'!AL42),'EDT Y TAREAS'!AJ42/'EDT Y TAREAS'!M42,0),IF(AND(105&gt;='EDT Y TAREAS'!AK49,105&lt;'EDT Y TAREAS'!AL49),'EDT Y TAREAS'!AJ49/'EDT Y TAREAS'!M49,0),IF(AND(105&gt;='EDT Y TAREAS'!AK50,105&lt;'EDT Y TAREAS'!AL50),'EDT Y TAREAS'!AJ50/'EDT Y TAREAS'!M50,0),IF(AND(105&gt;='EDT Y TAREAS'!AK51,105&lt;'EDT Y TAREAS'!AL51),'EDT Y TAREAS'!AJ51/'EDT Y TAREAS'!M51,0),IF(AND(105&gt;='EDT Y TAREAS'!AK52,105&lt;'EDT Y TAREAS'!AL52),'EDT Y TAREAS'!AJ52/'EDT Y TAREAS'!M52,0))</x:f>
        <x:v>0</x:v>
      </x:c>
      <x:c r="I145" s="10" t="n">
        <x:f>WORKDAY('RESUMEN'!$D$3-1,A145,'RESUMEN'!$J$6:$J$25)</x:f>
        <x:v>46475</x:v>
      </x:c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  <x:c r="AC145" s="3"/>
      <x:c r="AD145" s="3"/>
      <x:c r="AE145" s="3"/>
      <x:c r="AF145" s="3"/>
      <x:c r="AG145" s="3"/>
      <x:c r="AH145" s="3"/>
      <x:c r="AI145" s="3"/>
      <x:c r="AJ145" s="3"/>
      <x:c r="AK145" s="3"/>
      <x:c r="AL145" s="3"/>
      <x:c r="AM145" s="3"/>
      <x:c r="AN145" s="3"/>
      <x:c r="AO145" s="3"/>
    </x:row>
    <x:row r="146" ht="24" customHeight="1">
      <x:c r="A146" s="3" t="n">
        <x:v>107</x:v>
      </x:c>
      <x:c r="B146" s="35" t="n">
        <x:f>SUM(IF(AND(106&gt;='EDT Y TAREAS'!AK6,106&lt;'EDT Y TAREAS'!AL6),'EDT Y TAREAS'!AD6/'EDT Y TAREAS'!M6,0),IF(AND(106&gt;='EDT Y TAREAS'!AK7,106&lt;'EDT Y TAREAS'!AL7),'EDT Y TAREAS'!AD7/'EDT Y TAREAS'!M7,0),IF(AND(106&gt;='EDT Y TAREAS'!AK8,106&lt;'EDT Y TAREAS'!AL8),'EDT Y TAREAS'!AD8/'EDT Y TAREAS'!M8,0),IF(AND(106&gt;='EDT Y TAREAS'!AK9,106&lt;'EDT Y TAREAS'!AL9),'EDT Y TAREAS'!AD9/'EDT Y TAREAS'!M9,0),IF(AND(106&gt;='EDT Y TAREAS'!AK10,106&lt;'EDT Y TAREAS'!AL10),'EDT Y TAREAS'!AD10/'EDT Y TAREAS'!M10,0),IF(AND(106&gt;='EDT Y TAREAS'!AK11,106&lt;'EDT Y TAREAS'!AL11),'EDT Y TAREAS'!AD11/'EDT Y TAREAS'!M11,0),IF(AND(106&gt;='EDT Y TAREAS'!AK12,106&lt;'EDT Y TAREAS'!AL12),'EDT Y TAREAS'!AD12/'EDT Y TAREAS'!M12,0),IF(AND(106&gt;='EDT Y TAREAS'!AK13,106&lt;'EDT Y TAREAS'!AL13),'EDT Y TAREAS'!AD13/'EDT Y TAREAS'!M13,0),IF(AND(106&gt;='EDT Y TAREAS'!AK14,106&lt;'EDT Y TAREAS'!AL14),'EDT Y TAREAS'!AD14/'EDT Y TAREAS'!M14,0),IF(AND(106&gt;='EDT Y TAREAS'!AK15,106&lt;'EDT Y TAREAS'!AL15),'EDT Y TAREAS'!AD15/'EDT Y TAREAS'!M15,0),IF(AND(106&gt;='EDT Y TAREAS'!AK16,106&lt;'EDT Y TAREAS'!AL16),'EDT Y TAREAS'!AD16/'EDT Y TAREAS'!M16,0),IF(AND(106&gt;='EDT Y TAREAS'!AK17,106&lt;'EDT Y TAREAS'!AL17),'EDT Y TAREAS'!AD17/'EDT Y TAREAS'!M17,0),IF(AND(106&gt;='EDT Y TAREAS'!AK18,106&lt;'EDT Y TAREAS'!AL18),'EDT Y TAREAS'!AD18/'EDT Y TAREAS'!M18,0),IF(AND(106&gt;='EDT Y TAREAS'!AK19,106&lt;'EDT Y TAREAS'!AL19),'EDT Y TAREAS'!AD19/'EDT Y TAREAS'!M19,0),IF(AND(106&gt;='EDT Y TAREAS'!AK20,106&lt;'EDT Y TAREAS'!AL20),'EDT Y TAREAS'!AD20/'EDT Y TAREAS'!M20,0),IF(AND(106&gt;='EDT Y TAREAS'!AK21,106&lt;'EDT Y TAREAS'!AL21),'EDT Y TAREAS'!AD21/'EDT Y TAREAS'!M21,0),IF(AND(106&gt;='EDT Y TAREAS'!AK22,106&lt;'EDT Y TAREAS'!AL22),'EDT Y TAREAS'!AD22/'EDT Y TAREAS'!M22,0),IF(AND(106&gt;='EDT Y TAREAS'!AK23,106&lt;'EDT Y TAREAS'!AL23),'EDT Y TAREAS'!AD23/'EDT Y TAREAS'!M23,0),IF(AND(106&gt;='EDT Y TAREAS'!AK26,106&lt;'EDT Y TAREAS'!AL26),'EDT Y TAREAS'!AD26/'EDT Y TAREAS'!M26,0),IF(AND(106&gt;='EDT Y TAREAS'!AK28,106&lt;'EDT Y TAREAS'!AL28),'EDT Y TAREAS'!AD28/'EDT Y TAREAS'!M28,0),IF(AND(106&gt;='EDT Y TAREAS'!AK30,106&lt;'EDT Y TAREAS'!AL30),'EDT Y TAREAS'!AD30/'EDT Y TAREAS'!M30,0),IF(AND(106&gt;='EDT Y TAREAS'!AK32,106&lt;'EDT Y TAREAS'!AL32),'EDT Y TAREAS'!AD32/'EDT Y TAREAS'!M32,0),IF(AND(106&gt;='EDT Y TAREAS'!AK34,106&lt;'EDT Y TAREAS'!AL34),'EDT Y TAREAS'!AD34/'EDT Y TAREAS'!M34,0),IF(AND(106&gt;='EDT Y TAREAS'!AK38,106&lt;'EDT Y TAREAS'!AL38),'EDT Y TAREAS'!AD38/'EDT Y TAREAS'!M38,0),IF(AND(106&gt;='EDT Y TAREAS'!AK39,106&lt;'EDT Y TAREAS'!AL39),'EDT Y TAREAS'!AD39/'EDT Y TAREAS'!M39,0),IF(AND(106&gt;='EDT Y TAREAS'!AK43,106&lt;'EDT Y TAREAS'!AL43),'EDT Y TAREAS'!AD43/'EDT Y TAREAS'!M43,0),IF(AND(106&gt;='EDT Y TAREAS'!AK44,106&lt;'EDT Y TAREAS'!AL44),'EDT Y TAREAS'!AD44/'EDT Y TAREAS'!M44,0),IF(AND(106&gt;='EDT Y TAREAS'!AK45,106&lt;'EDT Y TAREAS'!AL45),'EDT Y TAREAS'!AD45/'EDT Y TAREAS'!M45,0),IF(AND(106&gt;='EDT Y TAREAS'!AK46,106&lt;'EDT Y TAREAS'!AL46),'EDT Y TAREAS'!AD46/'EDT Y TAREAS'!M46,0),IF(AND(106&gt;='EDT Y TAREAS'!AK47,106&lt;'EDT Y TAREAS'!AL47),'EDT Y TAREAS'!AD47/'EDT Y TAREAS'!M47,0),IF(AND(106&gt;='EDT Y TAREAS'!AK49,106&lt;'EDT Y TAREAS'!AL49),'EDT Y TAREAS'!AD49/'EDT Y TAREAS'!M49,0),IF(AND(106&gt;='EDT Y TAREAS'!AK50,106&lt;'EDT Y TAREAS'!AL50),'EDT Y TAREAS'!AD50/'EDT Y TAREAS'!M50,0),IF(AND(106&gt;='EDT Y TAREAS'!AK51,106&lt;'EDT Y TAREAS'!AL51),'EDT Y TAREAS'!AD51/'EDT Y TAREAS'!M51,0),IF(AND(106&gt;='EDT Y TAREAS'!AK52,106&lt;'EDT Y TAREAS'!AL52),'EDT Y TAREAS'!AD52/'EDT Y TAREAS'!M52,0))</x:f>
        <x:v>1.5</x:v>
      </x:c>
      <x:c r="C146" s="35" t="n">
        <x:f>SUM(IF(AND(106&gt;='EDT Y TAREAS'!AK6,106&lt;'EDT Y TAREAS'!AL6),'EDT Y TAREAS'!AE6/'EDT Y TAREAS'!M6,0),IF(AND(106&gt;='EDT Y TAREAS'!AK8,106&lt;'EDT Y TAREAS'!AL8),'EDT Y TAREAS'!AE8/'EDT Y TAREAS'!M8,0),IF(AND(106&gt;='EDT Y TAREAS'!AK9,106&lt;'EDT Y TAREAS'!AL9),'EDT Y TAREAS'!AE9/'EDT Y TAREAS'!M9,0),IF(AND(106&gt;='EDT Y TAREAS'!AK10,106&lt;'EDT Y TAREAS'!AL10),'EDT Y TAREAS'!AE10/'EDT Y TAREAS'!M10,0),IF(AND(106&gt;='EDT Y TAREAS'!AK12,106&lt;'EDT Y TAREAS'!AL12),'EDT Y TAREAS'!AE12/'EDT Y TAREAS'!M12,0),IF(AND(106&gt;='EDT Y TAREAS'!AK16,106&lt;'EDT Y TAREAS'!AL16),'EDT Y TAREAS'!AE16/'EDT Y TAREAS'!M16,0),IF(AND(106&gt;='EDT Y TAREAS'!AK21,106&lt;'EDT Y TAREAS'!AL21),'EDT Y TAREAS'!AE21/'EDT Y TAREAS'!M21,0),IF(AND(106&gt;='EDT Y TAREAS'!AK23,106&lt;'EDT Y TAREAS'!AL23),'EDT Y TAREAS'!AE23/'EDT Y TAREAS'!M23,0),IF(AND(106&gt;='EDT Y TAREAS'!AK37,106&lt;'EDT Y TAREAS'!AL37),'EDT Y TAREAS'!AE37/'EDT Y TAREAS'!M37,0),IF(AND(106&gt;='EDT Y TAREAS'!AK38,106&lt;'EDT Y TAREAS'!AL38),'EDT Y TAREAS'!AE38/'EDT Y TAREAS'!M38,0),IF(AND(106&gt;='EDT Y TAREAS'!AK41,106&lt;'EDT Y TAREAS'!AL41),'EDT Y TAREAS'!AE41/'EDT Y TAREAS'!M41,0),IF(AND(106&gt;='EDT Y TAREAS'!AK43,106&lt;'EDT Y TAREAS'!AL43),'EDT Y TAREAS'!AE43/'EDT Y TAREAS'!M43,0),IF(AND(106&gt;='EDT Y TAREAS'!AK44,106&lt;'EDT Y TAREAS'!AL44),'EDT Y TAREAS'!AE44/'EDT Y TAREAS'!M44,0),IF(AND(106&gt;='EDT Y TAREAS'!AK46,106&lt;'EDT Y TAREAS'!AL46),'EDT Y TAREAS'!AE46/'EDT Y TAREAS'!M46,0),IF(AND(106&gt;='EDT Y TAREAS'!AK47,106&lt;'EDT Y TAREAS'!AL47),'EDT Y TAREAS'!AE47/'EDT Y TAREAS'!M47,0),IF(AND(106&gt;='EDT Y TAREAS'!AK51,106&lt;'EDT Y TAREAS'!AL51),'EDT Y TAREAS'!AE51/'EDT Y TAREAS'!M51,0),IF(AND(106&gt;='EDT Y TAREAS'!AK52,106&lt;'EDT Y TAREAS'!AL52),'EDT Y TAREAS'!AE52/'EDT Y TAREAS'!M52,0))</x:f>
        <x:v>0</x:v>
      </x:c>
      <x:c r="D146" s="35" t="n">
        <x:f>SUM(IF(AND(106&gt;='EDT Y TAREAS'!AK11,106&lt;'EDT Y TAREAS'!AL11),'EDT Y TAREAS'!AF11/'EDT Y TAREAS'!M11,0),IF(AND(106&gt;='EDT Y TAREAS'!AK24,106&lt;'EDT Y TAREAS'!AL24),'EDT Y TAREAS'!AF24/'EDT Y TAREAS'!M24,0),IF(AND(106&gt;='EDT Y TAREAS'!AK25,106&lt;'EDT Y TAREAS'!AL25),'EDT Y TAREAS'!AF25/'EDT Y TAREAS'!M25,0),IF(AND(106&gt;='EDT Y TAREAS'!AK26,106&lt;'EDT Y TAREAS'!AL26),'EDT Y TAREAS'!AF26/'EDT Y TAREAS'!M26,0),IF(AND(106&gt;='EDT Y TAREAS'!AK27,106&lt;'EDT Y TAREAS'!AL27),'EDT Y TAREAS'!AF27/'EDT Y TAREAS'!M27,0),IF(AND(106&gt;='EDT Y TAREAS'!AK28,106&lt;'EDT Y TAREAS'!AL28),'EDT Y TAREAS'!AF28/'EDT Y TAREAS'!M28,0),IF(AND(106&gt;='EDT Y TAREAS'!AK31,106&lt;'EDT Y TAREAS'!AL31),'EDT Y TAREAS'!AF31/'EDT Y TAREAS'!M31,0),IF(AND(106&gt;='EDT Y TAREAS'!AK33,106&lt;'EDT Y TAREAS'!AL33),'EDT Y TAREAS'!AF33/'EDT Y TAREAS'!M33,0),IF(AND(106&gt;='EDT Y TAREAS'!AK34,106&lt;'EDT Y TAREAS'!AL34),'EDT Y TAREAS'!AF34/'EDT Y TAREAS'!M34,0),IF(AND(106&gt;='EDT Y TAREAS'!AK35,106&lt;'EDT Y TAREAS'!AL35),'EDT Y TAREAS'!AF35/'EDT Y TAREAS'!M35,0),IF(AND(106&gt;='EDT Y TAREAS'!AK37,106&lt;'EDT Y TAREAS'!AL37),'EDT Y TAREAS'!AF37/'EDT Y TAREAS'!M37,0),IF(AND(106&gt;='EDT Y TAREAS'!AK39,106&lt;'EDT Y TAREAS'!AL39),'EDT Y TAREAS'!AF39/'EDT Y TAREAS'!M39,0),IF(AND(106&gt;='EDT Y TAREAS'!AK40,106&lt;'EDT Y TAREAS'!AL40),'EDT Y TAREAS'!AF40/'EDT Y TAREAS'!M40,0),IF(AND(106&gt;='EDT Y TAREAS'!AK42,106&lt;'EDT Y TAREAS'!AL42),'EDT Y TAREAS'!AF42/'EDT Y TAREAS'!M42,0),IF(AND(106&gt;='EDT Y TAREAS'!AK45,106&lt;'EDT Y TAREAS'!AL45),'EDT Y TAREAS'!AF45/'EDT Y TAREAS'!M45,0),IF(AND(106&gt;='EDT Y TAREAS'!AK49,106&lt;'EDT Y TAREAS'!AL49),'EDT Y TAREAS'!AF49/'EDT Y TAREAS'!M49,0),IF(AND(106&gt;='EDT Y TAREAS'!AK52,106&lt;'EDT Y TAREAS'!AL52),'EDT Y TAREAS'!AF52/'EDT Y TAREAS'!M52,0))</x:f>
        <x:v>2</x:v>
      </x:c>
      <x:c r="E146" s="35" t="n">
        <x:f>SUM(IF(AND(106&gt;='EDT Y TAREAS'!AK29,106&lt;'EDT Y TAREAS'!AL29),'EDT Y TAREAS'!AG29/'EDT Y TAREAS'!M29,0),IF(AND(106&gt;='EDT Y TAREAS'!AK30,106&lt;'EDT Y TAREAS'!AL30),'EDT Y TAREAS'!AG30/'EDT Y TAREAS'!M30,0),IF(AND(106&gt;='EDT Y TAREAS'!AK31,106&lt;'EDT Y TAREAS'!AL31),'EDT Y TAREAS'!AG31/'EDT Y TAREAS'!M31,0),IF(AND(106&gt;='EDT Y TAREAS'!AK32,106&lt;'EDT Y TAREAS'!AL32),'EDT Y TAREAS'!AG32/'EDT Y TAREAS'!M32,0),IF(AND(106&gt;='EDT Y TAREAS'!AK41,106&lt;'EDT Y TAREAS'!AL41),'EDT Y TAREAS'!AG41/'EDT Y TAREAS'!M41,0),IF(AND(106&gt;='EDT Y TAREAS'!AK45,106&lt;'EDT Y TAREAS'!AL45),'EDT Y TAREAS'!AG45/'EDT Y TAREAS'!M45,0),IF(AND(106&gt;='EDT Y TAREAS'!AK48,106&lt;'EDT Y TAREAS'!AL48),'EDT Y TAREAS'!AG48/'EDT Y TAREAS'!M48,0))</x:f>
        <x:v>0</x:v>
      </x:c>
      <x:c r="F146" s="35" t="n">
        <x:f>SUM(IF(AND(106&gt;='EDT Y TAREAS'!AK10,106&lt;'EDT Y TAREAS'!AL10),'EDT Y TAREAS'!AH10/'EDT Y TAREAS'!M10,0),IF(AND(106&gt;='EDT Y TAREAS'!AK12,106&lt;'EDT Y TAREAS'!AL12),'EDT Y TAREAS'!AH12/'EDT Y TAREAS'!M12,0),IF(AND(106&gt;='EDT Y TAREAS'!AK22,106&lt;'EDT Y TAREAS'!AL22),'EDT Y TAREAS'!AH22/'EDT Y TAREAS'!M22,0),IF(AND(106&gt;='EDT Y TAREAS'!AK23,106&lt;'EDT Y TAREAS'!AL23),'EDT Y TAREAS'!AH23/'EDT Y TAREAS'!M23,0),IF(AND(106&gt;='EDT Y TAREAS'!AK29,106&lt;'EDT Y TAREAS'!AL29),'EDT Y TAREAS'!AH29/'EDT Y TAREAS'!M29,0),IF(AND(106&gt;='EDT Y TAREAS'!AK30,106&lt;'EDT Y TAREAS'!AL30),'EDT Y TAREAS'!AH30/'EDT Y TAREAS'!M30,0),IF(AND(106&gt;='EDT Y TAREAS'!AK32,106&lt;'EDT Y TAREAS'!AL32),'EDT Y TAREAS'!AH32/'EDT Y TAREAS'!M32,0),IF(AND(106&gt;='EDT Y TAREAS'!AK41,106&lt;'EDT Y TAREAS'!AL41),'EDT Y TAREAS'!AH41/'EDT Y TAREAS'!M41,0),IF(AND(106&gt;='EDT Y TAREAS'!AK44,106&lt;'EDT Y TAREAS'!AL44),'EDT Y TAREAS'!AH44/'EDT Y TAREAS'!M44,0),IF(AND(106&gt;='EDT Y TAREAS'!AK46,106&lt;'EDT Y TAREAS'!AL46),'EDT Y TAREAS'!AH46/'EDT Y TAREAS'!M46,0),IF(AND(106&gt;='EDT Y TAREAS'!AK48,106&lt;'EDT Y TAREAS'!AL48),'EDT Y TAREAS'!AH48/'EDT Y TAREAS'!M48,0))</x:f>
        <x:v>0</x:v>
      </x:c>
      <x:c r="G146" s="35" t="n">
        <x:f>SUM(IF(AND(106&gt;='EDT Y TAREAS'!AK20,106&lt;'EDT Y TAREAS'!AL20),'EDT Y TAREAS'!AI20/'EDT Y TAREAS'!M20,0),IF(AND(106&gt;='EDT Y TAREAS'!AK25,106&lt;'EDT Y TAREAS'!AL25),'EDT Y TAREAS'!AI25/'EDT Y TAREAS'!M25,0),IF(AND(106&gt;='EDT Y TAREAS'!AK33,106&lt;'EDT Y TAREAS'!AL33),'EDT Y TAREAS'!AI33/'EDT Y TAREAS'!M33,0),IF(AND(106&gt;='EDT Y TAREAS'!AK34,106&lt;'EDT Y TAREAS'!AL34),'EDT Y TAREAS'!AI34/'EDT Y TAREAS'!M34,0),IF(AND(106&gt;='EDT Y TAREAS'!AK36,106&lt;'EDT Y TAREAS'!AL36),'EDT Y TAREAS'!AI36/'EDT Y TAREAS'!M36,0),IF(AND(106&gt;='EDT Y TAREAS'!AK39,106&lt;'EDT Y TAREAS'!AL39),'EDT Y TAREAS'!AI39/'EDT Y TAREAS'!M39,0),IF(AND(106&gt;='EDT Y TAREAS'!AK40,106&lt;'EDT Y TAREAS'!AL40),'EDT Y TAREAS'!AI40/'EDT Y TAREAS'!M40,0),IF(AND(106&gt;='EDT Y TAREAS'!AK42,106&lt;'EDT Y TAREAS'!AL42),'EDT Y TAREAS'!AI42/'EDT Y TAREAS'!M42,0),IF(AND(106&gt;='EDT Y TAREAS'!AK43,106&lt;'EDT Y TAREAS'!AL43),'EDT Y TAREAS'!AI43/'EDT Y TAREAS'!M43,0),IF(AND(106&gt;='EDT Y TAREAS'!AK44,106&lt;'EDT Y TAREAS'!AL44),'EDT Y TAREAS'!AI44/'EDT Y TAREAS'!M44,0),IF(AND(106&gt;='EDT Y TAREAS'!AK45,106&lt;'EDT Y TAREAS'!AL45),'EDT Y TAREAS'!AI45/'EDT Y TAREAS'!M45,0),IF(AND(106&gt;='EDT Y TAREAS'!AK46,106&lt;'EDT Y TAREAS'!AL46),'EDT Y TAREAS'!AI46/'EDT Y TAREAS'!M46,0),IF(AND(106&gt;='EDT Y TAREAS'!AK48,106&lt;'EDT Y TAREAS'!AL48),'EDT Y TAREAS'!AI48/'EDT Y TAREAS'!M48,0),IF(AND(106&gt;='EDT Y TAREAS'!AK50,106&lt;'EDT Y TAREAS'!AL50),'EDT Y TAREAS'!AI50/'EDT Y TAREAS'!M50,0),IF(AND(106&gt;='EDT Y TAREAS'!AK52,106&lt;'EDT Y TAREAS'!AL52),'EDT Y TAREAS'!AI52/'EDT Y TAREAS'!M52,0))</x:f>
        <x:v>5</x:v>
      </x:c>
      <x:c r="H146" s="35" t="n">
        <x:f>SUM(IF(AND(106&gt;='EDT Y TAREAS'!AK11,106&lt;'EDT Y TAREAS'!AL11),'EDT Y TAREAS'!AJ11/'EDT Y TAREAS'!M11,0),IF(AND(106&gt;='EDT Y TAREAS'!AK24,106&lt;'EDT Y TAREAS'!AL24),'EDT Y TAREAS'!AJ24/'EDT Y TAREAS'!M24,0),IF(AND(106&gt;='EDT Y TAREAS'!AK27,106&lt;'EDT Y TAREAS'!AL27),'EDT Y TAREAS'!AJ27/'EDT Y TAREAS'!M27,0),IF(AND(106&gt;='EDT Y TAREAS'!AK28,106&lt;'EDT Y TAREAS'!AL28),'EDT Y TAREAS'!AJ28/'EDT Y TAREAS'!M28,0),IF(AND(106&gt;='EDT Y TAREAS'!AK33,106&lt;'EDT Y TAREAS'!AL33),'EDT Y TAREAS'!AJ33/'EDT Y TAREAS'!M33,0),IF(AND(106&gt;='EDT Y TAREAS'!AK35,106&lt;'EDT Y TAREAS'!AL35),'EDT Y TAREAS'!AJ35/'EDT Y TAREAS'!M35,0),IF(AND(106&gt;='EDT Y TAREAS'!AK36,106&lt;'EDT Y TAREAS'!AL36),'EDT Y TAREAS'!AJ36/'EDT Y TAREAS'!M36,0),IF(AND(106&gt;='EDT Y TAREAS'!AK37,106&lt;'EDT Y TAREAS'!AL37),'EDT Y TAREAS'!AJ37/'EDT Y TAREAS'!M37,0),IF(AND(106&gt;='EDT Y TAREAS'!AK40,106&lt;'EDT Y TAREAS'!AL40),'EDT Y TAREAS'!AJ40/'EDT Y TAREAS'!M40,0),IF(AND(106&gt;='EDT Y TAREAS'!AK42,106&lt;'EDT Y TAREAS'!AL42),'EDT Y TAREAS'!AJ42/'EDT Y TAREAS'!M42,0),IF(AND(106&gt;='EDT Y TAREAS'!AK49,106&lt;'EDT Y TAREAS'!AL49),'EDT Y TAREAS'!AJ49/'EDT Y TAREAS'!M49,0),IF(AND(106&gt;='EDT Y TAREAS'!AK50,106&lt;'EDT Y TAREAS'!AL50),'EDT Y TAREAS'!AJ50/'EDT Y TAREAS'!M50,0),IF(AND(106&gt;='EDT Y TAREAS'!AK51,106&lt;'EDT Y TAREAS'!AL51),'EDT Y TAREAS'!AJ51/'EDT Y TAREAS'!M51,0),IF(AND(106&gt;='EDT Y TAREAS'!AK52,106&lt;'EDT Y TAREAS'!AL52),'EDT Y TAREAS'!AJ52/'EDT Y TAREAS'!M52,0))</x:f>
        <x:v>0</x:v>
      </x:c>
      <x:c r="I146" s="10" t="n">
        <x:f>WORKDAY('RESUMEN'!$D$3-1,A146,'RESUMEN'!$J$6:$J$25)</x:f>
        <x:v>46476</x:v>
      </x:c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  <x:c r="AO146" s="3"/>
    </x:row>
    <x:row r="147" ht="24" customHeight="1">
      <x:c r="A147" s="3" t="n">
        <x:v>108</x:v>
      </x:c>
      <x:c r="B147" s="35" t="n">
        <x:f>SUM(IF(AND(107&gt;='EDT Y TAREAS'!AK6,107&lt;'EDT Y TAREAS'!AL6),'EDT Y TAREAS'!AD6/'EDT Y TAREAS'!M6,0),IF(AND(107&gt;='EDT Y TAREAS'!AK7,107&lt;'EDT Y TAREAS'!AL7),'EDT Y TAREAS'!AD7/'EDT Y TAREAS'!M7,0),IF(AND(107&gt;='EDT Y TAREAS'!AK8,107&lt;'EDT Y TAREAS'!AL8),'EDT Y TAREAS'!AD8/'EDT Y TAREAS'!M8,0),IF(AND(107&gt;='EDT Y TAREAS'!AK9,107&lt;'EDT Y TAREAS'!AL9),'EDT Y TAREAS'!AD9/'EDT Y TAREAS'!M9,0),IF(AND(107&gt;='EDT Y TAREAS'!AK10,107&lt;'EDT Y TAREAS'!AL10),'EDT Y TAREAS'!AD10/'EDT Y TAREAS'!M10,0),IF(AND(107&gt;='EDT Y TAREAS'!AK11,107&lt;'EDT Y TAREAS'!AL11),'EDT Y TAREAS'!AD11/'EDT Y TAREAS'!M11,0),IF(AND(107&gt;='EDT Y TAREAS'!AK12,107&lt;'EDT Y TAREAS'!AL12),'EDT Y TAREAS'!AD12/'EDT Y TAREAS'!M12,0),IF(AND(107&gt;='EDT Y TAREAS'!AK13,107&lt;'EDT Y TAREAS'!AL13),'EDT Y TAREAS'!AD13/'EDT Y TAREAS'!M13,0),IF(AND(107&gt;='EDT Y TAREAS'!AK14,107&lt;'EDT Y TAREAS'!AL14),'EDT Y TAREAS'!AD14/'EDT Y TAREAS'!M14,0),IF(AND(107&gt;='EDT Y TAREAS'!AK15,107&lt;'EDT Y TAREAS'!AL15),'EDT Y TAREAS'!AD15/'EDT Y TAREAS'!M15,0),IF(AND(107&gt;='EDT Y TAREAS'!AK16,107&lt;'EDT Y TAREAS'!AL16),'EDT Y TAREAS'!AD16/'EDT Y TAREAS'!M16,0),IF(AND(107&gt;='EDT Y TAREAS'!AK17,107&lt;'EDT Y TAREAS'!AL17),'EDT Y TAREAS'!AD17/'EDT Y TAREAS'!M17,0),IF(AND(107&gt;='EDT Y TAREAS'!AK18,107&lt;'EDT Y TAREAS'!AL18),'EDT Y TAREAS'!AD18/'EDT Y TAREAS'!M18,0),IF(AND(107&gt;='EDT Y TAREAS'!AK19,107&lt;'EDT Y TAREAS'!AL19),'EDT Y TAREAS'!AD19/'EDT Y TAREAS'!M19,0),IF(AND(107&gt;='EDT Y TAREAS'!AK20,107&lt;'EDT Y TAREAS'!AL20),'EDT Y TAREAS'!AD20/'EDT Y TAREAS'!M20,0),IF(AND(107&gt;='EDT Y TAREAS'!AK21,107&lt;'EDT Y TAREAS'!AL21),'EDT Y TAREAS'!AD21/'EDT Y TAREAS'!M21,0),IF(AND(107&gt;='EDT Y TAREAS'!AK22,107&lt;'EDT Y TAREAS'!AL22),'EDT Y TAREAS'!AD22/'EDT Y TAREAS'!M22,0),IF(AND(107&gt;='EDT Y TAREAS'!AK23,107&lt;'EDT Y TAREAS'!AL23),'EDT Y TAREAS'!AD23/'EDT Y TAREAS'!M23,0),IF(AND(107&gt;='EDT Y TAREAS'!AK26,107&lt;'EDT Y TAREAS'!AL26),'EDT Y TAREAS'!AD26/'EDT Y TAREAS'!M26,0),IF(AND(107&gt;='EDT Y TAREAS'!AK28,107&lt;'EDT Y TAREAS'!AL28),'EDT Y TAREAS'!AD28/'EDT Y TAREAS'!M28,0),IF(AND(107&gt;='EDT Y TAREAS'!AK30,107&lt;'EDT Y TAREAS'!AL30),'EDT Y TAREAS'!AD30/'EDT Y TAREAS'!M30,0),IF(AND(107&gt;='EDT Y TAREAS'!AK32,107&lt;'EDT Y TAREAS'!AL32),'EDT Y TAREAS'!AD32/'EDT Y TAREAS'!M32,0),IF(AND(107&gt;='EDT Y TAREAS'!AK34,107&lt;'EDT Y TAREAS'!AL34),'EDT Y TAREAS'!AD34/'EDT Y TAREAS'!M34,0),IF(AND(107&gt;='EDT Y TAREAS'!AK38,107&lt;'EDT Y TAREAS'!AL38),'EDT Y TAREAS'!AD38/'EDT Y TAREAS'!M38,0),IF(AND(107&gt;='EDT Y TAREAS'!AK39,107&lt;'EDT Y TAREAS'!AL39),'EDT Y TAREAS'!AD39/'EDT Y TAREAS'!M39,0),IF(AND(107&gt;='EDT Y TAREAS'!AK43,107&lt;'EDT Y TAREAS'!AL43),'EDT Y TAREAS'!AD43/'EDT Y TAREAS'!M43,0),IF(AND(107&gt;='EDT Y TAREAS'!AK44,107&lt;'EDT Y TAREAS'!AL44),'EDT Y TAREAS'!AD44/'EDT Y TAREAS'!M44,0),IF(AND(107&gt;='EDT Y TAREAS'!AK45,107&lt;'EDT Y TAREAS'!AL45),'EDT Y TAREAS'!AD45/'EDT Y TAREAS'!M45,0),IF(AND(107&gt;='EDT Y TAREAS'!AK46,107&lt;'EDT Y TAREAS'!AL46),'EDT Y TAREAS'!AD46/'EDT Y TAREAS'!M46,0),IF(AND(107&gt;='EDT Y TAREAS'!AK47,107&lt;'EDT Y TAREAS'!AL47),'EDT Y TAREAS'!AD47/'EDT Y TAREAS'!M47,0),IF(AND(107&gt;='EDT Y TAREAS'!AK49,107&lt;'EDT Y TAREAS'!AL49),'EDT Y TAREAS'!AD49/'EDT Y TAREAS'!M49,0),IF(AND(107&gt;='EDT Y TAREAS'!AK50,107&lt;'EDT Y TAREAS'!AL50),'EDT Y TAREAS'!AD50/'EDT Y TAREAS'!M50,0),IF(AND(107&gt;='EDT Y TAREAS'!AK51,107&lt;'EDT Y TAREAS'!AL51),'EDT Y TAREAS'!AD51/'EDT Y TAREAS'!M51,0),IF(AND(107&gt;='EDT Y TAREAS'!AK52,107&lt;'EDT Y TAREAS'!AL52),'EDT Y TAREAS'!AD52/'EDT Y TAREAS'!M52,0))</x:f>
        <x:v>1.5</x:v>
      </x:c>
      <x:c r="C147" s="35" t="n">
        <x:f>SUM(IF(AND(107&gt;='EDT Y TAREAS'!AK6,107&lt;'EDT Y TAREAS'!AL6),'EDT Y TAREAS'!AE6/'EDT Y TAREAS'!M6,0),IF(AND(107&gt;='EDT Y TAREAS'!AK8,107&lt;'EDT Y TAREAS'!AL8),'EDT Y TAREAS'!AE8/'EDT Y TAREAS'!M8,0),IF(AND(107&gt;='EDT Y TAREAS'!AK9,107&lt;'EDT Y TAREAS'!AL9),'EDT Y TAREAS'!AE9/'EDT Y TAREAS'!M9,0),IF(AND(107&gt;='EDT Y TAREAS'!AK10,107&lt;'EDT Y TAREAS'!AL10),'EDT Y TAREAS'!AE10/'EDT Y TAREAS'!M10,0),IF(AND(107&gt;='EDT Y TAREAS'!AK12,107&lt;'EDT Y TAREAS'!AL12),'EDT Y TAREAS'!AE12/'EDT Y TAREAS'!M12,0),IF(AND(107&gt;='EDT Y TAREAS'!AK16,107&lt;'EDT Y TAREAS'!AL16),'EDT Y TAREAS'!AE16/'EDT Y TAREAS'!M16,0),IF(AND(107&gt;='EDT Y TAREAS'!AK21,107&lt;'EDT Y TAREAS'!AL21),'EDT Y TAREAS'!AE21/'EDT Y TAREAS'!M21,0),IF(AND(107&gt;='EDT Y TAREAS'!AK23,107&lt;'EDT Y TAREAS'!AL23),'EDT Y TAREAS'!AE23/'EDT Y TAREAS'!M23,0),IF(AND(107&gt;='EDT Y TAREAS'!AK37,107&lt;'EDT Y TAREAS'!AL37),'EDT Y TAREAS'!AE37/'EDT Y TAREAS'!M37,0),IF(AND(107&gt;='EDT Y TAREAS'!AK38,107&lt;'EDT Y TAREAS'!AL38),'EDT Y TAREAS'!AE38/'EDT Y TAREAS'!M38,0),IF(AND(107&gt;='EDT Y TAREAS'!AK41,107&lt;'EDT Y TAREAS'!AL41),'EDT Y TAREAS'!AE41/'EDT Y TAREAS'!M41,0),IF(AND(107&gt;='EDT Y TAREAS'!AK43,107&lt;'EDT Y TAREAS'!AL43),'EDT Y TAREAS'!AE43/'EDT Y TAREAS'!M43,0),IF(AND(107&gt;='EDT Y TAREAS'!AK44,107&lt;'EDT Y TAREAS'!AL44),'EDT Y TAREAS'!AE44/'EDT Y TAREAS'!M44,0),IF(AND(107&gt;='EDT Y TAREAS'!AK46,107&lt;'EDT Y TAREAS'!AL46),'EDT Y TAREAS'!AE46/'EDT Y TAREAS'!M46,0),IF(AND(107&gt;='EDT Y TAREAS'!AK47,107&lt;'EDT Y TAREAS'!AL47),'EDT Y TAREAS'!AE47/'EDT Y TAREAS'!M47,0),IF(AND(107&gt;='EDT Y TAREAS'!AK51,107&lt;'EDT Y TAREAS'!AL51),'EDT Y TAREAS'!AE51/'EDT Y TAREAS'!M51,0),IF(AND(107&gt;='EDT Y TAREAS'!AK52,107&lt;'EDT Y TAREAS'!AL52),'EDT Y TAREAS'!AE52/'EDT Y TAREAS'!M52,0))</x:f>
        <x:v>0</x:v>
      </x:c>
      <x:c r="D147" s="35" t="n">
        <x:f>SUM(IF(AND(107&gt;='EDT Y TAREAS'!AK11,107&lt;'EDT Y TAREAS'!AL11),'EDT Y TAREAS'!AF11/'EDT Y TAREAS'!M11,0),IF(AND(107&gt;='EDT Y TAREAS'!AK24,107&lt;'EDT Y TAREAS'!AL24),'EDT Y TAREAS'!AF24/'EDT Y TAREAS'!M24,0),IF(AND(107&gt;='EDT Y TAREAS'!AK25,107&lt;'EDT Y TAREAS'!AL25),'EDT Y TAREAS'!AF25/'EDT Y TAREAS'!M25,0),IF(AND(107&gt;='EDT Y TAREAS'!AK26,107&lt;'EDT Y TAREAS'!AL26),'EDT Y TAREAS'!AF26/'EDT Y TAREAS'!M26,0),IF(AND(107&gt;='EDT Y TAREAS'!AK27,107&lt;'EDT Y TAREAS'!AL27),'EDT Y TAREAS'!AF27/'EDT Y TAREAS'!M27,0),IF(AND(107&gt;='EDT Y TAREAS'!AK28,107&lt;'EDT Y TAREAS'!AL28),'EDT Y TAREAS'!AF28/'EDT Y TAREAS'!M28,0),IF(AND(107&gt;='EDT Y TAREAS'!AK31,107&lt;'EDT Y TAREAS'!AL31),'EDT Y TAREAS'!AF31/'EDT Y TAREAS'!M31,0),IF(AND(107&gt;='EDT Y TAREAS'!AK33,107&lt;'EDT Y TAREAS'!AL33),'EDT Y TAREAS'!AF33/'EDT Y TAREAS'!M33,0),IF(AND(107&gt;='EDT Y TAREAS'!AK34,107&lt;'EDT Y TAREAS'!AL34),'EDT Y TAREAS'!AF34/'EDT Y TAREAS'!M34,0),IF(AND(107&gt;='EDT Y TAREAS'!AK35,107&lt;'EDT Y TAREAS'!AL35),'EDT Y TAREAS'!AF35/'EDT Y TAREAS'!M35,0),IF(AND(107&gt;='EDT Y TAREAS'!AK37,107&lt;'EDT Y TAREAS'!AL37),'EDT Y TAREAS'!AF37/'EDT Y TAREAS'!M37,0),IF(AND(107&gt;='EDT Y TAREAS'!AK39,107&lt;'EDT Y TAREAS'!AL39),'EDT Y TAREAS'!AF39/'EDT Y TAREAS'!M39,0),IF(AND(107&gt;='EDT Y TAREAS'!AK40,107&lt;'EDT Y TAREAS'!AL40),'EDT Y TAREAS'!AF40/'EDT Y TAREAS'!M40,0),IF(AND(107&gt;='EDT Y TAREAS'!AK42,107&lt;'EDT Y TAREAS'!AL42),'EDT Y TAREAS'!AF42/'EDT Y TAREAS'!M42,0),IF(AND(107&gt;='EDT Y TAREAS'!AK45,107&lt;'EDT Y TAREAS'!AL45),'EDT Y TAREAS'!AF45/'EDT Y TAREAS'!M45,0),IF(AND(107&gt;='EDT Y TAREAS'!AK49,107&lt;'EDT Y TAREAS'!AL49),'EDT Y TAREAS'!AF49/'EDT Y TAREAS'!M49,0),IF(AND(107&gt;='EDT Y TAREAS'!AK52,107&lt;'EDT Y TAREAS'!AL52),'EDT Y TAREAS'!AF52/'EDT Y TAREAS'!M52,0))</x:f>
        <x:v>2</x:v>
      </x:c>
      <x:c r="E147" s="35" t="n">
        <x:f>SUM(IF(AND(107&gt;='EDT Y TAREAS'!AK29,107&lt;'EDT Y TAREAS'!AL29),'EDT Y TAREAS'!AG29/'EDT Y TAREAS'!M29,0),IF(AND(107&gt;='EDT Y TAREAS'!AK30,107&lt;'EDT Y TAREAS'!AL30),'EDT Y TAREAS'!AG30/'EDT Y TAREAS'!M30,0),IF(AND(107&gt;='EDT Y TAREAS'!AK31,107&lt;'EDT Y TAREAS'!AL31),'EDT Y TAREAS'!AG31/'EDT Y TAREAS'!M31,0),IF(AND(107&gt;='EDT Y TAREAS'!AK32,107&lt;'EDT Y TAREAS'!AL32),'EDT Y TAREAS'!AG32/'EDT Y TAREAS'!M32,0),IF(AND(107&gt;='EDT Y TAREAS'!AK41,107&lt;'EDT Y TAREAS'!AL41),'EDT Y TAREAS'!AG41/'EDT Y TAREAS'!M41,0),IF(AND(107&gt;='EDT Y TAREAS'!AK45,107&lt;'EDT Y TAREAS'!AL45),'EDT Y TAREAS'!AG45/'EDT Y TAREAS'!M45,0),IF(AND(107&gt;='EDT Y TAREAS'!AK48,107&lt;'EDT Y TAREAS'!AL48),'EDT Y TAREAS'!AG48/'EDT Y TAREAS'!M48,0))</x:f>
        <x:v>0</x:v>
      </x:c>
      <x:c r="F147" s="35" t="n">
        <x:f>SUM(IF(AND(107&gt;='EDT Y TAREAS'!AK10,107&lt;'EDT Y TAREAS'!AL10),'EDT Y TAREAS'!AH10/'EDT Y TAREAS'!M10,0),IF(AND(107&gt;='EDT Y TAREAS'!AK12,107&lt;'EDT Y TAREAS'!AL12),'EDT Y TAREAS'!AH12/'EDT Y TAREAS'!M12,0),IF(AND(107&gt;='EDT Y TAREAS'!AK22,107&lt;'EDT Y TAREAS'!AL22),'EDT Y TAREAS'!AH22/'EDT Y TAREAS'!M22,0),IF(AND(107&gt;='EDT Y TAREAS'!AK23,107&lt;'EDT Y TAREAS'!AL23),'EDT Y TAREAS'!AH23/'EDT Y TAREAS'!M23,0),IF(AND(107&gt;='EDT Y TAREAS'!AK29,107&lt;'EDT Y TAREAS'!AL29),'EDT Y TAREAS'!AH29/'EDT Y TAREAS'!M29,0),IF(AND(107&gt;='EDT Y TAREAS'!AK30,107&lt;'EDT Y TAREAS'!AL30),'EDT Y TAREAS'!AH30/'EDT Y TAREAS'!M30,0),IF(AND(107&gt;='EDT Y TAREAS'!AK32,107&lt;'EDT Y TAREAS'!AL32),'EDT Y TAREAS'!AH32/'EDT Y TAREAS'!M32,0),IF(AND(107&gt;='EDT Y TAREAS'!AK41,107&lt;'EDT Y TAREAS'!AL41),'EDT Y TAREAS'!AH41/'EDT Y TAREAS'!M41,0),IF(AND(107&gt;='EDT Y TAREAS'!AK44,107&lt;'EDT Y TAREAS'!AL44),'EDT Y TAREAS'!AH44/'EDT Y TAREAS'!M44,0),IF(AND(107&gt;='EDT Y TAREAS'!AK46,107&lt;'EDT Y TAREAS'!AL46),'EDT Y TAREAS'!AH46/'EDT Y TAREAS'!M46,0),IF(AND(107&gt;='EDT Y TAREAS'!AK48,107&lt;'EDT Y TAREAS'!AL48),'EDT Y TAREAS'!AH48/'EDT Y TAREAS'!M48,0))</x:f>
        <x:v>0</x:v>
      </x:c>
      <x:c r="G147" s="35" t="n">
        <x:f>SUM(IF(AND(107&gt;='EDT Y TAREAS'!AK20,107&lt;'EDT Y TAREAS'!AL20),'EDT Y TAREAS'!AI20/'EDT Y TAREAS'!M20,0),IF(AND(107&gt;='EDT Y TAREAS'!AK25,107&lt;'EDT Y TAREAS'!AL25),'EDT Y TAREAS'!AI25/'EDT Y TAREAS'!M25,0),IF(AND(107&gt;='EDT Y TAREAS'!AK33,107&lt;'EDT Y TAREAS'!AL33),'EDT Y TAREAS'!AI33/'EDT Y TAREAS'!M33,0),IF(AND(107&gt;='EDT Y TAREAS'!AK34,107&lt;'EDT Y TAREAS'!AL34),'EDT Y TAREAS'!AI34/'EDT Y TAREAS'!M34,0),IF(AND(107&gt;='EDT Y TAREAS'!AK36,107&lt;'EDT Y TAREAS'!AL36),'EDT Y TAREAS'!AI36/'EDT Y TAREAS'!M36,0),IF(AND(107&gt;='EDT Y TAREAS'!AK39,107&lt;'EDT Y TAREAS'!AL39),'EDT Y TAREAS'!AI39/'EDT Y TAREAS'!M39,0),IF(AND(107&gt;='EDT Y TAREAS'!AK40,107&lt;'EDT Y TAREAS'!AL40),'EDT Y TAREAS'!AI40/'EDT Y TAREAS'!M40,0),IF(AND(107&gt;='EDT Y TAREAS'!AK42,107&lt;'EDT Y TAREAS'!AL42),'EDT Y TAREAS'!AI42/'EDT Y TAREAS'!M42,0),IF(AND(107&gt;='EDT Y TAREAS'!AK43,107&lt;'EDT Y TAREAS'!AL43),'EDT Y TAREAS'!AI43/'EDT Y TAREAS'!M43,0),IF(AND(107&gt;='EDT Y TAREAS'!AK44,107&lt;'EDT Y TAREAS'!AL44),'EDT Y TAREAS'!AI44/'EDT Y TAREAS'!M44,0),IF(AND(107&gt;='EDT Y TAREAS'!AK45,107&lt;'EDT Y TAREAS'!AL45),'EDT Y TAREAS'!AI45/'EDT Y TAREAS'!M45,0),IF(AND(107&gt;='EDT Y TAREAS'!AK46,107&lt;'EDT Y TAREAS'!AL46),'EDT Y TAREAS'!AI46/'EDT Y TAREAS'!M46,0),IF(AND(107&gt;='EDT Y TAREAS'!AK48,107&lt;'EDT Y TAREAS'!AL48),'EDT Y TAREAS'!AI48/'EDT Y TAREAS'!M48,0),IF(AND(107&gt;='EDT Y TAREAS'!AK50,107&lt;'EDT Y TAREAS'!AL50),'EDT Y TAREAS'!AI50/'EDT Y TAREAS'!M50,0),IF(AND(107&gt;='EDT Y TAREAS'!AK52,107&lt;'EDT Y TAREAS'!AL52),'EDT Y TAREAS'!AI52/'EDT Y TAREAS'!M52,0))</x:f>
        <x:v>5</x:v>
      </x:c>
      <x:c r="H147" s="35" t="n">
        <x:f>SUM(IF(AND(107&gt;='EDT Y TAREAS'!AK11,107&lt;'EDT Y TAREAS'!AL11),'EDT Y TAREAS'!AJ11/'EDT Y TAREAS'!M11,0),IF(AND(107&gt;='EDT Y TAREAS'!AK24,107&lt;'EDT Y TAREAS'!AL24),'EDT Y TAREAS'!AJ24/'EDT Y TAREAS'!M24,0),IF(AND(107&gt;='EDT Y TAREAS'!AK27,107&lt;'EDT Y TAREAS'!AL27),'EDT Y TAREAS'!AJ27/'EDT Y TAREAS'!M27,0),IF(AND(107&gt;='EDT Y TAREAS'!AK28,107&lt;'EDT Y TAREAS'!AL28),'EDT Y TAREAS'!AJ28/'EDT Y TAREAS'!M28,0),IF(AND(107&gt;='EDT Y TAREAS'!AK33,107&lt;'EDT Y TAREAS'!AL33),'EDT Y TAREAS'!AJ33/'EDT Y TAREAS'!M33,0),IF(AND(107&gt;='EDT Y TAREAS'!AK35,107&lt;'EDT Y TAREAS'!AL35),'EDT Y TAREAS'!AJ35/'EDT Y TAREAS'!M35,0),IF(AND(107&gt;='EDT Y TAREAS'!AK36,107&lt;'EDT Y TAREAS'!AL36),'EDT Y TAREAS'!AJ36/'EDT Y TAREAS'!M36,0),IF(AND(107&gt;='EDT Y TAREAS'!AK37,107&lt;'EDT Y TAREAS'!AL37),'EDT Y TAREAS'!AJ37/'EDT Y TAREAS'!M37,0),IF(AND(107&gt;='EDT Y TAREAS'!AK40,107&lt;'EDT Y TAREAS'!AL40),'EDT Y TAREAS'!AJ40/'EDT Y TAREAS'!M40,0),IF(AND(107&gt;='EDT Y TAREAS'!AK42,107&lt;'EDT Y TAREAS'!AL42),'EDT Y TAREAS'!AJ42/'EDT Y TAREAS'!M42,0),IF(AND(107&gt;='EDT Y TAREAS'!AK49,107&lt;'EDT Y TAREAS'!AL49),'EDT Y TAREAS'!AJ49/'EDT Y TAREAS'!M49,0),IF(AND(107&gt;='EDT Y TAREAS'!AK50,107&lt;'EDT Y TAREAS'!AL50),'EDT Y TAREAS'!AJ50/'EDT Y TAREAS'!M50,0),IF(AND(107&gt;='EDT Y TAREAS'!AK51,107&lt;'EDT Y TAREAS'!AL51),'EDT Y TAREAS'!AJ51/'EDT Y TAREAS'!M51,0),IF(AND(107&gt;='EDT Y TAREAS'!AK52,107&lt;'EDT Y TAREAS'!AL52),'EDT Y TAREAS'!AJ52/'EDT Y TAREAS'!M52,0))</x:f>
        <x:v>0</x:v>
      </x:c>
      <x:c r="I147" s="10" t="n">
        <x:f>WORKDAY('RESUMEN'!$D$3-1,A147,'RESUMEN'!$J$6:$J$25)</x:f>
        <x:v>46477</x:v>
      </x:c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  <x:c r="AC147" s="3"/>
      <x:c r="AD147" s="3"/>
      <x:c r="AE147" s="3"/>
      <x:c r="AF147" s="3"/>
      <x:c r="AG147" s="3"/>
      <x:c r="AH147" s="3"/>
      <x:c r="AI147" s="3"/>
      <x:c r="AJ147" s="3"/>
      <x:c r="AK147" s="3"/>
      <x:c r="AL147" s="3"/>
      <x:c r="AM147" s="3"/>
      <x:c r="AN147" s="3"/>
      <x:c r="AO147" s="3"/>
    </x:row>
    <x:row r="148" ht="24" customHeight="1">
      <x:c r="A148" s="3" t="n">
        <x:v>109</x:v>
      </x:c>
      <x:c r="B148" s="35" t="n">
        <x:f>SUM(IF(AND(108&gt;='EDT Y TAREAS'!AK6,108&lt;'EDT Y TAREAS'!AL6),'EDT Y TAREAS'!AD6/'EDT Y TAREAS'!M6,0),IF(AND(108&gt;='EDT Y TAREAS'!AK7,108&lt;'EDT Y TAREAS'!AL7),'EDT Y TAREAS'!AD7/'EDT Y TAREAS'!M7,0),IF(AND(108&gt;='EDT Y TAREAS'!AK8,108&lt;'EDT Y TAREAS'!AL8),'EDT Y TAREAS'!AD8/'EDT Y TAREAS'!M8,0),IF(AND(108&gt;='EDT Y TAREAS'!AK9,108&lt;'EDT Y TAREAS'!AL9),'EDT Y TAREAS'!AD9/'EDT Y TAREAS'!M9,0),IF(AND(108&gt;='EDT Y TAREAS'!AK10,108&lt;'EDT Y TAREAS'!AL10),'EDT Y TAREAS'!AD10/'EDT Y TAREAS'!M10,0),IF(AND(108&gt;='EDT Y TAREAS'!AK11,108&lt;'EDT Y TAREAS'!AL11),'EDT Y TAREAS'!AD11/'EDT Y TAREAS'!M11,0),IF(AND(108&gt;='EDT Y TAREAS'!AK12,108&lt;'EDT Y TAREAS'!AL12),'EDT Y TAREAS'!AD12/'EDT Y TAREAS'!M12,0),IF(AND(108&gt;='EDT Y TAREAS'!AK13,108&lt;'EDT Y TAREAS'!AL13),'EDT Y TAREAS'!AD13/'EDT Y TAREAS'!M13,0),IF(AND(108&gt;='EDT Y TAREAS'!AK14,108&lt;'EDT Y TAREAS'!AL14),'EDT Y TAREAS'!AD14/'EDT Y TAREAS'!M14,0),IF(AND(108&gt;='EDT Y TAREAS'!AK15,108&lt;'EDT Y TAREAS'!AL15),'EDT Y TAREAS'!AD15/'EDT Y TAREAS'!M15,0),IF(AND(108&gt;='EDT Y TAREAS'!AK16,108&lt;'EDT Y TAREAS'!AL16),'EDT Y TAREAS'!AD16/'EDT Y TAREAS'!M16,0),IF(AND(108&gt;='EDT Y TAREAS'!AK17,108&lt;'EDT Y TAREAS'!AL17),'EDT Y TAREAS'!AD17/'EDT Y TAREAS'!M17,0),IF(AND(108&gt;='EDT Y TAREAS'!AK18,108&lt;'EDT Y TAREAS'!AL18),'EDT Y TAREAS'!AD18/'EDT Y TAREAS'!M18,0),IF(AND(108&gt;='EDT Y TAREAS'!AK19,108&lt;'EDT Y TAREAS'!AL19),'EDT Y TAREAS'!AD19/'EDT Y TAREAS'!M19,0),IF(AND(108&gt;='EDT Y TAREAS'!AK20,108&lt;'EDT Y TAREAS'!AL20),'EDT Y TAREAS'!AD20/'EDT Y TAREAS'!M20,0),IF(AND(108&gt;='EDT Y TAREAS'!AK21,108&lt;'EDT Y TAREAS'!AL21),'EDT Y TAREAS'!AD21/'EDT Y TAREAS'!M21,0),IF(AND(108&gt;='EDT Y TAREAS'!AK22,108&lt;'EDT Y TAREAS'!AL22),'EDT Y TAREAS'!AD22/'EDT Y TAREAS'!M22,0),IF(AND(108&gt;='EDT Y TAREAS'!AK23,108&lt;'EDT Y TAREAS'!AL23),'EDT Y TAREAS'!AD23/'EDT Y TAREAS'!M23,0),IF(AND(108&gt;='EDT Y TAREAS'!AK26,108&lt;'EDT Y TAREAS'!AL26),'EDT Y TAREAS'!AD26/'EDT Y TAREAS'!M26,0),IF(AND(108&gt;='EDT Y TAREAS'!AK28,108&lt;'EDT Y TAREAS'!AL28),'EDT Y TAREAS'!AD28/'EDT Y TAREAS'!M28,0),IF(AND(108&gt;='EDT Y TAREAS'!AK30,108&lt;'EDT Y TAREAS'!AL30),'EDT Y TAREAS'!AD30/'EDT Y TAREAS'!M30,0),IF(AND(108&gt;='EDT Y TAREAS'!AK32,108&lt;'EDT Y TAREAS'!AL32),'EDT Y TAREAS'!AD32/'EDT Y TAREAS'!M32,0),IF(AND(108&gt;='EDT Y TAREAS'!AK34,108&lt;'EDT Y TAREAS'!AL34),'EDT Y TAREAS'!AD34/'EDT Y TAREAS'!M34,0),IF(AND(108&gt;='EDT Y TAREAS'!AK38,108&lt;'EDT Y TAREAS'!AL38),'EDT Y TAREAS'!AD38/'EDT Y TAREAS'!M38,0),IF(AND(108&gt;='EDT Y TAREAS'!AK39,108&lt;'EDT Y TAREAS'!AL39),'EDT Y TAREAS'!AD39/'EDT Y TAREAS'!M39,0),IF(AND(108&gt;='EDT Y TAREAS'!AK43,108&lt;'EDT Y TAREAS'!AL43),'EDT Y TAREAS'!AD43/'EDT Y TAREAS'!M43,0),IF(AND(108&gt;='EDT Y TAREAS'!AK44,108&lt;'EDT Y TAREAS'!AL44),'EDT Y TAREAS'!AD44/'EDT Y TAREAS'!M44,0),IF(AND(108&gt;='EDT Y TAREAS'!AK45,108&lt;'EDT Y TAREAS'!AL45),'EDT Y TAREAS'!AD45/'EDT Y TAREAS'!M45,0),IF(AND(108&gt;='EDT Y TAREAS'!AK46,108&lt;'EDT Y TAREAS'!AL46),'EDT Y TAREAS'!AD46/'EDT Y TAREAS'!M46,0),IF(AND(108&gt;='EDT Y TAREAS'!AK47,108&lt;'EDT Y TAREAS'!AL47),'EDT Y TAREAS'!AD47/'EDT Y TAREAS'!M47,0),IF(AND(108&gt;='EDT Y TAREAS'!AK49,108&lt;'EDT Y TAREAS'!AL49),'EDT Y TAREAS'!AD49/'EDT Y TAREAS'!M49,0),IF(AND(108&gt;='EDT Y TAREAS'!AK50,108&lt;'EDT Y TAREAS'!AL50),'EDT Y TAREAS'!AD50/'EDT Y TAREAS'!M50,0),IF(AND(108&gt;='EDT Y TAREAS'!AK51,108&lt;'EDT Y TAREAS'!AL51),'EDT Y TAREAS'!AD51/'EDT Y TAREAS'!M51,0),IF(AND(108&gt;='EDT Y TAREAS'!AK52,108&lt;'EDT Y TAREAS'!AL52),'EDT Y TAREAS'!AD52/'EDT Y TAREAS'!M52,0))</x:f>
        <x:v>1.5</x:v>
      </x:c>
      <x:c r="C148" s="35" t="n">
        <x:f>SUM(IF(AND(108&gt;='EDT Y TAREAS'!AK6,108&lt;'EDT Y TAREAS'!AL6),'EDT Y TAREAS'!AE6/'EDT Y TAREAS'!M6,0),IF(AND(108&gt;='EDT Y TAREAS'!AK8,108&lt;'EDT Y TAREAS'!AL8),'EDT Y TAREAS'!AE8/'EDT Y TAREAS'!M8,0),IF(AND(108&gt;='EDT Y TAREAS'!AK9,108&lt;'EDT Y TAREAS'!AL9),'EDT Y TAREAS'!AE9/'EDT Y TAREAS'!M9,0),IF(AND(108&gt;='EDT Y TAREAS'!AK10,108&lt;'EDT Y TAREAS'!AL10),'EDT Y TAREAS'!AE10/'EDT Y TAREAS'!M10,0),IF(AND(108&gt;='EDT Y TAREAS'!AK12,108&lt;'EDT Y TAREAS'!AL12),'EDT Y TAREAS'!AE12/'EDT Y TAREAS'!M12,0),IF(AND(108&gt;='EDT Y TAREAS'!AK16,108&lt;'EDT Y TAREAS'!AL16),'EDT Y TAREAS'!AE16/'EDT Y TAREAS'!M16,0),IF(AND(108&gt;='EDT Y TAREAS'!AK21,108&lt;'EDT Y TAREAS'!AL21),'EDT Y TAREAS'!AE21/'EDT Y TAREAS'!M21,0),IF(AND(108&gt;='EDT Y TAREAS'!AK23,108&lt;'EDT Y TAREAS'!AL23),'EDT Y TAREAS'!AE23/'EDT Y TAREAS'!M23,0),IF(AND(108&gt;='EDT Y TAREAS'!AK37,108&lt;'EDT Y TAREAS'!AL37),'EDT Y TAREAS'!AE37/'EDT Y TAREAS'!M37,0),IF(AND(108&gt;='EDT Y TAREAS'!AK38,108&lt;'EDT Y TAREAS'!AL38),'EDT Y TAREAS'!AE38/'EDT Y TAREAS'!M38,0),IF(AND(108&gt;='EDT Y TAREAS'!AK41,108&lt;'EDT Y TAREAS'!AL41),'EDT Y TAREAS'!AE41/'EDT Y TAREAS'!M41,0),IF(AND(108&gt;='EDT Y TAREAS'!AK43,108&lt;'EDT Y TAREAS'!AL43),'EDT Y TAREAS'!AE43/'EDT Y TAREAS'!M43,0),IF(AND(108&gt;='EDT Y TAREAS'!AK44,108&lt;'EDT Y TAREAS'!AL44),'EDT Y TAREAS'!AE44/'EDT Y TAREAS'!M44,0),IF(AND(108&gt;='EDT Y TAREAS'!AK46,108&lt;'EDT Y TAREAS'!AL46),'EDT Y TAREAS'!AE46/'EDT Y TAREAS'!M46,0),IF(AND(108&gt;='EDT Y TAREAS'!AK47,108&lt;'EDT Y TAREAS'!AL47),'EDT Y TAREAS'!AE47/'EDT Y TAREAS'!M47,0),IF(AND(108&gt;='EDT Y TAREAS'!AK51,108&lt;'EDT Y TAREAS'!AL51),'EDT Y TAREAS'!AE51/'EDT Y TAREAS'!M51,0),IF(AND(108&gt;='EDT Y TAREAS'!AK52,108&lt;'EDT Y TAREAS'!AL52),'EDT Y TAREAS'!AE52/'EDT Y TAREAS'!M52,0))</x:f>
        <x:v>0</x:v>
      </x:c>
      <x:c r="D148" s="35" t="n">
        <x:f>SUM(IF(AND(108&gt;='EDT Y TAREAS'!AK11,108&lt;'EDT Y TAREAS'!AL11),'EDT Y TAREAS'!AF11/'EDT Y TAREAS'!M11,0),IF(AND(108&gt;='EDT Y TAREAS'!AK24,108&lt;'EDT Y TAREAS'!AL24),'EDT Y TAREAS'!AF24/'EDT Y TAREAS'!M24,0),IF(AND(108&gt;='EDT Y TAREAS'!AK25,108&lt;'EDT Y TAREAS'!AL25),'EDT Y TAREAS'!AF25/'EDT Y TAREAS'!M25,0),IF(AND(108&gt;='EDT Y TAREAS'!AK26,108&lt;'EDT Y TAREAS'!AL26),'EDT Y TAREAS'!AF26/'EDT Y TAREAS'!M26,0),IF(AND(108&gt;='EDT Y TAREAS'!AK27,108&lt;'EDT Y TAREAS'!AL27),'EDT Y TAREAS'!AF27/'EDT Y TAREAS'!M27,0),IF(AND(108&gt;='EDT Y TAREAS'!AK28,108&lt;'EDT Y TAREAS'!AL28),'EDT Y TAREAS'!AF28/'EDT Y TAREAS'!M28,0),IF(AND(108&gt;='EDT Y TAREAS'!AK31,108&lt;'EDT Y TAREAS'!AL31),'EDT Y TAREAS'!AF31/'EDT Y TAREAS'!M31,0),IF(AND(108&gt;='EDT Y TAREAS'!AK33,108&lt;'EDT Y TAREAS'!AL33),'EDT Y TAREAS'!AF33/'EDT Y TAREAS'!M33,0),IF(AND(108&gt;='EDT Y TAREAS'!AK34,108&lt;'EDT Y TAREAS'!AL34),'EDT Y TAREAS'!AF34/'EDT Y TAREAS'!M34,0),IF(AND(108&gt;='EDT Y TAREAS'!AK35,108&lt;'EDT Y TAREAS'!AL35),'EDT Y TAREAS'!AF35/'EDT Y TAREAS'!M35,0),IF(AND(108&gt;='EDT Y TAREAS'!AK37,108&lt;'EDT Y TAREAS'!AL37),'EDT Y TAREAS'!AF37/'EDT Y TAREAS'!M37,0),IF(AND(108&gt;='EDT Y TAREAS'!AK39,108&lt;'EDT Y TAREAS'!AL39),'EDT Y TAREAS'!AF39/'EDT Y TAREAS'!M39,0),IF(AND(108&gt;='EDT Y TAREAS'!AK40,108&lt;'EDT Y TAREAS'!AL40),'EDT Y TAREAS'!AF40/'EDT Y TAREAS'!M40,0),IF(AND(108&gt;='EDT Y TAREAS'!AK42,108&lt;'EDT Y TAREAS'!AL42),'EDT Y TAREAS'!AF42/'EDT Y TAREAS'!M42,0),IF(AND(108&gt;='EDT Y TAREAS'!AK45,108&lt;'EDT Y TAREAS'!AL45),'EDT Y TAREAS'!AF45/'EDT Y TAREAS'!M45,0),IF(AND(108&gt;='EDT Y TAREAS'!AK49,108&lt;'EDT Y TAREAS'!AL49),'EDT Y TAREAS'!AF49/'EDT Y TAREAS'!M49,0),IF(AND(108&gt;='EDT Y TAREAS'!AK52,108&lt;'EDT Y TAREAS'!AL52),'EDT Y TAREAS'!AF52/'EDT Y TAREAS'!M52,0))</x:f>
        <x:v>2</x:v>
      </x:c>
      <x:c r="E148" s="35" t="n">
        <x:f>SUM(IF(AND(108&gt;='EDT Y TAREAS'!AK29,108&lt;'EDT Y TAREAS'!AL29),'EDT Y TAREAS'!AG29/'EDT Y TAREAS'!M29,0),IF(AND(108&gt;='EDT Y TAREAS'!AK30,108&lt;'EDT Y TAREAS'!AL30),'EDT Y TAREAS'!AG30/'EDT Y TAREAS'!M30,0),IF(AND(108&gt;='EDT Y TAREAS'!AK31,108&lt;'EDT Y TAREAS'!AL31),'EDT Y TAREAS'!AG31/'EDT Y TAREAS'!M31,0),IF(AND(108&gt;='EDT Y TAREAS'!AK32,108&lt;'EDT Y TAREAS'!AL32),'EDT Y TAREAS'!AG32/'EDT Y TAREAS'!M32,0),IF(AND(108&gt;='EDT Y TAREAS'!AK41,108&lt;'EDT Y TAREAS'!AL41),'EDT Y TAREAS'!AG41/'EDT Y TAREAS'!M41,0),IF(AND(108&gt;='EDT Y TAREAS'!AK45,108&lt;'EDT Y TAREAS'!AL45),'EDT Y TAREAS'!AG45/'EDT Y TAREAS'!M45,0),IF(AND(108&gt;='EDT Y TAREAS'!AK48,108&lt;'EDT Y TAREAS'!AL48),'EDT Y TAREAS'!AG48/'EDT Y TAREAS'!M48,0))</x:f>
        <x:v>0</x:v>
      </x:c>
      <x:c r="F148" s="35" t="n">
        <x:f>SUM(IF(AND(108&gt;='EDT Y TAREAS'!AK10,108&lt;'EDT Y TAREAS'!AL10),'EDT Y TAREAS'!AH10/'EDT Y TAREAS'!M10,0),IF(AND(108&gt;='EDT Y TAREAS'!AK12,108&lt;'EDT Y TAREAS'!AL12),'EDT Y TAREAS'!AH12/'EDT Y TAREAS'!M12,0),IF(AND(108&gt;='EDT Y TAREAS'!AK22,108&lt;'EDT Y TAREAS'!AL22),'EDT Y TAREAS'!AH22/'EDT Y TAREAS'!M22,0),IF(AND(108&gt;='EDT Y TAREAS'!AK23,108&lt;'EDT Y TAREAS'!AL23),'EDT Y TAREAS'!AH23/'EDT Y TAREAS'!M23,0),IF(AND(108&gt;='EDT Y TAREAS'!AK29,108&lt;'EDT Y TAREAS'!AL29),'EDT Y TAREAS'!AH29/'EDT Y TAREAS'!M29,0),IF(AND(108&gt;='EDT Y TAREAS'!AK30,108&lt;'EDT Y TAREAS'!AL30),'EDT Y TAREAS'!AH30/'EDT Y TAREAS'!M30,0),IF(AND(108&gt;='EDT Y TAREAS'!AK32,108&lt;'EDT Y TAREAS'!AL32),'EDT Y TAREAS'!AH32/'EDT Y TAREAS'!M32,0),IF(AND(108&gt;='EDT Y TAREAS'!AK41,108&lt;'EDT Y TAREAS'!AL41),'EDT Y TAREAS'!AH41/'EDT Y TAREAS'!M41,0),IF(AND(108&gt;='EDT Y TAREAS'!AK44,108&lt;'EDT Y TAREAS'!AL44),'EDT Y TAREAS'!AH44/'EDT Y TAREAS'!M44,0),IF(AND(108&gt;='EDT Y TAREAS'!AK46,108&lt;'EDT Y TAREAS'!AL46),'EDT Y TAREAS'!AH46/'EDT Y TAREAS'!M46,0),IF(AND(108&gt;='EDT Y TAREAS'!AK48,108&lt;'EDT Y TAREAS'!AL48),'EDT Y TAREAS'!AH48/'EDT Y TAREAS'!M48,0))</x:f>
        <x:v>0</x:v>
      </x:c>
      <x:c r="G148" s="35" t="n">
        <x:f>SUM(IF(AND(108&gt;='EDT Y TAREAS'!AK20,108&lt;'EDT Y TAREAS'!AL20),'EDT Y TAREAS'!AI20/'EDT Y TAREAS'!M20,0),IF(AND(108&gt;='EDT Y TAREAS'!AK25,108&lt;'EDT Y TAREAS'!AL25),'EDT Y TAREAS'!AI25/'EDT Y TAREAS'!M25,0),IF(AND(108&gt;='EDT Y TAREAS'!AK33,108&lt;'EDT Y TAREAS'!AL33),'EDT Y TAREAS'!AI33/'EDT Y TAREAS'!M33,0),IF(AND(108&gt;='EDT Y TAREAS'!AK34,108&lt;'EDT Y TAREAS'!AL34),'EDT Y TAREAS'!AI34/'EDT Y TAREAS'!M34,0),IF(AND(108&gt;='EDT Y TAREAS'!AK36,108&lt;'EDT Y TAREAS'!AL36),'EDT Y TAREAS'!AI36/'EDT Y TAREAS'!M36,0),IF(AND(108&gt;='EDT Y TAREAS'!AK39,108&lt;'EDT Y TAREAS'!AL39),'EDT Y TAREAS'!AI39/'EDT Y TAREAS'!M39,0),IF(AND(108&gt;='EDT Y TAREAS'!AK40,108&lt;'EDT Y TAREAS'!AL40),'EDT Y TAREAS'!AI40/'EDT Y TAREAS'!M40,0),IF(AND(108&gt;='EDT Y TAREAS'!AK42,108&lt;'EDT Y TAREAS'!AL42),'EDT Y TAREAS'!AI42/'EDT Y TAREAS'!M42,0),IF(AND(108&gt;='EDT Y TAREAS'!AK43,108&lt;'EDT Y TAREAS'!AL43),'EDT Y TAREAS'!AI43/'EDT Y TAREAS'!M43,0),IF(AND(108&gt;='EDT Y TAREAS'!AK44,108&lt;'EDT Y TAREAS'!AL44),'EDT Y TAREAS'!AI44/'EDT Y TAREAS'!M44,0),IF(AND(108&gt;='EDT Y TAREAS'!AK45,108&lt;'EDT Y TAREAS'!AL45),'EDT Y TAREAS'!AI45/'EDT Y TAREAS'!M45,0),IF(AND(108&gt;='EDT Y TAREAS'!AK46,108&lt;'EDT Y TAREAS'!AL46),'EDT Y TAREAS'!AI46/'EDT Y TAREAS'!M46,0),IF(AND(108&gt;='EDT Y TAREAS'!AK48,108&lt;'EDT Y TAREAS'!AL48),'EDT Y TAREAS'!AI48/'EDT Y TAREAS'!M48,0),IF(AND(108&gt;='EDT Y TAREAS'!AK50,108&lt;'EDT Y TAREAS'!AL50),'EDT Y TAREAS'!AI50/'EDT Y TAREAS'!M50,0),IF(AND(108&gt;='EDT Y TAREAS'!AK52,108&lt;'EDT Y TAREAS'!AL52),'EDT Y TAREAS'!AI52/'EDT Y TAREAS'!M52,0))</x:f>
        <x:v>5</x:v>
      </x:c>
      <x:c r="H148" s="35" t="n">
        <x:f>SUM(IF(AND(108&gt;='EDT Y TAREAS'!AK11,108&lt;'EDT Y TAREAS'!AL11),'EDT Y TAREAS'!AJ11/'EDT Y TAREAS'!M11,0),IF(AND(108&gt;='EDT Y TAREAS'!AK24,108&lt;'EDT Y TAREAS'!AL24),'EDT Y TAREAS'!AJ24/'EDT Y TAREAS'!M24,0),IF(AND(108&gt;='EDT Y TAREAS'!AK27,108&lt;'EDT Y TAREAS'!AL27),'EDT Y TAREAS'!AJ27/'EDT Y TAREAS'!M27,0),IF(AND(108&gt;='EDT Y TAREAS'!AK28,108&lt;'EDT Y TAREAS'!AL28),'EDT Y TAREAS'!AJ28/'EDT Y TAREAS'!M28,0),IF(AND(108&gt;='EDT Y TAREAS'!AK33,108&lt;'EDT Y TAREAS'!AL33),'EDT Y TAREAS'!AJ33/'EDT Y TAREAS'!M33,0),IF(AND(108&gt;='EDT Y TAREAS'!AK35,108&lt;'EDT Y TAREAS'!AL35),'EDT Y TAREAS'!AJ35/'EDT Y TAREAS'!M35,0),IF(AND(108&gt;='EDT Y TAREAS'!AK36,108&lt;'EDT Y TAREAS'!AL36),'EDT Y TAREAS'!AJ36/'EDT Y TAREAS'!M36,0),IF(AND(108&gt;='EDT Y TAREAS'!AK37,108&lt;'EDT Y TAREAS'!AL37),'EDT Y TAREAS'!AJ37/'EDT Y TAREAS'!M37,0),IF(AND(108&gt;='EDT Y TAREAS'!AK40,108&lt;'EDT Y TAREAS'!AL40),'EDT Y TAREAS'!AJ40/'EDT Y TAREAS'!M40,0),IF(AND(108&gt;='EDT Y TAREAS'!AK42,108&lt;'EDT Y TAREAS'!AL42),'EDT Y TAREAS'!AJ42/'EDT Y TAREAS'!M42,0),IF(AND(108&gt;='EDT Y TAREAS'!AK49,108&lt;'EDT Y TAREAS'!AL49),'EDT Y TAREAS'!AJ49/'EDT Y TAREAS'!M49,0),IF(AND(108&gt;='EDT Y TAREAS'!AK50,108&lt;'EDT Y TAREAS'!AL50),'EDT Y TAREAS'!AJ50/'EDT Y TAREAS'!M50,0),IF(AND(108&gt;='EDT Y TAREAS'!AK51,108&lt;'EDT Y TAREAS'!AL51),'EDT Y TAREAS'!AJ51/'EDT Y TAREAS'!M51,0),IF(AND(108&gt;='EDT Y TAREAS'!AK52,108&lt;'EDT Y TAREAS'!AL52),'EDT Y TAREAS'!AJ52/'EDT Y TAREAS'!M52,0))</x:f>
        <x:v>0</x:v>
      </x:c>
      <x:c r="I148" s="10" t="n">
        <x:f>WORKDAY('RESUMEN'!$D$3-1,A148,'RESUMEN'!$J$6:$J$25)</x:f>
        <x:v>46478</x:v>
      </x:c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  <x:c r="AC148" s="3"/>
      <x:c r="AD148" s="3"/>
      <x:c r="AE148" s="3"/>
      <x:c r="AF148" s="3"/>
      <x:c r="AG148" s="3"/>
      <x:c r="AH148" s="3"/>
      <x:c r="AI148" s="3"/>
      <x:c r="AJ148" s="3"/>
      <x:c r="AK148" s="3"/>
      <x:c r="AL148" s="3"/>
      <x:c r="AM148" s="3"/>
      <x:c r="AN148" s="3"/>
      <x:c r="AO148" s="3"/>
    </x:row>
    <x:row r="149" ht="24" customHeight="1">
      <x:c r="A149" s="3" t="n">
        <x:v>110</x:v>
      </x:c>
      <x:c r="B149" s="35" t="n">
        <x:f>SUM(IF(AND(109&gt;='EDT Y TAREAS'!AK6,109&lt;'EDT Y TAREAS'!AL6),'EDT Y TAREAS'!AD6/'EDT Y TAREAS'!M6,0),IF(AND(109&gt;='EDT Y TAREAS'!AK7,109&lt;'EDT Y TAREAS'!AL7),'EDT Y TAREAS'!AD7/'EDT Y TAREAS'!M7,0),IF(AND(109&gt;='EDT Y TAREAS'!AK8,109&lt;'EDT Y TAREAS'!AL8),'EDT Y TAREAS'!AD8/'EDT Y TAREAS'!M8,0),IF(AND(109&gt;='EDT Y TAREAS'!AK9,109&lt;'EDT Y TAREAS'!AL9),'EDT Y TAREAS'!AD9/'EDT Y TAREAS'!M9,0),IF(AND(109&gt;='EDT Y TAREAS'!AK10,109&lt;'EDT Y TAREAS'!AL10),'EDT Y TAREAS'!AD10/'EDT Y TAREAS'!M10,0),IF(AND(109&gt;='EDT Y TAREAS'!AK11,109&lt;'EDT Y TAREAS'!AL11),'EDT Y TAREAS'!AD11/'EDT Y TAREAS'!M11,0),IF(AND(109&gt;='EDT Y TAREAS'!AK12,109&lt;'EDT Y TAREAS'!AL12),'EDT Y TAREAS'!AD12/'EDT Y TAREAS'!M12,0),IF(AND(109&gt;='EDT Y TAREAS'!AK13,109&lt;'EDT Y TAREAS'!AL13),'EDT Y TAREAS'!AD13/'EDT Y TAREAS'!M13,0),IF(AND(109&gt;='EDT Y TAREAS'!AK14,109&lt;'EDT Y TAREAS'!AL14),'EDT Y TAREAS'!AD14/'EDT Y TAREAS'!M14,0),IF(AND(109&gt;='EDT Y TAREAS'!AK15,109&lt;'EDT Y TAREAS'!AL15),'EDT Y TAREAS'!AD15/'EDT Y TAREAS'!M15,0),IF(AND(109&gt;='EDT Y TAREAS'!AK16,109&lt;'EDT Y TAREAS'!AL16),'EDT Y TAREAS'!AD16/'EDT Y TAREAS'!M16,0),IF(AND(109&gt;='EDT Y TAREAS'!AK17,109&lt;'EDT Y TAREAS'!AL17),'EDT Y TAREAS'!AD17/'EDT Y TAREAS'!M17,0),IF(AND(109&gt;='EDT Y TAREAS'!AK18,109&lt;'EDT Y TAREAS'!AL18),'EDT Y TAREAS'!AD18/'EDT Y TAREAS'!M18,0),IF(AND(109&gt;='EDT Y TAREAS'!AK19,109&lt;'EDT Y TAREAS'!AL19),'EDT Y TAREAS'!AD19/'EDT Y TAREAS'!M19,0),IF(AND(109&gt;='EDT Y TAREAS'!AK20,109&lt;'EDT Y TAREAS'!AL20),'EDT Y TAREAS'!AD20/'EDT Y TAREAS'!M20,0),IF(AND(109&gt;='EDT Y TAREAS'!AK21,109&lt;'EDT Y TAREAS'!AL21),'EDT Y TAREAS'!AD21/'EDT Y TAREAS'!M21,0),IF(AND(109&gt;='EDT Y TAREAS'!AK22,109&lt;'EDT Y TAREAS'!AL22),'EDT Y TAREAS'!AD22/'EDT Y TAREAS'!M22,0),IF(AND(109&gt;='EDT Y TAREAS'!AK23,109&lt;'EDT Y TAREAS'!AL23),'EDT Y TAREAS'!AD23/'EDT Y TAREAS'!M23,0),IF(AND(109&gt;='EDT Y TAREAS'!AK26,109&lt;'EDT Y TAREAS'!AL26),'EDT Y TAREAS'!AD26/'EDT Y TAREAS'!M26,0),IF(AND(109&gt;='EDT Y TAREAS'!AK28,109&lt;'EDT Y TAREAS'!AL28),'EDT Y TAREAS'!AD28/'EDT Y TAREAS'!M28,0),IF(AND(109&gt;='EDT Y TAREAS'!AK30,109&lt;'EDT Y TAREAS'!AL30),'EDT Y TAREAS'!AD30/'EDT Y TAREAS'!M30,0),IF(AND(109&gt;='EDT Y TAREAS'!AK32,109&lt;'EDT Y TAREAS'!AL32),'EDT Y TAREAS'!AD32/'EDT Y TAREAS'!M32,0),IF(AND(109&gt;='EDT Y TAREAS'!AK34,109&lt;'EDT Y TAREAS'!AL34),'EDT Y TAREAS'!AD34/'EDT Y TAREAS'!M34,0),IF(AND(109&gt;='EDT Y TAREAS'!AK38,109&lt;'EDT Y TAREAS'!AL38),'EDT Y TAREAS'!AD38/'EDT Y TAREAS'!M38,0),IF(AND(109&gt;='EDT Y TAREAS'!AK39,109&lt;'EDT Y TAREAS'!AL39),'EDT Y TAREAS'!AD39/'EDT Y TAREAS'!M39,0),IF(AND(109&gt;='EDT Y TAREAS'!AK43,109&lt;'EDT Y TAREAS'!AL43),'EDT Y TAREAS'!AD43/'EDT Y TAREAS'!M43,0),IF(AND(109&gt;='EDT Y TAREAS'!AK44,109&lt;'EDT Y TAREAS'!AL44),'EDT Y TAREAS'!AD44/'EDT Y TAREAS'!M44,0),IF(AND(109&gt;='EDT Y TAREAS'!AK45,109&lt;'EDT Y TAREAS'!AL45),'EDT Y TAREAS'!AD45/'EDT Y TAREAS'!M45,0),IF(AND(109&gt;='EDT Y TAREAS'!AK46,109&lt;'EDT Y TAREAS'!AL46),'EDT Y TAREAS'!AD46/'EDT Y TAREAS'!M46,0),IF(AND(109&gt;='EDT Y TAREAS'!AK47,109&lt;'EDT Y TAREAS'!AL47),'EDT Y TAREAS'!AD47/'EDT Y TAREAS'!M47,0),IF(AND(109&gt;='EDT Y TAREAS'!AK49,109&lt;'EDT Y TAREAS'!AL49),'EDT Y TAREAS'!AD49/'EDT Y TAREAS'!M49,0),IF(AND(109&gt;='EDT Y TAREAS'!AK50,109&lt;'EDT Y TAREAS'!AL50),'EDT Y TAREAS'!AD50/'EDT Y TAREAS'!M50,0),IF(AND(109&gt;='EDT Y TAREAS'!AK51,109&lt;'EDT Y TAREAS'!AL51),'EDT Y TAREAS'!AD51/'EDT Y TAREAS'!M51,0),IF(AND(109&gt;='EDT Y TAREAS'!AK52,109&lt;'EDT Y TAREAS'!AL52),'EDT Y TAREAS'!AD52/'EDT Y TAREAS'!M52,0))</x:f>
        <x:v>0</x:v>
      </x:c>
      <x:c r="C149" s="35" t="n">
        <x:f>SUM(IF(AND(109&gt;='EDT Y TAREAS'!AK6,109&lt;'EDT Y TAREAS'!AL6),'EDT Y TAREAS'!AE6/'EDT Y TAREAS'!M6,0),IF(AND(109&gt;='EDT Y TAREAS'!AK8,109&lt;'EDT Y TAREAS'!AL8),'EDT Y TAREAS'!AE8/'EDT Y TAREAS'!M8,0),IF(AND(109&gt;='EDT Y TAREAS'!AK9,109&lt;'EDT Y TAREAS'!AL9),'EDT Y TAREAS'!AE9/'EDT Y TAREAS'!M9,0),IF(AND(109&gt;='EDT Y TAREAS'!AK10,109&lt;'EDT Y TAREAS'!AL10),'EDT Y TAREAS'!AE10/'EDT Y TAREAS'!M10,0),IF(AND(109&gt;='EDT Y TAREAS'!AK12,109&lt;'EDT Y TAREAS'!AL12),'EDT Y TAREAS'!AE12/'EDT Y TAREAS'!M12,0),IF(AND(109&gt;='EDT Y TAREAS'!AK16,109&lt;'EDT Y TAREAS'!AL16),'EDT Y TAREAS'!AE16/'EDT Y TAREAS'!M16,0),IF(AND(109&gt;='EDT Y TAREAS'!AK21,109&lt;'EDT Y TAREAS'!AL21),'EDT Y TAREAS'!AE21/'EDT Y TAREAS'!M21,0),IF(AND(109&gt;='EDT Y TAREAS'!AK23,109&lt;'EDT Y TAREAS'!AL23),'EDT Y TAREAS'!AE23/'EDT Y TAREAS'!M23,0),IF(AND(109&gt;='EDT Y TAREAS'!AK37,109&lt;'EDT Y TAREAS'!AL37),'EDT Y TAREAS'!AE37/'EDT Y TAREAS'!M37,0),IF(AND(109&gt;='EDT Y TAREAS'!AK38,109&lt;'EDT Y TAREAS'!AL38),'EDT Y TAREAS'!AE38/'EDT Y TAREAS'!M38,0),IF(AND(109&gt;='EDT Y TAREAS'!AK41,109&lt;'EDT Y TAREAS'!AL41),'EDT Y TAREAS'!AE41/'EDT Y TAREAS'!M41,0),IF(AND(109&gt;='EDT Y TAREAS'!AK43,109&lt;'EDT Y TAREAS'!AL43),'EDT Y TAREAS'!AE43/'EDT Y TAREAS'!M43,0),IF(AND(109&gt;='EDT Y TAREAS'!AK44,109&lt;'EDT Y TAREAS'!AL44),'EDT Y TAREAS'!AE44/'EDT Y TAREAS'!M44,0),IF(AND(109&gt;='EDT Y TAREAS'!AK46,109&lt;'EDT Y TAREAS'!AL46),'EDT Y TAREAS'!AE46/'EDT Y TAREAS'!M46,0),IF(AND(109&gt;='EDT Y TAREAS'!AK47,109&lt;'EDT Y TAREAS'!AL47),'EDT Y TAREAS'!AE47/'EDT Y TAREAS'!M47,0),IF(AND(109&gt;='EDT Y TAREAS'!AK51,109&lt;'EDT Y TAREAS'!AL51),'EDT Y TAREAS'!AE51/'EDT Y TAREAS'!M51,0),IF(AND(109&gt;='EDT Y TAREAS'!AK52,109&lt;'EDT Y TAREAS'!AL52),'EDT Y TAREAS'!AE52/'EDT Y TAREAS'!M52,0))</x:f>
        <x:v>0</x:v>
      </x:c>
      <x:c r="D149" s="35" t="n">
        <x:f>SUM(IF(AND(109&gt;='EDT Y TAREAS'!AK11,109&lt;'EDT Y TAREAS'!AL11),'EDT Y TAREAS'!AF11/'EDT Y TAREAS'!M11,0),IF(AND(109&gt;='EDT Y TAREAS'!AK24,109&lt;'EDT Y TAREAS'!AL24),'EDT Y TAREAS'!AF24/'EDT Y TAREAS'!M24,0),IF(AND(109&gt;='EDT Y TAREAS'!AK25,109&lt;'EDT Y TAREAS'!AL25),'EDT Y TAREAS'!AF25/'EDT Y TAREAS'!M25,0),IF(AND(109&gt;='EDT Y TAREAS'!AK26,109&lt;'EDT Y TAREAS'!AL26),'EDT Y TAREAS'!AF26/'EDT Y TAREAS'!M26,0),IF(AND(109&gt;='EDT Y TAREAS'!AK27,109&lt;'EDT Y TAREAS'!AL27),'EDT Y TAREAS'!AF27/'EDT Y TAREAS'!M27,0),IF(AND(109&gt;='EDT Y TAREAS'!AK28,109&lt;'EDT Y TAREAS'!AL28),'EDT Y TAREAS'!AF28/'EDT Y TAREAS'!M28,0),IF(AND(109&gt;='EDT Y TAREAS'!AK31,109&lt;'EDT Y TAREAS'!AL31),'EDT Y TAREAS'!AF31/'EDT Y TAREAS'!M31,0),IF(AND(109&gt;='EDT Y TAREAS'!AK33,109&lt;'EDT Y TAREAS'!AL33),'EDT Y TAREAS'!AF33/'EDT Y TAREAS'!M33,0),IF(AND(109&gt;='EDT Y TAREAS'!AK34,109&lt;'EDT Y TAREAS'!AL34),'EDT Y TAREAS'!AF34/'EDT Y TAREAS'!M34,0),IF(AND(109&gt;='EDT Y TAREAS'!AK35,109&lt;'EDT Y TAREAS'!AL35),'EDT Y TAREAS'!AF35/'EDT Y TAREAS'!M35,0),IF(AND(109&gt;='EDT Y TAREAS'!AK37,109&lt;'EDT Y TAREAS'!AL37),'EDT Y TAREAS'!AF37/'EDT Y TAREAS'!M37,0),IF(AND(109&gt;='EDT Y TAREAS'!AK39,109&lt;'EDT Y TAREAS'!AL39),'EDT Y TAREAS'!AF39/'EDT Y TAREAS'!M39,0),IF(AND(109&gt;='EDT Y TAREAS'!AK40,109&lt;'EDT Y TAREAS'!AL40),'EDT Y TAREAS'!AF40/'EDT Y TAREAS'!M40,0),IF(AND(109&gt;='EDT Y TAREAS'!AK42,109&lt;'EDT Y TAREAS'!AL42),'EDT Y TAREAS'!AF42/'EDT Y TAREAS'!M42,0),IF(AND(109&gt;='EDT Y TAREAS'!AK45,109&lt;'EDT Y TAREAS'!AL45),'EDT Y TAREAS'!AF45/'EDT Y TAREAS'!M45,0),IF(AND(109&gt;='EDT Y TAREAS'!AK49,109&lt;'EDT Y TAREAS'!AL49),'EDT Y TAREAS'!AF49/'EDT Y TAREAS'!M49,0),IF(AND(109&gt;='EDT Y TAREAS'!AK52,109&lt;'EDT Y TAREAS'!AL52),'EDT Y TAREAS'!AF52/'EDT Y TAREAS'!M52,0))</x:f>
        <x:v>1.6</x:v>
      </x:c>
      <x:c r="E149" s="35" t="n">
        <x:f>SUM(IF(AND(109&gt;='EDT Y TAREAS'!AK29,109&lt;'EDT Y TAREAS'!AL29),'EDT Y TAREAS'!AG29/'EDT Y TAREAS'!M29,0),IF(AND(109&gt;='EDT Y TAREAS'!AK30,109&lt;'EDT Y TAREAS'!AL30),'EDT Y TAREAS'!AG30/'EDT Y TAREAS'!M30,0),IF(AND(109&gt;='EDT Y TAREAS'!AK31,109&lt;'EDT Y TAREAS'!AL31),'EDT Y TAREAS'!AG31/'EDT Y TAREAS'!M31,0),IF(AND(109&gt;='EDT Y TAREAS'!AK32,109&lt;'EDT Y TAREAS'!AL32),'EDT Y TAREAS'!AG32/'EDT Y TAREAS'!M32,0),IF(AND(109&gt;='EDT Y TAREAS'!AK41,109&lt;'EDT Y TAREAS'!AL41),'EDT Y TAREAS'!AG41/'EDT Y TAREAS'!M41,0),IF(AND(109&gt;='EDT Y TAREAS'!AK45,109&lt;'EDT Y TAREAS'!AL45),'EDT Y TAREAS'!AG45/'EDT Y TAREAS'!M45,0),IF(AND(109&gt;='EDT Y TAREAS'!AK48,109&lt;'EDT Y TAREAS'!AL48),'EDT Y TAREAS'!AG48/'EDT Y TAREAS'!M48,0))</x:f>
        <x:v>0</x:v>
      </x:c>
      <x:c r="F149" s="35" t="n">
        <x:f>SUM(IF(AND(109&gt;='EDT Y TAREAS'!AK10,109&lt;'EDT Y TAREAS'!AL10),'EDT Y TAREAS'!AH10/'EDT Y TAREAS'!M10,0),IF(AND(109&gt;='EDT Y TAREAS'!AK12,109&lt;'EDT Y TAREAS'!AL12),'EDT Y TAREAS'!AH12/'EDT Y TAREAS'!M12,0),IF(AND(109&gt;='EDT Y TAREAS'!AK22,109&lt;'EDT Y TAREAS'!AL22),'EDT Y TAREAS'!AH22/'EDT Y TAREAS'!M22,0),IF(AND(109&gt;='EDT Y TAREAS'!AK23,109&lt;'EDT Y TAREAS'!AL23),'EDT Y TAREAS'!AH23/'EDT Y TAREAS'!M23,0),IF(AND(109&gt;='EDT Y TAREAS'!AK29,109&lt;'EDT Y TAREAS'!AL29),'EDT Y TAREAS'!AH29/'EDT Y TAREAS'!M29,0),IF(AND(109&gt;='EDT Y TAREAS'!AK30,109&lt;'EDT Y TAREAS'!AL30),'EDT Y TAREAS'!AH30/'EDT Y TAREAS'!M30,0),IF(AND(109&gt;='EDT Y TAREAS'!AK32,109&lt;'EDT Y TAREAS'!AL32),'EDT Y TAREAS'!AH32/'EDT Y TAREAS'!M32,0),IF(AND(109&gt;='EDT Y TAREAS'!AK41,109&lt;'EDT Y TAREAS'!AL41),'EDT Y TAREAS'!AH41/'EDT Y TAREAS'!M41,0),IF(AND(109&gt;='EDT Y TAREAS'!AK44,109&lt;'EDT Y TAREAS'!AL44),'EDT Y TAREAS'!AH44/'EDT Y TAREAS'!M44,0),IF(AND(109&gt;='EDT Y TAREAS'!AK46,109&lt;'EDT Y TAREAS'!AL46),'EDT Y TAREAS'!AH46/'EDT Y TAREAS'!M46,0),IF(AND(109&gt;='EDT Y TAREAS'!AK48,109&lt;'EDT Y TAREAS'!AL48),'EDT Y TAREAS'!AH48/'EDT Y TAREAS'!M48,0))</x:f>
        <x:v>0</x:v>
      </x:c>
      <x:c r="G149" s="35" t="n">
        <x:f>SUM(IF(AND(109&gt;='EDT Y TAREAS'!AK20,109&lt;'EDT Y TAREAS'!AL20),'EDT Y TAREAS'!AI20/'EDT Y TAREAS'!M20,0),IF(AND(109&gt;='EDT Y TAREAS'!AK25,109&lt;'EDT Y TAREAS'!AL25),'EDT Y TAREAS'!AI25/'EDT Y TAREAS'!M25,0),IF(AND(109&gt;='EDT Y TAREAS'!AK33,109&lt;'EDT Y TAREAS'!AL33),'EDT Y TAREAS'!AI33/'EDT Y TAREAS'!M33,0),IF(AND(109&gt;='EDT Y TAREAS'!AK34,109&lt;'EDT Y TAREAS'!AL34),'EDT Y TAREAS'!AI34/'EDT Y TAREAS'!M34,0),IF(AND(109&gt;='EDT Y TAREAS'!AK36,109&lt;'EDT Y TAREAS'!AL36),'EDT Y TAREAS'!AI36/'EDT Y TAREAS'!M36,0),IF(AND(109&gt;='EDT Y TAREAS'!AK39,109&lt;'EDT Y TAREAS'!AL39),'EDT Y TAREAS'!AI39/'EDT Y TAREAS'!M39,0),IF(AND(109&gt;='EDT Y TAREAS'!AK40,109&lt;'EDT Y TAREAS'!AL40),'EDT Y TAREAS'!AI40/'EDT Y TAREAS'!M40,0),IF(AND(109&gt;='EDT Y TAREAS'!AK42,109&lt;'EDT Y TAREAS'!AL42),'EDT Y TAREAS'!AI42/'EDT Y TAREAS'!M42,0),IF(AND(109&gt;='EDT Y TAREAS'!AK43,109&lt;'EDT Y TAREAS'!AL43),'EDT Y TAREAS'!AI43/'EDT Y TAREAS'!M43,0),IF(AND(109&gt;='EDT Y TAREAS'!AK44,109&lt;'EDT Y TAREAS'!AL44),'EDT Y TAREAS'!AI44/'EDT Y TAREAS'!M44,0),IF(AND(109&gt;='EDT Y TAREAS'!AK45,109&lt;'EDT Y TAREAS'!AL45),'EDT Y TAREAS'!AI45/'EDT Y TAREAS'!M45,0),IF(AND(109&gt;='EDT Y TAREAS'!AK46,109&lt;'EDT Y TAREAS'!AL46),'EDT Y TAREAS'!AI46/'EDT Y TAREAS'!M46,0),IF(AND(109&gt;='EDT Y TAREAS'!AK48,109&lt;'EDT Y TAREAS'!AL48),'EDT Y TAREAS'!AI48/'EDT Y TAREAS'!M48,0),IF(AND(109&gt;='EDT Y TAREAS'!AK50,109&lt;'EDT Y TAREAS'!AL50),'EDT Y TAREAS'!AI50/'EDT Y TAREAS'!M50,0),IF(AND(109&gt;='EDT Y TAREAS'!AK52,109&lt;'EDT Y TAREAS'!AL52),'EDT Y TAREAS'!AI52/'EDT Y TAREAS'!M52,0))</x:f>
        <x:v>6.4</x:v>
      </x:c>
      <x:c r="H149" s="35" t="n">
        <x:f>SUM(IF(AND(109&gt;='EDT Y TAREAS'!AK11,109&lt;'EDT Y TAREAS'!AL11),'EDT Y TAREAS'!AJ11/'EDT Y TAREAS'!M11,0),IF(AND(109&gt;='EDT Y TAREAS'!AK24,109&lt;'EDT Y TAREAS'!AL24),'EDT Y TAREAS'!AJ24/'EDT Y TAREAS'!M24,0),IF(AND(109&gt;='EDT Y TAREAS'!AK27,109&lt;'EDT Y TAREAS'!AL27),'EDT Y TAREAS'!AJ27/'EDT Y TAREAS'!M27,0),IF(AND(109&gt;='EDT Y TAREAS'!AK28,109&lt;'EDT Y TAREAS'!AL28),'EDT Y TAREAS'!AJ28/'EDT Y TAREAS'!M28,0),IF(AND(109&gt;='EDT Y TAREAS'!AK33,109&lt;'EDT Y TAREAS'!AL33),'EDT Y TAREAS'!AJ33/'EDT Y TAREAS'!M33,0),IF(AND(109&gt;='EDT Y TAREAS'!AK35,109&lt;'EDT Y TAREAS'!AL35),'EDT Y TAREAS'!AJ35/'EDT Y TAREAS'!M35,0),IF(AND(109&gt;='EDT Y TAREAS'!AK36,109&lt;'EDT Y TAREAS'!AL36),'EDT Y TAREAS'!AJ36/'EDT Y TAREAS'!M36,0),IF(AND(109&gt;='EDT Y TAREAS'!AK37,109&lt;'EDT Y TAREAS'!AL37),'EDT Y TAREAS'!AJ37/'EDT Y TAREAS'!M37,0),IF(AND(109&gt;='EDT Y TAREAS'!AK40,109&lt;'EDT Y TAREAS'!AL40),'EDT Y TAREAS'!AJ40/'EDT Y TAREAS'!M40,0),IF(AND(109&gt;='EDT Y TAREAS'!AK42,109&lt;'EDT Y TAREAS'!AL42),'EDT Y TAREAS'!AJ42/'EDT Y TAREAS'!M42,0),IF(AND(109&gt;='EDT Y TAREAS'!AK49,109&lt;'EDT Y TAREAS'!AL49),'EDT Y TAREAS'!AJ49/'EDT Y TAREAS'!M49,0),IF(AND(109&gt;='EDT Y TAREAS'!AK50,109&lt;'EDT Y TAREAS'!AL50),'EDT Y TAREAS'!AJ50/'EDT Y TAREAS'!M50,0),IF(AND(109&gt;='EDT Y TAREAS'!AK51,109&lt;'EDT Y TAREAS'!AL51),'EDT Y TAREAS'!AJ51/'EDT Y TAREAS'!M51,0),IF(AND(109&gt;='EDT Y TAREAS'!AK52,109&lt;'EDT Y TAREAS'!AL52),'EDT Y TAREAS'!AJ52/'EDT Y TAREAS'!M52,0))</x:f>
        <x:v>4.8</x:v>
      </x:c>
      <x:c r="I149" s="10" t="n">
        <x:f>WORKDAY('RESUMEN'!$D$3-1,A149,'RESUMEN'!$J$6:$J$25)</x:f>
        <x:v>46479</x:v>
      </x:c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  <x:c r="AC149" s="3"/>
      <x:c r="AD149" s="3"/>
      <x:c r="AE149" s="3"/>
      <x:c r="AF149" s="3"/>
      <x:c r="AG149" s="3"/>
      <x:c r="AH149" s="3"/>
      <x:c r="AI149" s="3"/>
      <x:c r="AJ149" s="3"/>
      <x:c r="AK149" s="3"/>
      <x:c r="AL149" s="3"/>
      <x:c r="AM149" s="3"/>
      <x:c r="AN149" s="3"/>
      <x:c r="AO149" s="3"/>
    </x:row>
    <x:row r="150" ht="24" customHeight="1">
      <x:c r="A150" s="3" t="n">
        <x:v>111</x:v>
      </x:c>
      <x:c r="B150" s="35" t="n">
        <x:f>SUM(IF(AND(110&gt;='EDT Y TAREAS'!AK6,110&lt;'EDT Y TAREAS'!AL6),'EDT Y TAREAS'!AD6/'EDT Y TAREAS'!M6,0),IF(AND(110&gt;='EDT Y TAREAS'!AK7,110&lt;'EDT Y TAREAS'!AL7),'EDT Y TAREAS'!AD7/'EDT Y TAREAS'!M7,0),IF(AND(110&gt;='EDT Y TAREAS'!AK8,110&lt;'EDT Y TAREAS'!AL8),'EDT Y TAREAS'!AD8/'EDT Y TAREAS'!M8,0),IF(AND(110&gt;='EDT Y TAREAS'!AK9,110&lt;'EDT Y TAREAS'!AL9),'EDT Y TAREAS'!AD9/'EDT Y TAREAS'!M9,0),IF(AND(110&gt;='EDT Y TAREAS'!AK10,110&lt;'EDT Y TAREAS'!AL10),'EDT Y TAREAS'!AD10/'EDT Y TAREAS'!M10,0),IF(AND(110&gt;='EDT Y TAREAS'!AK11,110&lt;'EDT Y TAREAS'!AL11),'EDT Y TAREAS'!AD11/'EDT Y TAREAS'!M11,0),IF(AND(110&gt;='EDT Y TAREAS'!AK12,110&lt;'EDT Y TAREAS'!AL12),'EDT Y TAREAS'!AD12/'EDT Y TAREAS'!M12,0),IF(AND(110&gt;='EDT Y TAREAS'!AK13,110&lt;'EDT Y TAREAS'!AL13),'EDT Y TAREAS'!AD13/'EDT Y TAREAS'!M13,0),IF(AND(110&gt;='EDT Y TAREAS'!AK14,110&lt;'EDT Y TAREAS'!AL14),'EDT Y TAREAS'!AD14/'EDT Y TAREAS'!M14,0),IF(AND(110&gt;='EDT Y TAREAS'!AK15,110&lt;'EDT Y TAREAS'!AL15),'EDT Y TAREAS'!AD15/'EDT Y TAREAS'!M15,0),IF(AND(110&gt;='EDT Y TAREAS'!AK16,110&lt;'EDT Y TAREAS'!AL16),'EDT Y TAREAS'!AD16/'EDT Y TAREAS'!M16,0),IF(AND(110&gt;='EDT Y TAREAS'!AK17,110&lt;'EDT Y TAREAS'!AL17),'EDT Y TAREAS'!AD17/'EDT Y TAREAS'!M17,0),IF(AND(110&gt;='EDT Y TAREAS'!AK18,110&lt;'EDT Y TAREAS'!AL18),'EDT Y TAREAS'!AD18/'EDT Y TAREAS'!M18,0),IF(AND(110&gt;='EDT Y TAREAS'!AK19,110&lt;'EDT Y TAREAS'!AL19),'EDT Y TAREAS'!AD19/'EDT Y TAREAS'!M19,0),IF(AND(110&gt;='EDT Y TAREAS'!AK20,110&lt;'EDT Y TAREAS'!AL20),'EDT Y TAREAS'!AD20/'EDT Y TAREAS'!M20,0),IF(AND(110&gt;='EDT Y TAREAS'!AK21,110&lt;'EDT Y TAREAS'!AL21),'EDT Y TAREAS'!AD21/'EDT Y TAREAS'!M21,0),IF(AND(110&gt;='EDT Y TAREAS'!AK22,110&lt;'EDT Y TAREAS'!AL22),'EDT Y TAREAS'!AD22/'EDT Y TAREAS'!M22,0),IF(AND(110&gt;='EDT Y TAREAS'!AK23,110&lt;'EDT Y TAREAS'!AL23),'EDT Y TAREAS'!AD23/'EDT Y TAREAS'!M23,0),IF(AND(110&gt;='EDT Y TAREAS'!AK26,110&lt;'EDT Y TAREAS'!AL26),'EDT Y TAREAS'!AD26/'EDT Y TAREAS'!M26,0),IF(AND(110&gt;='EDT Y TAREAS'!AK28,110&lt;'EDT Y TAREAS'!AL28),'EDT Y TAREAS'!AD28/'EDT Y TAREAS'!M28,0),IF(AND(110&gt;='EDT Y TAREAS'!AK30,110&lt;'EDT Y TAREAS'!AL30),'EDT Y TAREAS'!AD30/'EDT Y TAREAS'!M30,0),IF(AND(110&gt;='EDT Y TAREAS'!AK32,110&lt;'EDT Y TAREAS'!AL32),'EDT Y TAREAS'!AD32/'EDT Y TAREAS'!M32,0),IF(AND(110&gt;='EDT Y TAREAS'!AK34,110&lt;'EDT Y TAREAS'!AL34),'EDT Y TAREAS'!AD34/'EDT Y TAREAS'!M34,0),IF(AND(110&gt;='EDT Y TAREAS'!AK38,110&lt;'EDT Y TAREAS'!AL38),'EDT Y TAREAS'!AD38/'EDT Y TAREAS'!M38,0),IF(AND(110&gt;='EDT Y TAREAS'!AK39,110&lt;'EDT Y TAREAS'!AL39),'EDT Y TAREAS'!AD39/'EDT Y TAREAS'!M39,0),IF(AND(110&gt;='EDT Y TAREAS'!AK43,110&lt;'EDT Y TAREAS'!AL43),'EDT Y TAREAS'!AD43/'EDT Y TAREAS'!M43,0),IF(AND(110&gt;='EDT Y TAREAS'!AK44,110&lt;'EDT Y TAREAS'!AL44),'EDT Y TAREAS'!AD44/'EDT Y TAREAS'!M44,0),IF(AND(110&gt;='EDT Y TAREAS'!AK45,110&lt;'EDT Y TAREAS'!AL45),'EDT Y TAREAS'!AD45/'EDT Y TAREAS'!M45,0),IF(AND(110&gt;='EDT Y TAREAS'!AK46,110&lt;'EDT Y TAREAS'!AL46),'EDT Y TAREAS'!AD46/'EDT Y TAREAS'!M46,0),IF(AND(110&gt;='EDT Y TAREAS'!AK47,110&lt;'EDT Y TAREAS'!AL47),'EDT Y TAREAS'!AD47/'EDT Y TAREAS'!M47,0),IF(AND(110&gt;='EDT Y TAREAS'!AK49,110&lt;'EDT Y TAREAS'!AL49),'EDT Y TAREAS'!AD49/'EDT Y TAREAS'!M49,0),IF(AND(110&gt;='EDT Y TAREAS'!AK50,110&lt;'EDT Y TAREAS'!AL50),'EDT Y TAREAS'!AD50/'EDT Y TAREAS'!M50,0),IF(AND(110&gt;='EDT Y TAREAS'!AK51,110&lt;'EDT Y TAREAS'!AL51),'EDT Y TAREAS'!AD51/'EDT Y TAREAS'!M51,0),IF(AND(110&gt;='EDT Y TAREAS'!AK52,110&lt;'EDT Y TAREAS'!AL52),'EDT Y TAREAS'!AD52/'EDT Y TAREAS'!M52,0))</x:f>
        <x:v>0</x:v>
      </x:c>
      <x:c r="C150" s="35" t="n">
        <x:f>SUM(IF(AND(110&gt;='EDT Y TAREAS'!AK6,110&lt;'EDT Y TAREAS'!AL6),'EDT Y TAREAS'!AE6/'EDT Y TAREAS'!M6,0),IF(AND(110&gt;='EDT Y TAREAS'!AK8,110&lt;'EDT Y TAREAS'!AL8),'EDT Y TAREAS'!AE8/'EDT Y TAREAS'!M8,0),IF(AND(110&gt;='EDT Y TAREAS'!AK9,110&lt;'EDT Y TAREAS'!AL9),'EDT Y TAREAS'!AE9/'EDT Y TAREAS'!M9,0),IF(AND(110&gt;='EDT Y TAREAS'!AK10,110&lt;'EDT Y TAREAS'!AL10),'EDT Y TAREAS'!AE10/'EDT Y TAREAS'!M10,0),IF(AND(110&gt;='EDT Y TAREAS'!AK12,110&lt;'EDT Y TAREAS'!AL12),'EDT Y TAREAS'!AE12/'EDT Y TAREAS'!M12,0),IF(AND(110&gt;='EDT Y TAREAS'!AK16,110&lt;'EDT Y TAREAS'!AL16),'EDT Y TAREAS'!AE16/'EDT Y TAREAS'!M16,0),IF(AND(110&gt;='EDT Y TAREAS'!AK21,110&lt;'EDT Y TAREAS'!AL21),'EDT Y TAREAS'!AE21/'EDT Y TAREAS'!M21,0),IF(AND(110&gt;='EDT Y TAREAS'!AK23,110&lt;'EDT Y TAREAS'!AL23),'EDT Y TAREAS'!AE23/'EDT Y TAREAS'!M23,0),IF(AND(110&gt;='EDT Y TAREAS'!AK37,110&lt;'EDT Y TAREAS'!AL37),'EDT Y TAREAS'!AE37/'EDT Y TAREAS'!M37,0),IF(AND(110&gt;='EDT Y TAREAS'!AK38,110&lt;'EDT Y TAREAS'!AL38),'EDT Y TAREAS'!AE38/'EDT Y TAREAS'!M38,0),IF(AND(110&gt;='EDT Y TAREAS'!AK41,110&lt;'EDT Y TAREAS'!AL41),'EDT Y TAREAS'!AE41/'EDT Y TAREAS'!M41,0),IF(AND(110&gt;='EDT Y TAREAS'!AK43,110&lt;'EDT Y TAREAS'!AL43),'EDT Y TAREAS'!AE43/'EDT Y TAREAS'!M43,0),IF(AND(110&gt;='EDT Y TAREAS'!AK44,110&lt;'EDT Y TAREAS'!AL44),'EDT Y TAREAS'!AE44/'EDT Y TAREAS'!M44,0),IF(AND(110&gt;='EDT Y TAREAS'!AK46,110&lt;'EDT Y TAREAS'!AL46),'EDT Y TAREAS'!AE46/'EDT Y TAREAS'!M46,0),IF(AND(110&gt;='EDT Y TAREAS'!AK47,110&lt;'EDT Y TAREAS'!AL47),'EDT Y TAREAS'!AE47/'EDT Y TAREAS'!M47,0),IF(AND(110&gt;='EDT Y TAREAS'!AK51,110&lt;'EDT Y TAREAS'!AL51),'EDT Y TAREAS'!AE51/'EDT Y TAREAS'!M51,0),IF(AND(110&gt;='EDT Y TAREAS'!AK52,110&lt;'EDT Y TAREAS'!AL52),'EDT Y TAREAS'!AE52/'EDT Y TAREAS'!M52,0))</x:f>
        <x:v>0</x:v>
      </x:c>
      <x:c r="D150" s="35" t="n">
        <x:f>SUM(IF(AND(110&gt;='EDT Y TAREAS'!AK11,110&lt;'EDT Y TAREAS'!AL11),'EDT Y TAREAS'!AF11/'EDT Y TAREAS'!M11,0),IF(AND(110&gt;='EDT Y TAREAS'!AK24,110&lt;'EDT Y TAREAS'!AL24),'EDT Y TAREAS'!AF24/'EDT Y TAREAS'!M24,0),IF(AND(110&gt;='EDT Y TAREAS'!AK25,110&lt;'EDT Y TAREAS'!AL25),'EDT Y TAREAS'!AF25/'EDT Y TAREAS'!M25,0),IF(AND(110&gt;='EDT Y TAREAS'!AK26,110&lt;'EDT Y TAREAS'!AL26),'EDT Y TAREAS'!AF26/'EDT Y TAREAS'!M26,0),IF(AND(110&gt;='EDT Y TAREAS'!AK27,110&lt;'EDT Y TAREAS'!AL27),'EDT Y TAREAS'!AF27/'EDT Y TAREAS'!M27,0),IF(AND(110&gt;='EDT Y TAREAS'!AK28,110&lt;'EDT Y TAREAS'!AL28),'EDT Y TAREAS'!AF28/'EDT Y TAREAS'!M28,0),IF(AND(110&gt;='EDT Y TAREAS'!AK31,110&lt;'EDT Y TAREAS'!AL31),'EDT Y TAREAS'!AF31/'EDT Y TAREAS'!M31,0),IF(AND(110&gt;='EDT Y TAREAS'!AK33,110&lt;'EDT Y TAREAS'!AL33),'EDT Y TAREAS'!AF33/'EDT Y TAREAS'!M33,0),IF(AND(110&gt;='EDT Y TAREAS'!AK34,110&lt;'EDT Y TAREAS'!AL34),'EDT Y TAREAS'!AF34/'EDT Y TAREAS'!M34,0),IF(AND(110&gt;='EDT Y TAREAS'!AK35,110&lt;'EDT Y TAREAS'!AL35),'EDT Y TAREAS'!AF35/'EDT Y TAREAS'!M35,0),IF(AND(110&gt;='EDT Y TAREAS'!AK37,110&lt;'EDT Y TAREAS'!AL37),'EDT Y TAREAS'!AF37/'EDT Y TAREAS'!M37,0),IF(AND(110&gt;='EDT Y TAREAS'!AK39,110&lt;'EDT Y TAREAS'!AL39),'EDT Y TAREAS'!AF39/'EDT Y TAREAS'!M39,0),IF(AND(110&gt;='EDT Y TAREAS'!AK40,110&lt;'EDT Y TAREAS'!AL40),'EDT Y TAREAS'!AF40/'EDT Y TAREAS'!M40,0),IF(AND(110&gt;='EDT Y TAREAS'!AK42,110&lt;'EDT Y TAREAS'!AL42),'EDT Y TAREAS'!AF42/'EDT Y TAREAS'!M42,0),IF(AND(110&gt;='EDT Y TAREAS'!AK45,110&lt;'EDT Y TAREAS'!AL45),'EDT Y TAREAS'!AF45/'EDT Y TAREAS'!M45,0),IF(AND(110&gt;='EDT Y TAREAS'!AK49,110&lt;'EDT Y TAREAS'!AL49),'EDT Y TAREAS'!AF49/'EDT Y TAREAS'!M49,0),IF(AND(110&gt;='EDT Y TAREAS'!AK52,110&lt;'EDT Y TAREAS'!AL52),'EDT Y TAREAS'!AF52/'EDT Y TAREAS'!M52,0))</x:f>
        <x:v>1.6</x:v>
      </x:c>
      <x:c r="E150" s="35" t="n">
        <x:f>SUM(IF(AND(110&gt;='EDT Y TAREAS'!AK29,110&lt;'EDT Y TAREAS'!AL29),'EDT Y TAREAS'!AG29/'EDT Y TAREAS'!M29,0),IF(AND(110&gt;='EDT Y TAREAS'!AK30,110&lt;'EDT Y TAREAS'!AL30),'EDT Y TAREAS'!AG30/'EDT Y TAREAS'!M30,0),IF(AND(110&gt;='EDT Y TAREAS'!AK31,110&lt;'EDT Y TAREAS'!AL31),'EDT Y TAREAS'!AG31/'EDT Y TAREAS'!M31,0),IF(AND(110&gt;='EDT Y TAREAS'!AK32,110&lt;'EDT Y TAREAS'!AL32),'EDT Y TAREAS'!AG32/'EDT Y TAREAS'!M32,0),IF(AND(110&gt;='EDT Y TAREAS'!AK41,110&lt;'EDT Y TAREAS'!AL41),'EDT Y TAREAS'!AG41/'EDT Y TAREAS'!M41,0),IF(AND(110&gt;='EDT Y TAREAS'!AK45,110&lt;'EDT Y TAREAS'!AL45),'EDT Y TAREAS'!AG45/'EDT Y TAREAS'!M45,0),IF(AND(110&gt;='EDT Y TAREAS'!AK48,110&lt;'EDT Y TAREAS'!AL48),'EDT Y TAREAS'!AG48/'EDT Y TAREAS'!M48,0))</x:f>
        <x:v>0</x:v>
      </x:c>
      <x:c r="F150" s="35" t="n">
        <x:f>SUM(IF(AND(110&gt;='EDT Y TAREAS'!AK10,110&lt;'EDT Y TAREAS'!AL10),'EDT Y TAREAS'!AH10/'EDT Y TAREAS'!M10,0),IF(AND(110&gt;='EDT Y TAREAS'!AK12,110&lt;'EDT Y TAREAS'!AL12),'EDT Y TAREAS'!AH12/'EDT Y TAREAS'!M12,0),IF(AND(110&gt;='EDT Y TAREAS'!AK22,110&lt;'EDT Y TAREAS'!AL22),'EDT Y TAREAS'!AH22/'EDT Y TAREAS'!M22,0),IF(AND(110&gt;='EDT Y TAREAS'!AK23,110&lt;'EDT Y TAREAS'!AL23),'EDT Y TAREAS'!AH23/'EDT Y TAREAS'!M23,0),IF(AND(110&gt;='EDT Y TAREAS'!AK29,110&lt;'EDT Y TAREAS'!AL29),'EDT Y TAREAS'!AH29/'EDT Y TAREAS'!M29,0),IF(AND(110&gt;='EDT Y TAREAS'!AK30,110&lt;'EDT Y TAREAS'!AL30),'EDT Y TAREAS'!AH30/'EDT Y TAREAS'!M30,0),IF(AND(110&gt;='EDT Y TAREAS'!AK32,110&lt;'EDT Y TAREAS'!AL32),'EDT Y TAREAS'!AH32/'EDT Y TAREAS'!M32,0),IF(AND(110&gt;='EDT Y TAREAS'!AK41,110&lt;'EDT Y TAREAS'!AL41),'EDT Y TAREAS'!AH41/'EDT Y TAREAS'!M41,0),IF(AND(110&gt;='EDT Y TAREAS'!AK44,110&lt;'EDT Y TAREAS'!AL44),'EDT Y TAREAS'!AH44/'EDT Y TAREAS'!M44,0),IF(AND(110&gt;='EDT Y TAREAS'!AK46,110&lt;'EDT Y TAREAS'!AL46),'EDT Y TAREAS'!AH46/'EDT Y TAREAS'!M46,0),IF(AND(110&gt;='EDT Y TAREAS'!AK48,110&lt;'EDT Y TAREAS'!AL48),'EDT Y TAREAS'!AH48/'EDT Y TAREAS'!M48,0))</x:f>
        <x:v>0</x:v>
      </x:c>
      <x:c r="G150" s="35" t="n">
        <x:f>SUM(IF(AND(110&gt;='EDT Y TAREAS'!AK20,110&lt;'EDT Y TAREAS'!AL20),'EDT Y TAREAS'!AI20/'EDT Y TAREAS'!M20,0),IF(AND(110&gt;='EDT Y TAREAS'!AK25,110&lt;'EDT Y TAREAS'!AL25),'EDT Y TAREAS'!AI25/'EDT Y TAREAS'!M25,0),IF(AND(110&gt;='EDT Y TAREAS'!AK33,110&lt;'EDT Y TAREAS'!AL33),'EDT Y TAREAS'!AI33/'EDT Y TAREAS'!M33,0),IF(AND(110&gt;='EDT Y TAREAS'!AK34,110&lt;'EDT Y TAREAS'!AL34),'EDT Y TAREAS'!AI34/'EDT Y TAREAS'!M34,0),IF(AND(110&gt;='EDT Y TAREAS'!AK36,110&lt;'EDT Y TAREAS'!AL36),'EDT Y TAREAS'!AI36/'EDT Y TAREAS'!M36,0),IF(AND(110&gt;='EDT Y TAREAS'!AK39,110&lt;'EDT Y TAREAS'!AL39),'EDT Y TAREAS'!AI39/'EDT Y TAREAS'!M39,0),IF(AND(110&gt;='EDT Y TAREAS'!AK40,110&lt;'EDT Y TAREAS'!AL40),'EDT Y TAREAS'!AI40/'EDT Y TAREAS'!M40,0),IF(AND(110&gt;='EDT Y TAREAS'!AK42,110&lt;'EDT Y TAREAS'!AL42),'EDT Y TAREAS'!AI42/'EDT Y TAREAS'!M42,0),IF(AND(110&gt;='EDT Y TAREAS'!AK43,110&lt;'EDT Y TAREAS'!AL43),'EDT Y TAREAS'!AI43/'EDT Y TAREAS'!M43,0),IF(AND(110&gt;='EDT Y TAREAS'!AK44,110&lt;'EDT Y TAREAS'!AL44),'EDT Y TAREAS'!AI44/'EDT Y TAREAS'!M44,0),IF(AND(110&gt;='EDT Y TAREAS'!AK45,110&lt;'EDT Y TAREAS'!AL45),'EDT Y TAREAS'!AI45/'EDT Y TAREAS'!M45,0),IF(AND(110&gt;='EDT Y TAREAS'!AK46,110&lt;'EDT Y TAREAS'!AL46),'EDT Y TAREAS'!AI46/'EDT Y TAREAS'!M46,0),IF(AND(110&gt;='EDT Y TAREAS'!AK48,110&lt;'EDT Y TAREAS'!AL48),'EDT Y TAREAS'!AI48/'EDT Y TAREAS'!M48,0),IF(AND(110&gt;='EDT Y TAREAS'!AK50,110&lt;'EDT Y TAREAS'!AL50),'EDT Y TAREAS'!AI50/'EDT Y TAREAS'!M50,0),IF(AND(110&gt;='EDT Y TAREAS'!AK52,110&lt;'EDT Y TAREAS'!AL52),'EDT Y TAREAS'!AI52/'EDT Y TAREAS'!M52,0))</x:f>
        <x:v>6.4</x:v>
      </x:c>
      <x:c r="H150" s="35" t="n">
        <x:f>SUM(IF(AND(110&gt;='EDT Y TAREAS'!AK11,110&lt;'EDT Y TAREAS'!AL11),'EDT Y TAREAS'!AJ11/'EDT Y TAREAS'!M11,0),IF(AND(110&gt;='EDT Y TAREAS'!AK24,110&lt;'EDT Y TAREAS'!AL24),'EDT Y TAREAS'!AJ24/'EDT Y TAREAS'!M24,0),IF(AND(110&gt;='EDT Y TAREAS'!AK27,110&lt;'EDT Y TAREAS'!AL27),'EDT Y TAREAS'!AJ27/'EDT Y TAREAS'!M27,0),IF(AND(110&gt;='EDT Y TAREAS'!AK28,110&lt;'EDT Y TAREAS'!AL28),'EDT Y TAREAS'!AJ28/'EDT Y TAREAS'!M28,0),IF(AND(110&gt;='EDT Y TAREAS'!AK33,110&lt;'EDT Y TAREAS'!AL33),'EDT Y TAREAS'!AJ33/'EDT Y TAREAS'!M33,0),IF(AND(110&gt;='EDT Y TAREAS'!AK35,110&lt;'EDT Y TAREAS'!AL35),'EDT Y TAREAS'!AJ35/'EDT Y TAREAS'!M35,0),IF(AND(110&gt;='EDT Y TAREAS'!AK36,110&lt;'EDT Y TAREAS'!AL36),'EDT Y TAREAS'!AJ36/'EDT Y TAREAS'!M36,0),IF(AND(110&gt;='EDT Y TAREAS'!AK37,110&lt;'EDT Y TAREAS'!AL37),'EDT Y TAREAS'!AJ37/'EDT Y TAREAS'!M37,0),IF(AND(110&gt;='EDT Y TAREAS'!AK40,110&lt;'EDT Y TAREAS'!AL40),'EDT Y TAREAS'!AJ40/'EDT Y TAREAS'!M40,0),IF(AND(110&gt;='EDT Y TAREAS'!AK42,110&lt;'EDT Y TAREAS'!AL42),'EDT Y TAREAS'!AJ42/'EDT Y TAREAS'!M42,0),IF(AND(110&gt;='EDT Y TAREAS'!AK49,110&lt;'EDT Y TAREAS'!AL49),'EDT Y TAREAS'!AJ49/'EDT Y TAREAS'!M49,0),IF(AND(110&gt;='EDT Y TAREAS'!AK50,110&lt;'EDT Y TAREAS'!AL50),'EDT Y TAREAS'!AJ50/'EDT Y TAREAS'!M50,0),IF(AND(110&gt;='EDT Y TAREAS'!AK51,110&lt;'EDT Y TAREAS'!AL51),'EDT Y TAREAS'!AJ51/'EDT Y TAREAS'!M51,0),IF(AND(110&gt;='EDT Y TAREAS'!AK52,110&lt;'EDT Y TAREAS'!AL52),'EDT Y TAREAS'!AJ52/'EDT Y TAREAS'!M52,0))</x:f>
        <x:v>4.8</x:v>
      </x:c>
      <x:c r="I150" s="10" t="n">
        <x:f>WORKDAY('RESUMEN'!$D$3-1,A150,'RESUMEN'!$J$6:$J$25)</x:f>
        <x:v>46482</x:v>
      </x:c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  <x:c r="AC150" s="3"/>
      <x:c r="AD150" s="3"/>
      <x:c r="AE150" s="3"/>
      <x:c r="AF150" s="3"/>
      <x:c r="AG150" s="3"/>
      <x:c r="AH150" s="3"/>
      <x:c r="AI150" s="3"/>
      <x:c r="AJ150" s="3"/>
      <x:c r="AK150" s="3"/>
      <x:c r="AL150" s="3"/>
      <x:c r="AM150" s="3"/>
      <x:c r="AN150" s="3"/>
      <x:c r="AO150" s="3"/>
    </x:row>
    <x:row r="151" ht="24" customHeight="1">
      <x:c r="A151" s="3" t="n">
        <x:v>112</x:v>
      </x:c>
      <x:c r="B151" s="35" t="n">
        <x:f>SUM(IF(AND(111&gt;='EDT Y TAREAS'!AK6,111&lt;'EDT Y TAREAS'!AL6),'EDT Y TAREAS'!AD6/'EDT Y TAREAS'!M6,0),IF(AND(111&gt;='EDT Y TAREAS'!AK7,111&lt;'EDT Y TAREAS'!AL7),'EDT Y TAREAS'!AD7/'EDT Y TAREAS'!M7,0),IF(AND(111&gt;='EDT Y TAREAS'!AK8,111&lt;'EDT Y TAREAS'!AL8),'EDT Y TAREAS'!AD8/'EDT Y TAREAS'!M8,0),IF(AND(111&gt;='EDT Y TAREAS'!AK9,111&lt;'EDT Y TAREAS'!AL9),'EDT Y TAREAS'!AD9/'EDT Y TAREAS'!M9,0),IF(AND(111&gt;='EDT Y TAREAS'!AK10,111&lt;'EDT Y TAREAS'!AL10),'EDT Y TAREAS'!AD10/'EDT Y TAREAS'!M10,0),IF(AND(111&gt;='EDT Y TAREAS'!AK11,111&lt;'EDT Y TAREAS'!AL11),'EDT Y TAREAS'!AD11/'EDT Y TAREAS'!M11,0),IF(AND(111&gt;='EDT Y TAREAS'!AK12,111&lt;'EDT Y TAREAS'!AL12),'EDT Y TAREAS'!AD12/'EDT Y TAREAS'!M12,0),IF(AND(111&gt;='EDT Y TAREAS'!AK13,111&lt;'EDT Y TAREAS'!AL13),'EDT Y TAREAS'!AD13/'EDT Y TAREAS'!M13,0),IF(AND(111&gt;='EDT Y TAREAS'!AK14,111&lt;'EDT Y TAREAS'!AL14),'EDT Y TAREAS'!AD14/'EDT Y TAREAS'!M14,0),IF(AND(111&gt;='EDT Y TAREAS'!AK15,111&lt;'EDT Y TAREAS'!AL15),'EDT Y TAREAS'!AD15/'EDT Y TAREAS'!M15,0),IF(AND(111&gt;='EDT Y TAREAS'!AK16,111&lt;'EDT Y TAREAS'!AL16),'EDT Y TAREAS'!AD16/'EDT Y TAREAS'!M16,0),IF(AND(111&gt;='EDT Y TAREAS'!AK17,111&lt;'EDT Y TAREAS'!AL17),'EDT Y TAREAS'!AD17/'EDT Y TAREAS'!M17,0),IF(AND(111&gt;='EDT Y TAREAS'!AK18,111&lt;'EDT Y TAREAS'!AL18),'EDT Y TAREAS'!AD18/'EDT Y TAREAS'!M18,0),IF(AND(111&gt;='EDT Y TAREAS'!AK19,111&lt;'EDT Y TAREAS'!AL19),'EDT Y TAREAS'!AD19/'EDT Y TAREAS'!M19,0),IF(AND(111&gt;='EDT Y TAREAS'!AK20,111&lt;'EDT Y TAREAS'!AL20),'EDT Y TAREAS'!AD20/'EDT Y TAREAS'!M20,0),IF(AND(111&gt;='EDT Y TAREAS'!AK21,111&lt;'EDT Y TAREAS'!AL21),'EDT Y TAREAS'!AD21/'EDT Y TAREAS'!M21,0),IF(AND(111&gt;='EDT Y TAREAS'!AK22,111&lt;'EDT Y TAREAS'!AL22),'EDT Y TAREAS'!AD22/'EDT Y TAREAS'!M22,0),IF(AND(111&gt;='EDT Y TAREAS'!AK23,111&lt;'EDT Y TAREAS'!AL23),'EDT Y TAREAS'!AD23/'EDT Y TAREAS'!M23,0),IF(AND(111&gt;='EDT Y TAREAS'!AK26,111&lt;'EDT Y TAREAS'!AL26),'EDT Y TAREAS'!AD26/'EDT Y TAREAS'!M26,0),IF(AND(111&gt;='EDT Y TAREAS'!AK28,111&lt;'EDT Y TAREAS'!AL28),'EDT Y TAREAS'!AD28/'EDT Y TAREAS'!M28,0),IF(AND(111&gt;='EDT Y TAREAS'!AK30,111&lt;'EDT Y TAREAS'!AL30),'EDT Y TAREAS'!AD30/'EDT Y TAREAS'!M30,0),IF(AND(111&gt;='EDT Y TAREAS'!AK32,111&lt;'EDT Y TAREAS'!AL32),'EDT Y TAREAS'!AD32/'EDT Y TAREAS'!M32,0),IF(AND(111&gt;='EDT Y TAREAS'!AK34,111&lt;'EDT Y TAREAS'!AL34),'EDT Y TAREAS'!AD34/'EDT Y TAREAS'!M34,0),IF(AND(111&gt;='EDT Y TAREAS'!AK38,111&lt;'EDT Y TAREAS'!AL38),'EDT Y TAREAS'!AD38/'EDT Y TAREAS'!M38,0),IF(AND(111&gt;='EDT Y TAREAS'!AK39,111&lt;'EDT Y TAREAS'!AL39),'EDT Y TAREAS'!AD39/'EDT Y TAREAS'!M39,0),IF(AND(111&gt;='EDT Y TAREAS'!AK43,111&lt;'EDT Y TAREAS'!AL43),'EDT Y TAREAS'!AD43/'EDT Y TAREAS'!M43,0),IF(AND(111&gt;='EDT Y TAREAS'!AK44,111&lt;'EDT Y TAREAS'!AL44),'EDT Y TAREAS'!AD44/'EDT Y TAREAS'!M44,0),IF(AND(111&gt;='EDT Y TAREAS'!AK45,111&lt;'EDT Y TAREAS'!AL45),'EDT Y TAREAS'!AD45/'EDT Y TAREAS'!M45,0),IF(AND(111&gt;='EDT Y TAREAS'!AK46,111&lt;'EDT Y TAREAS'!AL46),'EDT Y TAREAS'!AD46/'EDT Y TAREAS'!M46,0),IF(AND(111&gt;='EDT Y TAREAS'!AK47,111&lt;'EDT Y TAREAS'!AL47),'EDT Y TAREAS'!AD47/'EDT Y TAREAS'!M47,0),IF(AND(111&gt;='EDT Y TAREAS'!AK49,111&lt;'EDT Y TAREAS'!AL49),'EDT Y TAREAS'!AD49/'EDT Y TAREAS'!M49,0),IF(AND(111&gt;='EDT Y TAREAS'!AK50,111&lt;'EDT Y TAREAS'!AL50),'EDT Y TAREAS'!AD50/'EDT Y TAREAS'!M50,0),IF(AND(111&gt;='EDT Y TAREAS'!AK51,111&lt;'EDT Y TAREAS'!AL51),'EDT Y TAREAS'!AD51/'EDT Y TAREAS'!M51,0),IF(AND(111&gt;='EDT Y TAREAS'!AK52,111&lt;'EDT Y TAREAS'!AL52),'EDT Y TAREAS'!AD52/'EDT Y TAREAS'!M52,0))</x:f>
        <x:v>0</x:v>
      </x:c>
      <x:c r="C151" s="35" t="n">
        <x:f>SUM(IF(AND(111&gt;='EDT Y TAREAS'!AK6,111&lt;'EDT Y TAREAS'!AL6),'EDT Y TAREAS'!AE6/'EDT Y TAREAS'!M6,0),IF(AND(111&gt;='EDT Y TAREAS'!AK8,111&lt;'EDT Y TAREAS'!AL8),'EDT Y TAREAS'!AE8/'EDT Y TAREAS'!M8,0),IF(AND(111&gt;='EDT Y TAREAS'!AK9,111&lt;'EDT Y TAREAS'!AL9),'EDT Y TAREAS'!AE9/'EDT Y TAREAS'!M9,0),IF(AND(111&gt;='EDT Y TAREAS'!AK10,111&lt;'EDT Y TAREAS'!AL10),'EDT Y TAREAS'!AE10/'EDT Y TAREAS'!M10,0),IF(AND(111&gt;='EDT Y TAREAS'!AK12,111&lt;'EDT Y TAREAS'!AL12),'EDT Y TAREAS'!AE12/'EDT Y TAREAS'!M12,0),IF(AND(111&gt;='EDT Y TAREAS'!AK16,111&lt;'EDT Y TAREAS'!AL16),'EDT Y TAREAS'!AE16/'EDT Y TAREAS'!M16,0),IF(AND(111&gt;='EDT Y TAREAS'!AK21,111&lt;'EDT Y TAREAS'!AL21),'EDT Y TAREAS'!AE21/'EDT Y TAREAS'!M21,0),IF(AND(111&gt;='EDT Y TAREAS'!AK23,111&lt;'EDT Y TAREAS'!AL23),'EDT Y TAREAS'!AE23/'EDT Y TAREAS'!M23,0),IF(AND(111&gt;='EDT Y TAREAS'!AK37,111&lt;'EDT Y TAREAS'!AL37),'EDT Y TAREAS'!AE37/'EDT Y TAREAS'!M37,0),IF(AND(111&gt;='EDT Y TAREAS'!AK38,111&lt;'EDT Y TAREAS'!AL38),'EDT Y TAREAS'!AE38/'EDT Y TAREAS'!M38,0),IF(AND(111&gt;='EDT Y TAREAS'!AK41,111&lt;'EDT Y TAREAS'!AL41),'EDT Y TAREAS'!AE41/'EDT Y TAREAS'!M41,0),IF(AND(111&gt;='EDT Y TAREAS'!AK43,111&lt;'EDT Y TAREAS'!AL43),'EDT Y TAREAS'!AE43/'EDT Y TAREAS'!M43,0),IF(AND(111&gt;='EDT Y TAREAS'!AK44,111&lt;'EDT Y TAREAS'!AL44),'EDT Y TAREAS'!AE44/'EDT Y TAREAS'!M44,0),IF(AND(111&gt;='EDT Y TAREAS'!AK46,111&lt;'EDT Y TAREAS'!AL46),'EDT Y TAREAS'!AE46/'EDT Y TAREAS'!M46,0),IF(AND(111&gt;='EDT Y TAREAS'!AK47,111&lt;'EDT Y TAREAS'!AL47),'EDT Y TAREAS'!AE47/'EDT Y TAREAS'!M47,0),IF(AND(111&gt;='EDT Y TAREAS'!AK51,111&lt;'EDT Y TAREAS'!AL51),'EDT Y TAREAS'!AE51/'EDT Y TAREAS'!M51,0),IF(AND(111&gt;='EDT Y TAREAS'!AK52,111&lt;'EDT Y TAREAS'!AL52),'EDT Y TAREAS'!AE52/'EDT Y TAREAS'!M52,0))</x:f>
        <x:v>0</x:v>
      </x:c>
      <x:c r="D151" s="35" t="n">
        <x:f>SUM(IF(AND(111&gt;='EDT Y TAREAS'!AK11,111&lt;'EDT Y TAREAS'!AL11),'EDT Y TAREAS'!AF11/'EDT Y TAREAS'!M11,0),IF(AND(111&gt;='EDT Y TAREAS'!AK24,111&lt;'EDT Y TAREAS'!AL24),'EDT Y TAREAS'!AF24/'EDT Y TAREAS'!M24,0),IF(AND(111&gt;='EDT Y TAREAS'!AK25,111&lt;'EDT Y TAREAS'!AL25),'EDT Y TAREAS'!AF25/'EDT Y TAREAS'!M25,0),IF(AND(111&gt;='EDT Y TAREAS'!AK26,111&lt;'EDT Y TAREAS'!AL26),'EDT Y TAREAS'!AF26/'EDT Y TAREAS'!M26,0),IF(AND(111&gt;='EDT Y TAREAS'!AK27,111&lt;'EDT Y TAREAS'!AL27),'EDT Y TAREAS'!AF27/'EDT Y TAREAS'!M27,0),IF(AND(111&gt;='EDT Y TAREAS'!AK28,111&lt;'EDT Y TAREAS'!AL28),'EDT Y TAREAS'!AF28/'EDT Y TAREAS'!M28,0),IF(AND(111&gt;='EDT Y TAREAS'!AK31,111&lt;'EDT Y TAREAS'!AL31),'EDT Y TAREAS'!AF31/'EDT Y TAREAS'!M31,0),IF(AND(111&gt;='EDT Y TAREAS'!AK33,111&lt;'EDT Y TAREAS'!AL33),'EDT Y TAREAS'!AF33/'EDT Y TAREAS'!M33,0),IF(AND(111&gt;='EDT Y TAREAS'!AK34,111&lt;'EDT Y TAREAS'!AL34),'EDT Y TAREAS'!AF34/'EDT Y TAREAS'!M34,0),IF(AND(111&gt;='EDT Y TAREAS'!AK35,111&lt;'EDT Y TAREAS'!AL35),'EDT Y TAREAS'!AF35/'EDT Y TAREAS'!M35,0),IF(AND(111&gt;='EDT Y TAREAS'!AK37,111&lt;'EDT Y TAREAS'!AL37),'EDT Y TAREAS'!AF37/'EDT Y TAREAS'!M37,0),IF(AND(111&gt;='EDT Y TAREAS'!AK39,111&lt;'EDT Y TAREAS'!AL39),'EDT Y TAREAS'!AF39/'EDT Y TAREAS'!M39,0),IF(AND(111&gt;='EDT Y TAREAS'!AK40,111&lt;'EDT Y TAREAS'!AL40),'EDT Y TAREAS'!AF40/'EDT Y TAREAS'!M40,0),IF(AND(111&gt;='EDT Y TAREAS'!AK42,111&lt;'EDT Y TAREAS'!AL42),'EDT Y TAREAS'!AF42/'EDT Y TAREAS'!M42,0),IF(AND(111&gt;='EDT Y TAREAS'!AK45,111&lt;'EDT Y TAREAS'!AL45),'EDT Y TAREAS'!AF45/'EDT Y TAREAS'!M45,0),IF(AND(111&gt;='EDT Y TAREAS'!AK49,111&lt;'EDT Y TAREAS'!AL49),'EDT Y TAREAS'!AF49/'EDT Y TAREAS'!M49,0),IF(AND(111&gt;='EDT Y TAREAS'!AK52,111&lt;'EDT Y TAREAS'!AL52),'EDT Y TAREAS'!AF52/'EDT Y TAREAS'!M52,0))</x:f>
        <x:v>1.6</x:v>
      </x:c>
      <x:c r="E151" s="35" t="n">
        <x:f>SUM(IF(AND(111&gt;='EDT Y TAREAS'!AK29,111&lt;'EDT Y TAREAS'!AL29),'EDT Y TAREAS'!AG29/'EDT Y TAREAS'!M29,0),IF(AND(111&gt;='EDT Y TAREAS'!AK30,111&lt;'EDT Y TAREAS'!AL30),'EDT Y TAREAS'!AG30/'EDT Y TAREAS'!M30,0),IF(AND(111&gt;='EDT Y TAREAS'!AK31,111&lt;'EDT Y TAREAS'!AL31),'EDT Y TAREAS'!AG31/'EDT Y TAREAS'!M31,0),IF(AND(111&gt;='EDT Y TAREAS'!AK32,111&lt;'EDT Y TAREAS'!AL32),'EDT Y TAREAS'!AG32/'EDT Y TAREAS'!M32,0),IF(AND(111&gt;='EDT Y TAREAS'!AK41,111&lt;'EDT Y TAREAS'!AL41),'EDT Y TAREAS'!AG41/'EDT Y TAREAS'!M41,0),IF(AND(111&gt;='EDT Y TAREAS'!AK45,111&lt;'EDT Y TAREAS'!AL45),'EDT Y TAREAS'!AG45/'EDT Y TAREAS'!M45,0),IF(AND(111&gt;='EDT Y TAREAS'!AK48,111&lt;'EDT Y TAREAS'!AL48),'EDT Y TAREAS'!AG48/'EDT Y TAREAS'!M48,0))</x:f>
        <x:v>0</x:v>
      </x:c>
      <x:c r="F151" s="35" t="n">
        <x:f>SUM(IF(AND(111&gt;='EDT Y TAREAS'!AK10,111&lt;'EDT Y TAREAS'!AL10),'EDT Y TAREAS'!AH10/'EDT Y TAREAS'!M10,0),IF(AND(111&gt;='EDT Y TAREAS'!AK12,111&lt;'EDT Y TAREAS'!AL12),'EDT Y TAREAS'!AH12/'EDT Y TAREAS'!M12,0),IF(AND(111&gt;='EDT Y TAREAS'!AK22,111&lt;'EDT Y TAREAS'!AL22),'EDT Y TAREAS'!AH22/'EDT Y TAREAS'!M22,0),IF(AND(111&gt;='EDT Y TAREAS'!AK23,111&lt;'EDT Y TAREAS'!AL23),'EDT Y TAREAS'!AH23/'EDT Y TAREAS'!M23,0),IF(AND(111&gt;='EDT Y TAREAS'!AK29,111&lt;'EDT Y TAREAS'!AL29),'EDT Y TAREAS'!AH29/'EDT Y TAREAS'!M29,0),IF(AND(111&gt;='EDT Y TAREAS'!AK30,111&lt;'EDT Y TAREAS'!AL30),'EDT Y TAREAS'!AH30/'EDT Y TAREAS'!M30,0),IF(AND(111&gt;='EDT Y TAREAS'!AK32,111&lt;'EDT Y TAREAS'!AL32),'EDT Y TAREAS'!AH32/'EDT Y TAREAS'!M32,0),IF(AND(111&gt;='EDT Y TAREAS'!AK41,111&lt;'EDT Y TAREAS'!AL41),'EDT Y TAREAS'!AH41/'EDT Y TAREAS'!M41,0),IF(AND(111&gt;='EDT Y TAREAS'!AK44,111&lt;'EDT Y TAREAS'!AL44),'EDT Y TAREAS'!AH44/'EDT Y TAREAS'!M44,0),IF(AND(111&gt;='EDT Y TAREAS'!AK46,111&lt;'EDT Y TAREAS'!AL46),'EDT Y TAREAS'!AH46/'EDT Y TAREAS'!M46,0),IF(AND(111&gt;='EDT Y TAREAS'!AK48,111&lt;'EDT Y TAREAS'!AL48),'EDT Y TAREAS'!AH48/'EDT Y TAREAS'!M48,0))</x:f>
        <x:v>0</x:v>
      </x:c>
      <x:c r="G151" s="35" t="n">
        <x:f>SUM(IF(AND(111&gt;='EDT Y TAREAS'!AK20,111&lt;'EDT Y TAREAS'!AL20),'EDT Y TAREAS'!AI20/'EDT Y TAREAS'!M20,0),IF(AND(111&gt;='EDT Y TAREAS'!AK25,111&lt;'EDT Y TAREAS'!AL25),'EDT Y TAREAS'!AI25/'EDT Y TAREAS'!M25,0),IF(AND(111&gt;='EDT Y TAREAS'!AK33,111&lt;'EDT Y TAREAS'!AL33),'EDT Y TAREAS'!AI33/'EDT Y TAREAS'!M33,0),IF(AND(111&gt;='EDT Y TAREAS'!AK34,111&lt;'EDT Y TAREAS'!AL34),'EDT Y TAREAS'!AI34/'EDT Y TAREAS'!M34,0),IF(AND(111&gt;='EDT Y TAREAS'!AK36,111&lt;'EDT Y TAREAS'!AL36),'EDT Y TAREAS'!AI36/'EDT Y TAREAS'!M36,0),IF(AND(111&gt;='EDT Y TAREAS'!AK39,111&lt;'EDT Y TAREAS'!AL39),'EDT Y TAREAS'!AI39/'EDT Y TAREAS'!M39,0),IF(AND(111&gt;='EDT Y TAREAS'!AK40,111&lt;'EDT Y TAREAS'!AL40),'EDT Y TAREAS'!AI40/'EDT Y TAREAS'!M40,0),IF(AND(111&gt;='EDT Y TAREAS'!AK42,111&lt;'EDT Y TAREAS'!AL42),'EDT Y TAREAS'!AI42/'EDT Y TAREAS'!M42,0),IF(AND(111&gt;='EDT Y TAREAS'!AK43,111&lt;'EDT Y TAREAS'!AL43),'EDT Y TAREAS'!AI43/'EDT Y TAREAS'!M43,0),IF(AND(111&gt;='EDT Y TAREAS'!AK44,111&lt;'EDT Y TAREAS'!AL44),'EDT Y TAREAS'!AI44/'EDT Y TAREAS'!M44,0),IF(AND(111&gt;='EDT Y TAREAS'!AK45,111&lt;'EDT Y TAREAS'!AL45),'EDT Y TAREAS'!AI45/'EDT Y TAREAS'!M45,0),IF(AND(111&gt;='EDT Y TAREAS'!AK46,111&lt;'EDT Y TAREAS'!AL46),'EDT Y TAREAS'!AI46/'EDT Y TAREAS'!M46,0),IF(AND(111&gt;='EDT Y TAREAS'!AK48,111&lt;'EDT Y TAREAS'!AL48),'EDT Y TAREAS'!AI48/'EDT Y TAREAS'!M48,0),IF(AND(111&gt;='EDT Y TAREAS'!AK50,111&lt;'EDT Y TAREAS'!AL50),'EDT Y TAREAS'!AI50/'EDT Y TAREAS'!M50,0),IF(AND(111&gt;='EDT Y TAREAS'!AK52,111&lt;'EDT Y TAREAS'!AL52),'EDT Y TAREAS'!AI52/'EDT Y TAREAS'!M52,0))</x:f>
        <x:v>6.4</x:v>
      </x:c>
      <x:c r="H151" s="35" t="n">
        <x:f>SUM(IF(AND(111&gt;='EDT Y TAREAS'!AK11,111&lt;'EDT Y TAREAS'!AL11),'EDT Y TAREAS'!AJ11/'EDT Y TAREAS'!M11,0),IF(AND(111&gt;='EDT Y TAREAS'!AK24,111&lt;'EDT Y TAREAS'!AL24),'EDT Y TAREAS'!AJ24/'EDT Y TAREAS'!M24,0),IF(AND(111&gt;='EDT Y TAREAS'!AK27,111&lt;'EDT Y TAREAS'!AL27),'EDT Y TAREAS'!AJ27/'EDT Y TAREAS'!M27,0),IF(AND(111&gt;='EDT Y TAREAS'!AK28,111&lt;'EDT Y TAREAS'!AL28),'EDT Y TAREAS'!AJ28/'EDT Y TAREAS'!M28,0),IF(AND(111&gt;='EDT Y TAREAS'!AK33,111&lt;'EDT Y TAREAS'!AL33),'EDT Y TAREAS'!AJ33/'EDT Y TAREAS'!M33,0),IF(AND(111&gt;='EDT Y TAREAS'!AK35,111&lt;'EDT Y TAREAS'!AL35),'EDT Y TAREAS'!AJ35/'EDT Y TAREAS'!M35,0),IF(AND(111&gt;='EDT Y TAREAS'!AK36,111&lt;'EDT Y TAREAS'!AL36),'EDT Y TAREAS'!AJ36/'EDT Y TAREAS'!M36,0),IF(AND(111&gt;='EDT Y TAREAS'!AK37,111&lt;'EDT Y TAREAS'!AL37),'EDT Y TAREAS'!AJ37/'EDT Y TAREAS'!M37,0),IF(AND(111&gt;='EDT Y TAREAS'!AK40,111&lt;'EDT Y TAREAS'!AL40),'EDT Y TAREAS'!AJ40/'EDT Y TAREAS'!M40,0),IF(AND(111&gt;='EDT Y TAREAS'!AK42,111&lt;'EDT Y TAREAS'!AL42),'EDT Y TAREAS'!AJ42/'EDT Y TAREAS'!M42,0),IF(AND(111&gt;='EDT Y TAREAS'!AK49,111&lt;'EDT Y TAREAS'!AL49),'EDT Y TAREAS'!AJ49/'EDT Y TAREAS'!M49,0),IF(AND(111&gt;='EDT Y TAREAS'!AK50,111&lt;'EDT Y TAREAS'!AL50),'EDT Y TAREAS'!AJ50/'EDT Y TAREAS'!M50,0),IF(AND(111&gt;='EDT Y TAREAS'!AK51,111&lt;'EDT Y TAREAS'!AL51),'EDT Y TAREAS'!AJ51/'EDT Y TAREAS'!M51,0),IF(AND(111&gt;='EDT Y TAREAS'!AK52,111&lt;'EDT Y TAREAS'!AL52),'EDT Y TAREAS'!AJ52/'EDT Y TAREAS'!M52,0))</x:f>
        <x:v>4.8</x:v>
      </x:c>
      <x:c r="I151" s="10" t="n">
        <x:f>WORKDAY('RESUMEN'!$D$3-1,A151,'RESUMEN'!$J$6:$J$25)</x:f>
        <x:v>46483</x:v>
      </x:c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  <x:c r="AL151" s="3"/>
      <x:c r="AM151" s="3"/>
      <x:c r="AN151" s="3"/>
      <x:c r="AO151" s="3"/>
    </x:row>
    <x:row r="152" ht="24" customHeight="1">
      <x:c r="A152" s="3" t="n">
        <x:v>113</x:v>
      </x:c>
      <x:c r="B152" s="35" t="n">
        <x:f>SUM(IF(AND(112&gt;='EDT Y TAREAS'!AK6,112&lt;'EDT Y TAREAS'!AL6),'EDT Y TAREAS'!AD6/'EDT Y TAREAS'!M6,0),IF(AND(112&gt;='EDT Y TAREAS'!AK7,112&lt;'EDT Y TAREAS'!AL7),'EDT Y TAREAS'!AD7/'EDT Y TAREAS'!M7,0),IF(AND(112&gt;='EDT Y TAREAS'!AK8,112&lt;'EDT Y TAREAS'!AL8),'EDT Y TAREAS'!AD8/'EDT Y TAREAS'!M8,0),IF(AND(112&gt;='EDT Y TAREAS'!AK9,112&lt;'EDT Y TAREAS'!AL9),'EDT Y TAREAS'!AD9/'EDT Y TAREAS'!M9,0),IF(AND(112&gt;='EDT Y TAREAS'!AK10,112&lt;'EDT Y TAREAS'!AL10),'EDT Y TAREAS'!AD10/'EDT Y TAREAS'!M10,0),IF(AND(112&gt;='EDT Y TAREAS'!AK11,112&lt;'EDT Y TAREAS'!AL11),'EDT Y TAREAS'!AD11/'EDT Y TAREAS'!M11,0),IF(AND(112&gt;='EDT Y TAREAS'!AK12,112&lt;'EDT Y TAREAS'!AL12),'EDT Y TAREAS'!AD12/'EDT Y TAREAS'!M12,0),IF(AND(112&gt;='EDT Y TAREAS'!AK13,112&lt;'EDT Y TAREAS'!AL13),'EDT Y TAREAS'!AD13/'EDT Y TAREAS'!M13,0),IF(AND(112&gt;='EDT Y TAREAS'!AK14,112&lt;'EDT Y TAREAS'!AL14),'EDT Y TAREAS'!AD14/'EDT Y TAREAS'!M14,0),IF(AND(112&gt;='EDT Y TAREAS'!AK15,112&lt;'EDT Y TAREAS'!AL15),'EDT Y TAREAS'!AD15/'EDT Y TAREAS'!M15,0),IF(AND(112&gt;='EDT Y TAREAS'!AK16,112&lt;'EDT Y TAREAS'!AL16),'EDT Y TAREAS'!AD16/'EDT Y TAREAS'!M16,0),IF(AND(112&gt;='EDT Y TAREAS'!AK17,112&lt;'EDT Y TAREAS'!AL17),'EDT Y TAREAS'!AD17/'EDT Y TAREAS'!M17,0),IF(AND(112&gt;='EDT Y TAREAS'!AK18,112&lt;'EDT Y TAREAS'!AL18),'EDT Y TAREAS'!AD18/'EDT Y TAREAS'!M18,0),IF(AND(112&gt;='EDT Y TAREAS'!AK19,112&lt;'EDT Y TAREAS'!AL19),'EDT Y TAREAS'!AD19/'EDT Y TAREAS'!M19,0),IF(AND(112&gt;='EDT Y TAREAS'!AK20,112&lt;'EDT Y TAREAS'!AL20),'EDT Y TAREAS'!AD20/'EDT Y TAREAS'!M20,0),IF(AND(112&gt;='EDT Y TAREAS'!AK21,112&lt;'EDT Y TAREAS'!AL21),'EDT Y TAREAS'!AD21/'EDT Y TAREAS'!M21,0),IF(AND(112&gt;='EDT Y TAREAS'!AK22,112&lt;'EDT Y TAREAS'!AL22),'EDT Y TAREAS'!AD22/'EDT Y TAREAS'!M22,0),IF(AND(112&gt;='EDT Y TAREAS'!AK23,112&lt;'EDT Y TAREAS'!AL23),'EDT Y TAREAS'!AD23/'EDT Y TAREAS'!M23,0),IF(AND(112&gt;='EDT Y TAREAS'!AK26,112&lt;'EDT Y TAREAS'!AL26),'EDT Y TAREAS'!AD26/'EDT Y TAREAS'!M26,0),IF(AND(112&gt;='EDT Y TAREAS'!AK28,112&lt;'EDT Y TAREAS'!AL28),'EDT Y TAREAS'!AD28/'EDT Y TAREAS'!M28,0),IF(AND(112&gt;='EDT Y TAREAS'!AK30,112&lt;'EDT Y TAREAS'!AL30),'EDT Y TAREAS'!AD30/'EDT Y TAREAS'!M30,0),IF(AND(112&gt;='EDT Y TAREAS'!AK32,112&lt;'EDT Y TAREAS'!AL32),'EDT Y TAREAS'!AD32/'EDT Y TAREAS'!M32,0),IF(AND(112&gt;='EDT Y TAREAS'!AK34,112&lt;'EDT Y TAREAS'!AL34),'EDT Y TAREAS'!AD34/'EDT Y TAREAS'!M34,0),IF(AND(112&gt;='EDT Y TAREAS'!AK38,112&lt;'EDT Y TAREAS'!AL38),'EDT Y TAREAS'!AD38/'EDT Y TAREAS'!M38,0),IF(AND(112&gt;='EDT Y TAREAS'!AK39,112&lt;'EDT Y TAREAS'!AL39),'EDT Y TAREAS'!AD39/'EDT Y TAREAS'!M39,0),IF(AND(112&gt;='EDT Y TAREAS'!AK43,112&lt;'EDT Y TAREAS'!AL43),'EDT Y TAREAS'!AD43/'EDT Y TAREAS'!M43,0),IF(AND(112&gt;='EDT Y TAREAS'!AK44,112&lt;'EDT Y TAREAS'!AL44),'EDT Y TAREAS'!AD44/'EDT Y TAREAS'!M44,0),IF(AND(112&gt;='EDT Y TAREAS'!AK45,112&lt;'EDT Y TAREAS'!AL45),'EDT Y TAREAS'!AD45/'EDT Y TAREAS'!M45,0),IF(AND(112&gt;='EDT Y TAREAS'!AK46,112&lt;'EDT Y TAREAS'!AL46),'EDT Y TAREAS'!AD46/'EDT Y TAREAS'!M46,0),IF(AND(112&gt;='EDT Y TAREAS'!AK47,112&lt;'EDT Y TAREAS'!AL47),'EDT Y TAREAS'!AD47/'EDT Y TAREAS'!M47,0),IF(AND(112&gt;='EDT Y TAREAS'!AK49,112&lt;'EDT Y TAREAS'!AL49),'EDT Y TAREAS'!AD49/'EDT Y TAREAS'!M49,0),IF(AND(112&gt;='EDT Y TAREAS'!AK50,112&lt;'EDT Y TAREAS'!AL50),'EDT Y TAREAS'!AD50/'EDT Y TAREAS'!M50,0),IF(AND(112&gt;='EDT Y TAREAS'!AK51,112&lt;'EDT Y TAREAS'!AL51),'EDT Y TAREAS'!AD51/'EDT Y TAREAS'!M51,0),IF(AND(112&gt;='EDT Y TAREAS'!AK52,112&lt;'EDT Y TAREAS'!AL52),'EDT Y TAREAS'!AD52/'EDT Y TAREAS'!M52,0))</x:f>
        <x:v>0</x:v>
      </x:c>
      <x:c r="C152" s="35" t="n">
        <x:f>SUM(IF(AND(112&gt;='EDT Y TAREAS'!AK6,112&lt;'EDT Y TAREAS'!AL6),'EDT Y TAREAS'!AE6/'EDT Y TAREAS'!M6,0),IF(AND(112&gt;='EDT Y TAREAS'!AK8,112&lt;'EDT Y TAREAS'!AL8),'EDT Y TAREAS'!AE8/'EDT Y TAREAS'!M8,0),IF(AND(112&gt;='EDT Y TAREAS'!AK9,112&lt;'EDT Y TAREAS'!AL9),'EDT Y TAREAS'!AE9/'EDT Y TAREAS'!M9,0),IF(AND(112&gt;='EDT Y TAREAS'!AK10,112&lt;'EDT Y TAREAS'!AL10),'EDT Y TAREAS'!AE10/'EDT Y TAREAS'!M10,0),IF(AND(112&gt;='EDT Y TAREAS'!AK12,112&lt;'EDT Y TAREAS'!AL12),'EDT Y TAREAS'!AE12/'EDT Y TAREAS'!M12,0),IF(AND(112&gt;='EDT Y TAREAS'!AK16,112&lt;'EDT Y TAREAS'!AL16),'EDT Y TAREAS'!AE16/'EDT Y TAREAS'!M16,0),IF(AND(112&gt;='EDT Y TAREAS'!AK21,112&lt;'EDT Y TAREAS'!AL21),'EDT Y TAREAS'!AE21/'EDT Y TAREAS'!M21,0),IF(AND(112&gt;='EDT Y TAREAS'!AK23,112&lt;'EDT Y TAREAS'!AL23),'EDT Y TAREAS'!AE23/'EDT Y TAREAS'!M23,0),IF(AND(112&gt;='EDT Y TAREAS'!AK37,112&lt;'EDT Y TAREAS'!AL37),'EDT Y TAREAS'!AE37/'EDT Y TAREAS'!M37,0),IF(AND(112&gt;='EDT Y TAREAS'!AK38,112&lt;'EDT Y TAREAS'!AL38),'EDT Y TAREAS'!AE38/'EDT Y TAREAS'!M38,0),IF(AND(112&gt;='EDT Y TAREAS'!AK41,112&lt;'EDT Y TAREAS'!AL41),'EDT Y TAREAS'!AE41/'EDT Y TAREAS'!M41,0),IF(AND(112&gt;='EDT Y TAREAS'!AK43,112&lt;'EDT Y TAREAS'!AL43),'EDT Y TAREAS'!AE43/'EDT Y TAREAS'!M43,0),IF(AND(112&gt;='EDT Y TAREAS'!AK44,112&lt;'EDT Y TAREAS'!AL44),'EDT Y TAREAS'!AE44/'EDT Y TAREAS'!M44,0),IF(AND(112&gt;='EDT Y TAREAS'!AK46,112&lt;'EDT Y TAREAS'!AL46),'EDT Y TAREAS'!AE46/'EDT Y TAREAS'!M46,0),IF(AND(112&gt;='EDT Y TAREAS'!AK47,112&lt;'EDT Y TAREAS'!AL47),'EDT Y TAREAS'!AE47/'EDT Y TAREAS'!M47,0),IF(AND(112&gt;='EDT Y TAREAS'!AK51,112&lt;'EDT Y TAREAS'!AL51),'EDT Y TAREAS'!AE51/'EDT Y TAREAS'!M51,0),IF(AND(112&gt;='EDT Y TAREAS'!AK52,112&lt;'EDT Y TAREAS'!AL52),'EDT Y TAREAS'!AE52/'EDT Y TAREAS'!M52,0))</x:f>
        <x:v>0</x:v>
      </x:c>
      <x:c r="D152" s="35" t="n">
        <x:f>SUM(IF(AND(112&gt;='EDT Y TAREAS'!AK11,112&lt;'EDT Y TAREAS'!AL11),'EDT Y TAREAS'!AF11/'EDT Y TAREAS'!M11,0),IF(AND(112&gt;='EDT Y TAREAS'!AK24,112&lt;'EDT Y TAREAS'!AL24),'EDT Y TAREAS'!AF24/'EDT Y TAREAS'!M24,0),IF(AND(112&gt;='EDT Y TAREAS'!AK25,112&lt;'EDT Y TAREAS'!AL25),'EDT Y TAREAS'!AF25/'EDT Y TAREAS'!M25,0),IF(AND(112&gt;='EDT Y TAREAS'!AK26,112&lt;'EDT Y TAREAS'!AL26),'EDT Y TAREAS'!AF26/'EDT Y TAREAS'!M26,0),IF(AND(112&gt;='EDT Y TAREAS'!AK27,112&lt;'EDT Y TAREAS'!AL27),'EDT Y TAREAS'!AF27/'EDT Y TAREAS'!M27,0),IF(AND(112&gt;='EDT Y TAREAS'!AK28,112&lt;'EDT Y TAREAS'!AL28),'EDT Y TAREAS'!AF28/'EDT Y TAREAS'!M28,0),IF(AND(112&gt;='EDT Y TAREAS'!AK31,112&lt;'EDT Y TAREAS'!AL31),'EDT Y TAREAS'!AF31/'EDT Y TAREAS'!M31,0),IF(AND(112&gt;='EDT Y TAREAS'!AK33,112&lt;'EDT Y TAREAS'!AL33),'EDT Y TAREAS'!AF33/'EDT Y TAREAS'!M33,0),IF(AND(112&gt;='EDT Y TAREAS'!AK34,112&lt;'EDT Y TAREAS'!AL34),'EDT Y TAREAS'!AF34/'EDT Y TAREAS'!M34,0),IF(AND(112&gt;='EDT Y TAREAS'!AK35,112&lt;'EDT Y TAREAS'!AL35),'EDT Y TAREAS'!AF35/'EDT Y TAREAS'!M35,0),IF(AND(112&gt;='EDT Y TAREAS'!AK37,112&lt;'EDT Y TAREAS'!AL37),'EDT Y TAREAS'!AF37/'EDT Y TAREAS'!M37,0),IF(AND(112&gt;='EDT Y TAREAS'!AK39,112&lt;'EDT Y TAREAS'!AL39),'EDT Y TAREAS'!AF39/'EDT Y TAREAS'!M39,0),IF(AND(112&gt;='EDT Y TAREAS'!AK40,112&lt;'EDT Y TAREAS'!AL40),'EDT Y TAREAS'!AF40/'EDT Y TAREAS'!M40,0),IF(AND(112&gt;='EDT Y TAREAS'!AK42,112&lt;'EDT Y TAREAS'!AL42),'EDT Y TAREAS'!AF42/'EDT Y TAREAS'!M42,0),IF(AND(112&gt;='EDT Y TAREAS'!AK45,112&lt;'EDT Y TAREAS'!AL45),'EDT Y TAREAS'!AF45/'EDT Y TAREAS'!M45,0),IF(AND(112&gt;='EDT Y TAREAS'!AK49,112&lt;'EDT Y TAREAS'!AL49),'EDT Y TAREAS'!AF49/'EDT Y TAREAS'!M49,0),IF(AND(112&gt;='EDT Y TAREAS'!AK52,112&lt;'EDT Y TAREAS'!AL52),'EDT Y TAREAS'!AF52/'EDT Y TAREAS'!M52,0))</x:f>
        <x:v>1.6</x:v>
      </x:c>
      <x:c r="E152" s="35" t="n">
        <x:f>SUM(IF(AND(112&gt;='EDT Y TAREAS'!AK29,112&lt;'EDT Y TAREAS'!AL29),'EDT Y TAREAS'!AG29/'EDT Y TAREAS'!M29,0),IF(AND(112&gt;='EDT Y TAREAS'!AK30,112&lt;'EDT Y TAREAS'!AL30),'EDT Y TAREAS'!AG30/'EDT Y TAREAS'!M30,0),IF(AND(112&gt;='EDT Y TAREAS'!AK31,112&lt;'EDT Y TAREAS'!AL31),'EDT Y TAREAS'!AG31/'EDT Y TAREAS'!M31,0),IF(AND(112&gt;='EDT Y TAREAS'!AK32,112&lt;'EDT Y TAREAS'!AL32),'EDT Y TAREAS'!AG32/'EDT Y TAREAS'!M32,0),IF(AND(112&gt;='EDT Y TAREAS'!AK41,112&lt;'EDT Y TAREAS'!AL41),'EDT Y TAREAS'!AG41/'EDT Y TAREAS'!M41,0),IF(AND(112&gt;='EDT Y TAREAS'!AK45,112&lt;'EDT Y TAREAS'!AL45),'EDT Y TAREAS'!AG45/'EDT Y TAREAS'!M45,0),IF(AND(112&gt;='EDT Y TAREAS'!AK48,112&lt;'EDT Y TAREAS'!AL48),'EDT Y TAREAS'!AG48/'EDT Y TAREAS'!M48,0))</x:f>
        <x:v>0</x:v>
      </x:c>
      <x:c r="F152" s="35" t="n">
        <x:f>SUM(IF(AND(112&gt;='EDT Y TAREAS'!AK10,112&lt;'EDT Y TAREAS'!AL10),'EDT Y TAREAS'!AH10/'EDT Y TAREAS'!M10,0),IF(AND(112&gt;='EDT Y TAREAS'!AK12,112&lt;'EDT Y TAREAS'!AL12),'EDT Y TAREAS'!AH12/'EDT Y TAREAS'!M12,0),IF(AND(112&gt;='EDT Y TAREAS'!AK22,112&lt;'EDT Y TAREAS'!AL22),'EDT Y TAREAS'!AH22/'EDT Y TAREAS'!M22,0),IF(AND(112&gt;='EDT Y TAREAS'!AK23,112&lt;'EDT Y TAREAS'!AL23),'EDT Y TAREAS'!AH23/'EDT Y TAREAS'!M23,0),IF(AND(112&gt;='EDT Y TAREAS'!AK29,112&lt;'EDT Y TAREAS'!AL29),'EDT Y TAREAS'!AH29/'EDT Y TAREAS'!M29,0),IF(AND(112&gt;='EDT Y TAREAS'!AK30,112&lt;'EDT Y TAREAS'!AL30),'EDT Y TAREAS'!AH30/'EDT Y TAREAS'!M30,0),IF(AND(112&gt;='EDT Y TAREAS'!AK32,112&lt;'EDT Y TAREAS'!AL32),'EDT Y TAREAS'!AH32/'EDT Y TAREAS'!M32,0),IF(AND(112&gt;='EDT Y TAREAS'!AK41,112&lt;'EDT Y TAREAS'!AL41),'EDT Y TAREAS'!AH41/'EDT Y TAREAS'!M41,0),IF(AND(112&gt;='EDT Y TAREAS'!AK44,112&lt;'EDT Y TAREAS'!AL44),'EDT Y TAREAS'!AH44/'EDT Y TAREAS'!M44,0),IF(AND(112&gt;='EDT Y TAREAS'!AK46,112&lt;'EDT Y TAREAS'!AL46),'EDT Y TAREAS'!AH46/'EDT Y TAREAS'!M46,0),IF(AND(112&gt;='EDT Y TAREAS'!AK48,112&lt;'EDT Y TAREAS'!AL48),'EDT Y TAREAS'!AH48/'EDT Y TAREAS'!M48,0))</x:f>
        <x:v>0</x:v>
      </x:c>
      <x:c r="G152" s="35" t="n">
        <x:f>SUM(IF(AND(112&gt;='EDT Y TAREAS'!AK20,112&lt;'EDT Y TAREAS'!AL20),'EDT Y TAREAS'!AI20/'EDT Y TAREAS'!M20,0),IF(AND(112&gt;='EDT Y TAREAS'!AK25,112&lt;'EDT Y TAREAS'!AL25),'EDT Y TAREAS'!AI25/'EDT Y TAREAS'!M25,0),IF(AND(112&gt;='EDT Y TAREAS'!AK33,112&lt;'EDT Y TAREAS'!AL33),'EDT Y TAREAS'!AI33/'EDT Y TAREAS'!M33,0),IF(AND(112&gt;='EDT Y TAREAS'!AK34,112&lt;'EDT Y TAREAS'!AL34),'EDT Y TAREAS'!AI34/'EDT Y TAREAS'!M34,0),IF(AND(112&gt;='EDT Y TAREAS'!AK36,112&lt;'EDT Y TAREAS'!AL36),'EDT Y TAREAS'!AI36/'EDT Y TAREAS'!M36,0),IF(AND(112&gt;='EDT Y TAREAS'!AK39,112&lt;'EDT Y TAREAS'!AL39),'EDT Y TAREAS'!AI39/'EDT Y TAREAS'!M39,0),IF(AND(112&gt;='EDT Y TAREAS'!AK40,112&lt;'EDT Y TAREAS'!AL40),'EDT Y TAREAS'!AI40/'EDT Y TAREAS'!M40,0),IF(AND(112&gt;='EDT Y TAREAS'!AK42,112&lt;'EDT Y TAREAS'!AL42),'EDT Y TAREAS'!AI42/'EDT Y TAREAS'!M42,0),IF(AND(112&gt;='EDT Y TAREAS'!AK43,112&lt;'EDT Y TAREAS'!AL43),'EDT Y TAREAS'!AI43/'EDT Y TAREAS'!M43,0),IF(AND(112&gt;='EDT Y TAREAS'!AK44,112&lt;'EDT Y TAREAS'!AL44),'EDT Y TAREAS'!AI44/'EDT Y TAREAS'!M44,0),IF(AND(112&gt;='EDT Y TAREAS'!AK45,112&lt;'EDT Y TAREAS'!AL45),'EDT Y TAREAS'!AI45/'EDT Y TAREAS'!M45,0),IF(AND(112&gt;='EDT Y TAREAS'!AK46,112&lt;'EDT Y TAREAS'!AL46),'EDT Y TAREAS'!AI46/'EDT Y TAREAS'!M46,0),IF(AND(112&gt;='EDT Y TAREAS'!AK48,112&lt;'EDT Y TAREAS'!AL48),'EDT Y TAREAS'!AI48/'EDT Y TAREAS'!M48,0),IF(AND(112&gt;='EDT Y TAREAS'!AK50,112&lt;'EDT Y TAREAS'!AL50),'EDT Y TAREAS'!AI50/'EDT Y TAREAS'!M50,0),IF(AND(112&gt;='EDT Y TAREAS'!AK52,112&lt;'EDT Y TAREAS'!AL52),'EDT Y TAREAS'!AI52/'EDT Y TAREAS'!M52,0))</x:f>
        <x:v>6.4</x:v>
      </x:c>
      <x:c r="H152" s="35" t="n">
        <x:f>SUM(IF(AND(112&gt;='EDT Y TAREAS'!AK11,112&lt;'EDT Y TAREAS'!AL11),'EDT Y TAREAS'!AJ11/'EDT Y TAREAS'!M11,0),IF(AND(112&gt;='EDT Y TAREAS'!AK24,112&lt;'EDT Y TAREAS'!AL24),'EDT Y TAREAS'!AJ24/'EDT Y TAREAS'!M24,0),IF(AND(112&gt;='EDT Y TAREAS'!AK27,112&lt;'EDT Y TAREAS'!AL27),'EDT Y TAREAS'!AJ27/'EDT Y TAREAS'!M27,0),IF(AND(112&gt;='EDT Y TAREAS'!AK28,112&lt;'EDT Y TAREAS'!AL28),'EDT Y TAREAS'!AJ28/'EDT Y TAREAS'!M28,0),IF(AND(112&gt;='EDT Y TAREAS'!AK33,112&lt;'EDT Y TAREAS'!AL33),'EDT Y TAREAS'!AJ33/'EDT Y TAREAS'!M33,0),IF(AND(112&gt;='EDT Y TAREAS'!AK35,112&lt;'EDT Y TAREAS'!AL35),'EDT Y TAREAS'!AJ35/'EDT Y TAREAS'!M35,0),IF(AND(112&gt;='EDT Y TAREAS'!AK36,112&lt;'EDT Y TAREAS'!AL36),'EDT Y TAREAS'!AJ36/'EDT Y TAREAS'!M36,0),IF(AND(112&gt;='EDT Y TAREAS'!AK37,112&lt;'EDT Y TAREAS'!AL37),'EDT Y TAREAS'!AJ37/'EDT Y TAREAS'!M37,0),IF(AND(112&gt;='EDT Y TAREAS'!AK40,112&lt;'EDT Y TAREAS'!AL40),'EDT Y TAREAS'!AJ40/'EDT Y TAREAS'!M40,0),IF(AND(112&gt;='EDT Y TAREAS'!AK42,112&lt;'EDT Y TAREAS'!AL42),'EDT Y TAREAS'!AJ42/'EDT Y TAREAS'!M42,0),IF(AND(112&gt;='EDT Y TAREAS'!AK49,112&lt;'EDT Y TAREAS'!AL49),'EDT Y TAREAS'!AJ49/'EDT Y TAREAS'!M49,0),IF(AND(112&gt;='EDT Y TAREAS'!AK50,112&lt;'EDT Y TAREAS'!AL50),'EDT Y TAREAS'!AJ50/'EDT Y TAREAS'!M50,0),IF(AND(112&gt;='EDT Y TAREAS'!AK51,112&lt;'EDT Y TAREAS'!AL51),'EDT Y TAREAS'!AJ51/'EDT Y TAREAS'!M51,0),IF(AND(112&gt;='EDT Y TAREAS'!AK52,112&lt;'EDT Y TAREAS'!AL52),'EDT Y TAREAS'!AJ52/'EDT Y TAREAS'!M52,0))</x:f>
        <x:v>4.8</x:v>
      </x:c>
      <x:c r="I152" s="10" t="n">
        <x:f>WORKDAY('RESUMEN'!$D$3-1,A152,'RESUMEN'!$J$6:$J$25)</x:f>
        <x:v>46484</x:v>
      </x:c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  <x:c r="AC152" s="3"/>
      <x:c r="AD152" s="3"/>
      <x:c r="AE152" s="3"/>
      <x:c r="AF152" s="3"/>
      <x:c r="AG152" s="3"/>
      <x:c r="AH152" s="3"/>
      <x:c r="AI152" s="3"/>
      <x:c r="AJ152" s="3"/>
      <x:c r="AK152" s="3"/>
      <x:c r="AL152" s="3"/>
      <x:c r="AM152" s="3"/>
      <x:c r="AN152" s="3"/>
      <x:c r="AO152" s="3"/>
    </x:row>
    <x:row r="153" ht="24" customHeight="1">
      <x:c r="A153" s="3" t="n">
        <x:v>114</x:v>
      </x:c>
      <x:c r="B153" s="35" t="n">
        <x:f>SUM(IF(AND(113&gt;='EDT Y TAREAS'!AK6,113&lt;'EDT Y TAREAS'!AL6),'EDT Y TAREAS'!AD6/'EDT Y TAREAS'!M6,0),IF(AND(113&gt;='EDT Y TAREAS'!AK7,113&lt;'EDT Y TAREAS'!AL7),'EDT Y TAREAS'!AD7/'EDT Y TAREAS'!M7,0),IF(AND(113&gt;='EDT Y TAREAS'!AK8,113&lt;'EDT Y TAREAS'!AL8),'EDT Y TAREAS'!AD8/'EDT Y TAREAS'!M8,0),IF(AND(113&gt;='EDT Y TAREAS'!AK9,113&lt;'EDT Y TAREAS'!AL9),'EDT Y TAREAS'!AD9/'EDT Y TAREAS'!M9,0),IF(AND(113&gt;='EDT Y TAREAS'!AK10,113&lt;'EDT Y TAREAS'!AL10),'EDT Y TAREAS'!AD10/'EDT Y TAREAS'!M10,0),IF(AND(113&gt;='EDT Y TAREAS'!AK11,113&lt;'EDT Y TAREAS'!AL11),'EDT Y TAREAS'!AD11/'EDT Y TAREAS'!M11,0),IF(AND(113&gt;='EDT Y TAREAS'!AK12,113&lt;'EDT Y TAREAS'!AL12),'EDT Y TAREAS'!AD12/'EDT Y TAREAS'!M12,0),IF(AND(113&gt;='EDT Y TAREAS'!AK13,113&lt;'EDT Y TAREAS'!AL13),'EDT Y TAREAS'!AD13/'EDT Y TAREAS'!M13,0),IF(AND(113&gt;='EDT Y TAREAS'!AK14,113&lt;'EDT Y TAREAS'!AL14),'EDT Y TAREAS'!AD14/'EDT Y TAREAS'!M14,0),IF(AND(113&gt;='EDT Y TAREAS'!AK15,113&lt;'EDT Y TAREAS'!AL15),'EDT Y TAREAS'!AD15/'EDT Y TAREAS'!M15,0),IF(AND(113&gt;='EDT Y TAREAS'!AK16,113&lt;'EDT Y TAREAS'!AL16),'EDT Y TAREAS'!AD16/'EDT Y TAREAS'!M16,0),IF(AND(113&gt;='EDT Y TAREAS'!AK17,113&lt;'EDT Y TAREAS'!AL17),'EDT Y TAREAS'!AD17/'EDT Y TAREAS'!M17,0),IF(AND(113&gt;='EDT Y TAREAS'!AK18,113&lt;'EDT Y TAREAS'!AL18),'EDT Y TAREAS'!AD18/'EDT Y TAREAS'!M18,0),IF(AND(113&gt;='EDT Y TAREAS'!AK19,113&lt;'EDT Y TAREAS'!AL19),'EDT Y TAREAS'!AD19/'EDT Y TAREAS'!M19,0),IF(AND(113&gt;='EDT Y TAREAS'!AK20,113&lt;'EDT Y TAREAS'!AL20),'EDT Y TAREAS'!AD20/'EDT Y TAREAS'!M20,0),IF(AND(113&gt;='EDT Y TAREAS'!AK21,113&lt;'EDT Y TAREAS'!AL21),'EDT Y TAREAS'!AD21/'EDT Y TAREAS'!M21,0),IF(AND(113&gt;='EDT Y TAREAS'!AK22,113&lt;'EDT Y TAREAS'!AL22),'EDT Y TAREAS'!AD22/'EDT Y TAREAS'!M22,0),IF(AND(113&gt;='EDT Y TAREAS'!AK23,113&lt;'EDT Y TAREAS'!AL23),'EDT Y TAREAS'!AD23/'EDT Y TAREAS'!M23,0),IF(AND(113&gt;='EDT Y TAREAS'!AK26,113&lt;'EDT Y TAREAS'!AL26),'EDT Y TAREAS'!AD26/'EDT Y TAREAS'!M26,0),IF(AND(113&gt;='EDT Y TAREAS'!AK28,113&lt;'EDT Y TAREAS'!AL28),'EDT Y TAREAS'!AD28/'EDT Y TAREAS'!M28,0),IF(AND(113&gt;='EDT Y TAREAS'!AK30,113&lt;'EDT Y TAREAS'!AL30),'EDT Y TAREAS'!AD30/'EDT Y TAREAS'!M30,0),IF(AND(113&gt;='EDT Y TAREAS'!AK32,113&lt;'EDT Y TAREAS'!AL32),'EDT Y TAREAS'!AD32/'EDT Y TAREAS'!M32,0),IF(AND(113&gt;='EDT Y TAREAS'!AK34,113&lt;'EDT Y TAREAS'!AL34),'EDT Y TAREAS'!AD34/'EDT Y TAREAS'!M34,0),IF(AND(113&gt;='EDT Y TAREAS'!AK38,113&lt;'EDT Y TAREAS'!AL38),'EDT Y TAREAS'!AD38/'EDT Y TAREAS'!M38,0),IF(AND(113&gt;='EDT Y TAREAS'!AK39,113&lt;'EDT Y TAREAS'!AL39),'EDT Y TAREAS'!AD39/'EDT Y TAREAS'!M39,0),IF(AND(113&gt;='EDT Y TAREAS'!AK43,113&lt;'EDT Y TAREAS'!AL43),'EDT Y TAREAS'!AD43/'EDT Y TAREAS'!M43,0),IF(AND(113&gt;='EDT Y TAREAS'!AK44,113&lt;'EDT Y TAREAS'!AL44),'EDT Y TAREAS'!AD44/'EDT Y TAREAS'!M44,0),IF(AND(113&gt;='EDT Y TAREAS'!AK45,113&lt;'EDT Y TAREAS'!AL45),'EDT Y TAREAS'!AD45/'EDT Y TAREAS'!M45,0),IF(AND(113&gt;='EDT Y TAREAS'!AK46,113&lt;'EDT Y TAREAS'!AL46),'EDT Y TAREAS'!AD46/'EDT Y TAREAS'!M46,0),IF(AND(113&gt;='EDT Y TAREAS'!AK47,113&lt;'EDT Y TAREAS'!AL47),'EDT Y TAREAS'!AD47/'EDT Y TAREAS'!M47,0),IF(AND(113&gt;='EDT Y TAREAS'!AK49,113&lt;'EDT Y TAREAS'!AL49),'EDT Y TAREAS'!AD49/'EDT Y TAREAS'!M49,0),IF(AND(113&gt;='EDT Y TAREAS'!AK50,113&lt;'EDT Y TAREAS'!AL50),'EDT Y TAREAS'!AD50/'EDT Y TAREAS'!M50,0),IF(AND(113&gt;='EDT Y TAREAS'!AK51,113&lt;'EDT Y TAREAS'!AL51),'EDT Y TAREAS'!AD51/'EDT Y TAREAS'!M51,0),IF(AND(113&gt;='EDT Y TAREAS'!AK52,113&lt;'EDT Y TAREAS'!AL52),'EDT Y TAREAS'!AD52/'EDT Y TAREAS'!M52,0))</x:f>
        <x:v>0</x:v>
      </x:c>
      <x:c r="C153" s="35" t="n">
        <x:f>SUM(IF(AND(113&gt;='EDT Y TAREAS'!AK6,113&lt;'EDT Y TAREAS'!AL6),'EDT Y TAREAS'!AE6/'EDT Y TAREAS'!M6,0),IF(AND(113&gt;='EDT Y TAREAS'!AK8,113&lt;'EDT Y TAREAS'!AL8),'EDT Y TAREAS'!AE8/'EDT Y TAREAS'!M8,0),IF(AND(113&gt;='EDT Y TAREAS'!AK9,113&lt;'EDT Y TAREAS'!AL9),'EDT Y TAREAS'!AE9/'EDT Y TAREAS'!M9,0),IF(AND(113&gt;='EDT Y TAREAS'!AK10,113&lt;'EDT Y TAREAS'!AL10),'EDT Y TAREAS'!AE10/'EDT Y TAREAS'!M10,0),IF(AND(113&gt;='EDT Y TAREAS'!AK12,113&lt;'EDT Y TAREAS'!AL12),'EDT Y TAREAS'!AE12/'EDT Y TAREAS'!M12,0),IF(AND(113&gt;='EDT Y TAREAS'!AK16,113&lt;'EDT Y TAREAS'!AL16),'EDT Y TAREAS'!AE16/'EDT Y TAREAS'!M16,0),IF(AND(113&gt;='EDT Y TAREAS'!AK21,113&lt;'EDT Y TAREAS'!AL21),'EDT Y TAREAS'!AE21/'EDT Y TAREAS'!M21,0),IF(AND(113&gt;='EDT Y TAREAS'!AK23,113&lt;'EDT Y TAREAS'!AL23),'EDT Y TAREAS'!AE23/'EDT Y TAREAS'!M23,0),IF(AND(113&gt;='EDT Y TAREAS'!AK37,113&lt;'EDT Y TAREAS'!AL37),'EDT Y TAREAS'!AE37/'EDT Y TAREAS'!M37,0),IF(AND(113&gt;='EDT Y TAREAS'!AK38,113&lt;'EDT Y TAREAS'!AL38),'EDT Y TAREAS'!AE38/'EDT Y TAREAS'!M38,0),IF(AND(113&gt;='EDT Y TAREAS'!AK41,113&lt;'EDT Y TAREAS'!AL41),'EDT Y TAREAS'!AE41/'EDT Y TAREAS'!M41,0),IF(AND(113&gt;='EDT Y TAREAS'!AK43,113&lt;'EDT Y TAREAS'!AL43),'EDT Y TAREAS'!AE43/'EDT Y TAREAS'!M43,0),IF(AND(113&gt;='EDT Y TAREAS'!AK44,113&lt;'EDT Y TAREAS'!AL44),'EDT Y TAREAS'!AE44/'EDT Y TAREAS'!M44,0),IF(AND(113&gt;='EDT Y TAREAS'!AK46,113&lt;'EDT Y TAREAS'!AL46),'EDT Y TAREAS'!AE46/'EDT Y TAREAS'!M46,0),IF(AND(113&gt;='EDT Y TAREAS'!AK47,113&lt;'EDT Y TAREAS'!AL47),'EDT Y TAREAS'!AE47/'EDT Y TAREAS'!M47,0),IF(AND(113&gt;='EDT Y TAREAS'!AK51,113&lt;'EDT Y TAREAS'!AL51),'EDT Y TAREAS'!AE51/'EDT Y TAREAS'!M51,0),IF(AND(113&gt;='EDT Y TAREAS'!AK52,113&lt;'EDT Y TAREAS'!AL52),'EDT Y TAREAS'!AE52/'EDT Y TAREAS'!M52,0))</x:f>
        <x:v>0</x:v>
      </x:c>
      <x:c r="D153" s="35" t="n">
        <x:f>SUM(IF(AND(113&gt;='EDT Y TAREAS'!AK11,113&lt;'EDT Y TAREAS'!AL11),'EDT Y TAREAS'!AF11/'EDT Y TAREAS'!M11,0),IF(AND(113&gt;='EDT Y TAREAS'!AK24,113&lt;'EDT Y TAREAS'!AL24),'EDT Y TAREAS'!AF24/'EDT Y TAREAS'!M24,0),IF(AND(113&gt;='EDT Y TAREAS'!AK25,113&lt;'EDT Y TAREAS'!AL25),'EDT Y TAREAS'!AF25/'EDT Y TAREAS'!M25,0),IF(AND(113&gt;='EDT Y TAREAS'!AK26,113&lt;'EDT Y TAREAS'!AL26),'EDT Y TAREAS'!AF26/'EDT Y TAREAS'!M26,0),IF(AND(113&gt;='EDT Y TAREAS'!AK27,113&lt;'EDT Y TAREAS'!AL27),'EDT Y TAREAS'!AF27/'EDT Y TAREAS'!M27,0),IF(AND(113&gt;='EDT Y TAREAS'!AK28,113&lt;'EDT Y TAREAS'!AL28),'EDT Y TAREAS'!AF28/'EDT Y TAREAS'!M28,0),IF(AND(113&gt;='EDT Y TAREAS'!AK31,113&lt;'EDT Y TAREAS'!AL31),'EDT Y TAREAS'!AF31/'EDT Y TAREAS'!M31,0),IF(AND(113&gt;='EDT Y TAREAS'!AK33,113&lt;'EDT Y TAREAS'!AL33),'EDT Y TAREAS'!AF33/'EDT Y TAREAS'!M33,0),IF(AND(113&gt;='EDT Y TAREAS'!AK34,113&lt;'EDT Y TAREAS'!AL34),'EDT Y TAREAS'!AF34/'EDT Y TAREAS'!M34,0),IF(AND(113&gt;='EDT Y TAREAS'!AK35,113&lt;'EDT Y TAREAS'!AL35),'EDT Y TAREAS'!AF35/'EDT Y TAREAS'!M35,0),IF(AND(113&gt;='EDT Y TAREAS'!AK37,113&lt;'EDT Y TAREAS'!AL37),'EDT Y TAREAS'!AF37/'EDT Y TAREAS'!M37,0),IF(AND(113&gt;='EDT Y TAREAS'!AK39,113&lt;'EDT Y TAREAS'!AL39),'EDT Y TAREAS'!AF39/'EDT Y TAREAS'!M39,0),IF(AND(113&gt;='EDT Y TAREAS'!AK40,113&lt;'EDT Y TAREAS'!AL40),'EDT Y TAREAS'!AF40/'EDT Y TAREAS'!M40,0),IF(AND(113&gt;='EDT Y TAREAS'!AK42,113&lt;'EDT Y TAREAS'!AL42),'EDT Y TAREAS'!AF42/'EDT Y TAREAS'!M42,0),IF(AND(113&gt;='EDT Y TAREAS'!AK45,113&lt;'EDT Y TAREAS'!AL45),'EDT Y TAREAS'!AF45/'EDT Y TAREAS'!M45,0),IF(AND(113&gt;='EDT Y TAREAS'!AK49,113&lt;'EDT Y TAREAS'!AL49),'EDT Y TAREAS'!AF49/'EDT Y TAREAS'!M49,0),IF(AND(113&gt;='EDT Y TAREAS'!AK52,113&lt;'EDT Y TAREAS'!AL52),'EDT Y TAREAS'!AF52/'EDT Y TAREAS'!M52,0))</x:f>
        <x:v>1.6</x:v>
      </x:c>
      <x:c r="E153" s="35" t="n">
        <x:f>SUM(IF(AND(113&gt;='EDT Y TAREAS'!AK29,113&lt;'EDT Y TAREAS'!AL29),'EDT Y TAREAS'!AG29/'EDT Y TAREAS'!M29,0),IF(AND(113&gt;='EDT Y TAREAS'!AK30,113&lt;'EDT Y TAREAS'!AL30),'EDT Y TAREAS'!AG30/'EDT Y TAREAS'!M30,0),IF(AND(113&gt;='EDT Y TAREAS'!AK31,113&lt;'EDT Y TAREAS'!AL31),'EDT Y TAREAS'!AG31/'EDT Y TAREAS'!M31,0),IF(AND(113&gt;='EDT Y TAREAS'!AK32,113&lt;'EDT Y TAREAS'!AL32),'EDT Y TAREAS'!AG32/'EDT Y TAREAS'!M32,0),IF(AND(113&gt;='EDT Y TAREAS'!AK41,113&lt;'EDT Y TAREAS'!AL41),'EDT Y TAREAS'!AG41/'EDT Y TAREAS'!M41,0),IF(AND(113&gt;='EDT Y TAREAS'!AK45,113&lt;'EDT Y TAREAS'!AL45),'EDT Y TAREAS'!AG45/'EDT Y TAREAS'!M45,0),IF(AND(113&gt;='EDT Y TAREAS'!AK48,113&lt;'EDT Y TAREAS'!AL48),'EDT Y TAREAS'!AG48/'EDT Y TAREAS'!M48,0))</x:f>
        <x:v>0</x:v>
      </x:c>
      <x:c r="F153" s="35" t="n">
        <x:f>SUM(IF(AND(113&gt;='EDT Y TAREAS'!AK10,113&lt;'EDT Y TAREAS'!AL10),'EDT Y TAREAS'!AH10/'EDT Y TAREAS'!M10,0),IF(AND(113&gt;='EDT Y TAREAS'!AK12,113&lt;'EDT Y TAREAS'!AL12),'EDT Y TAREAS'!AH12/'EDT Y TAREAS'!M12,0),IF(AND(113&gt;='EDT Y TAREAS'!AK22,113&lt;'EDT Y TAREAS'!AL22),'EDT Y TAREAS'!AH22/'EDT Y TAREAS'!M22,0),IF(AND(113&gt;='EDT Y TAREAS'!AK23,113&lt;'EDT Y TAREAS'!AL23),'EDT Y TAREAS'!AH23/'EDT Y TAREAS'!M23,0),IF(AND(113&gt;='EDT Y TAREAS'!AK29,113&lt;'EDT Y TAREAS'!AL29),'EDT Y TAREAS'!AH29/'EDT Y TAREAS'!M29,0),IF(AND(113&gt;='EDT Y TAREAS'!AK30,113&lt;'EDT Y TAREAS'!AL30),'EDT Y TAREAS'!AH30/'EDT Y TAREAS'!M30,0),IF(AND(113&gt;='EDT Y TAREAS'!AK32,113&lt;'EDT Y TAREAS'!AL32),'EDT Y TAREAS'!AH32/'EDT Y TAREAS'!M32,0),IF(AND(113&gt;='EDT Y TAREAS'!AK41,113&lt;'EDT Y TAREAS'!AL41),'EDT Y TAREAS'!AH41/'EDT Y TAREAS'!M41,0),IF(AND(113&gt;='EDT Y TAREAS'!AK44,113&lt;'EDT Y TAREAS'!AL44),'EDT Y TAREAS'!AH44/'EDT Y TAREAS'!M44,0),IF(AND(113&gt;='EDT Y TAREAS'!AK46,113&lt;'EDT Y TAREAS'!AL46),'EDT Y TAREAS'!AH46/'EDT Y TAREAS'!M46,0),IF(AND(113&gt;='EDT Y TAREAS'!AK48,113&lt;'EDT Y TAREAS'!AL48),'EDT Y TAREAS'!AH48/'EDT Y TAREAS'!M48,0))</x:f>
        <x:v>0</x:v>
      </x:c>
      <x:c r="G153" s="35" t="n">
        <x:f>SUM(IF(AND(113&gt;='EDT Y TAREAS'!AK20,113&lt;'EDT Y TAREAS'!AL20),'EDT Y TAREAS'!AI20/'EDT Y TAREAS'!M20,0),IF(AND(113&gt;='EDT Y TAREAS'!AK25,113&lt;'EDT Y TAREAS'!AL25),'EDT Y TAREAS'!AI25/'EDT Y TAREAS'!M25,0),IF(AND(113&gt;='EDT Y TAREAS'!AK33,113&lt;'EDT Y TAREAS'!AL33),'EDT Y TAREAS'!AI33/'EDT Y TAREAS'!M33,0),IF(AND(113&gt;='EDT Y TAREAS'!AK34,113&lt;'EDT Y TAREAS'!AL34),'EDT Y TAREAS'!AI34/'EDT Y TAREAS'!M34,0),IF(AND(113&gt;='EDT Y TAREAS'!AK36,113&lt;'EDT Y TAREAS'!AL36),'EDT Y TAREAS'!AI36/'EDT Y TAREAS'!M36,0),IF(AND(113&gt;='EDT Y TAREAS'!AK39,113&lt;'EDT Y TAREAS'!AL39),'EDT Y TAREAS'!AI39/'EDT Y TAREAS'!M39,0),IF(AND(113&gt;='EDT Y TAREAS'!AK40,113&lt;'EDT Y TAREAS'!AL40),'EDT Y TAREAS'!AI40/'EDT Y TAREAS'!M40,0),IF(AND(113&gt;='EDT Y TAREAS'!AK42,113&lt;'EDT Y TAREAS'!AL42),'EDT Y TAREAS'!AI42/'EDT Y TAREAS'!M42,0),IF(AND(113&gt;='EDT Y TAREAS'!AK43,113&lt;'EDT Y TAREAS'!AL43),'EDT Y TAREAS'!AI43/'EDT Y TAREAS'!M43,0),IF(AND(113&gt;='EDT Y TAREAS'!AK44,113&lt;'EDT Y TAREAS'!AL44),'EDT Y TAREAS'!AI44/'EDT Y TAREAS'!M44,0),IF(AND(113&gt;='EDT Y TAREAS'!AK45,113&lt;'EDT Y TAREAS'!AL45),'EDT Y TAREAS'!AI45/'EDT Y TAREAS'!M45,0),IF(AND(113&gt;='EDT Y TAREAS'!AK46,113&lt;'EDT Y TAREAS'!AL46),'EDT Y TAREAS'!AI46/'EDT Y TAREAS'!M46,0),IF(AND(113&gt;='EDT Y TAREAS'!AK48,113&lt;'EDT Y TAREAS'!AL48),'EDT Y TAREAS'!AI48/'EDT Y TAREAS'!M48,0),IF(AND(113&gt;='EDT Y TAREAS'!AK50,113&lt;'EDT Y TAREAS'!AL50),'EDT Y TAREAS'!AI50/'EDT Y TAREAS'!M50,0),IF(AND(113&gt;='EDT Y TAREAS'!AK52,113&lt;'EDT Y TAREAS'!AL52),'EDT Y TAREAS'!AI52/'EDT Y TAREAS'!M52,0))</x:f>
        <x:v>6.4</x:v>
      </x:c>
      <x:c r="H153" s="35" t="n">
        <x:f>SUM(IF(AND(113&gt;='EDT Y TAREAS'!AK11,113&lt;'EDT Y TAREAS'!AL11),'EDT Y TAREAS'!AJ11/'EDT Y TAREAS'!M11,0),IF(AND(113&gt;='EDT Y TAREAS'!AK24,113&lt;'EDT Y TAREAS'!AL24),'EDT Y TAREAS'!AJ24/'EDT Y TAREAS'!M24,0),IF(AND(113&gt;='EDT Y TAREAS'!AK27,113&lt;'EDT Y TAREAS'!AL27),'EDT Y TAREAS'!AJ27/'EDT Y TAREAS'!M27,0),IF(AND(113&gt;='EDT Y TAREAS'!AK28,113&lt;'EDT Y TAREAS'!AL28),'EDT Y TAREAS'!AJ28/'EDT Y TAREAS'!M28,0),IF(AND(113&gt;='EDT Y TAREAS'!AK33,113&lt;'EDT Y TAREAS'!AL33),'EDT Y TAREAS'!AJ33/'EDT Y TAREAS'!M33,0),IF(AND(113&gt;='EDT Y TAREAS'!AK35,113&lt;'EDT Y TAREAS'!AL35),'EDT Y TAREAS'!AJ35/'EDT Y TAREAS'!M35,0),IF(AND(113&gt;='EDT Y TAREAS'!AK36,113&lt;'EDT Y TAREAS'!AL36),'EDT Y TAREAS'!AJ36/'EDT Y TAREAS'!M36,0),IF(AND(113&gt;='EDT Y TAREAS'!AK37,113&lt;'EDT Y TAREAS'!AL37),'EDT Y TAREAS'!AJ37/'EDT Y TAREAS'!M37,0),IF(AND(113&gt;='EDT Y TAREAS'!AK40,113&lt;'EDT Y TAREAS'!AL40),'EDT Y TAREAS'!AJ40/'EDT Y TAREAS'!M40,0),IF(AND(113&gt;='EDT Y TAREAS'!AK42,113&lt;'EDT Y TAREAS'!AL42),'EDT Y TAREAS'!AJ42/'EDT Y TAREAS'!M42,0),IF(AND(113&gt;='EDT Y TAREAS'!AK49,113&lt;'EDT Y TAREAS'!AL49),'EDT Y TAREAS'!AJ49/'EDT Y TAREAS'!M49,0),IF(AND(113&gt;='EDT Y TAREAS'!AK50,113&lt;'EDT Y TAREAS'!AL50),'EDT Y TAREAS'!AJ50/'EDT Y TAREAS'!M50,0),IF(AND(113&gt;='EDT Y TAREAS'!AK51,113&lt;'EDT Y TAREAS'!AL51),'EDT Y TAREAS'!AJ51/'EDT Y TAREAS'!M51,0),IF(AND(113&gt;='EDT Y TAREAS'!AK52,113&lt;'EDT Y TAREAS'!AL52),'EDT Y TAREAS'!AJ52/'EDT Y TAREAS'!M52,0))</x:f>
        <x:v>4.8</x:v>
      </x:c>
      <x:c r="I153" s="10" t="n">
        <x:f>WORKDAY('RESUMEN'!$D$3-1,A153,'RESUMEN'!$J$6:$J$25)</x:f>
        <x:v>46485</x:v>
      </x:c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  <x:c r="AC153" s="3"/>
      <x:c r="AD153" s="3"/>
      <x:c r="AE153" s="3"/>
      <x:c r="AF153" s="3"/>
      <x:c r="AG153" s="3"/>
      <x:c r="AH153" s="3"/>
      <x:c r="AI153" s="3"/>
      <x:c r="AJ153" s="3"/>
      <x:c r="AK153" s="3"/>
      <x:c r="AL153" s="3"/>
      <x:c r="AM153" s="3"/>
      <x:c r="AN153" s="3"/>
      <x:c r="AO153" s="3"/>
    </x:row>
    <x:row r="154" ht="24" customHeight="1">
      <x:c r="A154" s="3" t="n">
        <x:v>115</x:v>
      </x:c>
      <x:c r="B154" s="35" t="n">
        <x:f>SUM(IF(AND(114&gt;='EDT Y TAREAS'!AK6,114&lt;'EDT Y TAREAS'!AL6),'EDT Y TAREAS'!AD6/'EDT Y TAREAS'!M6,0),IF(AND(114&gt;='EDT Y TAREAS'!AK7,114&lt;'EDT Y TAREAS'!AL7),'EDT Y TAREAS'!AD7/'EDT Y TAREAS'!M7,0),IF(AND(114&gt;='EDT Y TAREAS'!AK8,114&lt;'EDT Y TAREAS'!AL8),'EDT Y TAREAS'!AD8/'EDT Y TAREAS'!M8,0),IF(AND(114&gt;='EDT Y TAREAS'!AK9,114&lt;'EDT Y TAREAS'!AL9),'EDT Y TAREAS'!AD9/'EDT Y TAREAS'!M9,0),IF(AND(114&gt;='EDT Y TAREAS'!AK10,114&lt;'EDT Y TAREAS'!AL10),'EDT Y TAREAS'!AD10/'EDT Y TAREAS'!M10,0),IF(AND(114&gt;='EDT Y TAREAS'!AK11,114&lt;'EDT Y TAREAS'!AL11),'EDT Y TAREAS'!AD11/'EDT Y TAREAS'!M11,0),IF(AND(114&gt;='EDT Y TAREAS'!AK12,114&lt;'EDT Y TAREAS'!AL12),'EDT Y TAREAS'!AD12/'EDT Y TAREAS'!M12,0),IF(AND(114&gt;='EDT Y TAREAS'!AK13,114&lt;'EDT Y TAREAS'!AL13),'EDT Y TAREAS'!AD13/'EDT Y TAREAS'!M13,0),IF(AND(114&gt;='EDT Y TAREAS'!AK14,114&lt;'EDT Y TAREAS'!AL14),'EDT Y TAREAS'!AD14/'EDT Y TAREAS'!M14,0),IF(AND(114&gt;='EDT Y TAREAS'!AK15,114&lt;'EDT Y TAREAS'!AL15),'EDT Y TAREAS'!AD15/'EDT Y TAREAS'!M15,0),IF(AND(114&gt;='EDT Y TAREAS'!AK16,114&lt;'EDT Y TAREAS'!AL16),'EDT Y TAREAS'!AD16/'EDT Y TAREAS'!M16,0),IF(AND(114&gt;='EDT Y TAREAS'!AK17,114&lt;'EDT Y TAREAS'!AL17),'EDT Y TAREAS'!AD17/'EDT Y TAREAS'!M17,0),IF(AND(114&gt;='EDT Y TAREAS'!AK18,114&lt;'EDT Y TAREAS'!AL18),'EDT Y TAREAS'!AD18/'EDT Y TAREAS'!M18,0),IF(AND(114&gt;='EDT Y TAREAS'!AK19,114&lt;'EDT Y TAREAS'!AL19),'EDT Y TAREAS'!AD19/'EDT Y TAREAS'!M19,0),IF(AND(114&gt;='EDT Y TAREAS'!AK20,114&lt;'EDT Y TAREAS'!AL20),'EDT Y TAREAS'!AD20/'EDT Y TAREAS'!M20,0),IF(AND(114&gt;='EDT Y TAREAS'!AK21,114&lt;'EDT Y TAREAS'!AL21),'EDT Y TAREAS'!AD21/'EDT Y TAREAS'!M21,0),IF(AND(114&gt;='EDT Y TAREAS'!AK22,114&lt;'EDT Y TAREAS'!AL22),'EDT Y TAREAS'!AD22/'EDT Y TAREAS'!M22,0),IF(AND(114&gt;='EDT Y TAREAS'!AK23,114&lt;'EDT Y TAREAS'!AL23),'EDT Y TAREAS'!AD23/'EDT Y TAREAS'!M23,0),IF(AND(114&gt;='EDT Y TAREAS'!AK26,114&lt;'EDT Y TAREAS'!AL26),'EDT Y TAREAS'!AD26/'EDT Y TAREAS'!M26,0),IF(AND(114&gt;='EDT Y TAREAS'!AK28,114&lt;'EDT Y TAREAS'!AL28),'EDT Y TAREAS'!AD28/'EDT Y TAREAS'!M28,0),IF(AND(114&gt;='EDT Y TAREAS'!AK30,114&lt;'EDT Y TAREAS'!AL30),'EDT Y TAREAS'!AD30/'EDT Y TAREAS'!M30,0),IF(AND(114&gt;='EDT Y TAREAS'!AK32,114&lt;'EDT Y TAREAS'!AL32),'EDT Y TAREAS'!AD32/'EDT Y TAREAS'!M32,0),IF(AND(114&gt;='EDT Y TAREAS'!AK34,114&lt;'EDT Y TAREAS'!AL34),'EDT Y TAREAS'!AD34/'EDT Y TAREAS'!M34,0),IF(AND(114&gt;='EDT Y TAREAS'!AK38,114&lt;'EDT Y TAREAS'!AL38),'EDT Y TAREAS'!AD38/'EDT Y TAREAS'!M38,0),IF(AND(114&gt;='EDT Y TAREAS'!AK39,114&lt;'EDT Y TAREAS'!AL39),'EDT Y TAREAS'!AD39/'EDT Y TAREAS'!M39,0),IF(AND(114&gt;='EDT Y TAREAS'!AK43,114&lt;'EDT Y TAREAS'!AL43),'EDT Y TAREAS'!AD43/'EDT Y TAREAS'!M43,0),IF(AND(114&gt;='EDT Y TAREAS'!AK44,114&lt;'EDT Y TAREAS'!AL44),'EDT Y TAREAS'!AD44/'EDT Y TAREAS'!M44,0),IF(AND(114&gt;='EDT Y TAREAS'!AK45,114&lt;'EDT Y TAREAS'!AL45),'EDT Y TAREAS'!AD45/'EDT Y TAREAS'!M45,0),IF(AND(114&gt;='EDT Y TAREAS'!AK46,114&lt;'EDT Y TAREAS'!AL46),'EDT Y TAREAS'!AD46/'EDT Y TAREAS'!M46,0),IF(AND(114&gt;='EDT Y TAREAS'!AK47,114&lt;'EDT Y TAREAS'!AL47),'EDT Y TAREAS'!AD47/'EDT Y TAREAS'!M47,0),IF(AND(114&gt;='EDT Y TAREAS'!AK49,114&lt;'EDT Y TAREAS'!AL49),'EDT Y TAREAS'!AD49/'EDT Y TAREAS'!M49,0),IF(AND(114&gt;='EDT Y TAREAS'!AK50,114&lt;'EDT Y TAREAS'!AL50),'EDT Y TAREAS'!AD50/'EDT Y TAREAS'!M50,0),IF(AND(114&gt;='EDT Y TAREAS'!AK51,114&lt;'EDT Y TAREAS'!AL51),'EDT Y TAREAS'!AD51/'EDT Y TAREAS'!M51,0),IF(AND(114&gt;='EDT Y TAREAS'!AK52,114&lt;'EDT Y TAREAS'!AL52),'EDT Y TAREAS'!AD52/'EDT Y TAREAS'!M52,0))</x:f>
        <x:v>2</x:v>
      </x:c>
      <x:c r="C154" s="35" t="n">
        <x:f>SUM(IF(AND(114&gt;='EDT Y TAREAS'!AK6,114&lt;'EDT Y TAREAS'!AL6),'EDT Y TAREAS'!AE6/'EDT Y TAREAS'!M6,0),IF(AND(114&gt;='EDT Y TAREAS'!AK8,114&lt;'EDT Y TAREAS'!AL8),'EDT Y TAREAS'!AE8/'EDT Y TAREAS'!M8,0),IF(AND(114&gt;='EDT Y TAREAS'!AK9,114&lt;'EDT Y TAREAS'!AL9),'EDT Y TAREAS'!AE9/'EDT Y TAREAS'!M9,0),IF(AND(114&gt;='EDT Y TAREAS'!AK10,114&lt;'EDT Y TAREAS'!AL10),'EDT Y TAREAS'!AE10/'EDT Y TAREAS'!M10,0),IF(AND(114&gt;='EDT Y TAREAS'!AK12,114&lt;'EDT Y TAREAS'!AL12),'EDT Y TAREAS'!AE12/'EDT Y TAREAS'!M12,0),IF(AND(114&gt;='EDT Y TAREAS'!AK16,114&lt;'EDT Y TAREAS'!AL16),'EDT Y TAREAS'!AE16/'EDT Y TAREAS'!M16,0),IF(AND(114&gt;='EDT Y TAREAS'!AK21,114&lt;'EDT Y TAREAS'!AL21),'EDT Y TAREAS'!AE21/'EDT Y TAREAS'!M21,0),IF(AND(114&gt;='EDT Y TAREAS'!AK23,114&lt;'EDT Y TAREAS'!AL23),'EDT Y TAREAS'!AE23/'EDT Y TAREAS'!M23,0),IF(AND(114&gt;='EDT Y TAREAS'!AK37,114&lt;'EDT Y TAREAS'!AL37),'EDT Y TAREAS'!AE37/'EDT Y TAREAS'!M37,0),IF(AND(114&gt;='EDT Y TAREAS'!AK38,114&lt;'EDT Y TAREAS'!AL38),'EDT Y TAREAS'!AE38/'EDT Y TAREAS'!M38,0),IF(AND(114&gt;='EDT Y TAREAS'!AK41,114&lt;'EDT Y TAREAS'!AL41),'EDT Y TAREAS'!AE41/'EDT Y TAREAS'!M41,0),IF(AND(114&gt;='EDT Y TAREAS'!AK43,114&lt;'EDT Y TAREAS'!AL43),'EDT Y TAREAS'!AE43/'EDT Y TAREAS'!M43,0),IF(AND(114&gt;='EDT Y TAREAS'!AK44,114&lt;'EDT Y TAREAS'!AL44),'EDT Y TAREAS'!AE44/'EDT Y TAREAS'!M44,0),IF(AND(114&gt;='EDT Y TAREAS'!AK46,114&lt;'EDT Y TAREAS'!AL46),'EDT Y TAREAS'!AE46/'EDT Y TAREAS'!M46,0),IF(AND(114&gt;='EDT Y TAREAS'!AK47,114&lt;'EDT Y TAREAS'!AL47),'EDT Y TAREAS'!AE47/'EDT Y TAREAS'!M47,0),IF(AND(114&gt;='EDT Y TAREAS'!AK51,114&lt;'EDT Y TAREAS'!AL51),'EDT Y TAREAS'!AE51/'EDT Y TAREAS'!M51,0),IF(AND(114&gt;='EDT Y TAREAS'!AK52,114&lt;'EDT Y TAREAS'!AL52),'EDT Y TAREAS'!AE52/'EDT Y TAREAS'!M52,0))</x:f>
        <x:v>1</x:v>
      </x:c>
      <x:c r="D154" s="35" t="n">
        <x:f>SUM(IF(AND(114&gt;='EDT Y TAREAS'!AK11,114&lt;'EDT Y TAREAS'!AL11),'EDT Y TAREAS'!AF11/'EDT Y TAREAS'!M11,0),IF(AND(114&gt;='EDT Y TAREAS'!AK24,114&lt;'EDT Y TAREAS'!AL24),'EDT Y TAREAS'!AF24/'EDT Y TAREAS'!M24,0),IF(AND(114&gt;='EDT Y TAREAS'!AK25,114&lt;'EDT Y TAREAS'!AL25),'EDT Y TAREAS'!AF25/'EDT Y TAREAS'!M25,0),IF(AND(114&gt;='EDT Y TAREAS'!AK26,114&lt;'EDT Y TAREAS'!AL26),'EDT Y TAREAS'!AF26/'EDT Y TAREAS'!M26,0),IF(AND(114&gt;='EDT Y TAREAS'!AK27,114&lt;'EDT Y TAREAS'!AL27),'EDT Y TAREAS'!AF27/'EDT Y TAREAS'!M27,0),IF(AND(114&gt;='EDT Y TAREAS'!AK28,114&lt;'EDT Y TAREAS'!AL28),'EDT Y TAREAS'!AF28/'EDT Y TAREAS'!M28,0),IF(AND(114&gt;='EDT Y TAREAS'!AK31,114&lt;'EDT Y TAREAS'!AL31),'EDT Y TAREAS'!AF31/'EDT Y TAREAS'!M31,0),IF(AND(114&gt;='EDT Y TAREAS'!AK33,114&lt;'EDT Y TAREAS'!AL33),'EDT Y TAREAS'!AF33/'EDT Y TAREAS'!M33,0),IF(AND(114&gt;='EDT Y TAREAS'!AK34,114&lt;'EDT Y TAREAS'!AL34),'EDT Y TAREAS'!AF34/'EDT Y TAREAS'!M34,0),IF(AND(114&gt;='EDT Y TAREAS'!AK35,114&lt;'EDT Y TAREAS'!AL35),'EDT Y TAREAS'!AF35/'EDT Y TAREAS'!M35,0),IF(AND(114&gt;='EDT Y TAREAS'!AK37,114&lt;'EDT Y TAREAS'!AL37),'EDT Y TAREAS'!AF37/'EDT Y TAREAS'!M37,0),IF(AND(114&gt;='EDT Y TAREAS'!AK39,114&lt;'EDT Y TAREAS'!AL39),'EDT Y TAREAS'!AF39/'EDT Y TAREAS'!M39,0),IF(AND(114&gt;='EDT Y TAREAS'!AK40,114&lt;'EDT Y TAREAS'!AL40),'EDT Y TAREAS'!AF40/'EDT Y TAREAS'!M40,0),IF(AND(114&gt;='EDT Y TAREAS'!AK42,114&lt;'EDT Y TAREAS'!AL42),'EDT Y TAREAS'!AF42/'EDT Y TAREAS'!M42,0),IF(AND(114&gt;='EDT Y TAREAS'!AK45,114&lt;'EDT Y TAREAS'!AL45),'EDT Y TAREAS'!AF45/'EDT Y TAREAS'!M45,0),IF(AND(114&gt;='EDT Y TAREAS'!AK49,114&lt;'EDT Y TAREAS'!AL49),'EDT Y TAREAS'!AF49/'EDT Y TAREAS'!M49,0),IF(AND(114&gt;='EDT Y TAREAS'!AK52,114&lt;'EDT Y TAREAS'!AL52),'EDT Y TAREAS'!AF52/'EDT Y TAREAS'!M52,0))</x:f>
        <x:v>0</x:v>
      </x:c>
      <x:c r="E154" s="35" t="n">
        <x:f>SUM(IF(AND(114&gt;='EDT Y TAREAS'!AK29,114&lt;'EDT Y TAREAS'!AL29),'EDT Y TAREAS'!AG29/'EDT Y TAREAS'!M29,0),IF(AND(114&gt;='EDT Y TAREAS'!AK30,114&lt;'EDT Y TAREAS'!AL30),'EDT Y TAREAS'!AG30/'EDT Y TAREAS'!M30,0),IF(AND(114&gt;='EDT Y TAREAS'!AK31,114&lt;'EDT Y TAREAS'!AL31),'EDT Y TAREAS'!AG31/'EDT Y TAREAS'!M31,0),IF(AND(114&gt;='EDT Y TAREAS'!AK32,114&lt;'EDT Y TAREAS'!AL32),'EDT Y TAREAS'!AG32/'EDT Y TAREAS'!M32,0),IF(AND(114&gt;='EDT Y TAREAS'!AK41,114&lt;'EDT Y TAREAS'!AL41),'EDT Y TAREAS'!AG41/'EDT Y TAREAS'!M41,0),IF(AND(114&gt;='EDT Y TAREAS'!AK45,114&lt;'EDT Y TAREAS'!AL45),'EDT Y TAREAS'!AG45/'EDT Y TAREAS'!M45,0),IF(AND(114&gt;='EDT Y TAREAS'!AK48,114&lt;'EDT Y TAREAS'!AL48),'EDT Y TAREAS'!AG48/'EDT Y TAREAS'!M48,0))</x:f>
        <x:v>0</x:v>
      </x:c>
      <x:c r="F154" s="35" t="n">
        <x:f>SUM(IF(AND(114&gt;='EDT Y TAREAS'!AK10,114&lt;'EDT Y TAREAS'!AL10),'EDT Y TAREAS'!AH10/'EDT Y TAREAS'!M10,0),IF(AND(114&gt;='EDT Y TAREAS'!AK12,114&lt;'EDT Y TAREAS'!AL12),'EDT Y TAREAS'!AH12/'EDT Y TAREAS'!M12,0),IF(AND(114&gt;='EDT Y TAREAS'!AK22,114&lt;'EDT Y TAREAS'!AL22),'EDT Y TAREAS'!AH22/'EDT Y TAREAS'!M22,0),IF(AND(114&gt;='EDT Y TAREAS'!AK23,114&lt;'EDT Y TAREAS'!AL23),'EDT Y TAREAS'!AH23/'EDT Y TAREAS'!M23,0),IF(AND(114&gt;='EDT Y TAREAS'!AK29,114&lt;'EDT Y TAREAS'!AL29),'EDT Y TAREAS'!AH29/'EDT Y TAREAS'!M29,0),IF(AND(114&gt;='EDT Y TAREAS'!AK30,114&lt;'EDT Y TAREAS'!AL30),'EDT Y TAREAS'!AH30/'EDT Y TAREAS'!M30,0),IF(AND(114&gt;='EDT Y TAREAS'!AK32,114&lt;'EDT Y TAREAS'!AL32),'EDT Y TAREAS'!AH32/'EDT Y TAREAS'!M32,0),IF(AND(114&gt;='EDT Y TAREAS'!AK41,114&lt;'EDT Y TAREAS'!AL41),'EDT Y TAREAS'!AH41/'EDT Y TAREAS'!M41,0),IF(AND(114&gt;='EDT Y TAREAS'!AK44,114&lt;'EDT Y TAREAS'!AL44),'EDT Y TAREAS'!AH44/'EDT Y TAREAS'!M44,0),IF(AND(114&gt;='EDT Y TAREAS'!AK46,114&lt;'EDT Y TAREAS'!AL46),'EDT Y TAREAS'!AH46/'EDT Y TAREAS'!M46,0),IF(AND(114&gt;='EDT Y TAREAS'!AK48,114&lt;'EDT Y TAREAS'!AL48),'EDT Y TAREAS'!AH48/'EDT Y TAREAS'!M48,0))</x:f>
        <x:v>0</x:v>
      </x:c>
      <x:c r="G154" s="35" t="n">
        <x:f>SUM(IF(AND(114&gt;='EDT Y TAREAS'!AK20,114&lt;'EDT Y TAREAS'!AL20),'EDT Y TAREAS'!AI20/'EDT Y TAREAS'!M20,0),IF(AND(114&gt;='EDT Y TAREAS'!AK25,114&lt;'EDT Y TAREAS'!AL25),'EDT Y TAREAS'!AI25/'EDT Y TAREAS'!M25,0),IF(AND(114&gt;='EDT Y TAREAS'!AK33,114&lt;'EDT Y TAREAS'!AL33),'EDT Y TAREAS'!AI33/'EDT Y TAREAS'!M33,0),IF(AND(114&gt;='EDT Y TAREAS'!AK34,114&lt;'EDT Y TAREAS'!AL34),'EDT Y TAREAS'!AI34/'EDT Y TAREAS'!M34,0),IF(AND(114&gt;='EDT Y TAREAS'!AK36,114&lt;'EDT Y TAREAS'!AL36),'EDT Y TAREAS'!AI36/'EDT Y TAREAS'!M36,0),IF(AND(114&gt;='EDT Y TAREAS'!AK39,114&lt;'EDT Y TAREAS'!AL39),'EDT Y TAREAS'!AI39/'EDT Y TAREAS'!M39,0),IF(AND(114&gt;='EDT Y TAREAS'!AK40,114&lt;'EDT Y TAREAS'!AL40),'EDT Y TAREAS'!AI40/'EDT Y TAREAS'!M40,0),IF(AND(114&gt;='EDT Y TAREAS'!AK42,114&lt;'EDT Y TAREAS'!AL42),'EDT Y TAREAS'!AI42/'EDT Y TAREAS'!M42,0),IF(AND(114&gt;='EDT Y TAREAS'!AK43,114&lt;'EDT Y TAREAS'!AL43),'EDT Y TAREAS'!AI43/'EDT Y TAREAS'!M43,0),IF(AND(114&gt;='EDT Y TAREAS'!AK44,114&lt;'EDT Y TAREAS'!AL44),'EDT Y TAREAS'!AI44/'EDT Y TAREAS'!M44,0),IF(AND(114&gt;='EDT Y TAREAS'!AK45,114&lt;'EDT Y TAREAS'!AL45),'EDT Y TAREAS'!AI45/'EDT Y TAREAS'!M45,0),IF(AND(114&gt;='EDT Y TAREAS'!AK46,114&lt;'EDT Y TAREAS'!AL46),'EDT Y TAREAS'!AI46/'EDT Y TAREAS'!M46,0),IF(AND(114&gt;='EDT Y TAREAS'!AK48,114&lt;'EDT Y TAREAS'!AL48),'EDT Y TAREAS'!AI48/'EDT Y TAREAS'!M48,0),IF(AND(114&gt;='EDT Y TAREAS'!AK50,114&lt;'EDT Y TAREAS'!AL50),'EDT Y TAREAS'!AI50/'EDT Y TAREAS'!M50,0),IF(AND(114&gt;='EDT Y TAREAS'!AK52,114&lt;'EDT Y TAREAS'!AL52),'EDT Y TAREAS'!AI52/'EDT Y TAREAS'!M52,0))</x:f>
        <x:v>2</x:v>
      </x:c>
      <x:c r="H154" s="35" t="n">
        <x:f>SUM(IF(AND(114&gt;='EDT Y TAREAS'!AK11,114&lt;'EDT Y TAREAS'!AL11),'EDT Y TAREAS'!AJ11/'EDT Y TAREAS'!M11,0),IF(AND(114&gt;='EDT Y TAREAS'!AK24,114&lt;'EDT Y TAREAS'!AL24),'EDT Y TAREAS'!AJ24/'EDT Y TAREAS'!M24,0),IF(AND(114&gt;='EDT Y TAREAS'!AK27,114&lt;'EDT Y TAREAS'!AL27),'EDT Y TAREAS'!AJ27/'EDT Y TAREAS'!M27,0),IF(AND(114&gt;='EDT Y TAREAS'!AK28,114&lt;'EDT Y TAREAS'!AL28),'EDT Y TAREAS'!AJ28/'EDT Y TAREAS'!M28,0),IF(AND(114&gt;='EDT Y TAREAS'!AK33,114&lt;'EDT Y TAREAS'!AL33),'EDT Y TAREAS'!AJ33/'EDT Y TAREAS'!M33,0),IF(AND(114&gt;='EDT Y TAREAS'!AK35,114&lt;'EDT Y TAREAS'!AL35),'EDT Y TAREAS'!AJ35/'EDT Y TAREAS'!M35,0),IF(AND(114&gt;='EDT Y TAREAS'!AK36,114&lt;'EDT Y TAREAS'!AL36),'EDT Y TAREAS'!AJ36/'EDT Y TAREAS'!M36,0),IF(AND(114&gt;='EDT Y TAREAS'!AK37,114&lt;'EDT Y TAREAS'!AL37),'EDT Y TAREAS'!AJ37/'EDT Y TAREAS'!M37,0),IF(AND(114&gt;='EDT Y TAREAS'!AK40,114&lt;'EDT Y TAREAS'!AL40),'EDT Y TAREAS'!AJ40/'EDT Y TAREAS'!M40,0),IF(AND(114&gt;='EDT Y TAREAS'!AK42,114&lt;'EDT Y TAREAS'!AL42),'EDT Y TAREAS'!AJ42/'EDT Y TAREAS'!M42,0),IF(AND(114&gt;='EDT Y TAREAS'!AK49,114&lt;'EDT Y TAREAS'!AL49),'EDT Y TAREAS'!AJ49/'EDT Y TAREAS'!M49,0),IF(AND(114&gt;='EDT Y TAREAS'!AK50,114&lt;'EDT Y TAREAS'!AL50),'EDT Y TAREAS'!AJ50/'EDT Y TAREAS'!M50,0),IF(AND(114&gt;='EDT Y TAREAS'!AK51,114&lt;'EDT Y TAREAS'!AL51),'EDT Y TAREAS'!AJ51/'EDT Y TAREAS'!M51,0),IF(AND(114&gt;='EDT Y TAREAS'!AK52,114&lt;'EDT Y TAREAS'!AL52),'EDT Y TAREAS'!AJ52/'EDT Y TAREAS'!M52,0))</x:f>
        <x:v>0</x:v>
      </x:c>
      <x:c r="I154" s="10" t="n">
        <x:f>WORKDAY('RESUMEN'!$D$3-1,A154,'RESUMEN'!$J$6:$J$25)</x:f>
        <x:v>46486</x:v>
      </x:c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  <x:c r="AC154" s="3"/>
      <x:c r="AD154" s="3"/>
      <x:c r="AE154" s="3"/>
      <x:c r="AF154" s="3"/>
      <x:c r="AG154" s="3"/>
      <x:c r="AH154" s="3"/>
      <x:c r="AI154" s="3"/>
      <x:c r="AJ154" s="3"/>
      <x:c r="AK154" s="3"/>
      <x:c r="AL154" s="3"/>
      <x:c r="AM154" s="3"/>
      <x:c r="AN154" s="3"/>
      <x:c r="AO154" s="3"/>
    </x:row>
    <x:row r="155" ht="24" customHeight="1">
      <x:c r="A155" s="3" t="n">
        <x:v>116</x:v>
      </x:c>
      <x:c r="B155" s="35" t="n">
        <x:f>SUM(IF(AND(115&gt;='EDT Y TAREAS'!AK6,115&lt;'EDT Y TAREAS'!AL6),'EDT Y TAREAS'!AD6/'EDT Y TAREAS'!M6,0),IF(AND(115&gt;='EDT Y TAREAS'!AK7,115&lt;'EDT Y TAREAS'!AL7),'EDT Y TAREAS'!AD7/'EDT Y TAREAS'!M7,0),IF(AND(115&gt;='EDT Y TAREAS'!AK8,115&lt;'EDT Y TAREAS'!AL8),'EDT Y TAREAS'!AD8/'EDT Y TAREAS'!M8,0),IF(AND(115&gt;='EDT Y TAREAS'!AK9,115&lt;'EDT Y TAREAS'!AL9),'EDT Y TAREAS'!AD9/'EDT Y TAREAS'!M9,0),IF(AND(115&gt;='EDT Y TAREAS'!AK10,115&lt;'EDT Y TAREAS'!AL10),'EDT Y TAREAS'!AD10/'EDT Y TAREAS'!M10,0),IF(AND(115&gt;='EDT Y TAREAS'!AK11,115&lt;'EDT Y TAREAS'!AL11),'EDT Y TAREAS'!AD11/'EDT Y TAREAS'!M11,0),IF(AND(115&gt;='EDT Y TAREAS'!AK12,115&lt;'EDT Y TAREAS'!AL12),'EDT Y TAREAS'!AD12/'EDT Y TAREAS'!M12,0),IF(AND(115&gt;='EDT Y TAREAS'!AK13,115&lt;'EDT Y TAREAS'!AL13),'EDT Y TAREAS'!AD13/'EDT Y TAREAS'!M13,0),IF(AND(115&gt;='EDT Y TAREAS'!AK14,115&lt;'EDT Y TAREAS'!AL14),'EDT Y TAREAS'!AD14/'EDT Y TAREAS'!M14,0),IF(AND(115&gt;='EDT Y TAREAS'!AK15,115&lt;'EDT Y TAREAS'!AL15),'EDT Y TAREAS'!AD15/'EDT Y TAREAS'!M15,0),IF(AND(115&gt;='EDT Y TAREAS'!AK16,115&lt;'EDT Y TAREAS'!AL16),'EDT Y TAREAS'!AD16/'EDT Y TAREAS'!M16,0),IF(AND(115&gt;='EDT Y TAREAS'!AK17,115&lt;'EDT Y TAREAS'!AL17),'EDT Y TAREAS'!AD17/'EDT Y TAREAS'!M17,0),IF(AND(115&gt;='EDT Y TAREAS'!AK18,115&lt;'EDT Y TAREAS'!AL18),'EDT Y TAREAS'!AD18/'EDT Y TAREAS'!M18,0),IF(AND(115&gt;='EDT Y TAREAS'!AK19,115&lt;'EDT Y TAREAS'!AL19),'EDT Y TAREAS'!AD19/'EDT Y TAREAS'!M19,0),IF(AND(115&gt;='EDT Y TAREAS'!AK20,115&lt;'EDT Y TAREAS'!AL20),'EDT Y TAREAS'!AD20/'EDT Y TAREAS'!M20,0),IF(AND(115&gt;='EDT Y TAREAS'!AK21,115&lt;'EDT Y TAREAS'!AL21),'EDT Y TAREAS'!AD21/'EDT Y TAREAS'!M21,0),IF(AND(115&gt;='EDT Y TAREAS'!AK22,115&lt;'EDT Y TAREAS'!AL22),'EDT Y TAREAS'!AD22/'EDT Y TAREAS'!M22,0),IF(AND(115&gt;='EDT Y TAREAS'!AK23,115&lt;'EDT Y TAREAS'!AL23),'EDT Y TAREAS'!AD23/'EDT Y TAREAS'!M23,0),IF(AND(115&gt;='EDT Y TAREAS'!AK26,115&lt;'EDT Y TAREAS'!AL26),'EDT Y TAREAS'!AD26/'EDT Y TAREAS'!M26,0),IF(AND(115&gt;='EDT Y TAREAS'!AK28,115&lt;'EDT Y TAREAS'!AL28),'EDT Y TAREAS'!AD28/'EDT Y TAREAS'!M28,0),IF(AND(115&gt;='EDT Y TAREAS'!AK30,115&lt;'EDT Y TAREAS'!AL30),'EDT Y TAREAS'!AD30/'EDT Y TAREAS'!M30,0),IF(AND(115&gt;='EDT Y TAREAS'!AK32,115&lt;'EDT Y TAREAS'!AL32),'EDT Y TAREAS'!AD32/'EDT Y TAREAS'!M32,0),IF(AND(115&gt;='EDT Y TAREAS'!AK34,115&lt;'EDT Y TAREAS'!AL34),'EDT Y TAREAS'!AD34/'EDT Y TAREAS'!M34,0),IF(AND(115&gt;='EDT Y TAREAS'!AK38,115&lt;'EDT Y TAREAS'!AL38),'EDT Y TAREAS'!AD38/'EDT Y TAREAS'!M38,0),IF(AND(115&gt;='EDT Y TAREAS'!AK39,115&lt;'EDT Y TAREAS'!AL39),'EDT Y TAREAS'!AD39/'EDT Y TAREAS'!M39,0),IF(AND(115&gt;='EDT Y TAREAS'!AK43,115&lt;'EDT Y TAREAS'!AL43),'EDT Y TAREAS'!AD43/'EDT Y TAREAS'!M43,0),IF(AND(115&gt;='EDT Y TAREAS'!AK44,115&lt;'EDT Y TAREAS'!AL44),'EDT Y TAREAS'!AD44/'EDT Y TAREAS'!M44,0),IF(AND(115&gt;='EDT Y TAREAS'!AK45,115&lt;'EDT Y TAREAS'!AL45),'EDT Y TAREAS'!AD45/'EDT Y TAREAS'!M45,0),IF(AND(115&gt;='EDT Y TAREAS'!AK46,115&lt;'EDT Y TAREAS'!AL46),'EDT Y TAREAS'!AD46/'EDT Y TAREAS'!M46,0),IF(AND(115&gt;='EDT Y TAREAS'!AK47,115&lt;'EDT Y TAREAS'!AL47),'EDT Y TAREAS'!AD47/'EDT Y TAREAS'!M47,0),IF(AND(115&gt;='EDT Y TAREAS'!AK49,115&lt;'EDT Y TAREAS'!AL49),'EDT Y TAREAS'!AD49/'EDT Y TAREAS'!M49,0),IF(AND(115&gt;='EDT Y TAREAS'!AK50,115&lt;'EDT Y TAREAS'!AL50),'EDT Y TAREAS'!AD50/'EDT Y TAREAS'!M50,0),IF(AND(115&gt;='EDT Y TAREAS'!AK51,115&lt;'EDT Y TAREAS'!AL51),'EDT Y TAREAS'!AD51/'EDT Y TAREAS'!M51,0),IF(AND(115&gt;='EDT Y TAREAS'!AK52,115&lt;'EDT Y TAREAS'!AL52),'EDT Y TAREAS'!AD52/'EDT Y TAREAS'!M52,0))</x:f>
        <x:v>2</x:v>
      </x:c>
      <x:c r="C155" s="35" t="n">
        <x:f>SUM(IF(AND(115&gt;='EDT Y TAREAS'!AK6,115&lt;'EDT Y TAREAS'!AL6),'EDT Y TAREAS'!AE6/'EDT Y TAREAS'!M6,0),IF(AND(115&gt;='EDT Y TAREAS'!AK8,115&lt;'EDT Y TAREAS'!AL8),'EDT Y TAREAS'!AE8/'EDT Y TAREAS'!M8,0),IF(AND(115&gt;='EDT Y TAREAS'!AK9,115&lt;'EDT Y TAREAS'!AL9),'EDT Y TAREAS'!AE9/'EDT Y TAREAS'!M9,0),IF(AND(115&gt;='EDT Y TAREAS'!AK10,115&lt;'EDT Y TAREAS'!AL10),'EDT Y TAREAS'!AE10/'EDT Y TAREAS'!M10,0),IF(AND(115&gt;='EDT Y TAREAS'!AK12,115&lt;'EDT Y TAREAS'!AL12),'EDT Y TAREAS'!AE12/'EDT Y TAREAS'!M12,0),IF(AND(115&gt;='EDT Y TAREAS'!AK16,115&lt;'EDT Y TAREAS'!AL16),'EDT Y TAREAS'!AE16/'EDT Y TAREAS'!M16,0),IF(AND(115&gt;='EDT Y TAREAS'!AK21,115&lt;'EDT Y TAREAS'!AL21),'EDT Y TAREAS'!AE21/'EDT Y TAREAS'!M21,0),IF(AND(115&gt;='EDT Y TAREAS'!AK23,115&lt;'EDT Y TAREAS'!AL23),'EDT Y TAREAS'!AE23/'EDT Y TAREAS'!M23,0),IF(AND(115&gt;='EDT Y TAREAS'!AK37,115&lt;'EDT Y TAREAS'!AL37),'EDT Y TAREAS'!AE37/'EDT Y TAREAS'!M37,0),IF(AND(115&gt;='EDT Y TAREAS'!AK38,115&lt;'EDT Y TAREAS'!AL38),'EDT Y TAREAS'!AE38/'EDT Y TAREAS'!M38,0),IF(AND(115&gt;='EDT Y TAREAS'!AK41,115&lt;'EDT Y TAREAS'!AL41),'EDT Y TAREAS'!AE41/'EDT Y TAREAS'!M41,0),IF(AND(115&gt;='EDT Y TAREAS'!AK43,115&lt;'EDT Y TAREAS'!AL43),'EDT Y TAREAS'!AE43/'EDT Y TAREAS'!M43,0),IF(AND(115&gt;='EDT Y TAREAS'!AK44,115&lt;'EDT Y TAREAS'!AL44),'EDT Y TAREAS'!AE44/'EDT Y TAREAS'!M44,0),IF(AND(115&gt;='EDT Y TAREAS'!AK46,115&lt;'EDT Y TAREAS'!AL46),'EDT Y TAREAS'!AE46/'EDT Y TAREAS'!M46,0),IF(AND(115&gt;='EDT Y TAREAS'!AK47,115&lt;'EDT Y TAREAS'!AL47),'EDT Y TAREAS'!AE47/'EDT Y TAREAS'!M47,0),IF(AND(115&gt;='EDT Y TAREAS'!AK51,115&lt;'EDT Y TAREAS'!AL51),'EDT Y TAREAS'!AE51/'EDT Y TAREAS'!M51,0),IF(AND(115&gt;='EDT Y TAREAS'!AK52,115&lt;'EDT Y TAREAS'!AL52),'EDT Y TAREAS'!AE52/'EDT Y TAREAS'!M52,0))</x:f>
        <x:v>1</x:v>
      </x:c>
      <x:c r="D155" s="35" t="n">
        <x:f>SUM(IF(AND(115&gt;='EDT Y TAREAS'!AK11,115&lt;'EDT Y TAREAS'!AL11),'EDT Y TAREAS'!AF11/'EDT Y TAREAS'!M11,0),IF(AND(115&gt;='EDT Y TAREAS'!AK24,115&lt;'EDT Y TAREAS'!AL24),'EDT Y TAREAS'!AF24/'EDT Y TAREAS'!M24,0),IF(AND(115&gt;='EDT Y TAREAS'!AK25,115&lt;'EDT Y TAREAS'!AL25),'EDT Y TAREAS'!AF25/'EDT Y TAREAS'!M25,0),IF(AND(115&gt;='EDT Y TAREAS'!AK26,115&lt;'EDT Y TAREAS'!AL26),'EDT Y TAREAS'!AF26/'EDT Y TAREAS'!M26,0),IF(AND(115&gt;='EDT Y TAREAS'!AK27,115&lt;'EDT Y TAREAS'!AL27),'EDT Y TAREAS'!AF27/'EDT Y TAREAS'!M27,0),IF(AND(115&gt;='EDT Y TAREAS'!AK28,115&lt;'EDT Y TAREAS'!AL28),'EDT Y TAREAS'!AF28/'EDT Y TAREAS'!M28,0),IF(AND(115&gt;='EDT Y TAREAS'!AK31,115&lt;'EDT Y TAREAS'!AL31),'EDT Y TAREAS'!AF31/'EDT Y TAREAS'!M31,0),IF(AND(115&gt;='EDT Y TAREAS'!AK33,115&lt;'EDT Y TAREAS'!AL33),'EDT Y TAREAS'!AF33/'EDT Y TAREAS'!M33,0),IF(AND(115&gt;='EDT Y TAREAS'!AK34,115&lt;'EDT Y TAREAS'!AL34),'EDT Y TAREAS'!AF34/'EDT Y TAREAS'!M34,0),IF(AND(115&gt;='EDT Y TAREAS'!AK35,115&lt;'EDT Y TAREAS'!AL35),'EDT Y TAREAS'!AF35/'EDT Y TAREAS'!M35,0),IF(AND(115&gt;='EDT Y TAREAS'!AK37,115&lt;'EDT Y TAREAS'!AL37),'EDT Y TAREAS'!AF37/'EDT Y TAREAS'!M37,0),IF(AND(115&gt;='EDT Y TAREAS'!AK39,115&lt;'EDT Y TAREAS'!AL39),'EDT Y TAREAS'!AF39/'EDT Y TAREAS'!M39,0),IF(AND(115&gt;='EDT Y TAREAS'!AK40,115&lt;'EDT Y TAREAS'!AL40),'EDT Y TAREAS'!AF40/'EDT Y TAREAS'!M40,0),IF(AND(115&gt;='EDT Y TAREAS'!AK42,115&lt;'EDT Y TAREAS'!AL42),'EDT Y TAREAS'!AF42/'EDT Y TAREAS'!M42,0),IF(AND(115&gt;='EDT Y TAREAS'!AK45,115&lt;'EDT Y TAREAS'!AL45),'EDT Y TAREAS'!AF45/'EDT Y TAREAS'!M45,0),IF(AND(115&gt;='EDT Y TAREAS'!AK49,115&lt;'EDT Y TAREAS'!AL49),'EDT Y TAREAS'!AF49/'EDT Y TAREAS'!M49,0),IF(AND(115&gt;='EDT Y TAREAS'!AK52,115&lt;'EDT Y TAREAS'!AL52),'EDT Y TAREAS'!AF52/'EDT Y TAREAS'!M52,0))</x:f>
        <x:v>0</x:v>
      </x:c>
      <x:c r="E155" s="35" t="n">
        <x:f>SUM(IF(AND(115&gt;='EDT Y TAREAS'!AK29,115&lt;'EDT Y TAREAS'!AL29),'EDT Y TAREAS'!AG29/'EDT Y TAREAS'!M29,0),IF(AND(115&gt;='EDT Y TAREAS'!AK30,115&lt;'EDT Y TAREAS'!AL30),'EDT Y TAREAS'!AG30/'EDT Y TAREAS'!M30,0),IF(AND(115&gt;='EDT Y TAREAS'!AK31,115&lt;'EDT Y TAREAS'!AL31),'EDT Y TAREAS'!AG31/'EDT Y TAREAS'!M31,0),IF(AND(115&gt;='EDT Y TAREAS'!AK32,115&lt;'EDT Y TAREAS'!AL32),'EDT Y TAREAS'!AG32/'EDT Y TAREAS'!M32,0),IF(AND(115&gt;='EDT Y TAREAS'!AK41,115&lt;'EDT Y TAREAS'!AL41),'EDT Y TAREAS'!AG41/'EDT Y TAREAS'!M41,0),IF(AND(115&gt;='EDT Y TAREAS'!AK45,115&lt;'EDT Y TAREAS'!AL45),'EDT Y TAREAS'!AG45/'EDT Y TAREAS'!M45,0),IF(AND(115&gt;='EDT Y TAREAS'!AK48,115&lt;'EDT Y TAREAS'!AL48),'EDT Y TAREAS'!AG48/'EDT Y TAREAS'!M48,0))</x:f>
        <x:v>0</x:v>
      </x:c>
      <x:c r="F155" s="35" t="n">
        <x:f>SUM(IF(AND(115&gt;='EDT Y TAREAS'!AK10,115&lt;'EDT Y TAREAS'!AL10),'EDT Y TAREAS'!AH10/'EDT Y TAREAS'!M10,0),IF(AND(115&gt;='EDT Y TAREAS'!AK12,115&lt;'EDT Y TAREAS'!AL12),'EDT Y TAREAS'!AH12/'EDT Y TAREAS'!M12,0),IF(AND(115&gt;='EDT Y TAREAS'!AK22,115&lt;'EDT Y TAREAS'!AL22),'EDT Y TAREAS'!AH22/'EDT Y TAREAS'!M22,0),IF(AND(115&gt;='EDT Y TAREAS'!AK23,115&lt;'EDT Y TAREAS'!AL23),'EDT Y TAREAS'!AH23/'EDT Y TAREAS'!M23,0),IF(AND(115&gt;='EDT Y TAREAS'!AK29,115&lt;'EDT Y TAREAS'!AL29),'EDT Y TAREAS'!AH29/'EDT Y TAREAS'!M29,0),IF(AND(115&gt;='EDT Y TAREAS'!AK30,115&lt;'EDT Y TAREAS'!AL30),'EDT Y TAREAS'!AH30/'EDT Y TAREAS'!M30,0),IF(AND(115&gt;='EDT Y TAREAS'!AK32,115&lt;'EDT Y TAREAS'!AL32),'EDT Y TAREAS'!AH32/'EDT Y TAREAS'!M32,0),IF(AND(115&gt;='EDT Y TAREAS'!AK41,115&lt;'EDT Y TAREAS'!AL41),'EDT Y TAREAS'!AH41/'EDT Y TAREAS'!M41,0),IF(AND(115&gt;='EDT Y TAREAS'!AK44,115&lt;'EDT Y TAREAS'!AL44),'EDT Y TAREAS'!AH44/'EDT Y TAREAS'!M44,0),IF(AND(115&gt;='EDT Y TAREAS'!AK46,115&lt;'EDT Y TAREAS'!AL46),'EDT Y TAREAS'!AH46/'EDT Y TAREAS'!M46,0),IF(AND(115&gt;='EDT Y TAREAS'!AK48,115&lt;'EDT Y TAREAS'!AL48),'EDT Y TAREAS'!AH48/'EDT Y TAREAS'!M48,0))</x:f>
        <x:v>0</x:v>
      </x:c>
      <x:c r="G155" s="35" t="n">
        <x:f>SUM(IF(AND(115&gt;='EDT Y TAREAS'!AK20,115&lt;'EDT Y TAREAS'!AL20),'EDT Y TAREAS'!AI20/'EDT Y TAREAS'!M20,0),IF(AND(115&gt;='EDT Y TAREAS'!AK25,115&lt;'EDT Y TAREAS'!AL25),'EDT Y TAREAS'!AI25/'EDT Y TAREAS'!M25,0),IF(AND(115&gt;='EDT Y TAREAS'!AK33,115&lt;'EDT Y TAREAS'!AL33),'EDT Y TAREAS'!AI33/'EDT Y TAREAS'!M33,0),IF(AND(115&gt;='EDT Y TAREAS'!AK34,115&lt;'EDT Y TAREAS'!AL34),'EDT Y TAREAS'!AI34/'EDT Y TAREAS'!M34,0),IF(AND(115&gt;='EDT Y TAREAS'!AK36,115&lt;'EDT Y TAREAS'!AL36),'EDT Y TAREAS'!AI36/'EDT Y TAREAS'!M36,0),IF(AND(115&gt;='EDT Y TAREAS'!AK39,115&lt;'EDT Y TAREAS'!AL39),'EDT Y TAREAS'!AI39/'EDT Y TAREAS'!M39,0),IF(AND(115&gt;='EDT Y TAREAS'!AK40,115&lt;'EDT Y TAREAS'!AL40),'EDT Y TAREAS'!AI40/'EDT Y TAREAS'!M40,0),IF(AND(115&gt;='EDT Y TAREAS'!AK42,115&lt;'EDT Y TAREAS'!AL42),'EDT Y TAREAS'!AI42/'EDT Y TAREAS'!M42,0),IF(AND(115&gt;='EDT Y TAREAS'!AK43,115&lt;'EDT Y TAREAS'!AL43),'EDT Y TAREAS'!AI43/'EDT Y TAREAS'!M43,0),IF(AND(115&gt;='EDT Y TAREAS'!AK44,115&lt;'EDT Y TAREAS'!AL44),'EDT Y TAREAS'!AI44/'EDT Y TAREAS'!M44,0),IF(AND(115&gt;='EDT Y TAREAS'!AK45,115&lt;'EDT Y TAREAS'!AL45),'EDT Y TAREAS'!AI45/'EDT Y TAREAS'!M45,0),IF(AND(115&gt;='EDT Y TAREAS'!AK46,115&lt;'EDT Y TAREAS'!AL46),'EDT Y TAREAS'!AI46/'EDT Y TAREAS'!M46,0),IF(AND(115&gt;='EDT Y TAREAS'!AK48,115&lt;'EDT Y TAREAS'!AL48),'EDT Y TAREAS'!AI48/'EDT Y TAREAS'!M48,0),IF(AND(115&gt;='EDT Y TAREAS'!AK50,115&lt;'EDT Y TAREAS'!AL50),'EDT Y TAREAS'!AI50/'EDT Y TAREAS'!M50,0),IF(AND(115&gt;='EDT Y TAREAS'!AK52,115&lt;'EDT Y TAREAS'!AL52),'EDT Y TAREAS'!AI52/'EDT Y TAREAS'!M52,0))</x:f>
        <x:v>2</x:v>
      </x:c>
      <x:c r="H155" s="35" t="n">
        <x:f>SUM(IF(AND(115&gt;='EDT Y TAREAS'!AK11,115&lt;'EDT Y TAREAS'!AL11),'EDT Y TAREAS'!AJ11/'EDT Y TAREAS'!M11,0),IF(AND(115&gt;='EDT Y TAREAS'!AK24,115&lt;'EDT Y TAREAS'!AL24),'EDT Y TAREAS'!AJ24/'EDT Y TAREAS'!M24,0),IF(AND(115&gt;='EDT Y TAREAS'!AK27,115&lt;'EDT Y TAREAS'!AL27),'EDT Y TAREAS'!AJ27/'EDT Y TAREAS'!M27,0),IF(AND(115&gt;='EDT Y TAREAS'!AK28,115&lt;'EDT Y TAREAS'!AL28),'EDT Y TAREAS'!AJ28/'EDT Y TAREAS'!M28,0),IF(AND(115&gt;='EDT Y TAREAS'!AK33,115&lt;'EDT Y TAREAS'!AL33),'EDT Y TAREAS'!AJ33/'EDT Y TAREAS'!M33,0),IF(AND(115&gt;='EDT Y TAREAS'!AK35,115&lt;'EDT Y TAREAS'!AL35),'EDT Y TAREAS'!AJ35/'EDT Y TAREAS'!M35,0),IF(AND(115&gt;='EDT Y TAREAS'!AK36,115&lt;'EDT Y TAREAS'!AL36),'EDT Y TAREAS'!AJ36/'EDT Y TAREAS'!M36,0),IF(AND(115&gt;='EDT Y TAREAS'!AK37,115&lt;'EDT Y TAREAS'!AL37),'EDT Y TAREAS'!AJ37/'EDT Y TAREAS'!M37,0),IF(AND(115&gt;='EDT Y TAREAS'!AK40,115&lt;'EDT Y TAREAS'!AL40),'EDT Y TAREAS'!AJ40/'EDT Y TAREAS'!M40,0),IF(AND(115&gt;='EDT Y TAREAS'!AK42,115&lt;'EDT Y TAREAS'!AL42),'EDT Y TAREAS'!AJ42/'EDT Y TAREAS'!M42,0),IF(AND(115&gt;='EDT Y TAREAS'!AK49,115&lt;'EDT Y TAREAS'!AL49),'EDT Y TAREAS'!AJ49/'EDT Y TAREAS'!M49,0),IF(AND(115&gt;='EDT Y TAREAS'!AK50,115&lt;'EDT Y TAREAS'!AL50),'EDT Y TAREAS'!AJ50/'EDT Y TAREAS'!M50,0),IF(AND(115&gt;='EDT Y TAREAS'!AK51,115&lt;'EDT Y TAREAS'!AL51),'EDT Y TAREAS'!AJ51/'EDT Y TAREAS'!M51,0),IF(AND(115&gt;='EDT Y TAREAS'!AK52,115&lt;'EDT Y TAREAS'!AL52),'EDT Y TAREAS'!AJ52/'EDT Y TAREAS'!M52,0))</x:f>
        <x:v>0</x:v>
      </x:c>
      <x:c r="I155" s="10" t="n">
        <x:f>WORKDAY('RESUMEN'!$D$3-1,A155,'RESUMEN'!$J$6:$J$25)</x:f>
        <x:v>46489</x:v>
      </x:c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  <x:c r="AO155" s="3"/>
    </x:row>
    <x:row r="156" ht="24" customHeight="1">
      <x:c r="A156" s="3" t="n">
        <x:v>117</x:v>
      </x:c>
      <x:c r="B156" s="35" t="n">
        <x:f>SUM(IF(AND(116&gt;='EDT Y TAREAS'!AK6,116&lt;'EDT Y TAREAS'!AL6),'EDT Y TAREAS'!AD6/'EDT Y TAREAS'!M6,0),IF(AND(116&gt;='EDT Y TAREAS'!AK7,116&lt;'EDT Y TAREAS'!AL7),'EDT Y TAREAS'!AD7/'EDT Y TAREAS'!M7,0),IF(AND(116&gt;='EDT Y TAREAS'!AK8,116&lt;'EDT Y TAREAS'!AL8),'EDT Y TAREAS'!AD8/'EDT Y TAREAS'!M8,0),IF(AND(116&gt;='EDT Y TAREAS'!AK9,116&lt;'EDT Y TAREAS'!AL9),'EDT Y TAREAS'!AD9/'EDT Y TAREAS'!M9,0),IF(AND(116&gt;='EDT Y TAREAS'!AK10,116&lt;'EDT Y TAREAS'!AL10),'EDT Y TAREAS'!AD10/'EDT Y TAREAS'!M10,0),IF(AND(116&gt;='EDT Y TAREAS'!AK11,116&lt;'EDT Y TAREAS'!AL11),'EDT Y TAREAS'!AD11/'EDT Y TAREAS'!M11,0),IF(AND(116&gt;='EDT Y TAREAS'!AK12,116&lt;'EDT Y TAREAS'!AL12),'EDT Y TAREAS'!AD12/'EDT Y TAREAS'!M12,0),IF(AND(116&gt;='EDT Y TAREAS'!AK13,116&lt;'EDT Y TAREAS'!AL13),'EDT Y TAREAS'!AD13/'EDT Y TAREAS'!M13,0),IF(AND(116&gt;='EDT Y TAREAS'!AK14,116&lt;'EDT Y TAREAS'!AL14),'EDT Y TAREAS'!AD14/'EDT Y TAREAS'!M14,0),IF(AND(116&gt;='EDT Y TAREAS'!AK15,116&lt;'EDT Y TAREAS'!AL15),'EDT Y TAREAS'!AD15/'EDT Y TAREAS'!M15,0),IF(AND(116&gt;='EDT Y TAREAS'!AK16,116&lt;'EDT Y TAREAS'!AL16),'EDT Y TAREAS'!AD16/'EDT Y TAREAS'!M16,0),IF(AND(116&gt;='EDT Y TAREAS'!AK17,116&lt;'EDT Y TAREAS'!AL17),'EDT Y TAREAS'!AD17/'EDT Y TAREAS'!M17,0),IF(AND(116&gt;='EDT Y TAREAS'!AK18,116&lt;'EDT Y TAREAS'!AL18),'EDT Y TAREAS'!AD18/'EDT Y TAREAS'!M18,0),IF(AND(116&gt;='EDT Y TAREAS'!AK19,116&lt;'EDT Y TAREAS'!AL19),'EDT Y TAREAS'!AD19/'EDT Y TAREAS'!M19,0),IF(AND(116&gt;='EDT Y TAREAS'!AK20,116&lt;'EDT Y TAREAS'!AL20),'EDT Y TAREAS'!AD20/'EDT Y TAREAS'!M20,0),IF(AND(116&gt;='EDT Y TAREAS'!AK21,116&lt;'EDT Y TAREAS'!AL21),'EDT Y TAREAS'!AD21/'EDT Y TAREAS'!M21,0),IF(AND(116&gt;='EDT Y TAREAS'!AK22,116&lt;'EDT Y TAREAS'!AL22),'EDT Y TAREAS'!AD22/'EDT Y TAREAS'!M22,0),IF(AND(116&gt;='EDT Y TAREAS'!AK23,116&lt;'EDT Y TAREAS'!AL23),'EDT Y TAREAS'!AD23/'EDT Y TAREAS'!M23,0),IF(AND(116&gt;='EDT Y TAREAS'!AK26,116&lt;'EDT Y TAREAS'!AL26),'EDT Y TAREAS'!AD26/'EDT Y TAREAS'!M26,0),IF(AND(116&gt;='EDT Y TAREAS'!AK28,116&lt;'EDT Y TAREAS'!AL28),'EDT Y TAREAS'!AD28/'EDT Y TAREAS'!M28,0),IF(AND(116&gt;='EDT Y TAREAS'!AK30,116&lt;'EDT Y TAREAS'!AL30),'EDT Y TAREAS'!AD30/'EDT Y TAREAS'!M30,0),IF(AND(116&gt;='EDT Y TAREAS'!AK32,116&lt;'EDT Y TAREAS'!AL32),'EDT Y TAREAS'!AD32/'EDT Y TAREAS'!M32,0),IF(AND(116&gt;='EDT Y TAREAS'!AK34,116&lt;'EDT Y TAREAS'!AL34),'EDT Y TAREAS'!AD34/'EDT Y TAREAS'!M34,0),IF(AND(116&gt;='EDT Y TAREAS'!AK38,116&lt;'EDT Y TAREAS'!AL38),'EDT Y TAREAS'!AD38/'EDT Y TAREAS'!M38,0),IF(AND(116&gt;='EDT Y TAREAS'!AK39,116&lt;'EDT Y TAREAS'!AL39),'EDT Y TAREAS'!AD39/'EDT Y TAREAS'!M39,0),IF(AND(116&gt;='EDT Y TAREAS'!AK43,116&lt;'EDT Y TAREAS'!AL43),'EDT Y TAREAS'!AD43/'EDT Y TAREAS'!M43,0),IF(AND(116&gt;='EDT Y TAREAS'!AK44,116&lt;'EDT Y TAREAS'!AL44),'EDT Y TAREAS'!AD44/'EDT Y TAREAS'!M44,0),IF(AND(116&gt;='EDT Y TAREAS'!AK45,116&lt;'EDT Y TAREAS'!AL45),'EDT Y TAREAS'!AD45/'EDT Y TAREAS'!M45,0),IF(AND(116&gt;='EDT Y TAREAS'!AK46,116&lt;'EDT Y TAREAS'!AL46),'EDT Y TAREAS'!AD46/'EDT Y TAREAS'!M46,0),IF(AND(116&gt;='EDT Y TAREAS'!AK47,116&lt;'EDT Y TAREAS'!AL47),'EDT Y TAREAS'!AD47/'EDT Y TAREAS'!M47,0),IF(AND(116&gt;='EDT Y TAREAS'!AK49,116&lt;'EDT Y TAREAS'!AL49),'EDT Y TAREAS'!AD49/'EDT Y TAREAS'!M49,0),IF(AND(116&gt;='EDT Y TAREAS'!AK50,116&lt;'EDT Y TAREAS'!AL50),'EDT Y TAREAS'!AD50/'EDT Y TAREAS'!M50,0),IF(AND(116&gt;='EDT Y TAREAS'!AK51,116&lt;'EDT Y TAREAS'!AL51),'EDT Y TAREAS'!AD51/'EDT Y TAREAS'!M51,0),IF(AND(116&gt;='EDT Y TAREAS'!AK52,116&lt;'EDT Y TAREAS'!AL52),'EDT Y TAREAS'!AD52/'EDT Y TAREAS'!M52,0))</x:f>
        <x:v>4.8</x:v>
      </x:c>
      <x:c r="C156" s="35" t="n">
        <x:f>SUM(IF(AND(116&gt;='EDT Y TAREAS'!AK6,116&lt;'EDT Y TAREAS'!AL6),'EDT Y TAREAS'!AE6/'EDT Y TAREAS'!M6,0),IF(AND(116&gt;='EDT Y TAREAS'!AK8,116&lt;'EDT Y TAREAS'!AL8),'EDT Y TAREAS'!AE8/'EDT Y TAREAS'!M8,0),IF(AND(116&gt;='EDT Y TAREAS'!AK9,116&lt;'EDT Y TAREAS'!AL9),'EDT Y TAREAS'!AE9/'EDT Y TAREAS'!M9,0),IF(AND(116&gt;='EDT Y TAREAS'!AK10,116&lt;'EDT Y TAREAS'!AL10),'EDT Y TAREAS'!AE10/'EDT Y TAREAS'!M10,0),IF(AND(116&gt;='EDT Y TAREAS'!AK12,116&lt;'EDT Y TAREAS'!AL12),'EDT Y TAREAS'!AE12/'EDT Y TAREAS'!M12,0),IF(AND(116&gt;='EDT Y TAREAS'!AK16,116&lt;'EDT Y TAREAS'!AL16),'EDT Y TAREAS'!AE16/'EDT Y TAREAS'!M16,0),IF(AND(116&gt;='EDT Y TAREAS'!AK21,116&lt;'EDT Y TAREAS'!AL21),'EDT Y TAREAS'!AE21/'EDT Y TAREAS'!M21,0),IF(AND(116&gt;='EDT Y TAREAS'!AK23,116&lt;'EDT Y TAREAS'!AL23),'EDT Y TAREAS'!AE23/'EDT Y TAREAS'!M23,0),IF(AND(116&gt;='EDT Y TAREAS'!AK37,116&lt;'EDT Y TAREAS'!AL37),'EDT Y TAREAS'!AE37/'EDT Y TAREAS'!M37,0),IF(AND(116&gt;='EDT Y TAREAS'!AK38,116&lt;'EDT Y TAREAS'!AL38),'EDT Y TAREAS'!AE38/'EDT Y TAREAS'!M38,0),IF(AND(116&gt;='EDT Y TAREAS'!AK41,116&lt;'EDT Y TAREAS'!AL41),'EDT Y TAREAS'!AE41/'EDT Y TAREAS'!M41,0),IF(AND(116&gt;='EDT Y TAREAS'!AK43,116&lt;'EDT Y TAREAS'!AL43),'EDT Y TAREAS'!AE43/'EDT Y TAREAS'!M43,0),IF(AND(116&gt;='EDT Y TAREAS'!AK44,116&lt;'EDT Y TAREAS'!AL44),'EDT Y TAREAS'!AE44/'EDT Y TAREAS'!M44,0),IF(AND(116&gt;='EDT Y TAREAS'!AK46,116&lt;'EDT Y TAREAS'!AL46),'EDT Y TAREAS'!AE46/'EDT Y TAREAS'!M46,0),IF(AND(116&gt;='EDT Y TAREAS'!AK47,116&lt;'EDT Y TAREAS'!AL47),'EDT Y TAREAS'!AE47/'EDT Y TAREAS'!M47,0),IF(AND(116&gt;='EDT Y TAREAS'!AK51,116&lt;'EDT Y TAREAS'!AL51),'EDT Y TAREAS'!AE51/'EDT Y TAREAS'!M51,0),IF(AND(116&gt;='EDT Y TAREAS'!AK52,116&lt;'EDT Y TAREAS'!AL52),'EDT Y TAREAS'!AE52/'EDT Y TAREAS'!M52,0))</x:f>
        <x:v>1.6</x:v>
      </x:c>
      <x:c r="D156" s="35" t="n">
        <x:f>SUM(IF(AND(116&gt;='EDT Y TAREAS'!AK11,116&lt;'EDT Y TAREAS'!AL11),'EDT Y TAREAS'!AF11/'EDT Y TAREAS'!M11,0),IF(AND(116&gt;='EDT Y TAREAS'!AK24,116&lt;'EDT Y TAREAS'!AL24),'EDT Y TAREAS'!AF24/'EDT Y TAREAS'!M24,0),IF(AND(116&gt;='EDT Y TAREAS'!AK25,116&lt;'EDT Y TAREAS'!AL25),'EDT Y TAREAS'!AF25/'EDT Y TAREAS'!M25,0),IF(AND(116&gt;='EDT Y TAREAS'!AK26,116&lt;'EDT Y TAREAS'!AL26),'EDT Y TAREAS'!AF26/'EDT Y TAREAS'!M26,0),IF(AND(116&gt;='EDT Y TAREAS'!AK27,116&lt;'EDT Y TAREAS'!AL27),'EDT Y TAREAS'!AF27/'EDT Y TAREAS'!M27,0),IF(AND(116&gt;='EDT Y TAREAS'!AK28,116&lt;'EDT Y TAREAS'!AL28),'EDT Y TAREAS'!AF28/'EDT Y TAREAS'!M28,0),IF(AND(116&gt;='EDT Y TAREAS'!AK31,116&lt;'EDT Y TAREAS'!AL31),'EDT Y TAREAS'!AF31/'EDT Y TAREAS'!M31,0),IF(AND(116&gt;='EDT Y TAREAS'!AK33,116&lt;'EDT Y TAREAS'!AL33),'EDT Y TAREAS'!AF33/'EDT Y TAREAS'!M33,0),IF(AND(116&gt;='EDT Y TAREAS'!AK34,116&lt;'EDT Y TAREAS'!AL34),'EDT Y TAREAS'!AF34/'EDT Y TAREAS'!M34,0),IF(AND(116&gt;='EDT Y TAREAS'!AK35,116&lt;'EDT Y TAREAS'!AL35),'EDT Y TAREAS'!AF35/'EDT Y TAREAS'!M35,0),IF(AND(116&gt;='EDT Y TAREAS'!AK37,116&lt;'EDT Y TAREAS'!AL37),'EDT Y TAREAS'!AF37/'EDT Y TAREAS'!M37,0),IF(AND(116&gt;='EDT Y TAREAS'!AK39,116&lt;'EDT Y TAREAS'!AL39),'EDT Y TAREAS'!AF39/'EDT Y TAREAS'!M39,0),IF(AND(116&gt;='EDT Y TAREAS'!AK40,116&lt;'EDT Y TAREAS'!AL40),'EDT Y TAREAS'!AF40/'EDT Y TAREAS'!M40,0),IF(AND(116&gt;='EDT Y TAREAS'!AK42,116&lt;'EDT Y TAREAS'!AL42),'EDT Y TAREAS'!AF42/'EDT Y TAREAS'!M42,0),IF(AND(116&gt;='EDT Y TAREAS'!AK45,116&lt;'EDT Y TAREAS'!AL45),'EDT Y TAREAS'!AF45/'EDT Y TAREAS'!M45,0),IF(AND(116&gt;='EDT Y TAREAS'!AK49,116&lt;'EDT Y TAREAS'!AL49),'EDT Y TAREAS'!AF49/'EDT Y TAREAS'!M49,0),IF(AND(116&gt;='EDT Y TAREAS'!AK52,116&lt;'EDT Y TAREAS'!AL52),'EDT Y TAREAS'!AF52/'EDT Y TAREAS'!M52,0))</x:f>
        <x:v>0</x:v>
      </x:c>
      <x:c r="E156" s="35" t="n">
        <x:f>SUM(IF(AND(116&gt;='EDT Y TAREAS'!AK29,116&lt;'EDT Y TAREAS'!AL29),'EDT Y TAREAS'!AG29/'EDT Y TAREAS'!M29,0),IF(AND(116&gt;='EDT Y TAREAS'!AK30,116&lt;'EDT Y TAREAS'!AL30),'EDT Y TAREAS'!AG30/'EDT Y TAREAS'!M30,0),IF(AND(116&gt;='EDT Y TAREAS'!AK31,116&lt;'EDT Y TAREAS'!AL31),'EDT Y TAREAS'!AG31/'EDT Y TAREAS'!M31,0),IF(AND(116&gt;='EDT Y TAREAS'!AK32,116&lt;'EDT Y TAREAS'!AL32),'EDT Y TAREAS'!AG32/'EDT Y TAREAS'!M32,0),IF(AND(116&gt;='EDT Y TAREAS'!AK41,116&lt;'EDT Y TAREAS'!AL41),'EDT Y TAREAS'!AG41/'EDT Y TAREAS'!M41,0),IF(AND(116&gt;='EDT Y TAREAS'!AK45,116&lt;'EDT Y TAREAS'!AL45),'EDT Y TAREAS'!AG45/'EDT Y TAREAS'!M45,0),IF(AND(116&gt;='EDT Y TAREAS'!AK48,116&lt;'EDT Y TAREAS'!AL48),'EDT Y TAREAS'!AG48/'EDT Y TAREAS'!M48,0))</x:f>
        <x:v>0</x:v>
      </x:c>
      <x:c r="F156" s="35" t="n">
        <x:f>SUM(IF(AND(116&gt;='EDT Y TAREAS'!AK10,116&lt;'EDT Y TAREAS'!AL10),'EDT Y TAREAS'!AH10/'EDT Y TAREAS'!M10,0),IF(AND(116&gt;='EDT Y TAREAS'!AK12,116&lt;'EDT Y TAREAS'!AL12),'EDT Y TAREAS'!AH12/'EDT Y TAREAS'!M12,0),IF(AND(116&gt;='EDT Y TAREAS'!AK22,116&lt;'EDT Y TAREAS'!AL22),'EDT Y TAREAS'!AH22/'EDT Y TAREAS'!M22,0),IF(AND(116&gt;='EDT Y TAREAS'!AK23,116&lt;'EDT Y TAREAS'!AL23),'EDT Y TAREAS'!AH23/'EDT Y TAREAS'!M23,0),IF(AND(116&gt;='EDT Y TAREAS'!AK29,116&lt;'EDT Y TAREAS'!AL29),'EDT Y TAREAS'!AH29/'EDT Y TAREAS'!M29,0),IF(AND(116&gt;='EDT Y TAREAS'!AK30,116&lt;'EDT Y TAREAS'!AL30),'EDT Y TAREAS'!AH30/'EDT Y TAREAS'!M30,0),IF(AND(116&gt;='EDT Y TAREAS'!AK32,116&lt;'EDT Y TAREAS'!AL32),'EDT Y TAREAS'!AH32/'EDT Y TAREAS'!M32,0),IF(AND(116&gt;='EDT Y TAREAS'!AK41,116&lt;'EDT Y TAREAS'!AL41),'EDT Y TAREAS'!AH41/'EDT Y TAREAS'!M41,0),IF(AND(116&gt;='EDT Y TAREAS'!AK44,116&lt;'EDT Y TAREAS'!AL44),'EDT Y TAREAS'!AH44/'EDT Y TAREAS'!M44,0),IF(AND(116&gt;='EDT Y TAREAS'!AK46,116&lt;'EDT Y TAREAS'!AL46),'EDT Y TAREAS'!AH46/'EDT Y TAREAS'!M46,0),IF(AND(116&gt;='EDT Y TAREAS'!AK48,116&lt;'EDT Y TAREAS'!AL48),'EDT Y TAREAS'!AH48/'EDT Y TAREAS'!M48,0))</x:f>
        <x:v>2.4</x:v>
      </x:c>
      <x:c r="G156" s="35" t="n">
        <x:f>SUM(IF(AND(116&gt;='EDT Y TAREAS'!AK20,116&lt;'EDT Y TAREAS'!AL20),'EDT Y TAREAS'!AI20/'EDT Y TAREAS'!M20,0),IF(AND(116&gt;='EDT Y TAREAS'!AK25,116&lt;'EDT Y TAREAS'!AL25),'EDT Y TAREAS'!AI25/'EDT Y TAREAS'!M25,0),IF(AND(116&gt;='EDT Y TAREAS'!AK33,116&lt;'EDT Y TAREAS'!AL33),'EDT Y TAREAS'!AI33/'EDT Y TAREAS'!M33,0),IF(AND(116&gt;='EDT Y TAREAS'!AK34,116&lt;'EDT Y TAREAS'!AL34),'EDT Y TAREAS'!AI34/'EDT Y TAREAS'!M34,0),IF(AND(116&gt;='EDT Y TAREAS'!AK36,116&lt;'EDT Y TAREAS'!AL36),'EDT Y TAREAS'!AI36/'EDT Y TAREAS'!M36,0),IF(AND(116&gt;='EDT Y TAREAS'!AK39,116&lt;'EDT Y TAREAS'!AL39),'EDT Y TAREAS'!AI39/'EDT Y TAREAS'!M39,0),IF(AND(116&gt;='EDT Y TAREAS'!AK40,116&lt;'EDT Y TAREAS'!AL40),'EDT Y TAREAS'!AI40/'EDT Y TAREAS'!M40,0),IF(AND(116&gt;='EDT Y TAREAS'!AK42,116&lt;'EDT Y TAREAS'!AL42),'EDT Y TAREAS'!AI42/'EDT Y TAREAS'!M42,0),IF(AND(116&gt;='EDT Y TAREAS'!AK43,116&lt;'EDT Y TAREAS'!AL43),'EDT Y TAREAS'!AI43/'EDT Y TAREAS'!M43,0),IF(AND(116&gt;='EDT Y TAREAS'!AK44,116&lt;'EDT Y TAREAS'!AL44),'EDT Y TAREAS'!AI44/'EDT Y TAREAS'!M44,0),IF(AND(116&gt;='EDT Y TAREAS'!AK45,116&lt;'EDT Y TAREAS'!AL45),'EDT Y TAREAS'!AI45/'EDT Y TAREAS'!M45,0),IF(AND(116&gt;='EDT Y TAREAS'!AK46,116&lt;'EDT Y TAREAS'!AL46),'EDT Y TAREAS'!AI46/'EDT Y TAREAS'!M46,0),IF(AND(116&gt;='EDT Y TAREAS'!AK48,116&lt;'EDT Y TAREAS'!AL48),'EDT Y TAREAS'!AI48/'EDT Y TAREAS'!M48,0),IF(AND(116&gt;='EDT Y TAREAS'!AK50,116&lt;'EDT Y TAREAS'!AL50),'EDT Y TAREAS'!AI50/'EDT Y TAREAS'!M50,0),IF(AND(116&gt;='EDT Y TAREAS'!AK52,116&lt;'EDT Y TAREAS'!AL52),'EDT Y TAREAS'!AI52/'EDT Y TAREAS'!M52,0))</x:f>
        <x:v>2.4</x:v>
      </x:c>
      <x:c r="H156" s="35" t="n">
        <x:f>SUM(IF(AND(116&gt;='EDT Y TAREAS'!AK11,116&lt;'EDT Y TAREAS'!AL11),'EDT Y TAREAS'!AJ11/'EDT Y TAREAS'!M11,0),IF(AND(116&gt;='EDT Y TAREAS'!AK24,116&lt;'EDT Y TAREAS'!AL24),'EDT Y TAREAS'!AJ24/'EDT Y TAREAS'!M24,0),IF(AND(116&gt;='EDT Y TAREAS'!AK27,116&lt;'EDT Y TAREAS'!AL27),'EDT Y TAREAS'!AJ27/'EDT Y TAREAS'!M27,0),IF(AND(116&gt;='EDT Y TAREAS'!AK28,116&lt;'EDT Y TAREAS'!AL28),'EDT Y TAREAS'!AJ28/'EDT Y TAREAS'!M28,0),IF(AND(116&gt;='EDT Y TAREAS'!AK33,116&lt;'EDT Y TAREAS'!AL33),'EDT Y TAREAS'!AJ33/'EDT Y TAREAS'!M33,0),IF(AND(116&gt;='EDT Y TAREAS'!AK35,116&lt;'EDT Y TAREAS'!AL35),'EDT Y TAREAS'!AJ35/'EDT Y TAREAS'!M35,0),IF(AND(116&gt;='EDT Y TAREAS'!AK36,116&lt;'EDT Y TAREAS'!AL36),'EDT Y TAREAS'!AJ36/'EDT Y TAREAS'!M36,0),IF(AND(116&gt;='EDT Y TAREAS'!AK37,116&lt;'EDT Y TAREAS'!AL37),'EDT Y TAREAS'!AJ37/'EDT Y TAREAS'!M37,0),IF(AND(116&gt;='EDT Y TAREAS'!AK40,116&lt;'EDT Y TAREAS'!AL40),'EDT Y TAREAS'!AJ40/'EDT Y TAREAS'!M40,0),IF(AND(116&gt;='EDT Y TAREAS'!AK42,116&lt;'EDT Y TAREAS'!AL42),'EDT Y TAREAS'!AJ42/'EDT Y TAREAS'!M42,0),IF(AND(116&gt;='EDT Y TAREAS'!AK49,116&lt;'EDT Y TAREAS'!AL49),'EDT Y TAREAS'!AJ49/'EDT Y TAREAS'!M49,0),IF(AND(116&gt;='EDT Y TAREAS'!AK50,116&lt;'EDT Y TAREAS'!AL50),'EDT Y TAREAS'!AJ50/'EDT Y TAREAS'!M50,0),IF(AND(116&gt;='EDT Y TAREAS'!AK51,116&lt;'EDT Y TAREAS'!AL51),'EDT Y TAREAS'!AJ51/'EDT Y TAREAS'!M51,0),IF(AND(116&gt;='EDT Y TAREAS'!AK52,116&lt;'EDT Y TAREAS'!AL52),'EDT Y TAREAS'!AJ52/'EDT Y TAREAS'!M52,0))</x:f>
        <x:v>0</x:v>
      </x:c>
      <x:c r="I156" s="10" t="n">
        <x:f>WORKDAY('RESUMEN'!$D$3-1,A156,'RESUMEN'!$J$6:$J$25)</x:f>
        <x:v>46490</x:v>
      </x:c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  <x:c r="AL156" s="3"/>
      <x:c r="AM156" s="3"/>
      <x:c r="AN156" s="3"/>
      <x:c r="AO156" s="3"/>
    </x:row>
    <x:row r="157" ht="24" customHeight="1">
      <x:c r="A157" s="3" t="n">
        <x:v>118</x:v>
      </x:c>
      <x:c r="B157" s="35" t="n">
        <x:f>SUM(IF(AND(117&gt;='EDT Y TAREAS'!AK6,117&lt;'EDT Y TAREAS'!AL6),'EDT Y TAREAS'!AD6/'EDT Y TAREAS'!M6,0),IF(AND(117&gt;='EDT Y TAREAS'!AK7,117&lt;'EDT Y TAREAS'!AL7),'EDT Y TAREAS'!AD7/'EDT Y TAREAS'!M7,0),IF(AND(117&gt;='EDT Y TAREAS'!AK8,117&lt;'EDT Y TAREAS'!AL8),'EDT Y TAREAS'!AD8/'EDT Y TAREAS'!M8,0),IF(AND(117&gt;='EDT Y TAREAS'!AK9,117&lt;'EDT Y TAREAS'!AL9),'EDT Y TAREAS'!AD9/'EDT Y TAREAS'!M9,0),IF(AND(117&gt;='EDT Y TAREAS'!AK10,117&lt;'EDT Y TAREAS'!AL10),'EDT Y TAREAS'!AD10/'EDT Y TAREAS'!M10,0),IF(AND(117&gt;='EDT Y TAREAS'!AK11,117&lt;'EDT Y TAREAS'!AL11),'EDT Y TAREAS'!AD11/'EDT Y TAREAS'!M11,0),IF(AND(117&gt;='EDT Y TAREAS'!AK12,117&lt;'EDT Y TAREAS'!AL12),'EDT Y TAREAS'!AD12/'EDT Y TAREAS'!M12,0),IF(AND(117&gt;='EDT Y TAREAS'!AK13,117&lt;'EDT Y TAREAS'!AL13),'EDT Y TAREAS'!AD13/'EDT Y TAREAS'!M13,0),IF(AND(117&gt;='EDT Y TAREAS'!AK14,117&lt;'EDT Y TAREAS'!AL14),'EDT Y TAREAS'!AD14/'EDT Y TAREAS'!M14,0),IF(AND(117&gt;='EDT Y TAREAS'!AK15,117&lt;'EDT Y TAREAS'!AL15),'EDT Y TAREAS'!AD15/'EDT Y TAREAS'!M15,0),IF(AND(117&gt;='EDT Y TAREAS'!AK16,117&lt;'EDT Y TAREAS'!AL16),'EDT Y TAREAS'!AD16/'EDT Y TAREAS'!M16,0),IF(AND(117&gt;='EDT Y TAREAS'!AK17,117&lt;'EDT Y TAREAS'!AL17),'EDT Y TAREAS'!AD17/'EDT Y TAREAS'!M17,0),IF(AND(117&gt;='EDT Y TAREAS'!AK18,117&lt;'EDT Y TAREAS'!AL18),'EDT Y TAREAS'!AD18/'EDT Y TAREAS'!M18,0),IF(AND(117&gt;='EDT Y TAREAS'!AK19,117&lt;'EDT Y TAREAS'!AL19),'EDT Y TAREAS'!AD19/'EDT Y TAREAS'!M19,0),IF(AND(117&gt;='EDT Y TAREAS'!AK20,117&lt;'EDT Y TAREAS'!AL20),'EDT Y TAREAS'!AD20/'EDT Y TAREAS'!M20,0),IF(AND(117&gt;='EDT Y TAREAS'!AK21,117&lt;'EDT Y TAREAS'!AL21),'EDT Y TAREAS'!AD21/'EDT Y TAREAS'!M21,0),IF(AND(117&gt;='EDT Y TAREAS'!AK22,117&lt;'EDT Y TAREAS'!AL22),'EDT Y TAREAS'!AD22/'EDT Y TAREAS'!M22,0),IF(AND(117&gt;='EDT Y TAREAS'!AK23,117&lt;'EDT Y TAREAS'!AL23),'EDT Y TAREAS'!AD23/'EDT Y TAREAS'!M23,0),IF(AND(117&gt;='EDT Y TAREAS'!AK26,117&lt;'EDT Y TAREAS'!AL26),'EDT Y TAREAS'!AD26/'EDT Y TAREAS'!M26,0),IF(AND(117&gt;='EDT Y TAREAS'!AK28,117&lt;'EDT Y TAREAS'!AL28),'EDT Y TAREAS'!AD28/'EDT Y TAREAS'!M28,0),IF(AND(117&gt;='EDT Y TAREAS'!AK30,117&lt;'EDT Y TAREAS'!AL30),'EDT Y TAREAS'!AD30/'EDT Y TAREAS'!M30,0),IF(AND(117&gt;='EDT Y TAREAS'!AK32,117&lt;'EDT Y TAREAS'!AL32),'EDT Y TAREAS'!AD32/'EDT Y TAREAS'!M32,0),IF(AND(117&gt;='EDT Y TAREAS'!AK34,117&lt;'EDT Y TAREAS'!AL34),'EDT Y TAREAS'!AD34/'EDT Y TAREAS'!M34,0),IF(AND(117&gt;='EDT Y TAREAS'!AK38,117&lt;'EDT Y TAREAS'!AL38),'EDT Y TAREAS'!AD38/'EDT Y TAREAS'!M38,0),IF(AND(117&gt;='EDT Y TAREAS'!AK39,117&lt;'EDT Y TAREAS'!AL39),'EDT Y TAREAS'!AD39/'EDT Y TAREAS'!M39,0),IF(AND(117&gt;='EDT Y TAREAS'!AK43,117&lt;'EDT Y TAREAS'!AL43),'EDT Y TAREAS'!AD43/'EDT Y TAREAS'!M43,0),IF(AND(117&gt;='EDT Y TAREAS'!AK44,117&lt;'EDT Y TAREAS'!AL44),'EDT Y TAREAS'!AD44/'EDT Y TAREAS'!M44,0),IF(AND(117&gt;='EDT Y TAREAS'!AK45,117&lt;'EDT Y TAREAS'!AL45),'EDT Y TAREAS'!AD45/'EDT Y TAREAS'!M45,0),IF(AND(117&gt;='EDT Y TAREAS'!AK46,117&lt;'EDT Y TAREAS'!AL46),'EDT Y TAREAS'!AD46/'EDT Y TAREAS'!M46,0),IF(AND(117&gt;='EDT Y TAREAS'!AK47,117&lt;'EDT Y TAREAS'!AL47),'EDT Y TAREAS'!AD47/'EDT Y TAREAS'!M47,0),IF(AND(117&gt;='EDT Y TAREAS'!AK49,117&lt;'EDT Y TAREAS'!AL49),'EDT Y TAREAS'!AD49/'EDT Y TAREAS'!M49,0),IF(AND(117&gt;='EDT Y TAREAS'!AK50,117&lt;'EDT Y TAREAS'!AL50),'EDT Y TAREAS'!AD50/'EDT Y TAREAS'!M50,0),IF(AND(117&gt;='EDT Y TAREAS'!AK51,117&lt;'EDT Y TAREAS'!AL51),'EDT Y TAREAS'!AD51/'EDT Y TAREAS'!M51,0),IF(AND(117&gt;='EDT Y TAREAS'!AK52,117&lt;'EDT Y TAREAS'!AL52),'EDT Y TAREAS'!AD52/'EDT Y TAREAS'!M52,0))</x:f>
        <x:v>4.8</x:v>
      </x:c>
      <x:c r="C157" s="35" t="n">
        <x:f>SUM(IF(AND(117&gt;='EDT Y TAREAS'!AK6,117&lt;'EDT Y TAREAS'!AL6),'EDT Y TAREAS'!AE6/'EDT Y TAREAS'!M6,0),IF(AND(117&gt;='EDT Y TAREAS'!AK8,117&lt;'EDT Y TAREAS'!AL8),'EDT Y TAREAS'!AE8/'EDT Y TAREAS'!M8,0),IF(AND(117&gt;='EDT Y TAREAS'!AK9,117&lt;'EDT Y TAREAS'!AL9),'EDT Y TAREAS'!AE9/'EDT Y TAREAS'!M9,0),IF(AND(117&gt;='EDT Y TAREAS'!AK10,117&lt;'EDT Y TAREAS'!AL10),'EDT Y TAREAS'!AE10/'EDT Y TAREAS'!M10,0),IF(AND(117&gt;='EDT Y TAREAS'!AK12,117&lt;'EDT Y TAREAS'!AL12),'EDT Y TAREAS'!AE12/'EDT Y TAREAS'!M12,0),IF(AND(117&gt;='EDT Y TAREAS'!AK16,117&lt;'EDT Y TAREAS'!AL16),'EDT Y TAREAS'!AE16/'EDT Y TAREAS'!M16,0),IF(AND(117&gt;='EDT Y TAREAS'!AK21,117&lt;'EDT Y TAREAS'!AL21),'EDT Y TAREAS'!AE21/'EDT Y TAREAS'!M21,0),IF(AND(117&gt;='EDT Y TAREAS'!AK23,117&lt;'EDT Y TAREAS'!AL23),'EDT Y TAREAS'!AE23/'EDT Y TAREAS'!M23,0),IF(AND(117&gt;='EDT Y TAREAS'!AK37,117&lt;'EDT Y TAREAS'!AL37),'EDT Y TAREAS'!AE37/'EDT Y TAREAS'!M37,0),IF(AND(117&gt;='EDT Y TAREAS'!AK38,117&lt;'EDT Y TAREAS'!AL38),'EDT Y TAREAS'!AE38/'EDT Y TAREAS'!M38,0),IF(AND(117&gt;='EDT Y TAREAS'!AK41,117&lt;'EDT Y TAREAS'!AL41),'EDT Y TAREAS'!AE41/'EDT Y TAREAS'!M41,0),IF(AND(117&gt;='EDT Y TAREAS'!AK43,117&lt;'EDT Y TAREAS'!AL43),'EDT Y TAREAS'!AE43/'EDT Y TAREAS'!M43,0),IF(AND(117&gt;='EDT Y TAREAS'!AK44,117&lt;'EDT Y TAREAS'!AL44),'EDT Y TAREAS'!AE44/'EDT Y TAREAS'!M44,0),IF(AND(117&gt;='EDT Y TAREAS'!AK46,117&lt;'EDT Y TAREAS'!AL46),'EDT Y TAREAS'!AE46/'EDT Y TAREAS'!M46,0),IF(AND(117&gt;='EDT Y TAREAS'!AK47,117&lt;'EDT Y TAREAS'!AL47),'EDT Y TAREAS'!AE47/'EDT Y TAREAS'!M47,0),IF(AND(117&gt;='EDT Y TAREAS'!AK51,117&lt;'EDT Y TAREAS'!AL51),'EDT Y TAREAS'!AE51/'EDT Y TAREAS'!M51,0),IF(AND(117&gt;='EDT Y TAREAS'!AK52,117&lt;'EDT Y TAREAS'!AL52),'EDT Y TAREAS'!AE52/'EDT Y TAREAS'!M52,0))</x:f>
        <x:v>1.6</x:v>
      </x:c>
      <x:c r="D157" s="35" t="n">
        <x:f>SUM(IF(AND(117&gt;='EDT Y TAREAS'!AK11,117&lt;'EDT Y TAREAS'!AL11),'EDT Y TAREAS'!AF11/'EDT Y TAREAS'!M11,0),IF(AND(117&gt;='EDT Y TAREAS'!AK24,117&lt;'EDT Y TAREAS'!AL24),'EDT Y TAREAS'!AF24/'EDT Y TAREAS'!M24,0),IF(AND(117&gt;='EDT Y TAREAS'!AK25,117&lt;'EDT Y TAREAS'!AL25),'EDT Y TAREAS'!AF25/'EDT Y TAREAS'!M25,0),IF(AND(117&gt;='EDT Y TAREAS'!AK26,117&lt;'EDT Y TAREAS'!AL26),'EDT Y TAREAS'!AF26/'EDT Y TAREAS'!M26,0),IF(AND(117&gt;='EDT Y TAREAS'!AK27,117&lt;'EDT Y TAREAS'!AL27),'EDT Y TAREAS'!AF27/'EDT Y TAREAS'!M27,0),IF(AND(117&gt;='EDT Y TAREAS'!AK28,117&lt;'EDT Y TAREAS'!AL28),'EDT Y TAREAS'!AF28/'EDT Y TAREAS'!M28,0),IF(AND(117&gt;='EDT Y TAREAS'!AK31,117&lt;'EDT Y TAREAS'!AL31),'EDT Y TAREAS'!AF31/'EDT Y TAREAS'!M31,0),IF(AND(117&gt;='EDT Y TAREAS'!AK33,117&lt;'EDT Y TAREAS'!AL33),'EDT Y TAREAS'!AF33/'EDT Y TAREAS'!M33,0),IF(AND(117&gt;='EDT Y TAREAS'!AK34,117&lt;'EDT Y TAREAS'!AL34),'EDT Y TAREAS'!AF34/'EDT Y TAREAS'!M34,0),IF(AND(117&gt;='EDT Y TAREAS'!AK35,117&lt;'EDT Y TAREAS'!AL35),'EDT Y TAREAS'!AF35/'EDT Y TAREAS'!M35,0),IF(AND(117&gt;='EDT Y TAREAS'!AK37,117&lt;'EDT Y TAREAS'!AL37),'EDT Y TAREAS'!AF37/'EDT Y TAREAS'!M37,0),IF(AND(117&gt;='EDT Y TAREAS'!AK39,117&lt;'EDT Y TAREAS'!AL39),'EDT Y TAREAS'!AF39/'EDT Y TAREAS'!M39,0),IF(AND(117&gt;='EDT Y TAREAS'!AK40,117&lt;'EDT Y TAREAS'!AL40),'EDT Y TAREAS'!AF40/'EDT Y TAREAS'!M40,0),IF(AND(117&gt;='EDT Y TAREAS'!AK42,117&lt;'EDT Y TAREAS'!AL42),'EDT Y TAREAS'!AF42/'EDT Y TAREAS'!M42,0),IF(AND(117&gt;='EDT Y TAREAS'!AK45,117&lt;'EDT Y TAREAS'!AL45),'EDT Y TAREAS'!AF45/'EDT Y TAREAS'!M45,0),IF(AND(117&gt;='EDT Y TAREAS'!AK49,117&lt;'EDT Y TAREAS'!AL49),'EDT Y TAREAS'!AF49/'EDT Y TAREAS'!M49,0),IF(AND(117&gt;='EDT Y TAREAS'!AK52,117&lt;'EDT Y TAREAS'!AL52),'EDT Y TAREAS'!AF52/'EDT Y TAREAS'!M52,0))</x:f>
        <x:v>0</x:v>
      </x:c>
      <x:c r="E157" s="35" t="n">
        <x:f>SUM(IF(AND(117&gt;='EDT Y TAREAS'!AK29,117&lt;'EDT Y TAREAS'!AL29),'EDT Y TAREAS'!AG29/'EDT Y TAREAS'!M29,0),IF(AND(117&gt;='EDT Y TAREAS'!AK30,117&lt;'EDT Y TAREAS'!AL30),'EDT Y TAREAS'!AG30/'EDT Y TAREAS'!M30,0),IF(AND(117&gt;='EDT Y TAREAS'!AK31,117&lt;'EDT Y TAREAS'!AL31),'EDT Y TAREAS'!AG31/'EDT Y TAREAS'!M31,0),IF(AND(117&gt;='EDT Y TAREAS'!AK32,117&lt;'EDT Y TAREAS'!AL32),'EDT Y TAREAS'!AG32/'EDT Y TAREAS'!M32,0),IF(AND(117&gt;='EDT Y TAREAS'!AK41,117&lt;'EDT Y TAREAS'!AL41),'EDT Y TAREAS'!AG41/'EDT Y TAREAS'!M41,0),IF(AND(117&gt;='EDT Y TAREAS'!AK45,117&lt;'EDT Y TAREAS'!AL45),'EDT Y TAREAS'!AG45/'EDT Y TAREAS'!M45,0),IF(AND(117&gt;='EDT Y TAREAS'!AK48,117&lt;'EDT Y TAREAS'!AL48),'EDT Y TAREAS'!AG48/'EDT Y TAREAS'!M48,0))</x:f>
        <x:v>0</x:v>
      </x:c>
      <x:c r="F157" s="35" t="n">
        <x:f>SUM(IF(AND(117&gt;='EDT Y TAREAS'!AK10,117&lt;'EDT Y TAREAS'!AL10),'EDT Y TAREAS'!AH10/'EDT Y TAREAS'!M10,0),IF(AND(117&gt;='EDT Y TAREAS'!AK12,117&lt;'EDT Y TAREAS'!AL12),'EDT Y TAREAS'!AH12/'EDT Y TAREAS'!M12,0),IF(AND(117&gt;='EDT Y TAREAS'!AK22,117&lt;'EDT Y TAREAS'!AL22),'EDT Y TAREAS'!AH22/'EDT Y TAREAS'!M22,0),IF(AND(117&gt;='EDT Y TAREAS'!AK23,117&lt;'EDT Y TAREAS'!AL23),'EDT Y TAREAS'!AH23/'EDT Y TAREAS'!M23,0),IF(AND(117&gt;='EDT Y TAREAS'!AK29,117&lt;'EDT Y TAREAS'!AL29),'EDT Y TAREAS'!AH29/'EDT Y TAREAS'!M29,0),IF(AND(117&gt;='EDT Y TAREAS'!AK30,117&lt;'EDT Y TAREAS'!AL30),'EDT Y TAREAS'!AH30/'EDT Y TAREAS'!M30,0),IF(AND(117&gt;='EDT Y TAREAS'!AK32,117&lt;'EDT Y TAREAS'!AL32),'EDT Y TAREAS'!AH32/'EDT Y TAREAS'!M32,0),IF(AND(117&gt;='EDT Y TAREAS'!AK41,117&lt;'EDT Y TAREAS'!AL41),'EDT Y TAREAS'!AH41/'EDT Y TAREAS'!M41,0),IF(AND(117&gt;='EDT Y TAREAS'!AK44,117&lt;'EDT Y TAREAS'!AL44),'EDT Y TAREAS'!AH44/'EDT Y TAREAS'!M44,0),IF(AND(117&gt;='EDT Y TAREAS'!AK46,117&lt;'EDT Y TAREAS'!AL46),'EDT Y TAREAS'!AH46/'EDT Y TAREAS'!M46,0),IF(AND(117&gt;='EDT Y TAREAS'!AK48,117&lt;'EDT Y TAREAS'!AL48),'EDT Y TAREAS'!AH48/'EDT Y TAREAS'!M48,0))</x:f>
        <x:v>2.4</x:v>
      </x:c>
      <x:c r="G157" s="35" t="n">
        <x:f>SUM(IF(AND(117&gt;='EDT Y TAREAS'!AK20,117&lt;'EDT Y TAREAS'!AL20),'EDT Y TAREAS'!AI20/'EDT Y TAREAS'!M20,0),IF(AND(117&gt;='EDT Y TAREAS'!AK25,117&lt;'EDT Y TAREAS'!AL25),'EDT Y TAREAS'!AI25/'EDT Y TAREAS'!M25,0),IF(AND(117&gt;='EDT Y TAREAS'!AK33,117&lt;'EDT Y TAREAS'!AL33),'EDT Y TAREAS'!AI33/'EDT Y TAREAS'!M33,0),IF(AND(117&gt;='EDT Y TAREAS'!AK34,117&lt;'EDT Y TAREAS'!AL34),'EDT Y TAREAS'!AI34/'EDT Y TAREAS'!M34,0),IF(AND(117&gt;='EDT Y TAREAS'!AK36,117&lt;'EDT Y TAREAS'!AL36),'EDT Y TAREAS'!AI36/'EDT Y TAREAS'!M36,0),IF(AND(117&gt;='EDT Y TAREAS'!AK39,117&lt;'EDT Y TAREAS'!AL39),'EDT Y TAREAS'!AI39/'EDT Y TAREAS'!M39,0),IF(AND(117&gt;='EDT Y TAREAS'!AK40,117&lt;'EDT Y TAREAS'!AL40),'EDT Y TAREAS'!AI40/'EDT Y TAREAS'!M40,0),IF(AND(117&gt;='EDT Y TAREAS'!AK42,117&lt;'EDT Y TAREAS'!AL42),'EDT Y TAREAS'!AI42/'EDT Y TAREAS'!M42,0),IF(AND(117&gt;='EDT Y TAREAS'!AK43,117&lt;'EDT Y TAREAS'!AL43),'EDT Y TAREAS'!AI43/'EDT Y TAREAS'!M43,0),IF(AND(117&gt;='EDT Y TAREAS'!AK44,117&lt;'EDT Y TAREAS'!AL44),'EDT Y TAREAS'!AI44/'EDT Y TAREAS'!M44,0),IF(AND(117&gt;='EDT Y TAREAS'!AK45,117&lt;'EDT Y TAREAS'!AL45),'EDT Y TAREAS'!AI45/'EDT Y TAREAS'!M45,0),IF(AND(117&gt;='EDT Y TAREAS'!AK46,117&lt;'EDT Y TAREAS'!AL46),'EDT Y TAREAS'!AI46/'EDT Y TAREAS'!M46,0),IF(AND(117&gt;='EDT Y TAREAS'!AK48,117&lt;'EDT Y TAREAS'!AL48),'EDT Y TAREAS'!AI48/'EDT Y TAREAS'!M48,0),IF(AND(117&gt;='EDT Y TAREAS'!AK50,117&lt;'EDT Y TAREAS'!AL50),'EDT Y TAREAS'!AI50/'EDT Y TAREAS'!M50,0),IF(AND(117&gt;='EDT Y TAREAS'!AK52,117&lt;'EDT Y TAREAS'!AL52),'EDT Y TAREAS'!AI52/'EDT Y TAREAS'!M52,0))</x:f>
        <x:v>2.4</x:v>
      </x:c>
      <x:c r="H157" s="35" t="n">
        <x:f>SUM(IF(AND(117&gt;='EDT Y TAREAS'!AK11,117&lt;'EDT Y TAREAS'!AL11),'EDT Y TAREAS'!AJ11/'EDT Y TAREAS'!M11,0),IF(AND(117&gt;='EDT Y TAREAS'!AK24,117&lt;'EDT Y TAREAS'!AL24),'EDT Y TAREAS'!AJ24/'EDT Y TAREAS'!M24,0),IF(AND(117&gt;='EDT Y TAREAS'!AK27,117&lt;'EDT Y TAREAS'!AL27),'EDT Y TAREAS'!AJ27/'EDT Y TAREAS'!M27,0),IF(AND(117&gt;='EDT Y TAREAS'!AK28,117&lt;'EDT Y TAREAS'!AL28),'EDT Y TAREAS'!AJ28/'EDT Y TAREAS'!M28,0),IF(AND(117&gt;='EDT Y TAREAS'!AK33,117&lt;'EDT Y TAREAS'!AL33),'EDT Y TAREAS'!AJ33/'EDT Y TAREAS'!M33,0),IF(AND(117&gt;='EDT Y TAREAS'!AK35,117&lt;'EDT Y TAREAS'!AL35),'EDT Y TAREAS'!AJ35/'EDT Y TAREAS'!M35,0),IF(AND(117&gt;='EDT Y TAREAS'!AK36,117&lt;'EDT Y TAREAS'!AL36),'EDT Y TAREAS'!AJ36/'EDT Y TAREAS'!M36,0),IF(AND(117&gt;='EDT Y TAREAS'!AK37,117&lt;'EDT Y TAREAS'!AL37),'EDT Y TAREAS'!AJ37/'EDT Y TAREAS'!M37,0),IF(AND(117&gt;='EDT Y TAREAS'!AK40,117&lt;'EDT Y TAREAS'!AL40),'EDT Y TAREAS'!AJ40/'EDT Y TAREAS'!M40,0),IF(AND(117&gt;='EDT Y TAREAS'!AK42,117&lt;'EDT Y TAREAS'!AL42),'EDT Y TAREAS'!AJ42/'EDT Y TAREAS'!M42,0),IF(AND(117&gt;='EDT Y TAREAS'!AK49,117&lt;'EDT Y TAREAS'!AL49),'EDT Y TAREAS'!AJ49/'EDT Y TAREAS'!M49,0),IF(AND(117&gt;='EDT Y TAREAS'!AK50,117&lt;'EDT Y TAREAS'!AL50),'EDT Y TAREAS'!AJ50/'EDT Y TAREAS'!M50,0),IF(AND(117&gt;='EDT Y TAREAS'!AK51,117&lt;'EDT Y TAREAS'!AL51),'EDT Y TAREAS'!AJ51/'EDT Y TAREAS'!M51,0),IF(AND(117&gt;='EDT Y TAREAS'!AK52,117&lt;'EDT Y TAREAS'!AL52),'EDT Y TAREAS'!AJ52/'EDT Y TAREAS'!M52,0))</x:f>
        <x:v>0</x:v>
      </x:c>
      <x:c r="I157" s="10" t="n">
        <x:f>WORKDAY('RESUMEN'!$D$3-1,A157,'RESUMEN'!$J$6:$J$25)</x:f>
        <x:v>46491</x:v>
      </x:c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  <x:c r="AC157" s="3"/>
      <x:c r="AD157" s="3"/>
      <x:c r="AE157" s="3"/>
      <x:c r="AF157" s="3"/>
      <x:c r="AG157" s="3"/>
      <x:c r="AH157" s="3"/>
      <x:c r="AI157" s="3"/>
      <x:c r="AJ157" s="3"/>
      <x:c r="AK157" s="3"/>
      <x:c r="AL157" s="3"/>
      <x:c r="AM157" s="3"/>
      <x:c r="AN157" s="3"/>
      <x:c r="AO157" s="3"/>
    </x:row>
    <x:row r="158" ht="24" customHeight="1">
      <x:c r="A158" s="3" t="n">
        <x:v>119</x:v>
      </x:c>
      <x:c r="B158" s="35" t="n">
        <x:f>SUM(IF(AND(118&gt;='EDT Y TAREAS'!AK6,118&lt;'EDT Y TAREAS'!AL6),'EDT Y TAREAS'!AD6/'EDT Y TAREAS'!M6,0),IF(AND(118&gt;='EDT Y TAREAS'!AK7,118&lt;'EDT Y TAREAS'!AL7),'EDT Y TAREAS'!AD7/'EDT Y TAREAS'!M7,0),IF(AND(118&gt;='EDT Y TAREAS'!AK8,118&lt;'EDT Y TAREAS'!AL8),'EDT Y TAREAS'!AD8/'EDT Y TAREAS'!M8,0),IF(AND(118&gt;='EDT Y TAREAS'!AK9,118&lt;'EDT Y TAREAS'!AL9),'EDT Y TAREAS'!AD9/'EDT Y TAREAS'!M9,0),IF(AND(118&gt;='EDT Y TAREAS'!AK10,118&lt;'EDT Y TAREAS'!AL10),'EDT Y TAREAS'!AD10/'EDT Y TAREAS'!M10,0),IF(AND(118&gt;='EDT Y TAREAS'!AK11,118&lt;'EDT Y TAREAS'!AL11),'EDT Y TAREAS'!AD11/'EDT Y TAREAS'!M11,0),IF(AND(118&gt;='EDT Y TAREAS'!AK12,118&lt;'EDT Y TAREAS'!AL12),'EDT Y TAREAS'!AD12/'EDT Y TAREAS'!M12,0),IF(AND(118&gt;='EDT Y TAREAS'!AK13,118&lt;'EDT Y TAREAS'!AL13),'EDT Y TAREAS'!AD13/'EDT Y TAREAS'!M13,0),IF(AND(118&gt;='EDT Y TAREAS'!AK14,118&lt;'EDT Y TAREAS'!AL14),'EDT Y TAREAS'!AD14/'EDT Y TAREAS'!M14,0),IF(AND(118&gt;='EDT Y TAREAS'!AK15,118&lt;'EDT Y TAREAS'!AL15),'EDT Y TAREAS'!AD15/'EDT Y TAREAS'!M15,0),IF(AND(118&gt;='EDT Y TAREAS'!AK16,118&lt;'EDT Y TAREAS'!AL16),'EDT Y TAREAS'!AD16/'EDT Y TAREAS'!M16,0),IF(AND(118&gt;='EDT Y TAREAS'!AK17,118&lt;'EDT Y TAREAS'!AL17),'EDT Y TAREAS'!AD17/'EDT Y TAREAS'!M17,0),IF(AND(118&gt;='EDT Y TAREAS'!AK18,118&lt;'EDT Y TAREAS'!AL18),'EDT Y TAREAS'!AD18/'EDT Y TAREAS'!M18,0),IF(AND(118&gt;='EDT Y TAREAS'!AK19,118&lt;'EDT Y TAREAS'!AL19),'EDT Y TAREAS'!AD19/'EDT Y TAREAS'!M19,0),IF(AND(118&gt;='EDT Y TAREAS'!AK20,118&lt;'EDT Y TAREAS'!AL20),'EDT Y TAREAS'!AD20/'EDT Y TAREAS'!M20,0),IF(AND(118&gt;='EDT Y TAREAS'!AK21,118&lt;'EDT Y TAREAS'!AL21),'EDT Y TAREAS'!AD21/'EDT Y TAREAS'!M21,0),IF(AND(118&gt;='EDT Y TAREAS'!AK22,118&lt;'EDT Y TAREAS'!AL22),'EDT Y TAREAS'!AD22/'EDT Y TAREAS'!M22,0),IF(AND(118&gt;='EDT Y TAREAS'!AK23,118&lt;'EDT Y TAREAS'!AL23),'EDT Y TAREAS'!AD23/'EDT Y TAREAS'!M23,0),IF(AND(118&gt;='EDT Y TAREAS'!AK26,118&lt;'EDT Y TAREAS'!AL26),'EDT Y TAREAS'!AD26/'EDT Y TAREAS'!M26,0),IF(AND(118&gt;='EDT Y TAREAS'!AK28,118&lt;'EDT Y TAREAS'!AL28),'EDT Y TAREAS'!AD28/'EDT Y TAREAS'!M28,0),IF(AND(118&gt;='EDT Y TAREAS'!AK30,118&lt;'EDT Y TAREAS'!AL30),'EDT Y TAREAS'!AD30/'EDT Y TAREAS'!M30,0),IF(AND(118&gt;='EDT Y TAREAS'!AK32,118&lt;'EDT Y TAREAS'!AL32),'EDT Y TAREAS'!AD32/'EDT Y TAREAS'!M32,0),IF(AND(118&gt;='EDT Y TAREAS'!AK34,118&lt;'EDT Y TAREAS'!AL34),'EDT Y TAREAS'!AD34/'EDT Y TAREAS'!M34,0),IF(AND(118&gt;='EDT Y TAREAS'!AK38,118&lt;'EDT Y TAREAS'!AL38),'EDT Y TAREAS'!AD38/'EDT Y TAREAS'!M38,0),IF(AND(118&gt;='EDT Y TAREAS'!AK39,118&lt;'EDT Y TAREAS'!AL39),'EDT Y TAREAS'!AD39/'EDT Y TAREAS'!M39,0),IF(AND(118&gt;='EDT Y TAREAS'!AK43,118&lt;'EDT Y TAREAS'!AL43),'EDT Y TAREAS'!AD43/'EDT Y TAREAS'!M43,0),IF(AND(118&gt;='EDT Y TAREAS'!AK44,118&lt;'EDT Y TAREAS'!AL44),'EDT Y TAREAS'!AD44/'EDT Y TAREAS'!M44,0),IF(AND(118&gt;='EDT Y TAREAS'!AK45,118&lt;'EDT Y TAREAS'!AL45),'EDT Y TAREAS'!AD45/'EDT Y TAREAS'!M45,0),IF(AND(118&gt;='EDT Y TAREAS'!AK46,118&lt;'EDT Y TAREAS'!AL46),'EDT Y TAREAS'!AD46/'EDT Y TAREAS'!M46,0),IF(AND(118&gt;='EDT Y TAREAS'!AK47,118&lt;'EDT Y TAREAS'!AL47),'EDT Y TAREAS'!AD47/'EDT Y TAREAS'!M47,0),IF(AND(118&gt;='EDT Y TAREAS'!AK49,118&lt;'EDT Y TAREAS'!AL49),'EDT Y TAREAS'!AD49/'EDT Y TAREAS'!M49,0),IF(AND(118&gt;='EDT Y TAREAS'!AK50,118&lt;'EDT Y TAREAS'!AL50),'EDT Y TAREAS'!AD50/'EDT Y TAREAS'!M50,0),IF(AND(118&gt;='EDT Y TAREAS'!AK51,118&lt;'EDT Y TAREAS'!AL51),'EDT Y TAREAS'!AD51/'EDT Y TAREAS'!M51,0),IF(AND(118&gt;='EDT Y TAREAS'!AK52,118&lt;'EDT Y TAREAS'!AL52),'EDT Y TAREAS'!AD52/'EDT Y TAREAS'!M52,0))</x:f>
        <x:v>4.8</x:v>
      </x:c>
      <x:c r="C158" s="35" t="n">
        <x:f>SUM(IF(AND(118&gt;='EDT Y TAREAS'!AK6,118&lt;'EDT Y TAREAS'!AL6),'EDT Y TAREAS'!AE6/'EDT Y TAREAS'!M6,0),IF(AND(118&gt;='EDT Y TAREAS'!AK8,118&lt;'EDT Y TAREAS'!AL8),'EDT Y TAREAS'!AE8/'EDT Y TAREAS'!M8,0),IF(AND(118&gt;='EDT Y TAREAS'!AK9,118&lt;'EDT Y TAREAS'!AL9),'EDT Y TAREAS'!AE9/'EDT Y TAREAS'!M9,0),IF(AND(118&gt;='EDT Y TAREAS'!AK10,118&lt;'EDT Y TAREAS'!AL10),'EDT Y TAREAS'!AE10/'EDT Y TAREAS'!M10,0),IF(AND(118&gt;='EDT Y TAREAS'!AK12,118&lt;'EDT Y TAREAS'!AL12),'EDT Y TAREAS'!AE12/'EDT Y TAREAS'!M12,0),IF(AND(118&gt;='EDT Y TAREAS'!AK16,118&lt;'EDT Y TAREAS'!AL16),'EDT Y TAREAS'!AE16/'EDT Y TAREAS'!M16,0),IF(AND(118&gt;='EDT Y TAREAS'!AK21,118&lt;'EDT Y TAREAS'!AL21),'EDT Y TAREAS'!AE21/'EDT Y TAREAS'!M21,0),IF(AND(118&gt;='EDT Y TAREAS'!AK23,118&lt;'EDT Y TAREAS'!AL23),'EDT Y TAREAS'!AE23/'EDT Y TAREAS'!M23,0),IF(AND(118&gt;='EDT Y TAREAS'!AK37,118&lt;'EDT Y TAREAS'!AL37),'EDT Y TAREAS'!AE37/'EDT Y TAREAS'!M37,0),IF(AND(118&gt;='EDT Y TAREAS'!AK38,118&lt;'EDT Y TAREAS'!AL38),'EDT Y TAREAS'!AE38/'EDT Y TAREAS'!M38,0),IF(AND(118&gt;='EDT Y TAREAS'!AK41,118&lt;'EDT Y TAREAS'!AL41),'EDT Y TAREAS'!AE41/'EDT Y TAREAS'!M41,0),IF(AND(118&gt;='EDT Y TAREAS'!AK43,118&lt;'EDT Y TAREAS'!AL43),'EDT Y TAREAS'!AE43/'EDT Y TAREAS'!M43,0),IF(AND(118&gt;='EDT Y TAREAS'!AK44,118&lt;'EDT Y TAREAS'!AL44),'EDT Y TAREAS'!AE44/'EDT Y TAREAS'!M44,0),IF(AND(118&gt;='EDT Y TAREAS'!AK46,118&lt;'EDT Y TAREAS'!AL46),'EDT Y TAREAS'!AE46/'EDT Y TAREAS'!M46,0),IF(AND(118&gt;='EDT Y TAREAS'!AK47,118&lt;'EDT Y TAREAS'!AL47),'EDT Y TAREAS'!AE47/'EDT Y TAREAS'!M47,0),IF(AND(118&gt;='EDT Y TAREAS'!AK51,118&lt;'EDT Y TAREAS'!AL51),'EDT Y TAREAS'!AE51/'EDT Y TAREAS'!M51,0),IF(AND(118&gt;='EDT Y TAREAS'!AK52,118&lt;'EDT Y TAREAS'!AL52),'EDT Y TAREAS'!AE52/'EDT Y TAREAS'!M52,0))</x:f>
        <x:v>1.6</x:v>
      </x:c>
      <x:c r="D158" s="35" t="n">
        <x:f>SUM(IF(AND(118&gt;='EDT Y TAREAS'!AK11,118&lt;'EDT Y TAREAS'!AL11),'EDT Y TAREAS'!AF11/'EDT Y TAREAS'!M11,0),IF(AND(118&gt;='EDT Y TAREAS'!AK24,118&lt;'EDT Y TAREAS'!AL24),'EDT Y TAREAS'!AF24/'EDT Y TAREAS'!M24,0),IF(AND(118&gt;='EDT Y TAREAS'!AK25,118&lt;'EDT Y TAREAS'!AL25),'EDT Y TAREAS'!AF25/'EDT Y TAREAS'!M25,0),IF(AND(118&gt;='EDT Y TAREAS'!AK26,118&lt;'EDT Y TAREAS'!AL26),'EDT Y TAREAS'!AF26/'EDT Y TAREAS'!M26,0),IF(AND(118&gt;='EDT Y TAREAS'!AK27,118&lt;'EDT Y TAREAS'!AL27),'EDT Y TAREAS'!AF27/'EDT Y TAREAS'!M27,0),IF(AND(118&gt;='EDT Y TAREAS'!AK28,118&lt;'EDT Y TAREAS'!AL28),'EDT Y TAREAS'!AF28/'EDT Y TAREAS'!M28,0),IF(AND(118&gt;='EDT Y TAREAS'!AK31,118&lt;'EDT Y TAREAS'!AL31),'EDT Y TAREAS'!AF31/'EDT Y TAREAS'!M31,0),IF(AND(118&gt;='EDT Y TAREAS'!AK33,118&lt;'EDT Y TAREAS'!AL33),'EDT Y TAREAS'!AF33/'EDT Y TAREAS'!M33,0),IF(AND(118&gt;='EDT Y TAREAS'!AK34,118&lt;'EDT Y TAREAS'!AL34),'EDT Y TAREAS'!AF34/'EDT Y TAREAS'!M34,0),IF(AND(118&gt;='EDT Y TAREAS'!AK35,118&lt;'EDT Y TAREAS'!AL35),'EDT Y TAREAS'!AF35/'EDT Y TAREAS'!M35,0),IF(AND(118&gt;='EDT Y TAREAS'!AK37,118&lt;'EDT Y TAREAS'!AL37),'EDT Y TAREAS'!AF37/'EDT Y TAREAS'!M37,0),IF(AND(118&gt;='EDT Y TAREAS'!AK39,118&lt;'EDT Y TAREAS'!AL39),'EDT Y TAREAS'!AF39/'EDT Y TAREAS'!M39,0),IF(AND(118&gt;='EDT Y TAREAS'!AK40,118&lt;'EDT Y TAREAS'!AL40),'EDT Y TAREAS'!AF40/'EDT Y TAREAS'!M40,0),IF(AND(118&gt;='EDT Y TAREAS'!AK42,118&lt;'EDT Y TAREAS'!AL42),'EDT Y TAREAS'!AF42/'EDT Y TAREAS'!M42,0),IF(AND(118&gt;='EDT Y TAREAS'!AK45,118&lt;'EDT Y TAREAS'!AL45),'EDT Y TAREAS'!AF45/'EDT Y TAREAS'!M45,0),IF(AND(118&gt;='EDT Y TAREAS'!AK49,118&lt;'EDT Y TAREAS'!AL49),'EDT Y TAREAS'!AF49/'EDT Y TAREAS'!M49,0),IF(AND(118&gt;='EDT Y TAREAS'!AK52,118&lt;'EDT Y TAREAS'!AL52),'EDT Y TAREAS'!AF52/'EDT Y TAREAS'!M52,0))</x:f>
        <x:v>0</x:v>
      </x:c>
      <x:c r="E158" s="35" t="n">
        <x:f>SUM(IF(AND(118&gt;='EDT Y TAREAS'!AK29,118&lt;'EDT Y TAREAS'!AL29),'EDT Y TAREAS'!AG29/'EDT Y TAREAS'!M29,0),IF(AND(118&gt;='EDT Y TAREAS'!AK30,118&lt;'EDT Y TAREAS'!AL30),'EDT Y TAREAS'!AG30/'EDT Y TAREAS'!M30,0),IF(AND(118&gt;='EDT Y TAREAS'!AK31,118&lt;'EDT Y TAREAS'!AL31),'EDT Y TAREAS'!AG31/'EDT Y TAREAS'!M31,0),IF(AND(118&gt;='EDT Y TAREAS'!AK32,118&lt;'EDT Y TAREAS'!AL32),'EDT Y TAREAS'!AG32/'EDT Y TAREAS'!M32,0),IF(AND(118&gt;='EDT Y TAREAS'!AK41,118&lt;'EDT Y TAREAS'!AL41),'EDT Y TAREAS'!AG41/'EDT Y TAREAS'!M41,0),IF(AND(118&gt;='EDT Y TAREAS'!AK45,118&lt;'EDT Y TAREAS'!AL45),'EDT Y TAREAS'!AG45/'EDT Y TAREAS'!M45,0),IF(AND(118&gt;='EDT Y TAREAS'!AK48,118&lt;'EDT Y TAREAS'!AL48),'EDT Y TAREAS'!AG48/'EDT Y TAREAS'!M48,0))</x:f>
        <x:v>0</x:v>
      </x:c>
      <x:c r="F158" s="35" t="n">
        <x:f>SUM(IF(AND(118&gt;='EDT Y TAREAS'!AK10,118&lt;'EDT Y TAREAS'!AL10),'EDT Y TAREAS'!AH10/'EDT Y TAREAS'!M10,0),IF(AND(118&gt;='EDT Y TAREAS'!AK12,118&lt;'EDT Y TAREAS'!AL12),'EDT Y TAREAS'!AH12/'EDT Y TAREAS'!M12,0),IF(AND(118&gt;='EDT Y TAREAS'!AK22,118&lt;'EDT Y TAREAS'!AL22),'EDT Y TAREAS'!AH22/'EDT Y TAREAS'!M22,0),IF(AND(118&gt;='EDT Y TAREAS'!AK23,118&lt;'EDT Y TAREAS'!AL23),'EDT Y TAREAS'!AH23/'EDT Y TAREAS'!M23,0),IF(AND(118&gt;='EDT Y TAREAS'!AK29,118&lt;'EDT Y TAREAS'!AL29),'EDT Y TAREAS'!AH29/'EDT Y TAREAS'!M29,0),IF(AND(118&gt;='EDT Y TAREAS'!AK30,118&lt;'EDT Y TAREAS'!AL30),'EDT Y TAREAS'!AH30/'EDT Y TAREAS'!M30,0),IF(AND(118&gt;='EDT Y TAREAS'!AK32,118&lt;'EDT Y TAREAS'!AL32),'EDT Y TAREAS'!AH32/'EDT Y TAREAS'!M32,0),IF(AND(118&gt;='EDT Y TAREAS'!AK41,118&lt;'EDT Y TAREAS'!AL41),'EDT Y TAREAS'!AH41/'EDT Y TAREAS'!M41,0),IF(AND(118&gt;='EDT Y TAREAS'!AK44,118&lt;'EDT Y TAREAS'!AL44),'EDT Y TAREAS'!AH44/'EDT Y TAREAS'!M44,0),IF(AND(118&gt;='EDT Y TAREAS'!AK46,118&lt;'EDT Y TAREAS'!AL46),'EDT Y TAREAS'!AH46/'EDT Y TAREAS'!M46,0),IF(AND(118&gt;='EDT Y TAREAS'!AK48,118&lt;'EDT Y TAREAS'!AL48),'EDT Y TAREAS'!AH48/'EDT Y TAREAS'!M48,0))</x:f>
        <x:v>2.4</x:v>
      </x:c>
      <x:c r="G158" s="35" t="n">
        <x:f>SUM(IF(AND(118&gt;='EDT Y TAREAS'!AK20,118&lt;'EDT Y TAREAS'!AL20),'EDT Y TAREAS'!AI20/'EDT Y TAREAS'!M20,0),IF(AND(118&gt;='EDT Y TAREAS'!AK25,118&lt;'EDT Y TAREAS'!AL25),'EDT Y TAREAS'!AI25/'EDT Y TAREAS'!M25,0),IF(AND(118&gt;='EDT Y TAREAS'!AK33,118&lt;'EDT Y TAREAS'!AL33),'EDT Y TAREAS'!AI33/'EDT Y TAREAS'!M33,0),IF(AND(118&gt;='EDT Y TAREAS'!AK34,118&lt;'EDT Y TAREAS'!AL34),'EDT Y TAREAS'!AI34/'EDT Y TAREAS'!M34,0),IF(AND(118&gt;='EDT Y TAREAS'!AK36,118&lt;'EDT Y TAREAS'!AL36),'EDT Y TAREAS'!AI36/'EDT Y TAREAS'!M36,0),IF(AND(118&gt;='EDT Y TAREAS'!AK39,118&lt;'EDT Y TAREAS'!AL39),'EDT Y TAREAS'!AI39/'EDT Y TAREAS'!M39,0),IF(AND(118&gt;='EDT Y TAREAS'!AK40,118&lt;'EDT Y TAREAS'!AL40),'EDT Y TAREAS'!AI40/'EDT Y TAREAS'!M40,0),IF(AND(118&gt;='EDT Y TAREAS'!AK42,118&lt;'EDT Y TAREAS'!AL42),'EDT Y TAREAS'!AI42/'EDT Y TAREAS'!M42,0),IF(AND(118&gt;='EDT Y TAREAS'!AK43,118&lt;'EDT Y TAREAS'!AL43),'EDT Y TAREAS'!AI43/'EDT Y TAREAS'!M43,0),IF(AND(118&gt;='EDT Y TAREAS'!AK44,118&lt;'EDT Y TAREAS'!AL44),'EDT Y TAREAS'!AI44/'EDT Y TAREAS'!M44,0),IF(AND(118&gt;='EDT Y TAREAS'!AK45,118&lt;'EDT Y TAREAS'!AL45),'EDT Y TAREAS'!AI45/'EDT Y TAREAS'!M45,0),IF(AND(118&gt;='EDT Y TAREAS'!AK46,118&lt;'EDT Y TAREAS'!AL46),'EDT Y TAREAS'!AI46/'EDT Y TAREAS'!M46,0),IF(AND(118&gt;='EDT Y TAREAS'!AK48,118&lt;'EDT Y TAREAS'!AL48),'EDT Y TAREAS'!AI48/'EDT Y TAREAS'!M48,0),IF(AND(118&gt;='EDT Y TAREAS'!AK50,118&lt;'EDT Y TAREAS'!AL50),'EDT Y TAREAS'!AI50/'EDT Y TAREAS'!M50,0),IF(AND(118&gt;='EDT Y TAREAS'!AK52,118&lt;'EDT Y TAREAS'!AL52),'EDT Y TAREAS'!AI52/'EDT Y TAREAS'!M52,0))</x:f>
        <x:v>2.4</x:v>
      </x:c>
      <x:c r="H158" s="35" t="n">
        <x:f>SUM(IF(AND(118&gt;='EDT Y TAREAS'!AK11,118&lt;'EDT Y TAREAS'!AL11),'EDT Y TAREAS'!AJ11/'EDT Y TAREAS'!M11,0),IF(AND(118&gt;='EDT Y TAREAS'!AK24,118&lt;'EDT Y TAREAS'!AL24),'EDT Y TAREAS'!AJ24/'EDT Y TAREAS'!M24,0),IF(AND(118&gt;='EDT Y TAREAS'!AK27,118&lt;'EDT Y TAREAS'!AL27),'EDT Y TAREAS'!AJ27/'EDT Y TAREAS'!M27,0),IF(AND(118&gt;='EDT Y TAREAS'!AK28,118&lt;'EDT Y TAREAS'!AL28),'EDT Y TAREAS'!AJ28/'EDT Y TAREAS'!M28,0),IF(AND(118&gt;='EDT Y TAREAS'!AK33,118&lt;'EDT Y TAREAS'!AL33),'EDT Y TAREAS'!AJ33/'EDT Y TAREAS'!M33,0),IF(AND(118&gt;='EDT Y TAREAS'!AK35,118&lt;'EDT Y TAREAS'!AL35),'EDT Y TAREAS'!AJ35/'EDT Y TAREAS'!M35,0),IF(AND(118&gt;='EDT Y TAREAS'!AK36,118&lt;'EDT Y TAREAS'!AL36),'EDT Y TAREAS'!AJ36/'EDT Y TAREAS'!M36,0),IF(AND(118&gt;='EDT Y TAREAS'!AK37,118&lt;'EDT Y TAREAS'!AL37),'EDT Y TAREAS'!AJ37/'EDT Y TAREAS'!M37,0),IF(AND(118&gt;='EDT Y TAREAS'!AK40,118&lt;'EDT Y TAREAS'!AL40),'EDT Y TAREAS'!AJ40/'EDT Y TAREAS'!M40,0),IF(AND(118&gt;='EDT Y TAREAS'!AK42,118&lt;'EDT Y TAREAS'!AL42),'EDT Y TAREAS'!AJ42/'EDT Y TAREAS'!M42,0),IF(AND(118&gt;='EDT Y TAREAS'!AK49,118&lt;'EDT Y TAREAS'!AL49),'EDT Y TAREAS'!AJ49/'EDT Y TAREAS'!M49,0),IF(AND(118&gt;='EDT Y TAREAS'!AK50,118&lt;'EDT Y TAREAS'!AL50),'EDT Y TAREAS'!AJ50/'EDT Y TAREAS'!M50,0),IF(AND(118&gt;='EDT Y TAREAS'!AK51,118&lt;'EDT Y TAREAS'!AL51),'EDT Y TAREAS'!AJ51/'EDT Y TAREAS'!M51,0),IF(AND(118&gt;='EDT Y TAREAS'!AK52,118&lt;'EDT Y TAREAS'!AL52),'EDT Y TAREAS'!AJ52/'EDT Y TAREAS'!M52,0))</x:f>
        <x:v>0</x:v>
      </x:c>
      <x:c r="I158" s="10" t="n">
        <x:f>WORKDAY('RESUMEN'!$D$3-1,A158,'RESUMEN'!$J$6:$J$25)</x:f>
        <x:v>46492</x:v>
      </x:c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  <x:c r="AC158" s="3"/>
      <x:c r="AD158" s="3"/>
      <x:c r="AE158" s="3"/>
      <x:c r="AF158" s="3"/>
      <x:c r="AG158" s="3"/>
      <x:c r="AH158" s="3"/>
      <x:c r="AI158" s="3"/>
      <x:c r="AJ158" s="3"/>
      <x:c r="AK158" s="3"/>
      <x:c r="AL158" s="3"/>
      <x:c r="AM158" s="3"/>
      <x:c r="AN158" s="3"/>
      <x:c r="AO158" s="3"/>
    </x:row>
    <x:row r="159" ht="24" customHeight="1">
      <x:c r="A159" s="3" t="n">
        <x:v>120</x:v>
      </x:c>
      <x:c r="B159" s="35" t="n">
        <x:f>SUM(IF(AND(119&gt;='EDT Y TAREAS'!AK6,119&lt;'EDT Y TAREAS'!AL6),'EDT Y TAREAS'!AD6/'EDT Y TAREAS'!M6,0),IF(AND(119&gt;='EDT Y TAREAS'!AK7,119&lt;'EDT Y TAREAS'!AL7),'EDT Y TAREAS'!AD7/'EDT Y TAREAS'!M7,0),IF(AND(119&gt;='EDT Y TAREAS'!AK8,119&lt;'EDT Y TAREAS'!AL8),'EDT Y TAREAS'!AD8/'EDT Y TAREAS'!M8,0),IF(AND(119&gt;='EDT Y TAREAS'!AK9,119&lt;'EDT Y TAREAS'!AL9),'EDT Y TAREAS'!AD9/'EDT Y TAREAS'!M9,0),IF(AND(119&gt;='EDT Y TAREAS'!AK10,119&lt;'EDT Y TAREAS'!AL10),'EDT Y TAREAS'!AD10/'EDT Y TAREAS'!M10,0),IF(AND(119&gt;='EDT Y TAREAS'!AK11,119&lt;'EDT Y TAREAS'!AL11),'EDT Y TAREAS'!AD11/'EDT Y TAREAS'!M11,0),IF(AND(119&gt;='EDT Y TAREAS'!AK12,119&lt;'EDT Y TAREAS'!AL12),'EDT Y TAREAS'!AD12/'EDT Y TAREAS'!M12,0),IF(AND(119&gt;='EDT Y TAREAS'!AK13,119&lt;'EDT Y TAREAS'!AL13),'EDT Y TAREAS'!AD13/'EDT Y TAREAS'!M13,0),IF(AND(119&gt;='EDT Y TAREAS'!AK14,119&lt;'EDT Y TAREAS'!AL14),'EDT Y TAREAS'!AD14/'EDT Y TAREAS'!M14,0),IF(AND(119&gt;='EDT Y TAREAS'!AK15,119&lt;'EDT Y TAREAS'!AL15),'EDT Y TAREAS'!AD15/'EDT Y TAREAS'!M15,0),IF(AND(119&gt;='EDT Y TAREAS'!AK16,119&lt;'EDT Y TAREAS'!AL16),'EDT Y TAREAS'!AD16/'EDT Y TAREAS'!M16,0),IF(AND(119&gt;='EDT Y TAREAS'!AK17,119&lt;'EDT Y TAREAS'!AL17),'EDT Y TAREAS'!AD17/'EDT Y TAREAS'!M17,0),IF(AND(119&gt;='EDT Y TAREAS'!AK18,119&lt;'EDT Y TAREAS'!AL18),'EDT Y TAREAS'!AD18/'EDT Y TAREAS'!M18,0),IF(AND(119&gt;='EDT Y TAREAS'!AK19,119&lt;'EDT Y TAREAS'!AL19),'EDT Y TAREAS'!AD19/'EDT Y TAREAS'!M19,0),IF(AND(119&gt;='EDT Y TAREAS'!AK20,119&lt;'EDT Y TAREAS'!AL20),'EDT Y TAREAS'!AD20/'EDT Y TAREAS'!M20,0),IF(AND(119&gt;='EDT Y TAREAS'!AK21,119&lt;'EDT Y TAREAS'!AL21),'EDT Y TAREAS'!AD21/'EDT Y TAREAS'!M21,0),IF(AND(119&gt;='EDT Y TAREAS'!AK22,119&lt;'EDT Y TAREAS'!AL22),'EDT Y TAREAS'!AD22/'EDT Y TAREAS'!M22,0),IF(AND(119&gt;='EDT Y TAREAS'!AK23,119&lt;'EDT Y TAREAS'!AL23),'EDT Y TAREAS'!AD23/'EDT Y TAREAS'!M23,0),IF(AND(119&gt;='EDT Y TAREAS'!AK26,119&lt;'EDT Y TAREAS'!AL26),'EDT Y TAREAS'!AD26/'EDT Y TAREAS'!M26,0),IF(AND(119&gt;='EDT Y TAREAS'!AK28,119&lt;'EDT Y TAREAS'!AL28),'EDT Y TAREAS'!AD28/'EDT Y TAREAS'!M28,0),IF(AND(119&gt;='EDT Y TAREAS'!AK30,119&lt;'EDT Y TAREAS'!AL30),'EDT Y TAREAS'!AD30/'EDT Y TAREAS'!M30,0),IF(AND(119&gt;='EDT Y TAREAS'!AK32,119&lt;'EDT Y TAREAS'!AL32),'EDT Y TAREAS'!AD32/'EDT Y TAREAS'!M32,0),IF(AND(119&gt;='EDT Y TAREAS'!AK34,119&lt;'EDT Y TAREAS'!AL34),'EDT Y TAREAS'!AD34/'EDT Y TAREAS'!M34,0),IF(AND(119&gt;='EDT Y TAREAS'!AK38,119&lt;'EDT Y TAREAS'!AL38),'EDT Y TAREAS'!AD38/'EDT Y TAREAS'!M38,0),IF(AND(119&gt;='EDT Y TAREAS'!AK39,119&lt;'EDT Y TAREAS'!AL39),'EDT Y TAREAS'!AD39/'EDT Y TAREAS'!M39,0),IF(AND(119&gt;='EDT Y TAREAS'!AK43,119&lt;'EDT Y TAREAS'!AL43),'EDT Y TAREAS'!AD43/'EDT Y TAREAS'!M43,0),IF(AND(119&gt;='EDT Y TAREAS'!AK44,119&lt;'EDT Y TAREAS'!AL44),'EDT Y TAREAS'!AD44/'EDT Y TAREAS'!M44,0),IF(AND(119&gt;='EDT Y TAREAS'!AK45,119&lt;'EDT Y TAREAS'!AL45),'EDT Y TAREAS'!AD45/'EDT Y TAREAS'!M45,0),IF(AND(119&gt;='EDT Y TAREAS'!AK46,119&lt;'EDT Y TAREAS'!AL46),'EDT Y TAREAS'!AD46/'EDT Y TAREAS'!M46,0),IF(AND(119&gt;='EDT Y TAREAS'!AK47,119&lt;'EDT Y TAREAS'!AL47),'EDT Y TAREAS'!AD47/'EDT Y TAREAS'!M47,0),IF(AND(119&gt;='EDT Y TAREAS'!AK49,119&lt;'EDT Y TAREAS'!AL49),'EDT Y TAREAS'!AD49/'EDT Y TAREAS'!M49,0),IF(AND(119&gt;='EDT Y TAREAS'!AK50,119&lt;'EDT Y TAREAS'!AL50),'EDT Y TAREAS'!AD50/'EDT Y TAREAS'!M50,0),IF(AND(119&gt;='EDT Y TAREAS'!AK51,119&lt;'EDT Y TAREAS'!AL51),'EDT Y TAREAS'!AD51/'EDT Y TAREAS'!M51,0),IF(AND(119&gt;='EDT Y TAREAS'!AK52,119&lt;'EDT Y TAREAS'!AL52),'EDT Y TAREAS'!AD52/'EDT Y TAREAS'!M52,0))</x:f>
        <x:v>4.8</x:v>
      </x:c>
      <x:c r="C159" s="35" t="n">
        <x:f>SUM(IF(AND(119&gt;='EDT Y TAREAS'!AK6,119&lt;'EDT Y TAREAS'!AL6),'EDT Y TAREAS'!AE6/'EDT Y TAREAS'!M6,0),IF(AND(119&gt;='EDT Y TAREAS'!AK8,119&lt;'EDT Y TAREAS'!AL8),'EDT Y TAREAS'!AE8/'EDT Y TAREAS'!M8,0),IF(AND(119&gt;='EDT Y TAREAS'!AK9,119&lt;'EDT Y TAREAS'!AL9),'EDT Y TAREAS'!AE9/'EDT Y TAREAS'!M9,0),IF(AND(119&gt;='EDT Y TAREAS'!AK10,119&lt;'EDT Y TAREAS'!AL10),'EDT Y TAREAS'!AE10/'EDT Y TAREAS'!M10,0),IF(AND(119&gt;='EDT Y TAREAS'!AK12,119&lt;'EDT Y TAREAS'!AL12),'EDT Y TAREAS'!AE12/'EDT Y TAREAS'!M12,0),IF(AND(119&gt;='EDT Y TAREAS'!AK16,119&lt;'EDT Y TAREAS'!AL16),'EDT Y TAREAS'!AE16/'EDT Y TAREAS'!M16,0),IF(AND(119&gt;='EDT Y TAREAS'!AK21,119&lt;'EDT Y TAREAS'!AL21),'EDT Y TAREAS'!AE21/'EDT Y TAREAS'!M21,0),IF(AND(119&gt;='EDT Y TAREAS'!AK23,119&lt;'EDT Y TAREAS'!AL23),'EDT Y TAREAS'!AE23/'EDT Y TAREAS'!M23,0),IF(AND(119&gt;='EDT Y TAREAS'!AK37,119&lt;'EDT Y TAREAS'!AL37),'EDT Y TAREAS'!AE37/'EDT Y TAREAS'!M37,0),IF(AND(119&gt;='EDT Y TAREAS'!AK38,119&lt;'EDT Y TAREAS'!AL38),'EDT Y TAREAS'!AE38/'EDT Y TAREAS'!M38,0),IF(AND(119&gt;='EDT Y TAREAS'!AK41,119&lt;'EDT Y TAREAS'!AL41),'EDT Y TAREAS'!AE41/'EDT Y TAREAS'!M41,0),IF(AND(119&gt;='EDT Y TAREAS'!AK43,119&lt;'EDT Y TAREAS'!AL43),'EDT Y TAREAS'!AE43/'EDT Y TAREAS'!M43,0),IF(AND(119&gt;='EDT Y TAREAS'!AK44,119&lt;'EDT Y TAREAS'!AL44),'EDT Y TAREAS'!AE44/'EDT Y TAREAS'!M44,0),IF(AND(119&gt;='EDT Y TAREAS'!AK46,119&lt;'EDT Y TAREAS'!AL46),'EDT Y TAREAS'!AE46/'EDT Y TAREAS'!M46,0),IF(AND(119&gt;='EDT Y TAREAS'!AK47,119&lt;'EDT Y TAREAS'!AL47),'EDT Y TAREAS'!AE47/'EDT Y TAREAS'!M47,0),IF(AND(119&gt;='EDT Y TAREAS'!AK51,119&lt;'EDT Y TAREAS'!AL51),'EDT Y TAREAS'!AE51/'EDT Y TAREAS'!M51,0),IF(AND(119&gt;='EDT Y TAREAS'!AK52,119&lt;'EDT Y TAREAS'!AL52),'EDT Y TAREAS'!AE52/'EDT Y TAREAS'!M52,0))</x:f>
        <x:v>1.6</x:v>
      </x:c>
      <x:c r="D159" s="35" t="n">
        <x:f>SUM(IF(AND(119&gt;='EDT Y TAREAS'!AK11,119&lt;'EDT Y TAREAS'!AL11),'EDT Y TAREAS'!AF11/'EDT Y TAREAS'!M11,0),IF(AND(119&gt;='EDT Y TAREAS'!AK24,119&lt;'EDT Y TAREAS'!AL24),'EDT Y TAREAS'!AF24/'EDT Y TAREAS'!M24,0),IF(AND(119&gt;='EDT Y TAREAS'!AK25,119&lt;'EDT Y TAREAS'!AL25),'EDT Y TAREAS'!AF25/'EDT Y TAREAS'!M25,0),IF(AND(119&gt;='EDT Y TAREAS'!AK26,119&lt;'EDT Y TAREAS'!AL26),'EDT Y TAREAS'!AF26/'EDT Y TAREAS'!M26,0),IF(AND(119&gt;='EDT Y TAREAS'!AK27,119&lt;'EDT Y TAREAS'!AL27),'EDT Y TAREAS'!AF27/'EDT Y TAREAS'!M27,0),IF(AND(119&gt;='EDT Y TAREAS'!AK28,119&lt;'EDT Y TAREAS'!AL28),'EDT Y TAREAS'!AF28/'EDT Y TAREAS'!M28,0),IF(AND(119&gt;='EDT Y TAREAS'!AK31,119&lt;'EDT Y TAREAS'!AL31),'EDT Y TAREAS'!AF31/'EDT Y TAREAS'!M31,0),IF(AND(119&gt;='EDT Y TAREAS'!AK33,119&lt;'EDT Y TAREAS'!AL33),'EDT Y TAREAS'!AF33/'EDT Y TAREAS'!M33,0),IF(AND(119&gt;='EDT Y TAREAS'!AK34,119&lt;'EDT Y TAREAS'!AL34),'EDT Y TAREAS'!AF34/'EDT Y TAREAS'!M34,0),IF(AND(119&gt;='EDT Y TAREAS'!AK35,119&lt;'EDT Y TAREAS'!AL35),'EDT Y TAREAS'!AF35/'EDT Y TAREAS'!M35,0),IF(AND(119&gt;='EDT Y TAREAS'!AK37,119&lt;'EDT Y TAREAS'!AL37),'EDT Y TAREAS'!AF37/'EDT Y TAREAS'!M37,0),IF(AND(119&gt;='EDT Y TAREAS'!AK39,119&lt;'EDT Y TAREAS'!AL39),'EDT Y TAREAS'!AF39/'EDT Y TAREAS'!M39,0),IF(AND(119&gt;='EDT Y TAREAS'!AK40,119&lt;'EDT Y TAREAS'!AL40),'EDT Y TAREAS'!AF40/'EDT Y TAREAS'!M40,0),IF(AND(119&gt;='EDT Y TAREAS'!AK42,119&lt;'EDT Y TAREAS'!AL42),'EDT Y TAREAS'!AF42/'EDT Y TAREAS'!M42,0),IF(AND(119&gt;='EDT Y TAREAS'!AK45,119&lt;'EDT Y TAREAS'!AL45),'EDT Y TAREAS'!AF45/'EDT Y TAREAS'!M45,0),IF(AND(119&gt;='EDT Y TAREAS'!AK49,119&lt;'EDT Y TAREAS'!AL49),'EDT Y TAREAS'!AF49/'EDT Y TAREAS'!M49,0),IF(AND(119&gt;='EDT Y TAREAS'!AK52,119&lt;'EDT Y TAREAS'!AL52),'EDT Y TAREAS'!AF52/'EDT Y TAREAS'!M52,0))</x:f>
        <x:v>0</x:v>
      </x:c>
      <x:c r="E159" s="35" t="n">
        <x:f>SUM(IF(AND(119&gt;='EDT Y TAREAS'!AK29,119&lt;'EDT Y TAREAS'!AL29),'EDT Y TAREAS'!AG29/'EDT Y TAREAS'!M29,0),IF(AND(119&gt;='EDT Y TAREAS'!AK30,119&lt;'EDT Y TAREAS'!AL30),'EDT Y TAREAS'!AG30/'EDT Y TAREAS'!M30,0),IF(AND(119&gt;='EDT Y TAREAS'!AK31,119&lt;'EDT Y TAREAS'!AL31),'EDT Y TAREAS'!AG31/'EDT Y TAREAS'!M31,0),IF(AND(119&gt;='EDT Y TAREAS'!AK32,119&lt;'EDT Y TAREAS'!AL32),'EDT Y TAREAS'!AG32/'EDT Y TAREAS'!M32,0),IF(AND(119&gt;='EDT Y TAREAS'!AK41,119&lt;'EDT Y TAREAS'!AL41),'EDT Y TAREAS'!AG41/'EDT Y TAREAS'!M41,0),IF(AND(119&gt;='EDT Y TAREAS'!AK45,119&lt;'EDT Y TAREAS'!AL45),'EDT Y TAREAS'!AG45/'EDT Y TAREAS'!M45,0),IF(AND(119&gt;='EDT Y TAREAS'!AK48,119&lt;'EDT Y TAREAS'!AL48),'EDT Y TAREAS'!AG48/'EDT Y TAREAS'!M48,0))</x:f>
        <x:v>0</x:v>
      </x:c>
      <x:c r="F159" s="35" t="n">
        <x:f>SUM(IF(AND(119&gt;='EDT Y TAREAS'!AK10,119&lt;'EDT Y TAREAS'!AL10),'EDT Y TAREAS'!AH10/'EDT Y TAREAS'!M10,0),IF(AND(119&gt;='EDT Y TAREAS'!AK12,119&lt;'EDT Y TAREAS'!AL12),'EDT Y TAREAS'!AH12/'EDT Y TAREAS'!M12,0),IF(AND(119&gt;='EDT Y TAREAS'!AK22,119&lt;'EDT Y TAREAS'!AL22),'EDT Y TAREAS'!AH22/'EDT Y TAREAS'!M22,0),IF(AND(119&gt;='EDT Y TAREAS'!AK23,119&lt;'EDT Y TAREAS'!AL23),'EDT Y TAREAS'!AH23/'EDT Y TAREAS'!M23,0),IF(AND(119&gt;='EDT Y TAREAS'!AK29,119&lt;'EDT Y TAREAS'!AL29),'EDT Y TAREAS'!AH29/'EDT Y TAREAS'!M29,0),IF(AND(119&gt;='EDT Y TAREAS'!AK30,119&lt;'EDT Y TAREAS'!AL30),'EDT Y TAREAS'!AH30/'EDT Y TAREAS'!M30,0),IF(AND(119&gt;='EDT Y TAREAS'!AK32,119&lt;'EDT Y TAREAS'!AL32),'EDT Y TAREAS'!AH32/'EDT Y TAREAS'!M32,0),IF(AND(119&gt;='EDT Y TAREAS'!AK41,119&lt;'EDT Y TAREAS'!AL41),'EDT Y TAREAS'!AH41/'EDT Y TAREAS'!M41,0),IF(AND(119&gt;='EDT Y TAREAS'!AK44,119&lt;'EDT Y TAREAS'!AL44),'EDT Y TAREAS'!AH44/'EDT Y TAREAS'!M44,0),IF(AND(119&gt;='EDT Y TAREAS'!AK46,119&lt;'EDT Y TAREAS'!AL46),'EDT Y TAREAS'!AH46/'EDT Y TAREAS'!M46,0),IF(AND(119&gt;='EDT Y TAREAS'!AK48,119&lt;'EDT Y TAREAS'!AL48),'EDT Y TAREAS'!AH48/'EDT Y TAREAS'!M48,0))</x:f>
        <x:v>2.4</x:v>
      </x:c>
      <x:c r="G159" s="35" t="n">
        <x:f>SUM(IF(AND(119&gt;='EDT Y TAREAS'!AK20,119&lt;'EDT Y TAREAS'!AL20),'EDT Y TAREAS'!AI20/'EDT Y TAREAS'!M20,0),IF(AND(119&gt;='EDT Y TAREAS'!AK25,119&lt;'EDT Y TAREAS'!AL25),'EDT Y TAREAS'!AI25/'EDT Y TAREAS'!M25,0),IF(AND(119&gt;='EDT Y TAREAS'!AK33,119&lt;'EDT Y TAREAS'!AL33),'EDT Y TAREAS'!AI33/'EDT Y TAREAS'!M33,0),IF(AND(119&gt;='EDT Y TAREAS'!AK34,119&lt;'EDT Y TAREAS'!AL34),'EDT Y TAREAS'!AI34/'EDT Y TAREAS'!M34,0),IF(AND(119&gt;='EDT Y TAREAS'!AK36,119&lt;'EDT Y TAREAS'!AL36),'EDT Y TAREAS'!AI36/'EDT Y TAREAS'!M36,0),IF(AND(119&gt;='EDT Y TAREAS'!AK39,119&lt;'EDT Y TAREAS'!AL39),'EDT Y TAREAS'!AI39/'EDT Y TAREAS'!M39,0),IF(AND(119&gt;='EDT Y TAREAS'!AK40,119&lt;'EDT Y TAREAS'!AL40),'EDT Y TAREAS'!AI40/'EDT Y TAREAS'!M40,0),IF(AND(119&gt;='EDT Y TAREAS'!AK42,119&lt;'EDT Y TAREAS'!AL42),'EDT Y TAREAS'!AI42/'EDT Y TAREAS'!M42,0),IF(AND(119&gt;='EDT Y TAREAS'!AK43,119&lt;'EDT Y TAREAS'!AL43),'EDT Y TAREAS'!AI43/'EDT Y TAREAS'!M43,0),IF(AND(119&gt;='EDT Y TAREAS'!AK44,119&lt;'EDT Y TAREAS'!AL44),'EDT Y TAREAS'!AI44/'EDT Y TAREAS'!M44,0),IF(AND(119&gt;='EDT Y TAREAS'!AK45,119&lt;'EDT Y TAREAS'!AL45),'EDT Y TAREAS'!AI45/'EDT Y TAREAS'!M45,0),IF(AND(119&gt;='EDT Y TAREAS'!AK46,119&lt;'EDT Y TAREAS'!AL46),'EDT Y TAREAS'!AI46/'EDT Y TAREAS'!M46,0),IF(AND(119&gt;='EDT Y TAREAS'!AK48,119&lt;'EDT Y TAREAS'!AL48),'EDT Y TAREAS'!AI48/'EDT Y TAREAS'!M48,0),IF(AND(119&gt;='EDT Y TAREAS'!AK50,119&lt;'EDT Y TAREAS'!AL50),'EDT Y TAREAS'!AI50/'EDT Y TAREAS'!M50,0),IF(AND(119&gt;='EDT Y TAREAS'!AK52,119&lt;'EDT Y TAREAS'!AL52),'EDT Y TAREAS'!AI52/'EDT Y TAREAS'!M52,0))</x:f>
        <x:v>2.4</x:v>
      </x:c>
      <x:c r="H159" s="35" t="n">
        <x:f>SUM(IF(AND(119&gt;='EDT Y TAREAS'!AK11,119&lt;'EDT Y TAREAS'!AL11),'EDT Y TAREAS'!AJ11/'EDT Y TAREAS'!M11,0),IF(AND(119&gt;='EDT Y TAREAS'!AK24,119&lt;'EDT Y TAREAS'!AL24),'EDT Y TAREAS'!AJ24/'EDT Y TAREAS'!M24,0),IF(AND(119&gt;='EDT Y TAREAS'!AK27,119&lt;'EDT Y TAREAS'!AL27),'EDT Y TAREAS'!AJ27/'EDT Y TAREAS'!M27,0),IF(AND(119&gt;='EDT Y TAREAS'!AK28,119&lt;'EDT Y TAREAS'!AL28),'EDT Y TAREAS'!AJ28/'EDT Y TAREAS'!M28,0),IF(AND(119&gt;='EDT Y TAREAS'!AK33,119&lt;'EDT Y TAREAS'!AL33),'EDT Y TAREAS'!AJ33/'EDT Y TAREAS'!M33,0),IF(AND(119&gt;='EDT Y TAREAS'!AK35,119&lt;'EDT Y TAREAS'!AL35),'EDT Y TAREAS'!AJ35/'EDT Y TAREAS'!M35,0),IF(AND(119&gt;='EDT Y TAREAS'!AK36,119&lt;'EDT Y TAREAS'!AL36),'EDT Y TAREAS'!AJ36/'EDT Y TAREAS'!M36,0),IF(AND(119&gt;='EDT Y TAREAS'!AK37,119&lt;'EDT Y TAREAS'!AL37),'EDT Y TAREAS'!AJ37/'EDT Y TAREAS'!M37,0),IF(AND(119&gt;='EDT Y TAREAS'!AK40,119&lt;'EDT Y TAREAS'!AL40),'EDT Y TAREAS'!AJ40/'EDT Y TAREAS'!M40,0),IF(AND(119&gt;='EDT Y TAREAS'!AK42,119&lt;'EDT Y TAREAS'!AL42),'EDT Y TAREAS'!AJ42/'EDT Y TAREAS'!M42,0),IF(AND(119&gt;='EDT Y TAREAS'!AK49,119&lt;'EDT Y TAREAS'!AL49),'EDT Y TAREAS'!AJ49/'EDT Y TAREAS'!M49,0),IF(AND(119&gt;='EDT Y TAREAS'!AK50,119&lt;'EDT Y TAREAS'!AL50),'EDT Y TAREAS'!AJ50/'EDT Y TAREAS'!M50,0),IF(AND(119&gt;='EDT Y TAREAS'!AK51,119&lt;'EDT Y TAREAS'!AL51),'EDT Y TAREAS'!AJ51/'EDT Y TAREAS'!M51,0),IF(AND(119&gt;='EDT Y TAREAS'!AK52,119&lt;'EDT Y TAREAS'!AL52),'EDT Y TAREAS'!AJ52/'EDT Y TAREAS'!M52,0))</x:f>
        <x:v>0</x:v>
      </x:c>
      <x:c r="I159" s="10" t="n">
        <x:f>WORKDAY('RESUMEN'!$D$3-1,A159,'RESUMEN'!$J$6:$J$25)</x:f>
        <x:v>46493</x:v>
      </x:c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  <x:c r="AO159" s="3"/>
    </x:row>
    <x:row r="160" ht="24" customHeight="1">
      <x:c r="A160" s="3" t="n">
        <x:v>121</x:v>
      </x:c>
      <x:c r="B160" s="35" t="n">
        <x:f>SUM(IF(AND(120&gt;='EDT Y TAREAS'!AK6,120&lt;'EDT Y TAREAS'!AL6),'EDT Y TAREAS'!AD6/'EDT Y TAREAS'!M6,0),IF(AND(120&gt;='EDT Y TAREAS'!AK7,120&lt;'EDT Y TAREAS'!AL7),'EDT Y TAREAS'!AD7/'EDT Y TAREAS'!M7,0),IF(AND(120&gt;='EDT Y TAREAS'!AK8,120&lt;'EDT Y TAREAS'!AL8),'EDT Y TAREAS'!AD8/'EDT Y TAREAS'!M8,0),IF(AND(120&gt;='EDT Y TAREAS'!AK9,120&lt;'EDT Y TAREAS'!AL9),'EDT Y TAREAS'!AD9/'EDT Y TAREAS'!M9,0),IF(AND(120&gt;='EDT Y TAREAS'!AK10,120&lt;'EDT Y TAREAS'!AL10),'EDT Y TAREAS'!AD10/'EDT Y TAREAS'!M10,0),IF(AND(120&gt;='EDT Y TAREAS'!AK11,120&lt;'EDT Y TAREAS'!AL11),'EDT Y TAREAS'!AD11/'EDT Y TAREAS'!M11,0),IF(AND(120&gt;='EDT Y TAREAS'!AK12,120&lt;'EDT Y TAREAS'!AL12),'EDT Y TAREAS'!AD12/'EDT Y TAREAS'!M12,0),IF(AND(120&gt;='EDT Y TAREAS'!AK13,120&lt;'EDT Y TAREAS'!AL13),'EDT Y TAREAS'!AD13/'EDT Y TAREAS'!M13,0),IF(AND(120&gt;='EDT Y TAREAS'!AK14,120&lt;'EDT Y TAREAS'!AL14),'EDT Y TAREAS'!AD14/'EDT Y TAREAS'!M14,0),IF(AND(120&gt;='EDT Y TAREAS'!AK15,120&lt;'EDT Y TAREAS'!AL15),'EDT Y TAREAS'!AD15/'EDT Y TAREAS'!M15,0),IF(AND(120&gt;='EDT Y TAREAS'!AK16,120&lt;'EDT Y TAREAS'!AL16),'EDT Y TAREAS'!AD16/'EDT Y TAREAS'!M16,0),IF(AND(120&gt;='EDT Y TAREAS'!AK17,120&lt;'EDT Y TAREAS'!AL17),'EDT Y TAREAS'!AD17/'EDT Y TAREAS'!M17,0),IF(AND(120&gt;='EDT Y TAREAS'!AK18,120&lt;'EDT Y TAREAS'!AL18),'EDT Y TAREAS'!AD18/'EDT Y TAREAS'!M18,0),IF(AND(120&gt;='EDT Y TAREAS'!AK19,120&lt;'EDT Y TAREAS'!AL19),'EDT Y TAREAS'!AD19/'EDT Y TAREAS'!M19,0),IF(AND(120&gt;='EDT Y TAREAS'!AK20,120&lt;'EDT Y TAREAS'!AL20),'EDT Y TAREAS'!AD20/'EDT Y TAREAS'!M20,0),IF(AND(120&gt;='EDT Y TAREAS'!AK21,120&lt;'EDT Y TAREAS'!AL21),'EDT Y TAREAS'!AD21/'EDT Y TAREAS'!M21,0),IF(AND(120&gt;='EDT Y TAREAS'!AK22,120&lt;'EDT Y TAREAS'!AL22),'EDT Y TAREAS'!AD22/'EDT Y TAREAS'!M22,0),IF(AND(120&gt;='EDT Y TAREAS'!AK23,120&lt;'EDT Y TAREAS'!AL23),'EDT Y TAREAS'!AD23/'EDT Y TAREAS'!M23,0),IF(AND(120&gt;='EDT Y TAREAS'!AK26,120&lt;'EDT Y TAREAS'!AL26),'EDT Y TAREAS'!AD26/'EDT Y TAREAS'!M26,0),IF(AND(120&gt;='EDT Y TAREAS'!AK28,120&lt;'EDT Y TAREAS'!AL28),'EDT Y TAREAS'!AD28/'EDT Y TAREAS'!M28,0),IF(AND(120&gt;='EDT Y TAREAS'!AK30,120&lt;'EDT Y TAREAS'!AL30),'EDT Y TAREAS'!AD30/'EDT Y TAREAS'!M30,0),IF(AND(120&gt;='EDT Y TAREAS'!AK32,120&lt;'EDT Y TAREAS'!AL32),'EDT Y TAREAS'!AD32/'EDT Y TAREAS'!M32,0),IF(AND(120&gt;='EDT Y TAREAS'!AK34,120&lt;'EDT Y TAREAS'!AL34),'EDT Y TAREAS'!AD34/'EDT Y TAREAS'!M34,0),IF(AND(120&gt;='EDT Y TAREAS'!AK38,120&lt;'EDT Y TAREAS'!AL38),'EDT Y TAREAS'!AD38/'EDT Y TAREAS'!M38,0),IF(AND(120&gt;='EDT Y TAREAS'!AK39,120&lt;'EDT Y TAREAS'!AL39),'EDT Y TAREAS'!AD39/'EDT Y TAREAS'!M39,0),IF(AND(120&gt;='EDT Y TAREAS'!AK43,120&lt;'EDT Y TAREAS'!AL43),'EDT Y TAREAS'!AD43/'EDT Y TAREAS'!M43,0),IF(AND(120&gt;='EDT Y TAREAS'!AK44,120&lt;'EDT Y TAREAS'!AL44),'EDT Y TAREAS'!AD44/'EDT Y TAREAS'!M44,0),IF(AND(120&gt;='EDT Y TAREAS'!AK45,120&lt;'EDT Y TAREAS'!AL45),'EDT Y TAREAS'!AD45/'EDT Y TAREAS'!M45,0),IF(AND(120&gt;='EDT Y TAREAS'!AK46,120&lt;'EDT Y TAREAS'!AL46),'EDT Y TAREAS'!AD46/'EDT Y TAREAS'!M46,0),IF(AND(120&gt;='EDT Y TAREAS'!AK47,120&lt;'EDT Y TAREAS'!AL47),'EDT Y TAREAS'!AD47/'EDT Y TAREAS'!M47,0),IF(AND(120&gt;='EDT Y TAREAS'!AK49,120&lt;'EDT Y TAREAS'!AL49),'EDT Y TAREAS'!AD49/'EDT Y TAREAS'!M49,0),IF(AND(120&gt;='EDT Y TAREAS'!AK50,120&lt;'EDT Y TAREAS'!AL50),'EDT Y TAREAS'!AD50/'EDT Y TAREAS'!M50,0),IF(AND(120&gt;='EDT Y TAREAS'!AK51,120&lt;'EDT Y TAREAS'!AL51),'EDT Y TAREAS'!AD51/'EDT Y TAREAS'!M51,0),IF(AND(120&gt;='EDT Y TAREAS'!AK52,120&lt;'EDT Y TAREAS'!AL52),'EDT Y TAREAS'!AD52/'EDT Y TAREAS'!M52,0))</x:f>
        <x:v>4.8</x:v>
      </x:c>
      <x:c r="C160" s="35" t="n">
        <x:f>SUM(IF(AND(120&gt;='EDT Y TAREAS'!AK6,120&lt;'EDT Y TAREAS'!AL6),'EDT Y TAREAS'!AE6/'EDT Y TAREAS'!M6,0),IF(AND(120&gt;='EDT Y TAREAS'!AK8,120&lt;'EDT Y TAREAS'!AL8),'EDT Y TAREAS'!AE8/'EDT Y TAREAS'!M8,0),IF(AND(120&gt;='EDT Y TAREAS'!AK9,120&lt;'EDT Y TAREAS'!AL9),'EDT Y TAREAS'!AE9/'EDT Y TAREAS'!M9,0),IF(AND(120&gt;='EDT Y TAREAS'!AK10,120&lt;'EDT Y TAREAS'!AL10),'EDT Y TAREAS'!AE10/'EDT Y TAREAS'!M10,0),IF(AND(120&gt;='EDT Y TAREAS'!AK12,120&lt;'EDT Y TAREAS'!AL12),'EDT Y TAREAS'!AE12/'EDT Y TAREAS'!M12,0),IF(AND(120&gt;='EDT Y TAREAS'!AK16,120&lt;'EDT Y TAREAS'!AL16),'EDT Y TAREAS'!AE16/'EDT Y TAREAS'!M16,0),IF(AND(120&gt;='EDT Y TAREAS'!AK21,120&lt;'EDT Y TAREAS'!AL21),'EDT Y TAREAS'!AE21/'EDT Y TAREAS'!M21,0),IF(AND(120&gt;='EDT Y TAREAS'!AK23,120&lt;'EDT Y TAREAS'!AL23),'EDT Y TAREAS'!AE23/'EDT Y TAREAS'!M23,0),IF(AND(120&gt;='EDT Y TAREAS'!AK37,120&lt;'EDT Y TAREAS'!AL37),'EDT Y TAREAS'!AE37/'EDT Y TAREAS'!M37,0),IF(AND(120&gt;='EDT Y TAREAS'!AK38,120&lt;'EDT Y TAREAS'!AL38),'EDT Y TAREAS'!AE38/'EDT Y TAREAS'!M38,0),IF(AND(120&gt;='EDT Y TAREAS'!AK41,120&lt;'EDT Y TAREAS'!AL41),'EDT Y TAREAS'!AE41/'EDT Y TAREAS'!M41,0),IF(AND(120&gt;='EDT Y TAREAS'!AK43,120&lt;'EDT Y TAREAS'!AL43),'EDT Y TAREAS'!AE43/'EDT Y TAREAS'!M43,0),IF(AND(120&gt;='EDT Y TAREAS'!AK44,120&lt;'EDT Y TAREAS'!AL44),'EDT Y TAREAS'!AE44/'EDT Y TAREAS'!M44,0),IF(AND(120&gt;='EDT Y TAREAS'!AK46,120&lt;'EDT Y TAREAS'!AL46),'EDT Y TAREAS'!AE46/'EDT Y TAREAS'!M46,0),IF(AND(120&gt;='EDT Y TAREAS'!AK47,120&lt;'EDT Y TAREAS'!AL47),'EDT Y TAREAS'!AE47/'EDT Y TAREAS'!M47,0),IF(AND(120&gt;='EDT Y TAREAS'!AK51,120&lt;'EDT Y TAREAS'!AL51),'EDT Y TAREAS'!AE51/'EDT Y TAREAS'!M51,0),IF(AND(120&gt;='EDT Y TAREAS'!AK52,120&lt;'EDT Y TAREAS'!AL52),'EDT Y TAREAS'!AE52/'EDT Y TAREAS'!M52,0))</x:f>
        <x:v>1.6</x:v>
      </x:c>
      <x:c r="D160" s="35" t="n">
        <x:f>SUM(IF(AND(120&gt;='EDT Y TAREAS'!AK11,120&lt;'EDT Y TAREAS'!AL11),'EDT Y TAREAS'!AF11/'EDT Y TAREAS'!M11,0),IF(AND(120&gt;='EDT Y TAREAS'!AK24,120&lt;'EDT Y TAREAS'!AL24),'EDT Y TAREAS'!AF24/'EDT Y TAREAS'!M24,0),IF(AND(120&gt;='EDT Y TAREAS'!AK25,120&lt;'EDT Y TAREAS'!AL25),'EDT Y TAREAS'!AF25/'EDT Y TAREAS'!M25,0),IF(AND(120&gt;='EDT Y TAREAS'!AK26,120&lt;'EDT Y TAREAS'!AL26),'EDT Y TAREAS'!AF26/'EDT Y TAREAS'!M26,0),IF(AND(120&gt;='EDT Y TAREAS'!AK27,120&lt;'EDT Y TAREAS'!AL27),'EDT Y TAREAS'!AF27/'EDT Y TAREAS'!M27,0),IF(AND(120&gt;='EDT Y TAREAS'!AK28,120&lt;'EDT Y TAREAS'!AL28),'EDT Y TAREAS'!AF28/'EDT Y TAREAS'!M28,0),IF(AND(120&gt;='EDT Y TAREAS'!AK31,120&lt;'EDT Y TAREAS'!AL31),'EDT Y TAREAS'!AF31/'EDT Y TAREAS'!M31,0),IF(AND(120&gt;='EDT Y TAREAS'!AK33,120&lt;'EDT Y TAREAS'!AL33),'EDT Y TAREAS'!AF33/'EDT Y TAREAS'!M33,0),IF(AND(120&gt;='EDT Y TAREAS'!AK34,120&lt;'EDT Y TAREAS'!AL34),'EDT Y TAREAS'!AF34/'EDT Y TAREAS'!M34,0),IF(AND(120&gt;='EDT Y TAREAS'!AK35,120&lt;'EDT Y TAREAS'!AL35),'EDT Y TAREAS'!AF35/'EDT Y TAREAS'!M35,0),IF(AND(120&gt;='EDT Y TAREAS'!AK37,120&lt;'EDT Y TAREAS'!AL37),'EDT Y TAREAS'!AF37/'EDT Y TAREAS'!M37,0),IF(AND(120&gt;='EDT Y TAREAS'!AK39,120&lt;'EDT Y TAREAS'!AL39),'EDT Y TAREAS'!AF39/'EDT Y TAREAS'!M39,0),IF(AND(120&gt;='EDT Y TAREAS'!AK40,120&lt;'EDT Y TAREAS'!AL40),'EDT Y TAREAS'!AF40/'EDT Y TAREAS'!M40,0),IF(AND(120&gt;='EDT Y TAREAS'!AK42,120&lt;'EDT Y TAREAS'!AL42),'EDT Y TAREAS'!AF42/'EDT Y TAREAS'!M42,0),IF(AND(120&gt;='EDT Y TAREAS'!AK45,120&lt;'EDT Y TAREAS'!AL45),'EDT Y TAREAS'!AF45/'EDT Y TAREAS'!M45,0),IF(AND(120&gt;='EDT Y TAREAS'!AK49,120&lt;'EDT Y TAREAS'!AL49),'EDT Y TAREAS'!AF49/'EDT Y TAREAS'!M49,0),IF(AND(120&gt;='EDT Y TAREAS'!AK52,120&lt;'EDT Y TAREAS'!AL52),'EDT Y TAREAS'!AF52/'EDT Y TAREAS'!M52,0))</x:f>
        <x:v>0</x:v>
      </x:c>
      <x:c r="E160" s="35" t="n">
        <x:f>SUM(IF(AND(120&gt;='EDT Y TAREAS'!AK29,120&lt;'EDT Y TAREAS'!AL29),'EDT Y TAREAS'!AG29/'EDT Y TAREAS'!M29,0),IF(AND(120&gt;='EDT Y TAREAS'!AK30,120&lt;'EDT Y TAREAS'!AL30),'EDT Y TAREAS'!AG30/'EDT Y TAREAS'!M30,0),IF(AND(120&gt;='EDT Y TAREAS'!AK31,120&lt;'EDT Y TAREAS'!AL31),'EDT Y TAREAS'!AG31/'EDT Y TAREAS'!M31,0),IF(AND(120&gt;='EDT Y TAREAS'!AK32,120&lt;'EDT Y TAREAS'!AL32),'EDT Y TAREAS'!AG32/'EDT Y TAREAS'!M32,0),IF(AND(120&gt;='EDT Y TAREAS'!AK41,120&lt;'EDT Y TAREAS'!AL41),'EDT Y TAREAS'!AG41/'EDT Y TAREAS'!M41,0),IF(AND(120&gt;='EDT Y TAREAS'!AK45,120&lt;'EDT Y TAREAS'!AL45),'EDT Y TAREAS'!AG45/'EDT Y TAREAS'!M45,0),IF(AND(120&gt;='EDT Y TAREAS'!AK48,120&lt;'EDT Y TAREAS'!AL48),'EDT Y TAREAS'!AG48/'EDT Y TAREAS'!M48,0))</x:f>
        <x:v>0</x:v>
      </x:c>
      <x:c r="F160" s="35" t="n">
        <x:f>SUM(IF(AND(120&gt;='EDT Y TAREAS'!AK10,120&lt;'EDT Y TAREAS'!AL10),'EDT Y TAREAS'!AH10/'EDT Y TAREAS'!M10,0),IF(AND(120&gt;='EDT Y TAREAS'!AK12,120&lt;'EDT Y TAREAS'!AL12),'EDT Y TAREAS'!AH12/'EDT Y TAREAS'!M12,0),IF(AND(120&gt;='EDT Y TAREAS'!AK22,120&lt;'EDT Y TAREAS'!AL22),'EDT Y TAREAS'!AH22/'EDT Y TAREAS'!M22,0),IF(AND(120&gt;='EDT Y TAREAS'!AK23,120&lt;'EDT Y TAREAS'!AL23),'EDT Y TAREAS'!AH23/'EDT Y TAREAS'!M23,0),IF(AND(120&gt;='EDT Y TAREAS'!AK29,120&lt;'EDT Y TAREAS'!AL29),'EDT Y TAREAS'!AH29/'EDT Y TAREAS'!M29,0),IF(AND(120&gt;='EDT Y TAREAS'!AK30,120&lt;'EDT Y TAREAS'!AL30),'EDT Y TAREAS'!AH30/'EDT Y TAREAS'!M30,0),IF(AND(120&gt;='EDT Y TAREAS'!AK32,120&lt;'EDT Y TAREAS'!AL32),'EDT Y TAREAS'!AH32/'EDT Y TAREAS'!M32,0),IF(AND(120&gt;='EDT Y TAREAS'!AK41,120&lt;'EDT Y TAREAS'!AL41),'EDT Y TAREAS'!AH41/'EDT Y TAREAS'!M41,0),IF(AND(120&gt;='EDT Y TAREAS'!AK44,120&lt;'EDT Y TAREAS'!AL44),'EDT Y TAREAS'!AH44/'EDT Y TAREAS'!M44,0),IF(AND(120&gt;='EDT Y TAREAS'!AK46,120&lt;'EDT Y TAREAS'!AL46),'EDT Y TAREAS'!AH46/'EDT Y TAREAS'!M46,0),IF(AND(120&gt;='EDT Y TAREAS'!AK48,120&lt;'EDT Y TAREAS'!AL48),'EDT Y TAREAS'!AH48/'EDT Y TAREAS'!M48,0))</x:f>
        <x:v>2.4</x:v>
      </x:c>
      <x:c r="G160" s="35" t="n">
        <x:f>SUM(IF(AND(120&gt;='EDT Y TAREAS'!AK20,120&lt;'EDT Y TAREAS'!AL20),'EDT Y TAREAS'!AI20/'EDT Y TAREAS'!M20,0),IF(AND(120&gt;='EDT Y TAREAS'!AK25,120&lt;'EDT Y TAREAS'!AL25),'EDT Y TAREAS'!AI25/'EDT Y TAREAS'!M25,0),IF(AND(120&gt;='EDT Y TAREAS'!AK33,120&lt;'EDT Y TAREAS'!AL33),'EDT Y TAREAS'!AI33/'EDT Y TAREAS'!M33,0),IF(AND(120&gt;='EDT Y TAREAS'!AK34,120&lt;'EDT Y TAREAS'!AL34),'EDT Y TAREAS'!AI34/'EDT Y TAREAS'!M34,0),IF(AND(120&gt;='EDT Y TAREAS'!AK36,120&lt;'EDT Y TAREAS'!AL36),'EDT Y TAREAS'!AI36/'EDT Y TAREAS'!M36,0),IF(AND(120&gt;='EDT Y TAREAS'!AK39,120&lt;'EDT Y TAREAS'!AL39),'EDT Y TAREAS'!AI39/'EDT Y TAREAS'!M39,0),IF(AND(120&gt;='EDT Y TAREAS'!AK40,120&lt;'EDT Y TAREAS'!AL40),'EDT Y TAREAS'!AI40/'EDT Y TAREAS'!M40,0),IF(AND(120&gt;='EDT Y TAREAS'!AK42,120&lt;'EDT Y TAREAS'!AL42),'EDT Y TAREAS'!AI42/'EDT Y TAREAS'!M42,0),IF(AND(120&gt;='EDT Y TAREAS'!AK43,120&lt;'EDT Y TAREAS'!AL43),'EDT Y TAREAS'!AI43/'EDT Y TAREAS'!M43,0),IF(AND(120&gt;='EDT Y TAREAS'!AK44,120&lt;'EDT Y TAREAS'!AL44),'EDT Y TAREAS'!AI44/'EDT Y TAREAS'!M44,0),IF(AND(120&gt;='EDT Y TAREAS'!AK45,120&lt;'EDT Y TAREAS'!AL45),'EDT Y TAREAS'!AI45/'EDT Y TAREAS'!M45,0),IF(AND(120&gt;='EDT Y TAREAS'!AK46,120&lt;'EDT Y TAREAS'!AL46),'EDT Y TAREAS'!AI46/'EDT Y TAREAS'!M46,0),IF(AND(120&gt;='EDT Y TAREAS'!AK48,120&lt;'EDT Y TAREAS'!AL48),'EDT Y TAREAS'!AI48/'EDT Y TAREAS'!M48,0),IF(AND(120&gt;='EDT Y TAREAS'!AK50,120&lt;'EDT Y TAREAS'!AL50),'EDT Y TAREAS'!AI50/'EDT Y TAREAS'!M50,0),IF(AND(120&gt;='EDT Y TAREAS'!AK52,120&lt;'EDT Y TAREAS'!AL52),'EDT Y TAREAS'!AI52/'EDT Y TAREAS'!M52,0))</x:f>
        <x:v>2.4</x:v>
      </x:c>
      <x:c r="H160" s="35" t="n">
        <x:f>SUM(IF(AND(120&gt;='EDT Y TAREAS'!AK11,120&lt;'EDT Y TAREAS'!AL11),'EDT Y TAREAS'!AJ11/'EDT Y TAREAS'!M11,0),IF(AND(120&gt;='EDT Y TAREAS'!AK24,120&lt;'EDT Y TAREAS'!AL24),'EDT Y TAREAS'!AJ24/'EDT Y TAREAS'!M24,0),IF(AND(120&gt;='EDT Y TAREAS'!AK27,120&lt;'EDT Y TAREAS'!AL27),'EDT Y TAREAS'!AJ27/'EDT Y TAREAS'!M27,0),IF(AND(120&gt;='EDT Y TAREAS'!AK28,120&lt;'EDT Y TAREAS'!AL28),'EDT Y TAREAS'!AJ28/'EDT Y TAREAS'!M28,0),IF(AND(120&gt;='EDT Y TAREAS'!AK33,120&lt;'EDT Y TAREAS'!AL33),'EDT Y TAREAS'!AJ33/'EDT Y TAREAS'!M33,0),IF(AND(120&gt;='EDT Y TAREAS'!AK35,120&lt;'EDT Y TAREAS'!AL35),'EDT Y TAREAS'!AJ35/'EDT Y TAREAS'!M35,0),IF(AND(120&gt;='EDT Y TAREAS'!AK36,120&lt;'EDT Y TAREAS'!AL36),'EDT Y TAREAS'!AJ36/'EDT Y TAREAS'!M36,0),IF(AND(120&gt;='EDT Y TAREAS'!AK37,120&lt;'EDT Y TAREAS'!AL37),'EDT Y TAREAS'!AJ37/'EDT Y TAREAS'!M37,0),IF(AND(120&gt;='EDT Y TAREAS'!AK40,120&lt;'EDT Y TAREAS'!AL40),'EDT Y TAREAS'!AJ40/'EDT Y TAREAS'!M40,0),IF(AND(120&gt;='EDT Y TAREAS'!AK42,120&lt;'EDT Y TAREAS'!AL42),'EDT Y TAREAS'!AJ42/'EDT Y TAREAS'!M42,0),IF(AND(120&gt;='EDT Y TAREAS'!AK49,120&lt;'EDT Y TAREAS'!AL49),'EDT Y TAREAS'!AJ49/'EDT Y TAREAS'!M49,0),IF(AND(120&gt;='EDT Y TAREAS'!AK50,120&lt;'EDT Y TAREAS'!AL50),'EDT Y TAREAS'!AJ50/'EDT Y TAREAS'!M50,0),IF(AND(120&gt;='EDT Y TAREAS'!AK51,120&lt;'EDT Y TAREAS'!AL51),'EDT Y TAREAS'!AJ51/'EDT Y TAREAS'!M51,0),IF(AND(120&gt;='EDT Y TAREAS'!AK52,120&lt;'EDT Y TAREAS'!AL52),'EDT Y TAREAS'!AJ52/'EDT Y TAREAS'!M52,0))</x:f>
        <x:v>0</x:v>
      </x:c>
      <x:c r="I160" s="10" t="n">
        <x:f>WORKDAY('RESUMEN'!$D$3-1,A160,'RESUMEN'!$J$6:$J$25)</x:f>
        <x:v>46496</x:v>
      </x:c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  <x:c r="AL160" s="3"/>
      <x:c r="AM160" s="3"/>
      <x:c r="AN160" s="3"/>
      <x:c r="AO160" s="3"/>
    </x:row>
    <x:row r="161" ht="24" customHeight="1">
      <x:c r="A161" s="3" t="n">
        <x:v>122</x:v>
      </x:c>
      <x:c r="B161" s="35" t="n">
        <x:f>SUM(IF(AND(121&gt;='EDT Y TAREAS'!AK6,121&lt;'EDT Y TAREAS'!AL6),'EDT Y TAREAS'!AD6/'EDT Y TAREAS'!M6,0),IF(AND(121&gt;='EDT Y TAREAS'!AK7,121&lt;'EDT Y TAREAS'!AL7),'EDT Y TAREAS'!AD7/'EDT Y TAREAS'!M7,0),IF(AND(121&gt;='EDT Y TAREAS'!AK8,121&lt;'EDT Y TAREAS'!AL8),'EDT Y TAREAS'!AD8/'EDT Y TAREAS'!M8,0),IF(AND(121&gt;='EDT Y TAREAS'!AK9,121&lt;'EDT Y TAREAS'!AL9),'EDT Y TAREAS'!AD9/'EDT Y TAREAS'!M9,0),IF(AND(121&gt;='EDT Y TAREAS'!AK10,121&lt;'EDT Y TAREAS'!AL10),'EDT Y TAREAS'!AD10/'EDT Y TAREAS'!M10,0),IF(AND(121&gt;='EDT Y TAREAS'!AK11,121&lt;'EDT Y TAREAS'!AL11),'EDT Y TAREAS'!AD11/'EDT Y TAREAS'!M11,0),IF(AND(121&gt;='EDT Y TAREAS'!AK12,121&lt;'EDT Y TAREAS'!AL12),'EDT Y TAREAS'!AD12/'EDT Y TAREAS'!M12,0),IF(AND(121&gt;='EDT Y TAREAS'!AK13,121&lt;'EDT Y TAREAS'!AL13),'EDT Y TAREAS'!AD13/'EDT Y TAREAS'!M13,0),IF(AND(121&gt;='EDT Y TAREAS'!AK14,121&lt;'EDT Y TAREAS'!AL14),'EDT Y TAREAS'!AD14/'EDT Y TAREAS'!M14,0),IF(AND(121&gt;='EDT Y TAREAS'!AK15,121&lt;'EDT Y TAREAS'!AL15),'EDT Y TAREAS'!AD15/'EDT Y TAREAS'!M15,0),IF(AND(121&gt;='EDT Y TAREAS'!AK16,121&lt;'EDT Y TAREAS'!AL16),'EDT Y TAREAS'!AD16/'EDT Y TAREAS'!M16,0),IF(AND(121&gt;='EDT Y TAREAS'!AK17,121&lt;'EDT Y TAREAS'!AL17),'EDT Y TAREAS'!AD17/'EDT Y TAREAS'!M17,0),IF(AND(121&gt;='EDT Y TAREAS'!AK18,121&lt;'EDT Y TAREAS'!AL18),'EDT Y TAREAS'!AD18/'EDT Y TAREAS'!M18,0),IF(AND(121&gt;='EDT Y TAREAS'!AK19,121&lt;'EDT Y TAREAS'!AL19),'EDT Y TAREAS'!AD19/'EDT Y TAREAS'!M19,0),IF(AND(121&gt;='EDT Y TAREAS'!AK20,121&lt;'EDT Y TAREAS'!AL20),'EDT Y TAREAS'!AD20/'EDT Y TAREAS'!M20,0),IF(AND(121&gt;='EDT Y TAREAS'!AK21,121&lt;'EDT Y TAREAS'!AL21),'EDT Y TAREAS'!AD21/'EDT Y TAREAS'!M21,0),IF(AND(121&gt;='EDT Y TAREAS'!AK22,121&lt;'EDT Y TAREAS'!AL22),'EDT Y TAREAS'!AD22/'EDT Y TAREAS'!M22,0),IF(AND(121&gt;='EDT Y TAREAS'!AK23,121&lt;'EDT Y TAREAS'!AL23),'EDT Y TAREAS'!AD23/'EDT Y TAREAS'!M23,0),IF(AND(121&gt;='EDT Y TAREAS'!AK26,121&lt;'EDT Y TAREAS'!AL26),'EDT Y TAREAS'!AD26/'EDT Y TAREAS'!M26,0),IF(AND(121&gt;='EDT Y TAREAS'!AK28,121&lt;'EDT Y TAREAS'!AL28),'EDT Y TAREAS'!AD28/'EDT Y TAREAS'!M28,0),IF(AND(121&gt;='EDT Y TAREAS'!AK30,121&lt;'EDT Y TAREAS'!AL30),'EDT Y TAREAS'!AD30/'EDT Y TAREAS'!M30,0),IF(AND(121&gt;='EDT Y TAREAS'!AK32,121&lt;'EDT Y TAREAS'!AL32),'EDT Y TAREAS'!AD32/'EDT Y TAREAS'!M32,0),IF(AND(121&gt;='EDT Y TAREAS'!AK34,121&lt;'EDT Y TAREAS'!AL34),'EDT Y TAREAS'!AD34/'EDT Y TAREAS'!M34,0),IF(AND(121&gt;='EDT Y TAREAS'!AK38,121&lt;'EDT Y TAREAS'!AL38),'EDT Y TAREAS'!AD38/'EDT Y TAREAS'!M38,0),IF(AND(121&gt;='EDT Y TAREAS'!AK39,121&lt;'EDT Y TAREAS'!AL39),'EDT Y TAREAS'!AD39/'EDT Y TAREAS'!M39,0),IF(AND(121&gt;='EDT Y TAREAS'!AK43,121&lt;'EDT Y TAREAS'!AL43),'EDT Y TAREAS'!AD43/'EDT Y TAREAS'!M43,0),IF(AND(121&gt;='EDT Y TAREAS'!AK44,121&lt;'EDT Y TAREAS'!AL44),'EDT Y TAREAS'!AD44/'EDT Y TAREAS'!M44,0),IF(AND(121&gt;='EDT Y TAREAS'!AK45,121&lt;'EDT Y TAREAS'!AL45),'EDT Y TAREAS'!AD45/'EDT Y TAREAS'!M45,0),IF(AND(121&gt;='EDT Y TAREAS'!AK46,121&lt;'EDT Y TAREAS'!AL46),'EDT Y TAREAS'!AD46/'EDT Y TAREAS'!M46,0),IF(AND(121&gt;='EDT Y TAREAS'!AK47,121&lt;'EDT Y TAREAS'!AL47),'EDT Y TAREAS'!AD47/'EDT Y TAREAS'!M47,0),IF(AND(121&gt;='EDT Y TAREAS'!AK49,121&lt;'EDT Y TAREAS'!AL49),'EDT Y TAREAS'!AD49/'EDT Y TAREAS'!M49,0),IF(AND(121&gt;='EDT Y TAREAS'!AK50,121&lt;'EDT Y TAREAS'!AL50),'EDT Y TAREAS'!AD50/'EDT Y TAREAS'!M50,0),IF(AND(121&gt;='EDT Y TAREAS'!AK51,121&lt;'EDT Y TAREAS'!AL51),'EDT Y TAREAS'!AD51/'EDT Y TAREAS'!M51,0),IF(AND(121&gt;='EDT Y TAREAS'!AK52,121&lt;'EDT Y TAREAS'!AL52),'EDT Y TAREAS'!AD52/'EDT Y TAREAS'!M52,0))</x:f>
        <x:v>3.2</x:v>
      </x:c>
      <x:c r="C161" s="35" t="n">
        <x:f>SUM(IF(AND(121&gt;='EDT Y TAREAS'!AK6,121&lt;'EDT Y TAREAS'!AL6),'EDT Y TAREAS'!AE6/'EDT Y TAREAS'!M6,0),IF(AND(121&gt;='EDT Y TAREAS'!AK8,121&lt;'EDT Y TAREAS'!AL8),'EDT Y TAREAS'!AE8/'EDT Y TAREAS'!M8,0),IF(AND(121&gt;='EDT Y TAREAS'!AK9,121&lt;'EDT Y TAREAS'!AL9),'EDT Y TAREAS'!AE9/'EDT Y TAREAS'!M9,0),IF(AND(121&gt;='EDT Y TAREAS'!AK10,121&lt;'EDT Y TAREAS'!AL10),'EDT Y TAREAS'!AE10/'EDT Y TAREAS'!M10,0),IF(AND(121&gt;='EDT Y TAREAS'!AK12,121&lt;'EDT Y TAREAS'!AL12),'EDT Y TAREAS'!AE12/'EDT Y TAREAS'!M12,0),IF(AND(121&gt;='EDT Y TAREAS'!AK16,121&lt;'EDT Y TAREAS'!AL16),'EDT Y TAREAS'!AE16/'EDT Y TAREAS'!M16,0),IF(AND(121&gt;='EDT Y TAREAS'!AK21,121&lt;'EDT Y TAREAS'!AL21),'EDT Y TAREAS'!AE21/'EDT Y TAREAS'!M21,0),IF(AND(121&gt;='EDT Y TAREAS'!AK23,121&lt;'EDT Y TAREAS'!AL23),'EDT Y TAREAS'!AE23/'EDT Y TAREAS'!M23,0),IF(AND(121&gt;='EDT Y TAREAS'!AK37,121&lt;'EDT Y TAREAS'!AL37),'EDT Y TAREAS'!AE37/'EDT Y TAREAS'!M37,0),IF(AND(121&gt;='EDT Y TAREAS'!AK38,121&lt;'EDT Y TAREAS'!AL38),'EDT Y TAREAS'!AE38/'EDT Y TAREAS'!M38,0),IF(AND(121&gt;='EDT Y TAREAS'!AK41,121&lt;'EDT Y TAREAS'!AL41),'EDT Y TAREAS'!AE41/'EDT Y TAREAS'!M41,0),IF(AND(121&gt;='EDT Y TAREAS'!AK43,121&lt;'EDT Y TAREAS'!AL43),'EDT Y TAREAS'!AE43/'EDT Y TAREAS'!M43,0),IF(AND(121&gt;='EDT Y TAREAS'!AK44,121&lt;'EDT Y TAREAS'!AL44),'EDT Y TAREAS'!AE44/'EDT Y TAREAS'!M44,0),IF(AND(121&gt;='EDT Y TAREAS'!AK46,121&lt;'EDT Y TAREAS'!AL46),'EDT Y TAREAS'!AE46/'EDT Y TAREAS'!M46,0),IF(AND(121&gt;='EDT Y TAREAS'!AK47,121&lt;'EDT Y TAREAS'!AL47),'EDT Y TAREAS'!AE47/'EDT Y TAREAS'!M47,0),IF(AND(121&gt;='EDT Y TAREAS'!AK51,121&lt;'EDT Y TAREAS'!AL51),'EDT Y TAREAS'!AE51/'EDT Y TAREAS'!M51,0),IF(AND(121&gt;='EDT Y TAREAS'!AK52,121&lt;'EDT Y TAREAS'!AL52),'EDT Y TAREAS'!AE52/'EDT Y TAREAS'!M52,0))</x:f>
        <x:v>1.6</x:v>
      </x:c>
      <x:c r="D161" s="35" t="n">
        <x:f>SUM(IF(AND(121&gt;='EDT Y TAREAS'!AK11,121&lt;'EDT Y TAREAS'!AL11),'EDT Y TAREAS'!AF11/'EDT Y TAREAS'!M11,0),IF(AND(121&gt;='EDT Y TAREAS'!AK24,121&lt;'EDT Y TAREAS'!AL24),'EDT Y TAREAS'!AF24/'EDT Y TAREAS'!M24,0),IF(AND(121&gt;='EDT Y TAREAS'!AK25,121&lt;'EDT Y TAREAS'!AL25),'EDT Y TAREAS'!AF25/'EDT Y TAREAS'!M25,0),IF(AND(121&gt;='EDT Y TAREAS'!AK26,121&lt;'EDT Y TAREAS'!AL26),'EDT Y TAREAS'!AF26/'EDT Y TAREAS'!M26,0),IF(AND(121&gt;='EDT Y TAREAS'!AK27,121&lt;'EDT Y TAREAS'!AL27),'EDT Y TAREAS'!AF27/'EDT Y TAREAS'!M27,0),IF(AND(121&gt;='EDT Y TAREAS'!AK28,121&lt;'EDT Y TAREAS'!AL28),'EDT Y TAREAS'!AF28/'EDT Y TAREAS'!M28,0),IF(AND(121&gt;='EDT Y TAREAS'!AK31,121&lt;'EDT Y TAREAS'!AL31),'EDT Y TAREAS'!AF31/'EDT Y TAREAS'!M31,0),IF(AND(121&gt;='EDT Y TAREAS'!AK33,121&lt;'EDT Y TAREAS'!AL33),'EDT Y TAREAS'!AF33/'EDT Y TAREAS'!M33,0),IF(AND(121&gt;='EDT Y TAREAS'!AK34,121&lt;'EDT Y TAREAS'!AL34),'EDT Y TAREAS'!AF34/'EDT Y TAREAS'!M34,0),IF(AND(121&gt;='EDT Y TAREAS'!AK35,121&lt;'EDT Y TAREAS'!AL35),'EDT Y TAREAS'!AF35/'EDT Y TAREAS'!M35,0),IF(AND(121&gt;='EDT Y TAREAS'!AK37,121&lt;'EDT Y TAREAS'!AL37),'EDT Y TAREAS'!AF37/'EDT Y TAREAS'!M37,0),IF(AND(121&gt;='EDT Y TAREAS'!AK39,121&lt;'EDT Y TAREAS'!AL39),'EDT Y TAREAS'!AF39/'EDT Y TAREAS'!M39,0),IF(AND(121&gt;='EDT Y TAREAS'!AK40,121&lt;'EDT Y TAREAS'!AL40),'EDT Y TAREAS'!AF40/'EDT Y TAREAS'!M40,0),IF(AND(121&gt;='EDT Y TAREAS'!AK42,121&lt;'EDT Y TAREAS'!AL42),'EDT Y TAREAS'!AF42/'EDT Y TAREAS'!M42,0),IF(AND(121&gt;='EDT Y TAREAS'!AK45,121&lt;'EDT Y TAREAS'!AL45),'EDT Y TAREAS'!AF45/'EDT Y TAREAS'!M45,0),IF(AND(121&gt;='EDT Y TAREAS'!AK49,121&lt;'EDT Y TAREAS'!AL49),'EDT Y TAREAS'!AF49/'EDT Y TAREAS'!M49,0),IF(AND(121&gt;='EDT Y TAREAS'!AK52,121&lt;'EDT Y TAREAS'!AL52),'EDT Y TAREAS'!AF52/'EDT Y TAREAS'!M52,0))</x:f>
        <x:v>3.2</x:v>
      </x:c>
      <x:c r="E161" s="35" t="n">
        <x:f>SUM(IF(AND(121&gt;='EDT Y TAREAS'!AK29,121&lt;'EDT Y TAREAS'!AL29),'EDT Y TAREAS'!AG29/'EDT Y TAREAS'!M29,0),IF(AND(121&gt;='EDT Y TAREAS'!AK30,121&lt;'EDT Y TAREAS'!AL30),'EDT Y TAREAS'!AG30/'EDT Y TAREAS'!M30,0),IF(AND(121&gt;='EDT Y TAREAS'!AK31,121&lt;'EDT Y TAREAS'!AL31),'EDT Y TAREAS'!AG31/'EDT Y TAREAS'!M31,0),IF(AND(121&gt;='EDT Y TAREAS'!AK32,121&lt;'EDT Y TAREAS'!AL32),'EDT Y TAREAS'!AG32/'EDT Y TAREAS'!M32,0),IF(AND(121&gt;='EDT Y TAREAS'!AK41,121&lt;'EDT Y TAREAS'!AL41),'EDT Y TAREAS'!AG41/'EDT Y TAREAS'!M41,0),IF(AND(121&gt;='EDT Y TAREAS'!AK45,121&lt;'EDT Y TAREAS'!AL45),'EDT Y TAREAS'!AG45/'EDT Y TAREAS'!M45,0),IF(AND(121&gt;='EDT Y TAREAS'!AK48,121&lt;'EDT Y TAREAS'!AL48),'EDT Y TAREAS'!AG48/'EDT Y TAREAS'!M48,0))</x:f>
        <x:v>3.2</x:v>
      </x:c>
      <x:c r="F161" s="35" t="n">
        <x:f>SUM(IF(AND(121&gt;='EDT Y TAREAS'!AK10,121&lt;'EDT Y TAREAS'!AL10),'EDT Y TAREAS'!AH10/'EDT Y TAREAS'!M10,0),IF(AND(121&gt;='EDT Y TAREAS'!AK12,121&lt;'EDT Y TAREAS'!AL12),'EDT Y TAREAS'!AH12/'EDT Y TAREAS'!M12,0),IF(AND(121&gt;='EDT Y TAREAS'!AK22,121&lt;'EDT Y TAREAS'!AL22),'EDT Y TAREAS'!AH22/'EDT Y TAREAS'!M22,0),IF(AND(121&gt;='EDT Y TAREAS'!AK23,121&lt;'EDT Y TAREAS'!AL23),'EDT Y TAREAS'!AH23/'EDT Y TAREAS'!M23,0),IF(AND(121&gt;='EDT Y TAREAS'!AK29,121&lt;'EDT Y TAREAS'!AL29),'EDT Y TAREAS'!AH29/'EDT Y TAREAS'!M29,0),IF(AND(121&gt;='EDT Y TAREAS'!AK30,121&lt;'EDT Y TAREAS'!AL30),'EDT Y TAREAS'!AH30/'EDT Y TAREAS'!M30,0),IF(AND(121&gt;='EDT Y TAREAS'!AK32,121&lt;'EDT Y TAREAS'!AL32),'EDT Y TAREAS'!AH32/'EDT Y TAREAS'!M32,0),IF(AND(121&gt;='EDT Y TAREAS'!AK41,121&lt;'EDT Y TAREAS'!AL41),'EDT Y TAREAS'!AH41/'EDT Y TAREAS'!M41,0),IF(AND(121&gt;='EDT Y TAREAS'!AK44,121&lt;'EDT Y TAREAS'!AL44),'EDT Y TAREAS'!AH44/'EDT Y TAREAS'!M44,0),IF(AND(121&gt;='EDT Y TAREAS'!AK46,121&lt;'EDT Y TAREAS'!AL46),'EDT Y TAREAS'!AH46/'EDT Y TAREAS'!M46,0),IF(AND(121&gt;='EDT Y TAREAS'!AK48,121&lt;'EDT Y TAREAS'!AL48),'EDT Y TAREAS'!AH48/'EDT Y TAREAS'!M48,0))</x:f>
        <x:v>0</x:v>
      </x:c>
      <x:c r="G161" s="35" t="n">
        <x:f>SUM(IF(AND(121&gt;='EDT Y TAREAS'!AK20,121&lt;'EDT Y TAREAS'!AL20),'EDT Y TAREAS'!AI20/'EDT Y TAREAS'!M20,0),IF(AND(121&gt;='EDT Y TAREAS'!AK25,121&lt;'EDT Y TAREAS'!AL25),'EDT Y TAREAS'!AI25/'EDT Y TAREAS'!M25,0),IF(AND(121&gt;='EDT Y TAREAS'!AK33,121&lt;'EDT Y TAREAS'!AL33),'EDT Y TAREAS'!AI33/'EDT Y TAREAS'!M33,0),IF(AND(121&gt;='EDT Y TAREAS'!AK34,121&lt;'EDT Y TAREAS'!AL34),'EDT Y TAREAS'!AI34/'EDT Y TAREAS'!M34,0),IF(AND(121&gt;='EDT Y TAREAS'!AK36,121&lt;'EDT Y TAREAS'!AL36),'EDT Y TAREAS'!AI36/'EDT Y TAREAS'!M36,0),IF(AND(121&gt;='EDT Y TAREAS'!AK39,121&lt;'EDT Y TAREAS'!AL39),'EDT Y TAREAS'!AI39/'EDT Y TAREAS'!M39,0),IF(AND(121&gt;='EDT Y TAREAS'!AK40,121&lt;'EDT Y TAREAS'!AL40),'EDT Y TAREAS'!AI40/'EDT Y TAREAS'!M40,0),IF(AND(121&gt;='EDT Y TAREAS'!AK42,121&lt;'EDT Y TAREAS'!AL42),'EDT Y TAREAS'!AI42/'EDT Y TAREAS'!M42,0),IF(AND(121&gt;='EDT Y TAREAS'!AK43,121&lt;'EDT Y TAREAS'!AL43),'EDT Y TAREAS'!AI43/'EDT Y TAREAS'!M43,0),IF(AND(121&gt;='EDT Y TAREAS'!AK44,121&lt;'EDT Y TAREAS'!AL44),'EDT Y TAREAS'!AI44/'EDT Y TAREAS'!M44,0),IF(AND(121&gt;='EDT Y TAREAS'!AK45,121&lt;'EDT Y TAREAS'!AL45),'EDT Y TAREAS'!AI45/'EDT Y TAREAS'!M45,0),IF(AND(121&gt;='EDT Y TAREAS'!AK46,121&lt;'EDT Y TAREAS'!AL46),'EDT Y TAREAS'!AI46/'EDT Y TAREAS'!M46,0),IF(AND(121&gt;='EDT Y TAREAS'!AK48,121&lt;'EDT Y TAREAS'!AL48),'EDT Y TAREAS'!AI48/'EDT Y TAREAS'!M48,0),IF(AND(121&gt;='EDT Y TAREAS'!AK50,121&lt;'EDT Y TAREAS'!AL50),'EDT Y TAREAS'!AI50/'EDT Y TAREAS'!M50,0),IF(AND(121&gt;='EDT Y TAREAS'!AK52,121&lt;'EDT Y TAREAS'!AL52),'EDT Y TAREAS'!AI52/'EDT Y TAREAS'!M52,0))</x:f>
        <x:v>2.4</x:v>
      </x:c>
      <x:c r="H161" s="35" t="n">
        <x:f>SUM(IF(AND(121&gt;='EDT Y TAREAS'!AK11,121&lt;'EDT Y TAREAS'!AL11),'EDT Y TAREAS'!AJ11/'EDT Y TAREAS'!M11,0),IF(AND(121&gt;='EDT Y TAREAS'!AK24,121&lt;'EDT Y TAREAS'!AL24),'EDT Y TAREAS'!AJ24/'EDT Y TAREAS'!M24,0),IF(AND(121&gt;='EDT Y TAREAS'!AK27,121&lt;'EDT Y TAREAS'!AL27),'EDT Y TAREAS'!AJ27/'EDT Y TAREAS'!M27,0),IF(AND(121&gt;='EDT Y TAREAS'!AK28,121&lt;'EDT Y TAREAS'!AL28),'EDT Y TAREAS'!AJ28/'EDT Y TAREAS'!M28,0),IF(AND(121&gt;='EDT Y TAREAS'!AK33,121&lt;'EDT Y TAREAS'!AL33),'EDT Y TAREAS'!AJ33/'EDT Y TAREAS'!M33,0),IF(AND(121&gt;='EDT Y TAREAS'!AK35,121&lt;'EDT Y TAREAS'!AL35),'EDT Y TAREAS'!AJ35/'EDT Y TAREAS'!M35,0),IF(AND(121&gt;='EDT Y TAREAS'!AK36,121&lt;'EDT Y TAREAS'!AL36),'EDT Y TAREAS'!AJ36/'EDT Y TAREAS'!M36,0),IF(AND(121&gt;='EDT Y TAREAS'!AK37,121&lt;'EDT Y TAREAS'!AL37),'EDT Y TAREAS'!AJ37/'EDT Y TAREAS'!M37,0),IF(AND(121&gt;='EDT Y TAREAS'!AK40,121&lt;'EDT Y TAREAS'!AL40),'EDT Y TAREAS'!AJ40/'EDT Y TAREAS'!M40,0),IF(AND(121&gt;='EDT Y TAREAS'!AK42,121&lt;'EDT Y TAREAS'!AL42),'EDT Y TAREAS'!AJ42/'EDT Y TAREAS'!M42,0),IF(AND(121&gt;='EDT Y TAREAS'!AK49,121&lt;'EDT Y TAREAS'!AL49),'EDT Y TAREAS'!AJ49/'EDT Y TAREAS'!M49,0),IF(AND(121&gt;='EDT Y TAREAS'!AK50,121&lt;'EDT Y TAREAS'!AL50),'EDT Y TAREAS'!AJ50/'EDT Y TAREAS'!M50,0),IF(AND(121&gt;='EDT Y TAREAS'!AK51,121&lt;'EDT Y TAREAS'!AL51),'EDT Y TAREAS'!AJ51/'EDT Y TAREAS'!M51,0),IF(AND(121&gt;='EDT Y TAREAS'!AK52,121&lt;'EDT Y TAREAS'!AL52),'EDT Y TAREAS'!AJ52/'EDT Y TAREAS'!M52,0))</x:f>
        <x:v>0</x:v>
      </x:c>
      <x:c r="I161" s="10" t="n">
        <x:f>WORKDAY('RESUMEN'!$D$3-1,A161,'RESUMEN'!$J$6:$J$25)</x:f>
        <x:v>46497</x:v>
      </x:c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  <x:c r="AC161" s="3"/>
      <x:c r="AD161" s="3"/>
      <x:c r="AE161" s="3"/>
      <x:c r="AF161" s="3"/>
      <x:c r="AG161" s="3"/>
      <x:c r="AH161" s="3"/>
      <x:c r="AI161" s="3"/>
      <x:c r="AJ161" s="3"/>
      <x:c r="AK161" s="3"/>
      <x:c r="AL161" s="3"/>
      <x:c r="AM161" s="3"/>
      <x:c r="AN161" s="3"/>
      <x:c r="AO161" s="3"/>
    </x:row>
    <x:row r="162" ht="24" customHeight="1">
      <x:c r="A162" s="3" t="n">
        <x:v>123</x:v>
      </x:c>
      <x:c r="B162" s="35" t="n">
        <x:f>SUM(IF(AND(122&gt;='EDT Y TAREAS'!AK6,122&lt;'EDT Y TAREAS'!AL6),'EDT Y TAREAS'!AD6/'EDT Y TAREAS'!M6,0),IF(AND(122&gt;='EDT Y TAREAS'!AK7,122&lt;'EDT Y TAREAS'!AL7),'EDT Y TAREAS'!AD7/'EDT Y TAREAS'!M7,0),IF(AND(122&gt;='EDT Y TAREAS'!AK8,122&lt;'EDT Y TAREAS'!AL8),'EDT Y TAREAS'!AD8/'EDT Y TAREAS'!M8,0),IF(AND(122&gt;='EDT Y TAREAS'!AK9,122&lt;'EDT Y TAREAS'!AL9),'EDT Y TAREAS'!AD9/'EDT Y TAREAS'!M9,0),IF(AND(122&gt;='EDT Y TAREAS'!AK10,122&lt;'EDT Y TAREAS'!AL10),'EDT Y TAREAS'!AD10/'EDT Y TAREAS'!M10,0),IF(AND(122&gt;='EDT Y TAREAS'!AK11,122&lt;'EDT Y TAREAS'!AL11),'EDT Y TAREAS'!AD11/'EDT Y TAREAS'!M11,0),IF(AND(122&gt;='EDT Y TAREAS'!AK12,122&lt;'EDT Y TAREAS'!AL12),'EDT Y TAREAS'!AD12/'EDT Y TAREAS'!M12,0),IF(AND(122&gt;='EDT Y TAREAS'!AK13,122&lt;'EDT Y TAREAS'!AL13),'EDT Y TAREAS'!AD13/'EDT Y TAREAS'!M13,0),IF(AND(122&gt;='EDT Y TAREAS'!AK14,122&lt;'EDT Y TAREAS'!AL14),'EDT Y TAREAS'!AD14/'EDT Y TAREAS'!M14,0),IF(AND(122&gt;='EDT Y TAREAS'!AK15,122&lt;'EDT Y TAREAS'!AL15),'EDT Y TAREAS'!AD15/'EDT Y TAREAS'!M15,0),IF(AND(122&gt;='EDT Y TAREAS'!AK16,122&lt;'EDT Y TAREAS'!AL16),'EDT Y TAREAS'!AD16/'EDT Y TAREAS'!M16,0),IF(AND(122&gt;='EDT Y TAREAS'!AK17,122&lt;'EDT Y TAREAS'!AL17),'EDT Y TAREAS'!AD17/'EDT Y TAREAS'!M17,0),IF(AND(122&gt;='EDT Y TAREAS'!AK18,122&lt;'EDT Y TAREAS'!AL18),'EDT Y TAREAS'!AD18/'EDT Y TAREAS'!M18,0),IF(AND(122&gt;='EDT Y TAREAS'!AK19,122&lt;'EDT Y TAREAS'!AL19),'EDT Y TAREAS'!AD19/'EDT Y TAREAS'!M19,0),IF(AND(122&gt;='EDT Y TAREAS'!AK20,122&lt;'EDT Y TAREAS'!AL20),'EDT Y TAREAS'!AD20/'EDT Y TAREAS'!M20,0),IF(AND(122&gt;='EDT Y TAREAS'!AK21,122&lt;'EDT Y TAREAS'!AL21),'EDT Y TAREAS'!AD21/'EDT Y TAREAS'!M21,0),IF(AND(122&gt;='EDT Y TAREAS'!AK22,122&lt;'EDT Y TAREAS'!AL22),'EDT Y TAREAS'!AD22/'EDT Y TAREAS'!M22,0),IF(AND(122&gt;='EDT Y TAREAS'!AK23,122&lt;'EDT Y TAREAS'!AL23),'EDT Y TAREAS'!AD23/'EDT Y TAREAS'!M23,0),IF(AND(122&gt;='EDT Y TAREAS'!AK26,122&lt;'EDT Y TAREAS'!AL26),'EDT Y TAREAS'!AD26/'EDT Y TAREAS'!M26,0),IF(AND(122&gt;='EDT Y TAREAS'!AK28,122&lt;'EDT Y TAREAS'!AL28),'EDT Y TAREAS'!AD28/'EDT Y TAREAS'!M28,0),IF(AND(122&gt;='EDT Y TAREAS'!AK30,122&lt;'EDT Y TAREAS'!AL30),'EDT Y TAREAS'!AD30/'EDT Y TAREAS'!M30,0),IF(AND(122&gt;='EDT Y TAREAS'!AK32,122&lt;'EDT Y TAREAS'!AL32),'EDT Y TAREAS'!AD32/'EDT Y TAREAS'!M32,0),IF(AND(122&gt;='EDT Y TAREAS'!AK34,122&lt;'EDT Y TAREAS'!AL34),'EDT Y TAREAS'!AD34/'EDT Y TAREAS'!M34,0),IF(AND(122&gt;='EDT Y TAREAS'!AK38,122&lt;'EDT Y TAREAS'!AL38),'EDT Y TAREAS'!AD38/'EDT Y TAREAS'!M38,0),IF(AND(122&gt;='EDT Y TAREAS'!AK39,122&lt;'EDT Y TAREAS'!AL39),'EDT Y TAREAS'!AD39/'EDT Y TAREAS'!M39,0),IF(AND(122&gt;='EDT Y TAREAS'!AK43,122&lt;'EDT Y TAREAS'!AL43),'EDT Y TAREAS'!AD43/'EDT Y TAREAS'!M43,0),IF(AND(122&gt;='EDT Y TAREAS'!AK44,122&lt;'EDT Y TAREAS'!AL44),'EDT Y TAREAS'!AD44/'EDT Y TAREAS'!M44,0),IF(AND(122&gt;='EDT Y TAREAS'!AK45,122&lt;'EDT Y TAREAS'!AL45),'EDT Y TAREAS'!AD45/'EDT Y TAREAS'!M45,0),IF(AND(122&gt;='EDT Y TAREAS'!AK46,122&lt;'EDT Y TAREAS'!AL46),'EDT Y TAREAS'!AD46/'EDT Y TAREAS'!M46,0),IF(AND(122&gt;='EDT Y TAREAS'!AK47,122&lt;'EDT Y TAREAS'!AL47),'EDT Y TAREAS'!AD47/'EDT Y TAREAS'!M47,0),IF(AND(122&gt;='EDT Y TAREAS'!AK49,122&lt;'EDT Y TAREAS'!AL49),'EDT Y TAREAS'!AD49/'EDT Y TAREAS'!M49,0),IF(AND(122&gt;='EDT Y TAREAS'!AK50,122&lt;'EDT Y TAREAS'!AL50),'EDT Y TAREAS'!AD50/'EDT Y TAREAS'!M50,0),IF(AND(122&gt;='EDT Y TAREAS'!AK51,122&lt;'EDT Y TAREAS'!AL51),'EDT Y TAREAS'!AD51/'EDT Y TAREAS'!M51,0),IF(AND(122&gt;='EDT Y TAREAS'!AK52,122&lt;'EDT Y TAREAS'!AL52),'EDT Y TAREAS'!AD52/'EDT Y TAREAS'!M52,0))</x:f>
        <x:v>3.2</x:v>
      </x:c>
      <x:c r="C162" s="35" t="n">
        <x:f>SUM(IF(AND(122&gt;='EDT Y TAREAS'!AK6,122&lt;'EDT Y TAREAS'!AL6),'EDT Y TAREAS'!AE6/'EDT Y TAREAS'!M6,0),IF(AND(122&gt;='EDT Y TAREAS'!AK8,122&lt;'EDT Y TAREAS'!AL8),'EDT Y TAREAS'!AE8/'EDT Y TAREAS'!M8,0),IF(AND(122&gt;='EDT Y TAREAS'!AK9,122&lt;'EDT Y TAREAS'!AL9),'EDT Y TAREAS'!AE9/'EDT Y TAREAS'!M9,0),IF(AND(122&gt;='EDT Y TAREAS'!AK10,122&lt;'EDT Y TAREAS'!AL10),'EDT Y TAREAS'!AE10/'EDT Y TAREAS'!M10,0),IF(AND(122&gt;='EDT Y TAREAS'!AK12,122&lt;'EDT Y TAREAS'!AL12),'EDT Y TAREAS'!AE12/'EDT Y TAREAS'!M12,0),IF(AND(122&gt;='EDT Y TAREAS'!AK16,122&lt;'EDT Y TAREAS'!AL16),'EDT Y TAREAS'!AE16/'EDT Y TAREAS'!M16,0),IF(AND(122&gt;='EDT Y TAREAS'!AK21,122&lt;'EDT Y TAREAS'!AL21),'EDT Y TAREAS'!AE21/'EDT Y TAREAS'!M21,0),IF(AND(122&gt;='EDT Y TAREAS'!AK23,122&lt;'EDT Y TAREAS'!AL23),'EDT Y TAREAS'!AE23/'EDT Y TAREAS'!M23,0),IF(AND(122&gt;='EDT Y TAREAS'!AK37,122&lt;'EDT Y TAREAS'!AL37),'EDT Y TAREAS'!AE37/'EDT Y TAREAS'!M37,0),IF(AND(122&gt;='EDT Y TAREAS'!AK38,122&lt;'EDT Y TAREAS'!AL38),'EDT Y TAREAS'!AE38/'EDT Y TAREAS'!M38,0),IF(AND(122&gt;='EDT Y TAREAS'!AK41,122&lt;'EDT Y TAREAS'!AL41),'EDT Y TAREAS'!AE41/'EDT Y TAREAS'!M41,0),IF(AND(122&gt;='EDT Y TAREAS'!AK43,122&lt;'EDT Y TAREAS'!AL43),'EDT Y TAREAS'!AE43/'EDT Y TAREAS'!M43,0),IF(AND(122&gt;='EDT Y TAREAS'!AK44,122&lt;'EDT Y TAREAS'!AL44),'EDT Y TAREAS'!AE44/'EDT Y TAREAS'!M44,0),IF(AND(122&gt;='EDT Y TAREAS'!AK46,122&lt;'EDT Y TAREAS'!AL46),'EDT Y TAREAS'!AE46/'EDT Y TAREAS'!M46,0),IF(AND(122&gt;='EDT Y TAREAS'!AK47,122&lt;'EDT Y TAREAS'!AL47),'EDT Y TAREAS'!AE47/'EDT Y TAREAS'!M47,0),IF(AND(122&gt;='EDT Y TAREAS'!AK51,122&lt;'EDT Y TAREAS'!AL51),'EDT Y TAREAS'!AE51/'EDT Y TAREAS'!M51,0),IF(AND(122&gt;='EDT Y TAREAS'!AK52,122&lt;'EDT Y TAREAS'!AL52),'EDT Y TAREAS'!AE52/'EDT Y TAREAS'!M52,0))</x:f>
        <x:v>1.6</x:v>
      </x:c>
      <x:c r="D162" s="35" t="n">
        <x:f>SUM(IF(AND(122&gt;='EDT Y TAREAS'!AK11,122&lt;'EDT Y TAREAS'!AL11),'EDT Y TAREAS'!AF11/'EDT Y TAREAS'!M11,0),IF(AND(122&gt;='EDT Y TAREAS'!AK24,122&lt;'EDT Y TAREAS'!AL24),'EDT Y TAREAS'!AF24/'EDT Y TAREAS'!M24,0),IF(AND(122&gt;='EDT Y TAREAS'!AK25,122&lt;'EDT Y TAREAS'!AL25),'EDT Y TAREAS'!AF25/'EDT Y TAREAS'!M25,0),IF(AND(122&gt;='EDT Y TAREAS'!AK26,122&lt;'EDT Y TAREAS'!AL26),'EDT Y TAREAS'!AF26/'EDT Y TAREAS'!M26,0),IF(AND(122&gt;='EDT Y TAREAS'!AK27,122&lt;'EDT Y TAREAS'!AL27),'EDT Y TAREAS'!AF27/'EDT Y TAREAS'!M27,0),IF(AND(122&gt;='EDT Y TAREAS'!AK28,122&lt;'EDT Y TAREAS'!AL28),'EDT Y TAREAS'!AF28/'EDT Y TAREAS'!M28,0),IF(AND(122&gt;='EDT Y TAREAS'!AK31,122&lt;'EDT Y TAREAS'!AL31),'EDT Y TAREAS'!AF31/'EDT Y TAREAS'!M31,0),IF(AND(122&gt;='EDT Y TAREAS'!AK33,122&lt;'EDT Y TAREAS'!AL33),'EDT Y TAREAS'!AF33/'EDT Y TAREAS'!M33,0),IF(AND(122&gt;='EDT Y TAREAS'!AK34,122&lt;'EDT Y TAREAS'!AL34),'EDT Y TAREAS'!AF34/'EDT Y TAREAS'!M34,0),IF(AND(122&gt;='EDT Y TAREAS'!AK35,122&lt;'EDT Y TAREAS'!AL35),'EDT Y TAREAS'!AF35/'EDT Y TAREAS'!M35,0),IF(AND(122&gt;='EDT Y TAREAS'!AK37,122&lt;'EDT Y TAREAS'!AL37),'EDT Y TAREAS'!AF37/'EDT Y TAREAS'!M37,0),IF(AND(122&gt;='EDT Y TAREAS'!AK39,122&lt;'EDT Y TAREAS'!AL39),'EDT Y TAREAS'!AF39/'EDT Y TAREAS'!M39,0),IF(AND(122&gt;='EDT Y TAREAS'!AK40,122&lt;'EDT Y TAREAS'!AL40),'EDT Y TAREAS'!AF40/'EDT Y TAREAS'!M40,0),IF(AND(122&gt;='EDT Y TAREAS'!AK42,122&lt;'EDT Y TAREAS'!AL42),'EDT Y TAREAS'!AF42/'EDT Y TAREAS'!M42,0),IF(AND(122&gt;='EDT Y TAREAS'!AK45,122&lt;'EDT Y TAREAS'!AL45),'EDT Y TAREAS'!AF45/'EDT Y TAREAS'!M45,0),IF(AND(122&gt;='EDT Y TAREAS'!AK49,122&lt;'EDT Y TAREAS'!AL49),'EDT Y TAREAS'!AF49/'EDT Y TAREAS'!M49,0),IF(AND(122&gt;='EDT Y TAREAS'!AK52,122&lt;'EDT Y TAREAS'!AL52),'EDT Y TAREAS'!AF52/'EDT Y TAREAS'!M52,0))</x:f>
        <x:v>3.2</x:v>
      </x:c>
      <x:c r="E162" s="35" t="n">
        <x:f>SUM(IF(AND(122&gt;='EDT Y TAREAS'!AK29,122&lt;'EDT Y TAREAS'!AL29),'EDT Y TAREAS'!AG29/'EDT Y TAREAS'!M29,0),IF(AND(122&gt;='EDT Y TAREAS'!AK30,122&lt;'EDT Y TAREAS'!AL30),'EDT Y TAREAS'!AG30/'EDT Y TAREAS'!M30,0),IF(AND(122&gt;='EDT Y TAREAS'!AK31,122&lt;'EDT Y TAREAS'!AL31),'EDT Y TAREAS'!AG31/'EDT Y TAREAS'!M31,0),IF(AND(122&gt;='EDT Y TAREAS'!AK32,122&lt;'EDT Y TAREAS'!AL32),'EDT Y TAREAS'!AG32/'EDT Y TAREAS'!M32,0),IF(AND(122&gt;='EDT Y TAREAS'!AK41,122&lt;'EDT Y TAREAS'!AL41),'EDT Y TAREAS'!AG41/'EDT Y TAREAS'!M41,0),IF(AND(122&gt;='EDT Y TAREAS'!AK45,122&lt;'EDT Y TAREAS'!AL45),'EDT Y TAREAS'!AG45/'EDT Y TAREAS'!M45,0),IF(AND(122&gt;='EDT Y TAREAS'!AK48,122&lt;'EDT Y TAREAS'!AL48),'EDT Y TAREAS'!AG48/'EDT Y TAREAS'!M48,0))</x:f>
        <x:v>3.2</x:v>
      </x:c>
      <x:c r="F162" s="35" t="n">
        <x:f>SUM(IF(AND(122&gt;='EDT Y TAREAS'!AK10,122&lt;'EDT Y TAREAS'!AL10),'EDT Y TAREAS'!AH10/'EDT Y TAREAS'!M10,0),IF(AND(122&gt;='EDT Y TAREAS'!AK12,122&lt;'EDT Y TAREAS'!AL12),'EDT Y TAREAS'!AH12/'EDT Y TAREAS'!M12,0),IF(AND(122&gt;='EDT Y TAREAS'!AK22,122&lt;'EDT Y TAREAS'!AL22),'EDT Y TAREAS'!AH22/'EDT Y TAREAS'!M22,0),IF(AND(122&gt;='EDT Y TAREAS'!AK23,122&lt;'EDT Y TAREAS'!AL23),'EDT Y TAREAS'!AH23/'EDT Y TAREAS'!M23,0),IF(AND(122&gt;='EDT Y TAREAS'!AK29,122&lt;'EDT Y TAREAS'!AL29),'EDT Y TAREAS'!AH29/'EDT Y TAREAS'!M29,0),IF(AND(122&gt;='EDT Y TAREAS'!AK30,122&lt;'EDT Y TAREAS'!AL30),'EDT Y TAREAS'!AH30/'EDT Y TAREAS'!M30,0),IF(AND(122&gt;='EDT Y TAREAS'!AK32,122&lt;'EDT Y TAREAS'!AL32),'EDT Y TAREAS'!AH32/'EDT Y TAREAS'!M32,0),IF(AND(122&gt;='EDT Y TAREAS'!AK41,122&lt;'EDT Y TAREAS'!AL41),'EDT Y TAREAS'!AH41/'EDT Y TAREAS'!M41,0),IF(AND(122&gt;='EDT Y TAREAS'!AK44,122&lt;'EDT Y TAREAS'!AL44),'EDT Y TAREAS'!AH44/'EDT Y TAREAS'!M44,0),IF(AND(122&gt;='EDT Y TAREAS'!AK46,122&lt;'EDT Y TAREAS'!AL46),'EDT Y TAREAS'!AH46/'EDT Y TAREAS'!M46,0),IF(AND(122&gt;='EDT Y TAREAS'!AK48,122&lt;'EDT Y TAREAS'!AL48),'EDT Y TAREAS'!AH48/'EDT Y TAREAS'!M48,0))</x:f>
        <x:v>0</x:v>
      </x:c>
      <x:c r="G162" s="35" t="n">
        <x:f>SUM(IF(AND(122&gt;='EDT Y TAREAS'!AK20,122&lt;'EDT Y TAREAS'!AL20),'EDT Y TAREAS'!AI20/'EDT Y TAREAS'!M20,0),IF(AND(122&gt;='EDT Y TAREAS'!AK25,122&lt;'EDT Y TAREAS'!AL25),'EDT Y TAREAS'!AI25/'EDT Y TAREAS'!M25,0),IF(AND(122&gt;='EDT Y TAREAS'!AK33,122&lt;'EDT Y TAREAS'!AL33),'EDT Y TAREAS'!AI33/'EDT Y TAREAS'!M33,0),IF(AND(122&gt;='EDT Y TAREAS'!AK34,122&lt;'EDT Y TAREAS'!AL34),'EDT Y TAREAS'!AI34/'EDT Y TAREAS'!M34,0),IF(AND(122&gt;='EDT Y TAREAS'!AK36,122&lt;'EDT Y TAREAS'!AL36),'EDT Y TAREAS'!AI36/'EDT Y TAREAS'!M36,0),IF(AND(122&gt;='EDT Y TAREAS'!AK39,122&lt;'EDT Y TAREAS'!AL39),'EDT Y TAREAS'!AI39/'EDT Y TAREAS'!M39,0),IF(AND(122&gt;='EDT Y TAREAS'!AK40,122&lt;'EDT Y TAREAS'!AL40),'EDT Y TAREAS'!AI40/'EDT Y TAREAS'!M40,0),IF(AND(122&gt;='EDT Y TAREAS'!AK42,122&lt;'EDT Y TAREAS'!AL42),'EDT Y TAREAS'!AI42/'EDT Y TAREAS'!M42,0),IF(AND(122&gt;='EDT Y TAREAS'!AK43,122&lt;'EDT Y TAREAS'!AL43),'EDT Y TAREAS'!AI43/'EDT Y TAREAS'!M43,0),IF(AND(122&gt;='EDT Y TAREAS'!AK44,122&lt;'EDT Y TAREAS'!AL44),'EDT Y TAREAS'!AI44/'EDT Y TAREAS'!M44,0),IF(AND(122&gt;='EDT Y TAREAS'!AK45,122&lt;'EDT Y TAREAS'!AL45),'EDT Y TAREAS'!AI45/'EDT Y TAREAS'!M45,0),IF(AND(122&gt;='EDT Y TAREAS'!AK46,122&lt;'EDT Y TAREAS'!AL46),'EDT Y TAREAS'!AI46/'EDT Y TAREAS'!M46,0),IF(AND(122&gt;='EDT Y TAREAS'!AK48,122&lt;'EDT Y TAREAS'!AL48),'EDT Y TAREAS'!AI48/'EDT Y TAREAS'!M48,0),IF(AND(122&gt;='EDT Y TAREAS'!AK50,122&lt;'EDT Y TAREAS'!AL50),'EDT Y TAREAS'!AI50/'EDT Y TAREAS'!M50,0),IF(AND(122&gt;='EDT Y TAREAS'!AK52,122&lt;'EDT Y TAREAS'!AL52),'EDT Y TAREAS'!AI52/'EDT Y TAREAS'!M52,0))</x:f>
        <x:v>2.4</x:v>
      </x:c>
      <x:c r="H162" s="35" t="n">
        <x:f>SUM(IF(AND(122&gt;='EDT Y TAREAS'!AK11,122&lt;'EDT Y TAREAS'!AL11),'EDT Y TAREAS'!AJ11/'EDT Y TAREAS'!M11,0),IF(AND(122&gt;='EDT Y TAREAS'!AK24,122&lt;'EDT Y TAREAS'!AL24),'EDT Y TAREAS'!AJ24/'EDT Y TAREAS'!M24,0),IF(AND(122&gt;='EDT Y TAREAS'!AK27,122&lt;'EDT Y TAREAS'!AL27),'EDT Y TAREAS'!AJ27/'EDT Y TAREAS'!M27,0),IF(AND(122&gt;='EDT Y TAREAS'!AK28,122&lt;'EDT Y TAREAS'!AL28),'EDT Y TAREAS'!AJ28/'EDT Y TAREAS'!M28,0),IF(AND(122&gt;='EDT Y TAREAS'!AK33,122&lt;'EDT Y TAREAS'!AL33),'EDT Y TAREAS'!AJ33/'EDT Y TAREAS'!M33,0),IF(AND(122&gt;='EDT Y TAREAS'!AK35,122&lt;'EDT Y TAREAS'!AL35),'EDT Y TAREAS'!AJ35/'EDT Y TAREAS'!M35,0),IF(AND(122&gt;='EDT Y TAREAS'!AK36,122&lt;'EDT Y TAREAS'!AL36),'EDT Y TAREAS'!AJ36/'EDT Y TAREAS'!M36,0),IF(AND(122&gt;='EDT Y TAREAS'!AK37,122&lt;'EDT Y TAREAS'!AL37),'EDT Y TAREAS'!AJ37/'EDT Y TAREAS'!M37,0),IF(AND(122&gt;='EDT Y TAREAS'!AK40,122&lt;'EDT Y TAREAS'!AL40),'EDT Y TAREAS'!AJ40/'EDT Y TAREAS'!M40,0),IF(AND(122&gt;='EDT Y TAREAS'!AK42,122&lt;'EDT Y TAREAS'!AL42),'EDT Y TAREAS'!AJ42/'EDT Y TAREAS'!M42,0),IF(AND(122&gt;='EDT Y TAREAS'!AK49,122&lt;'EDT Y TAREAS'!AL49),'EDT Y TAREAS'!AJ49/'EDT Y TAREAS'!M49,0),IF(AND(122&gt;='EDT Y TAREAS'!AK50,122&lt;'EDT Y TAREAS'!AL50),'EDT Y TAREAS'!AJ50/'EDT Y TAREAS'!M50,0),IF(AND(122&gt;='EDT Y TAREAS'!AK51,122&lt;'EDT Y TAREAS'!AL51),'EDT Y TAREAS'!AJ51/'EDT Y TAREAS'!M51,0),IF(AND(122&gt;='EDT Y TAREAS'!AK52,122&lt;'EDT Y TAREAS'!AL52),'EDT Y TAREAS'!AJ52/'EDT Y TAREAS'!M52,0))</x:f>
        <x:v>0</x:v>
      </x:c>
      <x:c r="I162" s="10" t="n">
        <x:f>WORKDAY('RESUMEN'!$D$3-1,A162,'RESUMEN'!$J$6:$J$25)</x:f>
        <x:v>46498</x:v>
      </x:c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  <x:c r="AC162" s="3"/>
      <x:c r="AD162" s="3"/>
      <x:c r="AE162" s="3"/>
      <x:c r="AF162" s="3"/>
      <x:c r="AG162" s="3"/>
      <x:c r="AH162" s="3"/>
      <x:c r="AI162" s="3"/>
      <x:c r="AJ162" s="3"/>
      <x:c r="AK162" s="3"/>
      <x:c r="AL162" s="3"/>
      <x:c r="AM162" s="3"/>
      <x:c r="AN162" s="3"/>
      <x:c r="AO162" s="3"/>
    </x:row>
    <x:row r="163" ht="24" customHeight="1">
      <x:c r="A163" s="3" t="n">
        <x:v>124</x:v>
      </x:c>
      <x:c r="B163" s="35" t="n">
        <x:f>SUM(IF(AND(123&gt;='EDT Y TAREAS'!AK6,123&lt;'EDT Y TAREAS'!AL6),'EDT Y TAREAS'!AD6/'EDT Y TAREAS'!M6,0),IF(AND(123&gt;='EDT Y TAREAS'!AK7,123&lt;'EDT Y TAREAS'!AL7),'EDT Y TAREAS'!AD7/'EDT Y TAREAS'!M7,0),IF(AND(123&gt;='EDT Y TAREAS'!AK8,123&lt;'EDT Y TAREAS'!AL8),'EDT Y TAREAS'!AD8/'EDT Y TAREAS'!M8,0),IF(AND(123&gt;='EDT Y TAREAS'!AK9,123&lt;'EDT Y TAREAS'!AL9),'EDT Y TAREAS'!AD9/'EDT Y TAREAS'!M9,0),IF(AND(123&gt;='EDT Y TAREAS'!AK10,123&lt;'EDT Y TAREAS'!AL10),'EDT Y TAREAS'!AD10/'EDT Y TAREAS'!M10,0),IF(AND(123&gt;='EDT Y TAREAS'!AK11,123&lt;'EDT Y TAREAS'!AL11),'EDT Y TAREAS'!AD11/'EDT Y TAREAS'!M11,0),IF(AND(123&gt;='EDT Y TAREAS'!AK12,123&lt;'EDT Y TAREAS'!AL12),'EDT Y TAREAS'!AD12/'EDT Y TAREAS'!M12,0),IF(AND(123&gt;='EDT Y TAREAS'!AK13,123&lt;'EDT Y TAREAS'!AL13),'EDT Y TAREAS'!AD13/'EDT Y TAREAS'!M13,0),IF(AND(123&gt;='EDT Y TAREAS'!AK14,123&lt;'EDT Y TAREAS'!AL14),'EDT Y TAREAS'!AD14/'EDT Y TAREAS'!M14,0),IF(AND(123&gt;='EDT Y TAREAS'!AK15,123&lt;'EDT Y TAREAS'!AL15),'EDT Y TAREAS'!AD15/'EDT Y TAREAS'!M15,0),IF(AND(123&gt;='EDT Y TAREAS'!AK16,123&lt;'EDT Y TAREAS'!AL16),'EDT Y TAREAS'!AD16/'EDT Y TAREAS'!M16,0),IF(AND(123&gt;='EDT Y TAREAS'!AK17,123&lt;'EDT Y TAREAS'!AL17),'EDT Y TAREAS'!AD17/'EDT Y TAREAS'!M17,0),IF(AND(123&gt;='EDT Y TAREAS'!AK18,123&lt;'EDT Y TAREAS'!AL18),'EDT Y TAREAS'!AD18/'EDT Y TAREAS'!M18,0),IF(AND(123&gt;='EDT Y TAREAS'!AK19,123&lt;'EDT Y TAREAS'!AL19),'EDT Y TAREAS'!AD19/'EDT Y TAREAS'!M19,0),IF(AND(123&gt;='EDT Y TAREAS'!AK20,123&lt;'EDT Y TAREAS'!AL20),'EDT Y TAREAS'!AD20/'EDT Y TAREAS'!M20,0),IF(AND(123&gt;='EDT Y TAREAS'!AK21,123&lt;'EDT Y TAREAS'!AL21),'EDT Y TAREAS'!AD21/'EDT Y TAREAS'!M21,0),IF(AND(123&gt;='EDT Y TAREAS'!AK22,123&lt;'EDT Y TAREAS'!AL22),'EDT Y TAREAS'!AD22/'EDT Y TAREAS'!M22,0),IF(AND(123&gt;='EDT Y TAREAS'!AK23,123&lt;'EDT Y TAREAS'!AL23),'EDT Y TAREAS'!AD23/'EDT Y TAREAS'!M23,0),IF(AND(123&gt;='EDT Y TAREAS'!AK26,123&lt;'EDT Y TAREAS'!AL26),'EDT Y TAREAS'!AD26/'EDT Y TAREAS'!M26,0),IF(AND(123&gt;='EDT Y TAREAS'!AK28,123&lt;'EDT Y TAREAS'!AL28),'EDT Y TAREAS'!AD28/'EDT Y TAREAS'!M28,0),IF(AND(123&gt;='EDT Y TAREAS'!AK30,123&lt;'EDT Y TAREAS'!AL30),'EDT Y TAREAS'!AD30/'EDT Y TAREAS'!M30,0),IF(AND(123&gt;='EDT Y TAREAS'!AK32,123&lt;'EDT Y TAREAS'!AL32),'EDT Y TAREAS'!AD32/'EDT Y TAREAS'!M32,0),IF(AND(123&gt;='EDT Y TAREAS'!AK34,123&lt;'EDT Y TAREAS'!AL34),'EDT Y TAREAS'!AD34/'EDT Y TAREAS'!M34,0),IF(AND(123&gt;='EDT Y TAREAS'!AK38,123&lt;'EDT Y TAREAS'!AL38),'EDT Y TAREAS'!AD38/'EDT Y TAREAS'!M38,0),IF(AND(123&gt;='EDT Y TAREAS'!AK39,123&lt;'EDT Y TAREAS'!AL39),'EDT Y TAREAS'!AD39/'EDT Y TAREAS'!M39,0),IF(AND(123&gt;='EDT Y TAREAS'!AK43,123&lt;'EDT Y TAREAS'!AL43),'EDT Y TAREAS'!AD43/'EDT Y TAREAS'!M43,0),IF(AND(123&gt;='EDT Y TAREAS'!AK44,123&lt;'EDT Y TAREAS'!AL44),'EDT Y TAREAS'!AD44/'EDT Y TAREAS'!M44,0),IF(AND(123&gt;='EDT Y TAREAS'!AK45,123&lt;'EDT Y TAREAS'!AL45),'EDT Y TAREAS'!AD45/'EDT Y TAREAS'!M45,0),IF(AND(123&gt;='EDT Y TAREAS'!AK46,123&lt;'EDT Y TAREAS'!AL46),'EDT Y TAREAS'!AD46/'EDT Y TAREAS'!M46,0),IF(AND(123&gt;='EDT Y TAREAS'!AK47,123&lt;'EDT Y TAREAS'!AL47),'EDT Y TAREAS'!AD47/'EDT Y TAREAS'!M47,0),IF(AND(123&gt;='EDT Y TAREAS'!AK49,123&lt;'EDT Y TAREAS'!AL49),'EDT Y TAREAS'!AD49/'EDT Y TAREAS'!M49,0),IF(AND(123&gt;='EDT Y TAREAS'!AK50,123&lt;'EDT Y TAREAS'!AL50),'EDT Y TAREAS'!AD50/'EDT Y TAREAS'!M50,0),IF(AND(123&gt;='EDT Y TAREAS'!AK51,123&lt;'EDT Y TAREAS'!AL51),'EDT Y TAREAS'!AD51/'EDT Y TAREAS'!M51,0),IF(AND(123&gt;='EDT Y TAREAS'!AK52,123&lt;'EDT Y TAREAS'!AL52),'EDT Y TAREAS'!AD52/'EDT Y TAREAS'!M52,0))</x:f>
        <x:v>3.2</x:v>
      </x:c>
      <x:c r="C163" s="35" t="n">
        <x:f>SUM(IF(AND(123&gt;='EDT Y TAREAS'!AK6,123&lt;'EDT Y TAREAS'!AL6),'EDT Y TAREAS'!AE6/'EDT Y TAREAS'!M6,0),IF(AND(123&gt;='EDT Y TAREAS'!AK8,123&lt;'EDT Y TAREAS'!AL8),'EDT Y TAREAS'!AE8/'EDT Y TAREAS'!M8,0),IF(AND(123&gt;='EDT Y TAREAS'!AK9,123&lt;'EDT Y TAREAS'!AL9),'EDT Y TAREAS'!AE9/'EDT Y TAREAS'!M9,0),IF(AND(123&gt;='EDT Y TAREAS'!AK10,123&lt;'EDT Y TAREAS'!AL10),'EDT Y TAREAS'!AE10/'EDT Y TAREAS'!M10,0),IF(AND(123&gt;='EDT Y TAREAS'!AK12,123&lt;'EDT Y TAREAS'!AL12),'EDT Y TAREAS'!AE12/'EDT Y TAREAS'!M12,0),IF(AND(123&gt;='EDT Y TAREAS'!AK16,123&lt;'EDT Y TAREAS'!AL16),'EDT Y TAREAS'!AE16/'EDT Y TAREAS'!M16,0),IF(AND(123&gt;='EDT Y TAREAS'!AK21,123&lt;'EDT Y TAREAS'!AL21),'EDT Y TAREAS'!AE21/'EDT Y TAREAS'!M21,0),IF(AND(123&gt;='EDT Y TAREAS'!AK23,123&lt;'EDT Y TAREAS'!AL23),'EDT Y TAREAS'!AE23/'EDT Y TAREAS'!M23,0),IF(AND(123&gt;='EDT Y TAREAS'!AK37,123&lt;'EDT Y TAREAS'!AL37),'EDT Y TAREAS'!AE37/'EDT Y TAREAS'!M37,0),IF(AND(123&gt;='EDT Y TAREAS'!AK38,123&lt;'EDT Y TAREAS'!AL38),'EDT Y TAREAS'!AE38/'EDT Y TAREAS'!M38,0),IF(AND(123&gt;='EDT Y TAREAS'!AK41,123&lt;'EDT Y TAREAS'!AL41),'EDT Y TAREAS'!AE41/'EDT Y TAREAS'!M41,0),IF(AND(123&gt;='EDT Y TAREAS'!AK43,123&lt;'EDT Y TAREAS'!AL43),'EDT Y TAREAS'!AE43/'EDT Y TAREAS'!M43,0),IF(AND(123&gt;='EDT Y TAREAS'!AK44,123&lt;'EDT Y TAREAS'!AL44),'EDT Y TAREAS'!AE44/'EDT Y TAREAS'!M44,0),IF(AND(123&gt;='EDT Y TAREAS'!AK46,123&lt;'EDT Y TAREAS'!AL46),'EDT Y TAREAS'!AE46/'EDT Y TAREAS'!M46,0),IF(AND(123&gt;='EDT Y TAREAS'!AK47,123&lt;'EDT Y TAREAS'!AL47),'EDT Y TAREAS'!AE47/'EDT Y TAREAS'!M47,0),IF(AND(123&gt;='EDT Y TAREAS'!AK51,123&lt;'EDT Y TAREAS'!AL51),'EDT Y TAREAS'!AE51/'EDT Y TAREAS'!M51,0),IF(AND(123&gt;='EDT Y TAREAS'!AK52,123&lt;'EDT Y TAREAS'!AL52),'EDT Y TAREAS'!AE52/'EDT Y TAREAS'!M52,0))</x:f>
        <x:v>1.6</x:v>
      </x:c>
      <x:c r="D163" s="35" t="n">
        <x:f>SUM(IF(AND(123&gt;='EDT Y TAREAS'!AK11,123&lt;'EDT Y TAREAS'!AL11),'EDT Y TAREAS'!AF11/'EDT Y TAREAS'!M11,0),IF(AND(123&gt;='EDT Y TAREAS'!AK24,123&lt;'EDT Y TAREAS'!AL24),'EDT Y TAREAS'!AF24/'EDT Y TAREAS'!M24,0),IF(AND(123&gt;='EDT Y TAREAS'!AK25,123&lt;'EDT Y TAREAS'!AL25),'EDT Y TAREAS'!AF25/'EDT Y TAREAS'!M25,0),IF(AND(123&gt;='EDT Y TAREAS'!AK26,123&lt;'EDT Y TAREAS'!AL26),'EDT Y TAREAS'!AF26/'EDT Y TAREAS'!M26,0),IF(AND(123&gt;='EDT Y TAREAS'!AK27,123&lt;'EDT Y TAREAS'!AL27),'EDT Y TAREAS'!AF27/'EDT Y TAREAS'!M27,0),IF(AND(123&gt;='EDT Y TAREAS'!AK28,123&lt;'EDT Y TAREAS'!AL28),'EDT Y TAREAS'!AF28/'EDT Y TAREAS'!M28,0),IF(AND(123&gt;='EDT Y TAREAS'!AK31,123&lt;'EDT Y TAREAS'!AL31),'EDT Y TAREAS'!AF31/'EDT Y TAREAS'!M31,0),IF(AND(123&gt;='EDT Y TAREAS'!AK33,123&lt;'EDT Y TAREAS'!AL33),'EDT Y TAREAS'!AF33/'EDT Y TAREAS'!M33,0),IF(AND(123&gt;='EDT Y TAREAS'!AK34,123&lt;'EDT Y TAREAS'!AL34),'EDT Y TAREAS'!AF34/'EDT Y TAREAS'!M34,0),IF(AND(123&gt;='EDT Y TAREAS'!AK35,123&lt;'EDT Y TAREAS'!AL35),'EDT Y TAREAS'!AF35/'EDT Y TAREAS'!M35,0),IF(AND(123&gt;='EDT Y TAREAS'!AK37,123&lt;'EDT Y TAREAS'!AL37),'EDT Y TAREAS'!AF37/'EDT Y TAREAS'!M37,0),IF(AND(123&gt;='EDT Y TAREAS'!AK39,123&lt;'EDT Y TAREAS'!AL39),'EDT Y TAREAS'!AF39/'EDT Y TAREAS'!M39,0),IF(AND(123&gt;='EDT Y TAREAS'!AK40,123&lt;'EDT Y TAREAS'!AL40),'EDT Y TAREAS'!AF40/'EDT Y TAREAS'!M40,0),IF(AND(123&gt;='EDT Y TAREAS'!AK42,123&lt;'EDT Y TAREAS'!AL42),'EDT Y TAREAS'!AF42/'EDT Y TAREAS'!M42,0),IF(AND(123&gt;='EDT Y TAREAS'!AK45,123&lt;'EDT Y TAREAS'!AL45),'EDT Y TAREAS'!AF45/'EDT Y TAREAS'!M45,0),IF(AND(123&gt;='EDT Y TAREAS'!AK49,123&lt;'EDT Y TAREAS'!AL49),'EDT Y TAREAS'!AF49/'EDT Y TAREAS'!M49,0),IF(AND(123&gt;='EDT Y TAREAS'!AK52,123&lt;'EDT Y TAREAS'!AL52),'EDT Y TAREAS'!AF52/'EDT Y TAREAS'!M52,0))</x:f>
        <x:v>3.2</x:v>
      </x:c>
      <x:c r="E163" s="35" t="n">
        <x:f>SUM(IF(AND(123&gt;='EDT Y TAREAS'!AK29,123&lt;'EDT Y TAREAS'!AL29),'EDT Y TAREAS'!AG29/'EDT Y TAREAS'!M29,0),IF(AND(123&gt;='EDT Y TAREAS'!AK30,123&lt;'EDT Y TAREAS'!AL30),'EDT Y TAREAS'!AG30/'EDT Y TAREAS'!M30,0),IF(AND(123&gt;='EDT Y TAREAS'!AK31,123&lt;'EDT Y TAREAS'!AL31),'EDT Y TAREAS'!AG31/'EDT Y TAREAS'!M31,0),IF(AND(123&gt;='EDT Y TAREAS'!AK32,123&lt;'EDT Y TAREAS'!AL32),'EDT Y TAREAS'!AG32/'EDT Y TAREAS'!M32,0),IF(AND(123&gt;='EDT Y TAREAS'!AK41,123&lt;'EDT Y TAREAS'!AL41),'EDT Y TAREAS'!AG41/'EDT Y TAREAS'!M41,0),IF(AND(123&gt;='EDT Y TAREAS'!AK45,123&lt;'EDT Y TAREAS'!AL45),'EDT Y TAREAS'!AG45/'EDT Y TAREAS'!M45,0),IF(AND(123&gt;='EDT Y TAREAS'!AK48,123&lt;'EDT Y TAREAS'!AL48),'EDT Y TAREAS'!AG48/'EDT Y TAREAS'!M48,0))</x:f>
        <x:v>3.2</x:v>
      </x:c>
      <x:c r="F163" s="35" t="n">
        <x:f>SUM(IF(AND(123&gt;='EDT Y TAREAS'!AK10,123&lt;'EDT Y TAREAS'!AL10),'EDT Y TAREAS'!AH10/'EDT Y TAREAS'!M10,0),IF(AND(123&gt;='EDT Y TAREAS'!AK12,123&lt;'EDT Y TAREAS'!AL12),'EDT Y TAREAS'!AH12/'EDT Y TAREAS'!M12,0),IF(AND(123&gt;='EDT Y TAREAS'!AK22,123&lt;'EDT Y TAREAS'!AL22),'EDT Y TAREAS'!AH22/'EDT Y TAREAS'!M22,0),IF(AND(123&gt;='EDT Y TAREAS'!AK23,123&lt;'EDT Y TAREAS'!AL23),'EDT Y TAREAS'!AH23/'EDT Y TAREAS'!M23,0),IF(AND(123&gt;='EDT Y TAREAS'!AK29,123&lt;'EDT Y TAREAS'!AL29),'EDT Y TAREAS'!AH29/'EDT Y TAREAS'!M29,0),IF(AND(123&gt;='EDT Y TAREAS'!AK30,123&lt;'EDT Y TAREAS'!AL30),'EDT Y TAREAS'!AH30/'EDT Y TAREAS'!M30,0),IF(AND(123&gt;='EDT Y TAREAS'!AK32,123&lt;'EDT Y TAREAS'!AL32),'EDT Y TAREAS'!AH32/'EDT Y TAREAS'!M32,0),IF(AND(123&gt;='EDT Y TAREAS'!AK41,123&lt;'EDT Y TAREAS'!AL41),'EDT Y TAREAS'!AH41/'EDT Y TAREAS'!M41,0),IF(AND(123&gt;='EDT Y TAREAS'!AK44,123&lt;'EDT Y TAREAS'!AL44),'EDT Y TAREAS'!AH44/'EDT Y TAREAS'!M44,0),IF(AND(123&gt;='EDT Y TAREAS'!AK46,123&lt;'EDT Y TAREAS'!AL46),'EDT Y TAREAS'!AH46/'EDT Y TAREAS'!M46,0),IF(AND(123&gt;='EDT Y TAREAS'!AK48,123&lt;'EDT Y TAREAS'!AL48),'EDT Y TAREAS'!AH48/'EDT Y TAREAS'!M48,0))</x:f>
        <x:v>0</x:v>
      </x:c>
      <x:c r="G163" s="35" t="n">
        <x:f>SUM(IF(AND(123&gt;='EDT Y TAREAS'!AK20,123&lt;'EDT Y TAREAS'!AL20),'EDT Y TAREAS'!AI20/'EDT Y TAREAS'!M20,0),IF(AND(123&gt;='EDT Y TAREAS'!AK25,123&lt;'EDT Y TAREAS'!AL25),'EDT Y TAREAS'!AI25/'EDT Y TAREAS'!M25,0),IF(AND(123&gt;='EDT Y TAREAS'!AK33,123&lt;'EDT Y TAREAS'!AL33),'EDT Y TAREAS'!AI33/'EDT Y TAREAS'!M33,0),IF(AND(123&gt;='EDT Y TAREAS'!AK34,123&lt;'EDT Y TAREAS'!AL34),'EDT Y TAREAS'!AI34/'EDT Y TAREAS'!M34,0),IF(AND(123&gt;='EDT Y TAREAS'!AK36,123&lt;'EDT Y TAREAS'!AL36),'EDT Y TAREAS'!AI36/'EDT Y TAREAS'!M36,0),IF(AND(123&gt;='EDT Y TAREAS'!AK39,123&lt;'EDT Y TAREAS'!AL39),'EDT Y TAREAS'!AI39/'EDT Y TAREAS'!M39,0),IF(AND(123&gt;='EDT Y TAREAS'!AK40,123&lt;'EDT Y TAREAS'!AL40),'EDT Y TAREAS'!AI40/'EDT Y TAREAS'!M40,0),IF(AND(123&gt;='EDT Y TAREAS'!AK42,123&lt;'EDT Y TAREAS'!AL42),'EDT Y TAREAS'!AI42/'EDT Y TAREAS'!M42,0),IF(AND(123&gt;='EDT Y TAREAS'!AK43,123&lt;'EDT Y TAREAS'!AL43),'EDT Y TAREAS'!AI43/'EDT Y TAREAS'!M43,0),IF(AND(123&gt;='EDT Y TAREAS'!AK44,123&lt;'EDT Y TAREAS'!AL44),'EDT Y TAREAS'!AI44/'EDT Y TAREAS'!M44,0),IF(AND(123&gt;='EDT Y TAREAS'!AK45,123&lt;'EDT Y TAREAS'!AL45),'EDT Y TAREAS'!AI45/'EDT Y TAREAS'!M45,0),IF(AND(123&gt;='EDT Y TAREAS'!AK46,123&lt;'EDT Y TAREAS'!AL46),'EDT Y TAREAS'!AI46/'EDT Y TAREAS'!M46,0),IF(AND(123&gt;='EDT Y TAREAS'!AK48,123&lt;'EDT Y TAREAS'!AL48),'EDT Y TAREAS'!AI48/'EDT Y TAREAS'!M48,0),IF(AND(123&gt;='EDT Y TAREAS'!AK50,123&lt;'EDT Y TAREAS'!AL50),'EDT Y TAREAS'!AI50/'EDT Y TAREAS'!M50,0),IF(AND(123&gt;='EDT Y TAREAS'!AK52,123&lt;'EDT Y TAREAS'!AL52),'EDT Y TAREAS'!AI52/'EDT Y TAREAS'!M52,0))</x:f>
        <x:v>2.4</x:v>
      </x:c>
      <x:c r="H163" s="35" t="n">
        <x:f>SUM(IF(AND(123&gt;='EDT Y TAREAS'!AK11,123&lt;'EDT Y TAREAS'!AL11),'EDT Y TAREAS'!AJ11/'EDT Y TAREAS'!M11,0),IF(AND(123&gt;='EDT Y TAREAS'!AK24,123&lt;'EDT Y TAREAS'!AL24),'EDT Y TAREAS'!AJ24/'EDT Y TAREAS'!M24,0),IF(AND(123&gt;='EDT Y TAREAS'!AK27,123&lt;'EDT Y TAREAS'!AL27),'EDT Y TAREAS'!AJ27/'EDT Y TAREAS'!M27,0),IF(AND(123&gt;='EDT Y TAREAS'!AK28,123&lt;'EDT Y TAREAS'!AL28),'EDT Y TAREAS'!AJ28/'EDT Y TAREAS'!M28,0),IF(AND(123&gt;='EDT Y TAREAS'!AK33,123&lt;'EDT Y TAREAS'!AL33),'EDT Y TAREAS'!AJ33/'EDT Y TAREAS'!M33,0),IF(AND(123&gt;='EDT Y TAREAS'!AK35,123&lt;'EDT Y TAREAS'!AL35),'EDT Y TAREAS'!AJ35/'EDT Y TAREAS'!M35,0),IF(AND(123&gt;='EDT Y TAREAS'!AK36,123&lt;'EDT Y TAREAS'!AL36),'EDT Y TAREAS'!AJ36/'EDT Y TAREAS'!M36,0),IF(AND(123&gt;='EDT Y TAREAS'!AK37,123&lt;'EDT Y TAREAS'!AL37),'EDT Y TAREAS'!AJ37/'EDT Y TAREAS'!M37,0),IF(AND(123&gt;='EDT Y TAREAS'!AK40,123&lt;'EDT Y TAREAS'!AL40),'EDT Y TAREAS'!AJ40/'EDT Y TAREAS'!M40,0),IF(AND(123&gt;='EDT Y TAREAS'!AK42,123&lt;'EDT Y TAREAS'!AL42),'EDT Y TAREAS'!AJ42/'EDT Y TAREAS'!M42,0),IF(AND(123&gt;='EDT Y TAREAS'!AK49,123&lt;'EDT Y TAREAS'!AL49),'EDT Y TAREAS'!AJ49/'EDT Y TAREAS'!M49,0),IF(AND(123&gt;='EDT Y TAREAS'!AK50,123&lt;'EDT Y TAREAS'!AL50),'EDT Y TAREAS'!AJ50/'EDT Y TAREAS'!M50,0),IF(AND(123&gt;='EDT Y TAREAS'!AK51,123&lt;'EDT Y TAREAS'!AL51),'EDT Y TAREAS'!AJ51/'EDT Y TAREAS'!M51,0),IF(AND(123&gt;='EDT Y TAREAS'!AK52,123&lt;'EDT Y TAREAS'!AL52),'EDT Y TAREAS'!AJ52/'EDT Y TAREAS'!M52,0))</x:f>
        <x:v>0</x:v>
      </x:c>
      <x:c r="I163" s="10" t="n">
        <x:f>WORKDAY('RESUMEN'!$D$3-1,A163,'RESUMEN'!$J$6:$J$25)</x:f>
        <x:v>46499</x:v>
      </x:c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  <x:c r="AC163" s="3"/>
      <x:c r="AD163" s="3"/>
      <x:c r="AE163" s="3"/>
      <x:c r="AF163" s="3"/>
      <x:c r="AG163" s="3"/>
      <x:c r="AH163" s="3"/>
      <x:c r="AI163" s="3"/>
      <x:c r="AJ163" s="3"/>
      <x:c r="AK163" s="3"/>
      <x:c r="AL163" s="3"/>
      <x:c r="AM163" s="3"/>
      <x:c r="AN163" s="3"/>
      <x:c r="AO163" s="3"/>
    </x:row>
    <x:row r="164" ht="24" customHeight="1">
      <x:c r="A164" s="3" t="n">
        <x:v>125</x:v>
      </x:c>
      <x:c r="B164" s="35" t="n">
        <x:f>SUM(IF(AND(124&gt;='EDT Y TAREAS'!AK6,124&lt;'EDT Y TAREAS'!AL6),'EDT Y TAREAS'!AD6/'EDT Y TAREAS'!M6,0),IF(AND(124&gt;='EDT Y TAREAS'!AK7,124&lt;'EDT Y TAREAS'!AL7),'EDT Y TAREAS'!AD7/'EDT Y TAREAS'!M7,0),IF(AND(124&gt;='EDT Y TAREAS'!AK8,124&lt;'EDT Y TAREAS'!AL8),'EDT Y TAREAS'!AD8/'EDT Y TAREAS'!M8,0),IF(AND(124&gt;='EDT Y TAREAS'!AK9,124&lt;'EDT Y TAREAS'!AL9),'EDT Y TAREAS'!AD9/'EDT Y TAREAS'!M9,0),IF(AND(124&gt;='EDT Y TAREAS'!AK10,124&lt;'EDT Y TAREAS'!AL10),'EDT Y TAREAS'!AD10/'EDT Y TAREAS'!M10,0),IF(AND(124&gt;='EDT Y TAREAS'!AK11,124&lt;'EDT Y TAREAS'!AL11),'EDT Y TAREAS'!AD11/'EDT Y TAREAS'!M11,0),IF(AND(124&gt;='EDT Y TAREAS'!AK12,124&lt;'EDT Y TAREAS'!AL12),'EDT Y TAREAS'!AD12/'EDT Y TAREAS'!M12,0),IF(AND(124&gt;='EDT Y TAREAS'!AK13,124&lt;'EDT Y TAREAS'!AL13),'EDT Y TAREAS'!AD13/'EDT Y TAREAS'!M13,0),IF(AND(124&gt;='EDT Y TAREAS'!AK14,124&lt;'EDT Y TAREAS'!AL14),'EDT Y TAREAS'!AD14/'EDT Y TAREAS'!M14,0),IF(AND(124&gt;='EDT Y TAREAS'!AK15,124&lt;'EDT Y TAREAS'!AL15),'EDT Y TAREAS'!AD15/'EDT Y TAREAS'!M15,0),IF(AND(124&gt;='EDT Y TAREAS'!AK16,124&lt;'EDT Y TAREAS'!AL16),'EDT Y TAREAS'!AD16/'EDT Y TAREAS'!M16,0),IF(AND(124&gt;='EDT Y TAREAS'!AK17,124&lt;'EDT Y TAREAS'!AL17),'EDT Y TAREAS'!AD17/'EDT Y TAREAS'!M17,0),IF(AND(124&gt;='EDT Y TAREAS'!AK18,124&lt;'EDT Y TAREAS'!AL18),'EDT Y TAREAS'!AD18/'EDT Y TAREAS'!M18,0),IF(AND(124&gt;='EDT Y TAREAS'!AK19,124&lt;'EDT Y TAREAS'!AL19),'EDT Y TAREAS'!AD19/'EDT Y TAREAS'!M19,0),IF(AND(124&gt;='EDT Y TAREAS'!AK20,124&lt;'EDT Y TAREAS'!AL20),'EDT Y TAREAS'!AD20/'EDT Y TAREAS'!M20,0),IF(AND(124&gt;='EDT Y TAREAS'!AK21,124&lt;'EDT Y TAREAS'!AL21),'EDT Y TAREAS'!AD21/'EDT Y TAREAS'!M21,0),IF(AND(124&gt;='EDT Y TAREAS'!AK22,124&lt;'EDT Y TAREAS'!AL22),'EDT Y TAREAS'!AD22/'EDT Y TAREAS'!M22,0),IF(AND(124&gt;='EDT Y TAREAS'!AK23,124&lt;'EDT Y TAREAS'!AL23),'EDT Y TAREAS'!AD23/'EDT Y TAREAS'!M23,0),IF(AND(124&gt;='EDT Y TAREAS'!AK26,124&lt;'EDT Y TAREAS'!AL26),'EDT Y TAREAS'!AD26/'EDT Y TAREAS'!M26,0),IF(AND(124&gt;='EDT Y TAREAS'!AK28,124&lt;'EDT Y TAREAS'!AL28),'EDT Y TAREAS'!AD28/'EDT Y TAREAS'!M28,0),IF(AND(124&gt;='EDT Y TAREAS'!AK30,124&lt;'EDT Y TAREAS'!AL30),'EDT Y TAREAS'!AD30/'EDT Y TAREAS'!M30,0),IF(AND(124&gt;='EDT Y TAREAS'!AK32,124&lt;'EDT Y TAREAS'!AL32),'EDT Y TAREAS'!AD32/'EDT Y TAREAS'!M32,0),IF(AND(124&gt;='EDT Y TAREAS'!AK34,124&lt;'EDT Y TAREAS'!AL34),'EDT Y TAREAS'!AD34/'EDT Y TAREAS'!M34,0),IF(AND(124&gt;='EDT Y TAREAS'!AK38,124&lt;'EDT Y TAREAS'!AL38),'EDT Y TAREAS'!AD38/'EDT Y TAREAS'!M38,0),IF(AND(124&gt;='EDT Y TAREAS'!AK39,124&lt;'EDT Y TAREAS'!AL39),'EDT Y TAREAS'!AD39/'EDT Y TAREAS'!M39,0),IF(AND(124&gt;='EDT Y TAREAS'!AK43,124&lt;'EDT Y TAREAS'!AL43),'EDT Y TAREAS'!AD43/'EDT Y TAREAS'!M43,0),IF(AND(124&gt;='EDT Y TAREAS'!AK44,124&lt;'EDT Y TAREAS'!AL44),'EDT Y TAREAS'!AD44/'EDT Y TAREAS'!M44,0),IF(AND(124&gt;='EDT Y TAREAS'!AK45,124&lt;'EDT Y TAREAS'!AL45),'EDT Y TAREAS'!AD45/'EDT Y TAREAS'!M45,0),IF(AND(124&gt;='EDT Y TAREAS'!AK46,124&lt;'EDT Y TAREAS'!AL46),'EDT Y TAREAS'!AD46/'EDT Y TAREAS'!M46,0),IF(AND(124&gt;='EDT Y TAREAS'!AK47,124&lt;'EDT Y TAREAS'!AL47),'EDT Y TAREAS'!AD47/'EDT Y TAREAS'!M47,0),IF(AND(124&gt;='EDT Y TAREAS'!AK49,124&lt;'EDT Y TAREAS'!AL49),'EDT Y TAREAS'!AD49/'EDT Y TAREAS'!M49,0),IF(AND(124&gt;='EDT Y TAREAS'!AK50,124&lt;'EDT Y TAREAS'!AL50),'EDT Y TAREAS'!AD50/'EDT Y TAREAS'!M50,0),IF(AND(124&gt;='EDT Y TAREAS'!AK51,124&lt;'EDT Y TAREAS'!AL51),'EDT Y TAREAS'!AD51/'EDT Y TAREAS'!M51,0),IF(AND(124&gt;='EDT Y TAREAS'!AK52,124&lt;'EDT Y TAREAS'!AL52),'EDT Y TAREAS'!AD52/'EDT Y TAREAS'!M52,0))</x:f>
        <x:v>3.2</x:v>
      </x:c>
      <x:c r="C164" s="35" t="n">
        <x:f>SUM(IF(AND(124&gt;='EDT Y TAREAS'!AK6,124&lt;'EDT Y TAREAS'!AL6),'EDT Y TAREAS'!AE6/'EDT Y TAREAS'!M6,0),IF(AND(124&gt;='EDT Y TAREAS'!AK8,124&lt;'EDT Y TAREAS'!AL8),'EDT Y TAREAS'!AE8/'EDT Y TAREAS'!M8,0),IF(AND(124&gt;='EDT Y TAREAS'!AK9,124&lt;'EDT Y TAREAS'!AL9),'EDT Y TAREAS'!AE9/'EDT Y TAREAS'!M9,0),IF(AND(124&gt;='EDT Y TAREAS'!AK10,124&lt;'EDT Y TAREAS'!AL10),'EDT Y TAREAS'!AE10/'EDT Y TAREAS'!M10,0),IF(AND(124&gt;='EDT Y TAREAS'!AK12,124&lt;'EDT Y TAREAS'!AL12),'EDT Y TAREAS'!AE12/'EDT Y TAREAS'!M12,0),IF(AND(124&gt;='EDT Y TAREAS'!AK16,124&lt;'EDT Y TAREAS'!AL16),'EDT Y TAREAS'!AE16/'EDT Y TAREAS'!M16,0),IF(AND(124&gt;='EDT Y TAREAS'!AK21,124&lt;'EDT Y TAREAS'!AL21),'EDT Y TAREAS'!AE21/'EDT Y TAREAS'!M21,0),IF(AND(124&gt;='EDT Y TAREAS'!AK23,124&lt;'EDT Y TAREAS'!AL23),'EDT Y TAREAS'!AE23/'EDT Y TAREAS'!M23,0),IF(AND(124&gt;='EDT Y TAREAS'!AK37,124&lt;'EDT Y TAREAS'!AL37),'EDT Y TAREAS'!AE37/'EDT Y TAREAS'!M37,0),IF(AND(124&gt;='EDT Y TAREAS'!AK38,124&lt;'EDT Y TAREAS'!AL38),'EDT Y TAREAS'!AE38/'EDT Y TAREAS'!M38,0),IF(AND(124&gt;='EDT Y TAREAS'!AK41,124&lt;'EDT Y TAREAS'!AL41),'EDT Y TAREAS'!AE41/'EDT Y TAREAS'!M41,0),IF(AND(124&gt;='EDT Y TAREAS'!AK43,124&lt;'EDT Y TAREAS'!AL43),'EDT Y TAREAS'!AE43/'EDT Y TAREAS'!M43,0),IF(AND(124&gt;='EDT Y TAREAS'!AK44,124&lt;'EDT Y TAREAS'!AL44),'EDT Y TAREAS'!AE44/'EDT Y TAREAS'!M44,0),IF(AND(124&gt;='EDT Y TAREAS'!AK46,124&lt;'EDT Y TAREAS'!AL46),'EDT Y TAREAS'!AE46/'EDT Y TAREAS'!M46,0),IF(AND(124&gt;='EDT Y TAREAS'!AK47,124&lt;'EDT Y TAREAS'!AL47),'EDT Y TAREAS'!AE47/'EDT Y TAREAS'!M47,0),IF(AND(124&gt;='EDT Y TAREAS'!AK51,124&lt;'EDT Y TAREAS'!AL51),'EDT Y TAREAS'!AE51/'EDT Y TAREAS'!M51,0),IF(AND(124&gt;='EDT Y TAREAS'!AK52,124&lt;'EDT Y TAREAS'!AL52),'EDT Y TAREAS'!AE52/'EDT Y TAREAS'!M52,0))</x:f>
        <x:v>1.6</x:v>
      </x:c>
      <x:c r="D164" s="35" t="n">
        <x:f>SUM(IF(AND(124&gt;='EDT Y TAREAS'!AK11,124&lt;'EDT Y TAREAS'!AL11),'EDT Y TAREAS'!AF11/'EDT Y TAREAS'!M11,0),IF(AND(124&gt;='EDT Y TAREAS'!AK24,124&lt;'EDT Y TAREAS'!AL24),'EDT Y TAREAS'!AF24/'EDT Y TAREAS'!M24,0),IF(AND(124&gt;='EDT Y TAREAS'!AK25,124&lt;'EDT Y TAREAS'!AL25),'EDT Y TAREAS'!AF25/'EDT Y TAREAS'!M25,0),IF(AND(124&gt;='EDT Y TAREAS'!AK26,124&lt;'EDT Y TAREAS'!AL26),'EDT Y TAREAS'!AF26/'EDT Y TAREAS'!M26,0),IF(AND(124&gt;='EDT Y TAREAS'!AK27,124&lt;'EDT Y TAREAS'!AL27),'EDT Y TAREAS'!AF27/'EDT Y TAREAS'!M27,0),IF(AND(124&gt;='EDT Y TAREAS'!AK28,124&lt;'EDT Y TAREAS'!AL28),'EDT Y TAREAS'!AF28/'EDT Y TAREAS'!M28,0),IF(AND(124&gt;='EDT Y TAREAS'!AK31,124&lt;'EDT Y TAREAS'!AL31),'EDT Y TAREAS'!AF31/'EDT Y TAREAS'!M31,0),IF(AND(124&gt;='EDT Y TAREAS'!AK33,124&lt;'EDT Y TAREAS'!AL33),'EDT Y TAREAS'!AF33/'EDT Y TAREAS'!M33,0),IF(AND(124&gt;='EDT Y TAREAS'!AK34,124&lt;'EDT Y TAREAS'!AL34),'EDT Y TAREAS'!AF34/'EDT Y TAREAS'!M34,0),IF(AND(124&gt;='EDT Y TAREAS'!AK35,124&lt;'EDT Y TAREAS'!AL35),'EDT Y TAREAS'!AF35/'EDT Y TAREAS'!M35,0),IF(AND(124&gt;='EDT Y TAREAS'!AK37,124&lt;'EDT Y TAREAS'!AL37),'EDT Y TAREAS'!AF37/'EDT Y TAREAS'!M37,0),IF(AND(124&gt;='EDT Y TAREAS'!AK39,124&lt;'EDT Y TAREAS'!AL39),'EDT Y TAREAS'!AF39/'EDT Y TAREAS'!M39,0),IF(AND(124&gt;='EDT Y TAREAS'!AK40,124&lt;'EDT Y TAREAS'!AL40),'EDT Y TAREAS'!AF40/'EDT Y TAREAS'!M40,0),IF(AND(124&gt;='EDT Y TAREAS'!AK42,124&lt;'EDT Y TAREAS'!AL42),'EDT Y TAREAS'!AF42/'EDT Y TAREAS'!M42,0),IF(AND(124&gt;='EDT Y TAREAS'!AK45,124&lt;'EDT Y TAREAS'!AL45),'EDT Y TAREAS'!AF45/'EDT Y TAREAS'!M45,0),IF(AND(124&gt;='EDT Y TAREAS'!AK49,124&lt;'EDT Y TAREAS'!AL49),'EDT Y TAREAS'!AF49/'EDT Y TAREAS'!M49,0),IF(AND(124&gt;='EDT Y TAREAS'!AK52,124&lt;'EDT Y TAREAS'!AL52),'EDT Y TAREAS'!AF52/'EDT Y TAREAS'!M52,0))</x:f>
        <x:v>3.2</x:v>
      </x:c>
      <x:c r="E164" s="35" t="n">
        <x:f>SUM(IF(AND(124&gt;='EDT Y TAREAS'!AK29,124&lt;'EDT Y TAREAS'!AL29),'EDT Y TAREAS'!AG29/'EDT Y TAREAS'!M29,0),IF(AND(124&gt;='EDT Y TAREAS'!AK30,124&lt;'EDT Y TAREAS'!AL30),'EDT Y TAREAS'!AG30/'EDT Y TAREAS'!M30,0),IF(AND(124&gt;='EDT Y TAREAS'!AK31,124&lt;'EDT Y TAREAS'!AL31),'EDT Y TAREAS'!AG31/'EDT Y TAREAS'!M31,0),IF(AND(124&gt;='EDT Y TAREAS'!AK32,124&lt;'EDT Y TAREAS'!AL32),'EDT Y TAREAS'!AG32/'EDT Y TAREAS'!M32,0),IF(AND(124&gt;='EDT Y TAREAS'!AK41,124&lt;'EDT Y TAREAS'!AL41),'EDT Y TAREAS'!AG41/'EDT Y TAREAS'!M41,0),IF(AND(124&gt;='EDT Y TAREAS'!AK45,124&lt;'EDT Y TAREAS'!AL45),'EDT Y TAREAS'!AG45/'EDT Y TAREAS'!M45,0),IF(AND(124&gt;='EDT Y TAREAS'!AK48,124&lt;'EDT Y TAREAS'!AL48),'EDT Y TAREAS'!AG48/'EDT Y TAREAS'!M48,0))</x:f>
        <x:v>3.2</x:v>
      </x:c>
      <x:c r="F164" s="35" t="n">
        <x:f>SUM(IF(AND(124&gt;='EDT Y TAREAS'!AK10,124&lt;'EDT Y TAREAS'!AL10),'EDT Y TAREAS'!AH10/'EDT Y TAREAS'!M10,0),IF(AND(124&gt;='EDT Y TAREAS'!AK12,124&lt;'EDT Y TAREAS'!AL12),'EDT Y TAREAS'!AH12/'EDT Y TAREAS'!M12,0),IF(AND(124&gt;='EDT Y TAREAS'!AK22,124&lt;'EDT Y TAREAS'!AL22),'EDT Y TAREAS'!AH22/'EDT Y TAREAS'!M22,0),IF(AND(124&gt;='EDT Y TAREAS'!AK23,124&lt;'EDT Y TAREAS'!AL23),'EDT Y TAREAS'!AH23/'EDT Y TAREAS'!M23,0),IF(AND(124&gt;='EDT Y TAREAS'!AK29,124&lt;'EDT Y TAREAS'!AL29),'EDT Y TAREAS'!AH29/'EDT Y TAREAS'!M29,0),IF(AND(124&gt;='EDT Y TAREAS'!AK30,124&lt;'EDT Y TAREAS'!AL30),'EDT Y TAREAS'!AH30/'EDT Y TAREAS'!M30,0),IF(AND(124&gt;='EDT Y TAREAS'!AK32,124&lt;'EDT Y TAREAS'!AL32),'EDT Y TAREAS'!AH32/'EDT Y TAREAS'!M32,0),IF(AND(124&gt;='EDT Y TAREAS'!AK41,124&lt;'EDT Y TAREAS'!AL41),'EDT Y TAREAS'!AH41/'EDT Y TAREAS'!M41,0),IF(AND(124&gt;='EDT Y TAREAS'!AK44,124&lt;'EDT Y TAREAS'!AL44),'EDT Y TAREAS'!AH44/'EDT Y TAREAS'!M44,0),IF(AND(124&gt;='EDT Y TAREAS'!AK46,124&lt;'EDT Y TAREAS'!AL46),'EDT Y TAREAS'!AH46/'EDT Y TAREAS'!M46,0),IF(AND(124&gt;='EDT Y TAREAS'!AK48,124&lt;'EDT Y TAREAS'!AL48),'EDT Y TAREAS'!AH48/'EDT Y TAREAS'!M48,0))</x:f>
        <x:v>0</x:v>
      </x:c>
      <x:c r="G164" s="35" t="n">
        <x:f>SUM(IF(AND(124&gt;='EDT Y TAREAS'!AK20,124&lt;'EDT Y TAREAS'!AL20),'EDT Y TAREAS'!AI20/'EDT Y TAREAS'!M20,0),IF(AND(124&gt;='EDT Y TAREAS'!AK25,124&lt;'EDT Y TAREAS'!AL25),'EDT Y TAREAS'!AI25/'EDT Y TAREAS'!M25,0),IF(AND(124&gt;='EDT Y TAREAS'!AK33,124&lt;'EDT Y TAREAS'!AL33),'EDT Y TAREAS'!AI33/'EDT Y TAREAS'!M33,0),IF(AND(124&gt;='EDT Y TAREAS'!AK34,124&lt;'EDT Y TAREAS'!AL34),'EDT Y TAREAS'!AI34/'EDT Y TAREAS'!M34,0),IF(AND(124&gt;='EDT Y TAREAS'!AK36,124&lt;'EDT Y TAREAS'!AL36),'EDT Y TAREAS'!AI36/'EDT Y TAREAS'!M36,0),IF(AND(124&gt;='EDT Y TAREAS'!AK39,124&lt;'EDT Y TAREAS'!AL39),'EDT Y TAREAS'!AI39/'EDT Y TAREAS'!M39,0),IF(AND(124&gt;='EDT Y TAREAS'!AK40,124&lt;'EDT Y TAREAS'!AL40),'EDT Y TAREAS'!AI40/'EDT Y TAREAS'!M40,0),IF(AND(124&gt;='EDT Y TAREAS'!AK42,124&lt;'EDT Y TAREAS'!AL42),'EDT Y TAREAS'!AI42/'EDT Y TAREAS'!M42,0),IF(AND(124&gt;='EDT Y TAREAS'!AK43,124&lt;'EDT Y TAREAS'!AL43),'EDT Y TAREAS'!AI43/'EDT Y TAREAS'!M43,0),IF(AND(124&gt;='EDT Y TAREAS'!AK44,124&lt;'EDT Y TAREAS'!AL44),'EDT Y TAREAS'!AI44/'EDT Y TAREAS'!M44,0),IF(AND(124&gt;='EDT Y TAREAS'!AK45,124&lt;'EDT Y TAREAS'!AL45),'EDT Y TAREAS'!AI45/'EDT Y TAREAS'!M45,0),IF(AND(124&gt;='EDT Y TAREAS'!AK46,124&lt;'EDT Y TAREAS'!AL46),'EDT Y TAREAS'!AI46/'EDT Y TAREAS'!M46,0),IF(AND(124&gt;='EDT Y TAREAS'!AK48,124&lt;'EDT Y TAREAS'!AL48),'EDT Y TAREAS'!AI48/'EDT Y TAREAS'!M48,0),IF(AND(124&gt;='EDT Y TAREAS'!AK50,124&lt;'EDT Y TAREAS'!AL50),'EDT Y TAREAS'!AI50/'EDT Y TAREAS'!M50,0),IF(AND(124&gt;='EDT Y TAREAS'!AK52,124&lt;'EDT Y TAREAS'!AL52),'EDT Y TAREAS'!AI52/'EDT Y TAREAS'!M52,0))</x:f>
        <x:v>2.4</x:v>
      </x:c>
      <x:c r="H164" s="35" t="n">
        <x:f>SUM(IF(AND(124&gt;='EDT Y TAREAS'!AK11,124&lt;'EDT Y TAREAS'!AL11),'EDT Y TAREAS'!AJ11/'EDT Y TAREAS'!M11,0),IF(AND(124&gt;='EDT Y TAREAS'!AK24,124&lt;'EDT Y TAREAS'!AL24),'EDT Y TAREAS'!AJ24/'EDT Y TAREAS'!M24,0),IF(AND(124&gt;='EDT Y TAREAS'!AK27,124&lt;'EDT Y TAREAS'!AL27),'EDT Y TAREAS'!AJ27/'EDT Y TAREAS'!M27,0),IF(AND(124&gt;='EDT Y TAREAS'!AK28,124&lt;'EDT Y TAREAS'!AL28),'EDT Y TAREAS'!AJ28/'EDT Y TAREAS'!M28,0),IF(AND(124&gt;='EDT Y TAREAS'!AK33,124&lt;'EDT Y TAREAS'!AL33),'EDT Y TAREAS'!AJ33/'EDT Y TAREAS'!M33,0),IF(AND(124&gt;='EDT Y TAREAS'!AK35,124&lt;'EDT Y TAREAS'!AL35),'EDT Y TAREAS'!AJ35/'EDT Y TAREAS'!M35,0),IF(AND(124&gt;='EDT Y TAREAS'!AK36,124&lt;'EDT Y TAREAS'!AL36),'EDT Y TAREAS'!AJ36/'EDT Y TAREAS'!M36,0),IF(AND(124&gt;='EDT Y TAREAS'!AK37,124&lt;'EDT Y TAREAS'!AL37),'EDT Y TAREAS'!AJ37/'EDT Y TAREAS'!M37,0),IF(AND(124&gt;='EDT Y TAREAS'!AK40,124&lt;'EDT Y TAREAS'!AL40),'EDT Y TAREAS'!AJ40/'EDT Y TAREAS'!M40,0),IF(AND(124&gt;='EDT Y TAREAS'!AK42,124&lt;'EDT Y TAREAS'!AL42),'EDT Y TAREAS'!AJ42/'EDT Y TAREAS'!M42,0),IF(AND(124&gt;='EDT Y TAREAS'!AK49,124&lt;'EDT Y TAREAS'!AL49),'EDT Y TAREAS'!AJ49/'EDT Y TAREAS'!M49,0),IF(AND(124&gt;='EDT Y TAREAS'!AK50,124&lt;'EDT Y TAREAS'!AL50),'EDT Y TAREAS'!AJ50/'EDT Y TAREAS'!M50,0),IF(AND(124&gt;='EDT Y TAREAS'!AK51,124&lt;'EDT Y TAREAS'!AL51),'EDT Y TAREAS'!AJ51/'EDT Y TAREAS'!M51,0),IF(AND(124&gt;='EDT Y TAREAS'!AK52,124&lt;'EDT Y TAREAS'!AL52),'EDT Y TAREAS'!AJ52/'EDT Y TAREAS'!M52,0))</x:f>
        <x:v>0</x:v>
      </x:c>
      <x:c r="I164" s="10" t="n">
        <x:f>WORKDAY('RESUMEN'!$D$3-1,A164,'RESUMEN'!$J$6:$J$25)</x:f>
        <x:v>46500</x:v>
      </x:c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  <x:c r="AC164" s="3"/>
      <x:c r="AD164" s="3"/>
      <x:c r="AE164" s="3"/>
      <x:c r="AF164" s="3"/>
      <x:c r="AG164" s="3"/>
      <x:c r="AH164" s="3"/>
      <x:c r="AI164" s="3"/>
      <x:c r="AJ164" s="3"/>
      <x:c r="AK164" s="3"/>
      <x:c r="AL164" s="3"/>
      <x:c r="AM164" s="3"/>
      <x:c r="AN164" s="3"/>
      <x:c r="AO164" s="3"/>
    </x:row>
    <x:row r="165" ht="24" customHeight="1">
      <x:c r="A165" s="3" t="n">
        <x:v>126</x:v>
      </x:c>
      <x:c r="B165" s="35" t="n">
        <x:f>SUM(IF(AND(125&gt;='EDT Y TAREAS'!AK6,125&lt;'EDT Y TAREAS'!AL6),'EDT Y TAREAS'!AD6/'EDT Y TAREAS'!M6,0),IF(AND(125&gt;='EDT Y TAREAS'!AK7,125&lt;'EDT Y TAREAS'!AL7),'EDT Y TAREAS'!AD7/'EDT Y TAREAS'!M7,0),IF(AND(125&gt;='EDT Y TAREAS'!AK8,125&lt;'EDT Y TAREAS'!AL8),'EDT Y TAREAS'!AD8/'EDT Y TAREAS'!M8,0),IF(AND(125&gt;='EDT Y TAREAS'!AK9,125&lt;'EDT Y TAREAS'!AL9),'EDT Y TAREAS'!AD9/'EDT Y TAREAS'!M9,0),IF(AND(125&gt;='EDT Y TAREAS'!AK10,125&lt;'EDT Y TAREAS'!AL10),'EDT Y TAREAS'!AD10/'EDT Y TAREAS'!M10,0),IF(AND(125&gt;='EDT Y TAREAS'!AK11,125&lt;'EDT Y TAREAS'!AL11),'EDT Y TAREAS'!AD11/'EDT Y TAREAS'!M11,0),IF(AND(125&gt;='EDT Y TAREAS'!AK12,125&lt;'EDT Y TAREAS'!AL12),'EDT Y TAREAS'!AD12/'EDT Y TAREAS'!M12,0),IF(AND(125&gt;='EDT Y TAREAS'!AK13,125&lt;'EDT Y TAREAS'!AL13),'EDT Y TAREAS'!AD13/'EDT Y TAREAS'!M13,0),IF(AND(125&gt;='EDT Y TAREAS'!AK14,125&lt;'EDT Y TAREAS'!AL14),'EDT Y TAREAS'!AD14/'EDT Y TAREAS'!M14,0),IF(AND(125&gt;='EDT Y TAREAS'!AK15,125&lt;'EDT Y TAREAS'!AL15),'EDT Y TAREAS'!AD15/'EDT Y TAREAS'!M15,0),IF(AND(125&gt;='EDT Y TAREAS'!AK16,125&lt;'EDT Y TAREAS'!AL16),'EDT Y TAREAS'!AD16/'EDT Y TAREAS'!M16,0),IF(AND(125&gt;='EDT Y TAREAS'!AK17,125&lt;'EDT Y TAREAS'!AL17),'EDT Y TAREAS'!AD17/'EDT Y TAREAS'!M17,0),IF(AND(125&gt;='EDT Y TAREAS'!AK18,125&lt;'EDT Y TAREAS'!AL18),'EDT Y TAREAS'!AD18/'EDT Y TAREAS'!M18,0),IF(AND(125&gt;='EDT Y TAREAS'!AK19,125&lt;'EDT Y TAREAS'!AL19),'EDT Y TAREAS'!AD19/'EDT Y TAREAS'!M19,0),IF(AND(125&gt;='EDT Y TAREAS'!AK20,125&lt;'EDT Y TAREAS'!AL20),'EDT Y TAREAS'!AD20/'EDT Y TAREAS'!M20,0),IF(AND(125&gt;='EDT Y TAREAS'!AK21,125&lt;'EDT Y TAREAS'!AL21),'EDT Y TAREAS'!AD21/'EDT Y TAREAS'!M21,0),IF(AND(125&gt;='EDT Y TAREAS'!AK22,125&lt;'EDT Y TAREAS'!AL22),'EDT Y TAREAS'!AD22/'EDT Y TAREAS'!M22,0),IF(AND(125&gt;='EDT Y TAREAS'!AK23,125&lt;'EDT Y TAREAS'!AL23),'EDT Y TAREAS'!AD23/'EDT Y TAREAS'!M23,0),IF(AND(125&gt;='EDT Y TAREAS'!AK26,125&lt;'EDT Y TAREAS'!AL26),'EDT Y TAREAS'!AD26/'EDT Y TAREAS'!M26,0),IF(AND(125&gt;='EDT Y TAREAS'!AK28,125&lt;'EDT Y TAREAS'!AL28),'EDT Y TAREAS'!AD28/'EDT Y TAREAS'!M28,0),IF(AND(125&gt;='EDT Y TAREAS'!AK30,125&lt;'EDT Y TAREAS'!AL30),'EDT Y TAREAS'!AD30/'EDT Y TAREAS'!M30,0),IF(AND(125&gt;='EDT Y TAREAS'!AK32,125&lt;'EDT Y TAREAS'!AL32),'EDT Y TAREAS'!AD32/'EDT Y TAREAS'!M32,0),IF(AND(125&gt;='EDT Y TAREAS'!AK34,125&lt;'EDT Y TAREAS'!AL34),'EDT Y TAREAS'!AD34/'EDT Y TAREAS'!M34,0),IF(AND(125&gt;='EDT Y TAREAS'!AK38,125&lt;'EDT Y TAREAS'!AL38),'EDT Y TAREAS'!AD38/'EDT Y TAREAS'!M38,0),IF(AND(125&gt;='EDT Y TAREAS'!AK39,125&lt;'EDT Y TAREAS'!AL39),'EDT Y TAREAS'!AD39/'EDT Y TAREAS'!M39,0),IF(AND(125&gt;='EDT Y TAREAS'!AK43,125&lt;'EDT Y TAREAS'!AL43),'EDT Y TAREAS'!AD43/'EDT Y TAREAS'!M43,0),IF(AND(125&gt;='EDT Y TAREAS'!AK44,125&lt;'EDT Y TAREAS'!AL44),'EDT Y TAREAS'!AD44/'EDT Y TAREAS'!M44,0),IF(AND(125&gt;='EDT Y TAREAS'!AK45,125&lt;'EDT Y TAREAS'!AL45),'EDT Y TAREAS'!AD45/'EDT Y TAREAS'!M45,0),IF(AND(125&gt;='EDT Y TAREAS'!AK46,125&lt;'EDT Y TAREAS'!AL46),'EDT Y TAREAS'!AD46/'EDT Y TAREAS'!M46,0),IF(AND(125&gt;='EDT Y TAREAS'!AK47,125&lt;'EDT Y TAREAS'!AL47),'EDT Y TAREAS'!AD47/'EDT Y TAREAS'!M47,0),IF(AND(125&gt;='EDT Y TAREAS'!AK49,125&lt;'EDT Y TAREAS'!AL49),'EDT Y TAREAS'!AD49/'EDT Y TAREAS'!M49,0),IF(AND(125&gt;='EDT Y TAREAS'!AK50,125&lt;'EDT Y TAREAS'!AL50),'EDT Y TAREAS'!AD50/'EDT Y TAREAS'!M50,0),IF(AND(125&gt;='EDT Y TAREAS'!AK51,125&lt;'EDT Y TAREAS'!AL51),'EDT Y TAREAS'!AD51/'EDT Y TAREAS'!M51,0),IF(AND(125&gt;='EDT Y TAREAS'!AK52,125&lt;'EDT Y TAREAS'!AL52),'EDT Y TAREAS'!AD52/'EDT Y TAREAS'!M52,0))</x:f>
        <x:v>3.2</x:v>
      </x:c>
      <x:c r="C165" s="35" t="n">
        <x:f>SUM(IF(AND(125&gt;='EDT Y TAREAS'!AK6,125&lt;'EDT Y TAREAS'!AL6),'EDT Y TAREAS'!AE6/'EDT Y TAREAS'!M6,0),IF(AND(125&gt;='EDT Y TAREAS'!AK8,125&lt;'EDT Y TAREAS'!AL8),'EDT Y TAREAS'!AE8/'EDT Y TAREAS'!M8,0),IF(AND(125&gt;='EDT Y TAREAS'!AK9,125&lt;'EDT Y TAREAS'!AL9),'EDT Y TAREAS'!AE9/'EDT Y TAREAS'!M9,0),IF(AND(125&gt;='EDT Y TAREAS'!AK10,125&lt;'EDT Y TAREAS'!AL10),'EDT Y TAREAS'!AE10/'EDT Y TAREAS'!M10,0),IF(AND(125&gt;='EDT Y TAREAS'!AK12,125&lt;'EDT Y TAREAS'!AL12),'EDT Y TAREAS'!AE12/'EDT Y TAREAS'!M12,0),IF(AND(125&gt;='EDT Y TAREAS'!AK16,125&lt;'EDT Y TAREAS'!AL16),'EDT Y TAREAS'!AE16/'EDT Y TAREAS'!M16,0),IF(AND(125&gt;='EDT Y TAREAS'!AK21,125&lt;'EDT Y TAREAS'!AL21),'EDT Y TAREAS'!AE21/'EDT Y TAREAS'!M21,0),IF(AND(125&gt;='EDT Y TAREAS'!AK23,125&lt;'EDT Y TAREAS'!AL23),'EDT Y TAREAS'!AE23/'EDT Y TAREAS'!M23,0),IF(AND(125&gt;='EDT Y TAREAS'!AK37,125&lt;'EDT Y TAREAS'!AL37),'EDT Y TAREAS'!AE37/'EDT Y TAREAS'!M37,0),IF(AND(125&gt;='EDT Y TAREAS'!AK38,125&lt;'EDT Y TAREAS'!AL38),'EDT Y TAREAS'!AE38/'EDT Y TAREAS'!M38,0),IF(AND(125&gt;='EDT Y TAREAS'!AK41,125&lt;'EDT Y TAREAS'!AL41),'EDT Y TAREAS'!AE41/'EDT Y TAREAS'!M41,0),IF(AND(125&gt;='EDT Y TAREAS'!AK43,125&lt;'EDT Y TAREAS'!AL43),'EDT Y TAREAS'!AE43/'EDT Y TAREAS'!M43,0),IF(AND(125&gt;='EDT Y TAREAS'!AK44,125&lt;'EDT Y TAREAS'!AL44),'EDT Y TAREAS'!AE44/'EDT Y TAREAS'!M44,0),IF(AND(125&gt;='EDT Y TAREAS'!AK46,125&lt;'EDT Y TAREAS'!AL46),'EDT Y TAREAS'!AE46/'EDT Y TAREAS'!M46,0),IF(AND(125&gt;='EDT Y TAREAS'!AK47,125&lt;'EDT Y TAREAS'!AL47),'EDT Y TAREAS'!AE47/'EDT Y TAREAS'!M47,0),IF(AND(125&gt;='EDT Y TAREAS'!AK51,125&lt;'EDT Y TAREAS'!AL51),'EDT Y TAREAS'!AE51/'EDT Y TAREAS'!M51,0),IF(AND(125&gt;='EDT Y TAREAS'!AK52,125&lt;'EDT Y TAREAS'!AL52),'EDT Y TAREAS'!AE52/'EDT Y TAREAS'!M52,0))</x:f>
        <x:v>1.6</x:v>
      </x:c>
      <x:c r="D165" s="35" t="n">
        <x:f>SUM(IF(AND(125&gt;='EDT Y TAREAS'!AK11,125&lt;'EDT Y TAREAS'!AL11),'EDT Y TAREAS'!AF11/'EDT Y TAREAS'!M11,0),IF(AND(125&gt;='EDT Y TAREAS'!AK24,125&lt;'EDT Y TAREAS'!AL24),'EDT Y TAREAS'!AF24/'EDT Y TAREAS'!M24,0),IF(AND(125&gt;='EDT Y TAREAS'!AK25,125&lt;'EDT Y TAREAS'!AL25),'EDT Y TAREAS'!AF25/'EDT Y TAREAS'!M25,0),IF(AND(125&gt;='EDT Y TAREAS'!AK26,125&lt;'EDT Y TAREAS'!AL26),'EDT Y TAREAS'!AF26/'EDT Y TAREAS'!M26,0),IF(AND(125&gt;='EDT Y TAREAS'!AK27,125&lt;'EDT Y TAREAS'!AL27),'EDT Y TAREAS'!AF27/'EDT Y TAREAS'!M27,0),IF(AND(125&gt;='EDT Y TAREAS'!AK28,125&lt;'EDT Y TAREAS'!AL28),'EDT Y TAREAS'!AF28/'EDT Y TAREAS'!M28,0),IF(AND(125&gt;='EDT Y TAREAS'!AK31,125&lt;'EDT Y TAREAS'!AL31),'EDT Y TAREAS'!AF31/'EDT Y TAREAS'!M31,0),IF(AND(125&gt;='EDT Y TAREAS'!AK33,125&lt;'EDT Y TAREAS'!AL33),'EDT Y TAREAS'!AF33/'EDT Y TAREAS'!M33,0),IF(AND(125&gt;='EDT Y TAREAS'!AK34,125&lt;'EDT Y TAREAS'!AL34),'EDT Y TAREAS'!AF34/'EDT Y TAREAS'!M34,0),IF(AND(125&gt;='EDT Y TAREAS'!AK35,125&lt;'EDT Y TAREAS'!AL35),'EDT Y TAREAS'!AF35/'EDT Y TAREAS'!M35,0),IF(AND(125&gt;='EDT Y TAREAS'!AK37,125&lt;'EDT Y TAREAS'!AL37),'EDT Y TAREAS'!AF37/'EDT Y TAREAS'!M37,0),IF(AND(125&gt;='EDT Y TAREAS'!AK39,125&lt;'EDT Y TAREAS'!AL39),'EDT Y TAREAS'!AF39/'EDT Y TAREAS'!M39,0),IF(AND(125&gt;='EDT Y TAREAS'!AK40,125&lt;'EDT Y TAREAS'!AL40),'EDT Y TAREAS'!AF40/'EDT Y TAREAS'!M40,0),IF(AND(125&gt;='EDT Y TAREAS'!AK42,125&lt;'EDT Y TAREAS'!AL42),'EDT Y TAREAS'!AF42/'EDT Y TAREAS'!M42,0),IF(AND(125&gt;='EDT Y TAREAS'!AK45,125&lt;'EDT Y TAREAS'!AL45),'EDT Y TAREAS'!AF45/'EDT Y TAREAS'!M45,0),IF(AND(125&gt;='EDT Y TAREAS'!AK49,125&lt;'EDT Y TAREAS'!AL49),'EDT Y TAREAS'!AF49/'EDT Y TAREAS'!M49,0),IF(AND(125&gt;='EDT Y TAREAS'!AK52,125&lt;'EDT Y TAREAS'!AL52),'EDT Y TAREAS'!AF52/'EDT Y TAREAS'!M52,0))</x:f>
        <x:v>3.2</x:v>
      </x:c>
      <x:c r="E165" s="35" t="n">
        <x:f>SUM(IF(AND(125&gt;='EDT Y TAREAS'!AK29,125&lt;'EDT Y TAREAS'!AL29),'EDT Y TAREAS'!AG29/'EDT Y TAREAS'!M29,0),IF(AND(125&gt;='EDT Y TAREAS'!AK30,125&lt;'EDT Y TAREAS'!AL30),'EDT Y TAREAS'!AG30/'EDT Y TAREAS'!M30,0),IF(AND(125&gt;='EDT Y TAREAS'!AK31,125&lt;'EDT Y TAREAS'!AL31),'EDT Y TAREAS'!AG31/'EDT Y TAREAS'!M31,0),IF(AND(125&gt;='EDT Y TAREAS'!AK32,125&lt;'EDT Y TAREAS'!AL32),'EDT Y TAREAS'!AG32/'EDT Y TAREAS'!M32,0),IF(AND(125&gt;='EDT Y TAREAS'!AK41,125&lt;'EDT Y TAREAS'!AL41),'EDT Y TAREAS'!AG41/'EDT Y TAREAS'!M41,0),IF(AND(125&gt;='EDT Y TAREAS'!AK45,125&lt;'EDT Y TAREAS'!AL45),'EDT Y TAREAS'!AG45/'EDT Y TAREAS'!M45,0),IF(AND(125&gt;='EDT Y TAREAS'!AK48,125&lt;'EDT Y TAREAS'!AL48),'EDT Y TAREAS'!AG48/'EDT Y TAREAS'!M48,0))</x:f>
        <x:v>3.2</x:v>
      </x:c>
      <x:c r="F165" s="35" t="n">
        <x:f>SUM(IF(AND(125&gt;='EDT Y TAREAS'!AK10,125&lt;'EDT Y TAREAS'!AL10),'EDT Y TAREAS'!AH10/'EDT Y TAREAS'!M10,0),IF(AND(125&gt;='EDT Y TAREAS'!AK12,125&lt;'EDT Y TAREAS'!AL12),'EDT Y TAREAS'!AH12/'EDT Y TAREAS'!M12,0),IF(AND(125&gt;='EDT Y TAREAS'!AK22,125&lt;'EDT Y TAREAS'!AL22),'EDT Y TAREAS'!AH22/'EDT Y TAREAS'!M22,0),IF(AND(125&gt;='EDT Y TAREAS'!AK23,125&lt;'EDT Y TAREAS'!AL23),'EDT Y TAREAS'!AH23/'EDT Y TAREAS'!M23,0),IF(AND(125&gt;='EDT Y TAREAS'!AK29,125&lt;'EDT Y TAREAS'!AL29),'EDT Y TAREAS'!AH29/'EDT Y TAREAS'!M29,0),IF(AND(125&gt;='EDT Y TAREAS'!AK30,125&lt;'EDT Y TAREAS'!AL30),'EDT Y TAREAS'!AH30/'EDT Y TAREAS'!M30,0),IF(AND(125&gt;='EDT Y TAREAS'!AK32,125&lt;'EDT Y TAREAS'!AL32),'EDT Y TAREAS'!AH32/'EDT Y TAREAS'!M32,0),IF(AND(125&gt;='EDT Y TAREAS'!AK41,125&lt;'EDT Y TAREAS'!AL41),'EDT Y TAREAS'!AH41/'EDT Y TAREAS'!M41,0),IF(AND(125&gt;='EDT Y TAREAS'!AK44,125&lt;'EDT Y TAREAS'!AL44),'EDT Y TAREAS'!AH44/'EDT Y TAREAS'!M44,0),IF(AND(125&gt;='EDT Y TAREAS'!AK46,125&lt;'EDT Y TAREAS'!AL46),'EDT Y TAREAS'!AH46/'EDT Y TAREAS'!M46,0),IF(AND(125&gt;='EDT Y TAREAS'!AK48,125&lt;'EDT Y TAREAS'!AL48),'EDT Y TAREAS'!AH48/'EDT Y TAREAS'!M48,0))</x:f>
        <x:v>0</x:v>
      </x:c>
      <x:c r="G165" s="35" t="n">
        <x:f>SUM(IF(AND(125&gt;='EDT Y TAREAS'!AK20,125&lt;'EDT Y TAREAS'!AL20),'EDT Y TAREAS'!AI20/'EDT Y TAREAS'!M20,0),IF(AND(125&gt;='EDT Y TAREAS'!AK25,125&lt;'EDT Y TAREAS'!AL25),'EDT Y TAREAS'!AI25/'EDT Y TAREAS'!M25,0),IF(AND(125&gt;='EDT Y TAREAS'!AK33,125&lt;'EDT Y TAREAS'!AL33),'EDT Y TAREAS'!AI33/'EDT Y TAREAS'!M33,0),IF(AND(125&gt;='EDT Y TAREAS'!AK34,125&lt;'EDT Y TAREAS'!AL34),'EDT Y TAREAS'!AI34/'EDT Y TAREAS'!M34,0),IF(AND(125&gt;='EDT Y TAREAS'!AK36,125&lt;'EDT Y TAREAS'!AL36),'EDT Y TAREAS'!AI36/'EDT Y TAREAS'!M36,0),IF(AND(125&gt;='EDT Y TAREAS'!AK39,125&lt;'EDT Y TAREAS'!AL39),'EDT Y TAREAS'!AI39/'EDT Y TAREAS'!M39,0),IF(AND(125&gt;='EDT Y TAREAS'!AK40,125&lt;'EDT Y TAREAS'!AL40),'EDT Y TAREAS'!AI40/'EDT Y TAREAS'!M40,0),IF(AND(125&gt;='EDT Y TAREAS'!AK42,125&lt;'EDT Y TAREAS'!AL42),'EDT Y TAREAS'!AI42/'EDT Y TAREAS'!M42,0),IF(AND(125&gt;='EDT Y TAREAS'!AK43,125&lt;'EDT Y TAREAS'!AL43),'EDT Y TAREAS'!AI43/'EDT Y TAREAS'!M43,0),IF(AND(125&gt;='EDT Y TAREAS'!AK44,125&lt;'EDT Y TAREAS'!AL44),'EDT Y TAREAS'!AI44/'EDT Y TAREAS'!M44,0),IF(AND(125&gt;='EDT Y TAREAS'!AK45,125&lt;'EDT Y TAREAS'!AL45),'EDT Y TAREAS'!AI45/'EDT Y TAREAS'!M45,0),IF(AND(125&gt;='EDT Y TAREAS'!AK46,125&lt;'EDT Y TAREAS'!AL46),'EDT Y TAREAS'!AI46/'EDT Y TAREAS'!M46,0),IF(AND(125&gt;='EDT Y TAREAS'!AK48,125&lt;'EDT Y TAREAS'!AL48),'EDT Y TAREAS'!AI48/'EDT Y TAREAS'!M48,0),IF(AND(125&gt;='EDT Y TAREAS'!AK50,125&lt;'EDT Y TAREAS'!AL50),'EDT Y TAREAS'!AI50/'EDT Y TAREAS'!M50,0),IF(AND(125&gt;='EDT Y TAREAS'!AK52,125&lt;'EDT Y TAREAS'!AL52),'EDT Y TAREAS'!AI52/'EDT Y TAREAS'!M52,0))</x:f>
        <x:v>2.4</x:v>
      </x:c>
      <x:c r="H165" s="35" t="n">
        <x:f>SUM(IF(AND(125&gt;='EDT Y TAREAS'!AK11,125&lt;'EDT Y TAREAS'!AL11),'EDT Y TAREAS'!AJ11/'EDT Y TAREAS'!M11,0),IF(AND(125&gt;='EDT Y TAREAS'!AK24,125&lt;'EDT Y TAREAS'!AL24),'EDT Y TAREAS'!AJ24/'EDT Y TAREAS'!M24,0),IF(AND(125&gt;='EDT Y TAREAS'!AK27,125&lt;'EDT Y TAREAS'!AL27),'EDT Y TAREAS'!AJ27/'EDT Y TAREAS'!M27,0),IF(AND(125&gt;='EDT Y TAREAS'!AK28,125&lt;'EDT Y TAREAS'!AL28),'EDT Y TAREAS'!AJ28/'EDT Y TAREAS'!M28,0),IF(AND(125&gt;='EDT Y TAREAS'!AK33,125&lt;'EDT Y TAREAS'!AL33),'EDT Y TAREAS'!AJ33/'EDT Y TAREAS'!M33,0),IF(AND(125&gt;='EDT Y TAREAS'!AK35,125&lt;'EDT Y TAREAS'!AL35),'EDT Y TAREAS'!AJ35/'EDT Y TAREAS'!M35,0),IF(AND(125&gt;='EDT Y TAREAS'!AK36,125&lt;'EDT Y TAREAS'!AL36),'EDT Y TAREAS'!AJ36/'EDT Y TAREAS'!M36,0),IF(AND(125&gt;='EDT Y TAREAS'!AK37,125&lt;'EDT Y TAREAS'!AL37),'EDT Y TAREAS'!AJ37/'EDT Y TAREAS'!M37,0),IF(AND(125&gt;='EDT Y TAREAS'!AK40,125&lt;'EDT Y TAREAS'!AL40),'EDT Y TAREAS'!AJ40/'EDT Y TAREAS'!M40,0),IF(AND(125&gt;='EDT Y TAREAS'!AK42,125&lt;'EDT Y TAREAS'!AL42),'EDT Y TAREAS'!AJ42/'EDT Y TAREAS'!M42,0),IF(AND(125&gt;='EDT Y TAREAS'!AK49,125&lt;'EDT Y TAREAS'!AL49),'EDT Y TAREAS'!AJ49/'EDT Y TAREAS'!M49,0),IF(AND(125&gt;='EDT Y TAREAS'!AK50,125&lt;'EDT Y TAREAS'!AL50),'EDT Y TAREAS'!AJ50/'EDT Y TAREAS'!M50,0),IF(AND(125&gt;='EDT Y TAREAS'!AK51,125&lt;'EDT Y TAREAS'!AL51),'EDT Y TAREAS'!AJ51/'EDT Y TAREAS'!M51,0),IF(AND(125&gt;='EDT Y TAREAS'!AK52,125&lt;'EDT Y TAREAS'!AL52),'EDT Y TAREAS'!AJ52/'EDT Y TAREAS'!M52,0))</x:f>
        <x:v>0</x:v>
      </x:c>
      <x:c r="I165" s="10" t="n">
        <x:f>WORKDAY('RESUMEN'!$D$3-1,A165,'RESUMEN'!$J$6:$J$25)</x:f>
        <x:v>46503</x:v>
      </x:c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  <x:c r="AC165" s="3"/>
      <x:c r="AD165" s="3"/>
      <x:c r="AE165" s="3"/>
      <x:c r="AF165" s="3"/>
      <x:c r="AG165" s="3"/>
      <x:c r="AH165" s="3"/>
      <x:c r="AI165" s="3"/>
      <x:c r="AJ165" s="3"/>
      <x:c r="AK165" s="3"/>
      <x:c r="AL165" s="3"/>
      <x:c r="AM165" s="3"/>
      <x:c r="AN165" s="3"/>
      <x:c r="AO165" s="3"/>
    </x:row>
    <x:row r="166" ht="24" customHeight="1">
      <x:c r="A166" s="3" t="n">
        <x:v>127</x:v>
      </x:c>
      <x:c r="B166" s="35" t="n">
        <x:f>SUM(IF(AND(126&gt;='EDT Y TAREAS'!AK6,126&lt;'EDT Y TAREAS'!AL6),'EDT Y TAREAS'!AD6/'EDT Y TAREAS'!M6,0),IF(AND(126&gt;='EDT Y TAREAS'!AK7,126&lt;'EDT Y TAREAS'!AL7),'EDT Y TAREAS'!AD7/'EDT Y TAREAS'!M7,0),IF(AND(126&gt;='EDT Y TAREAS'!AK8,126&lt;'EDT Y TAREAS'!AL8),'EDT Y TAREAS'!AD8/'EDT Y TAREAS'!M8,0),IF(AND(126&gt;='EDT Y TAREAS'!AK9,126&lt;'EDT Y TAREAS'!AL9),'EDT Y TAREAS'!AD9/'EDT Y TAREAS'!M9,0),IF(AND(126&gt;='EDT Y TAREAS'!AK10,126&lt;'EDT Y TAREAS'!AL10),'EDT Y TAREAS'!AD10/'EDT Y TAREAS'!M10,0),IF(AND(126&gt;='EDT Y TAREAS'!AK11,126&lt;'EDT Y TAREAS'!AL11),'EDT Y TAREAS'!AD11/'EDT Y TAREAS'!M11,0),IF(AND(126&gt;='EDT Y TAREAS'!AK12,126&lt;'EDT Y TAREAS'!AL12),'EDT Y TAREAS'!AD12/'EDT Y TAREAS'!M12,0),IF(AND(126&gt;='EDT Y TAREAS'!AK13,126&lt;'EDT Y TAREAS'!AL13),'EDT Y TAREAS'!AD13/'EDT Y TAREAS'!M13,0),IF(AND(126&gt;='EDT Y TAREAS'!AK14,126&lt;'EDT Y TAREAS'!AL14),'EDT Y TAREAS'!AD14/'EDT Y TAREAS'!M14,0),IF(AND(126&gt;='EDT Y TAREAS'!AK15,126&lt;'EDT Y TAREAS'!AL15),'EDT Y TAREAS'!AD15/'EDT Y TAREAS'!M15,0),IF(AND(126&gt;='EDT Y TAREAS'!AK16,126&lt;'EDT Y TAREAS'!AL16),'EDT Y TAREAS'!AD16/'EDT Y TAREAS'!M16,0),IF(AND(126&gt;='EDT Y TAREAS'!AK17,126&lt;'EDT Y TAREAS'!AL17),'EDT Y TAREAS'!AD17/'EDT Y TAREAS'!M17,0),IF(AND(126&gt;='EDT Y TAREAS'!AK18,126&lt;'EDT Y TAREAS'!AL18),'EDT Y TAREAS'!AD18/'EDT Y TAREAS'!M18,0),IF(AND(126&gt;='EDT Y TAREAS'!AK19,126&lt;'EDT Y TAREAS'!AL19),'EDT Y TAREAS'!AD19/'EDT Y TAREAS'!M19,0),IF(AND(126&gt;='EDT Y TAREAS'!AK20,126&lt;'EDT Y TAREAS'!AL20),'EDT Y TAREAS'!AD20/'EDT Y TAREAS'!M20,0),IF(AND(126&gt;='EDT Y TAREAS'!AK21,126&lt;'EDT Y TAREAS'!AL21),'EDT Y TAREAS'!AD21/'EDT Y TAREAS'!M21,0),IF(AND(126&gt;='EDT Y TAREAS'!AK22,126&lt;'EDT Y TAREAS'!AL22),'EDT Y TAREAS'!AD22/'EDT Y TAREAS'!M22,0),IF(AND(126&gt;='EDT Y TAREAS'!AK23,126&lt;'EDT Y TAREAS'!AL23),'EDT Y TAREAS'!AD23/'EDT Y TAREAS'!M23,0),IF(AND(126&gt;='EDT Y TAREAS'!AK26,126&lt;'EDT Y TAREAS'!AL26),'EDT Y TAREAS'!AD26/'EDT Y TAREAS'!M26,0),IF(AND(126&gt;='EDT Y TAREAS'!AK28,126&lt;'EDT Y TAREAS'!AL28),'EDT Y TAREAS'!AD28/'EDT Y TAREAS'!M28,0),IF(AND(126&gt;='EDT Y TAREAS'!AK30,126&lt;'EDT Y TAREAS'!AL30),'EDT Y TAREAS'!AD30/'EDT Y TAREAS'!M30,0),IF(AND(126&gt;='EDT Y TAREAS'!AK32,126&lt;'EDT Y TAREAS'!AL32),'EDT Y TAREAS'!AD32/'EDT Y TAREAS'!M32,0),IF(AND(126&gt;='EDT Y TAREAS'!AK34,126&lt;'EDT Y TAREAS'!AL34),'EDT Y TAREAS'!AD34/'EDT Y TAREAS'!M34,0),IF(AND(126&gt;='EDT Y TAREAS'!AK38,126&lt;'EDT Y TAREAS'!AL38),'EDT Y TAREAS'!AD38/'EDT Y TAREAS'!M38,0),IF(AND(126&gt;='EDT Y TAREAS'!AK39,126&lt;'EDT Y TAREAS'!AL39),'EDT Y TAREAS'!AD39/'EDT Y TAREAS'!M39,0),IF(AND(126&gt;='EDT Y TAREAS'!AK43,126&lt;'EDT Y TAREAS'!AL43),'EDT Y TAREAS'!AD43/'EDT Y TAREAS'!M43,0),IF(AND(126&gt;='EDT Y TAREAS'!AK44,126&lt;'EDT Y TAREAS'!AL44),'EDT Y TAREAS'!AD44/'EDT Y TAREAS'!M44,0),IF(AND(126&gt;='EDT Y TAREAS'!AK45,126&lt;'EDT Y TAREAS'!AL45),'EDT Y TAREAS'!AD45/'EDT Y TAREAS'!M45,0),IF(AND(126&gt;='EDT Y TAREAS'!AK46,126&lt;'EDT Y TAREAS'!AL46),'EDT Y TAREAS'!AD46/'EDT Y TAREAS'!M46,0),IF(AND(126&gt;='EDT Y TAREAS'!AK47,126&lt;'EDT Y TAREAS'!AL47),'EDT Y TAREAS'!AD47/'EDT Y TAREAS'!M47,0),IF(AND(126&gt;='EDT Y TAREAS'!AK49,126&lt;'EDT Y TAREAS'!AL49),'EDT Y TAREAS'!AD49/'EDT Y TAREAS'!M49,0),IF(AND(126&gt;='EDT Y TAREAS'!AK50,126&lt;'EDT Y TAREAS'!AL50),'EDT Y TAREAS'!AD50/'EDT Y TAREAS'!M50,0),IF(AND(126&gt;='EDT Y TAREAS'!AK51,126&lt;'EDT Y TAREAS'!AL51),'EDT Y TAREAS'!AD51/'EDT Y TAREAS'!M51,0),IF(AND(126&gt;='EDT Y TAREAS'!AK52,126&lt;'EDT Y TAREAS'!AL52),'EDT Y TAREAS'!AD52/'EDT Y TAREAS'!M52,0))</x:f>
        <x:v>3.2</x:v>
      </x:c>
      <x:c r="C166" s="35" t="n">
        <x:f>SUM(IF(AND(126&gt;='EDT Y TAREAS'!AK6,126&lt;'EDT Y TAREAS'!AL6),'EDT Y TAREAS'!AE6/'EDT Y TAREAS'!M6,0),IF(AND(126&gt;='EDT Y TAREAS'!AK8,126&lt;'EDT Y TAREAS'!AL8),'EDT Y TAREAS'!AE8/'EDT Y TAREAS'!M8,0),IF(AND(126&gt;='EDT Y TAREAS'!AK9,126&lt;'EDT Y TAREAS'!AL9),'EDT Y TAREAS'!AE9/'EDT Y TAREAS'!M9,0),IF(AND(126&gt;='EDT Y TAREAS'!AK10,126&lt;'EDT Y TAREAS'!AL10),'EDT Y TAREAS'!AE10/'EDT Y TAREAS'!M10,0),IF(AND(126&gt;='EDT Y TAREAS'!AK12,126&lt;'EDT Y TAREAS'!AL12),'EDT Y TAREAS'!AE12/'EDT Y TAREAS'!M12,0),IF(AND(126&gt;='EDT Y TAREAS'!AK16,126&lt;'EDT Y TAREAS'!AL16),'EDT Y TAREAS'!AE16/'EDT Y TAREAS'!M16,0),IF(AND(126&gt;='EDT Y TAREAS'!AK21,126&lt;'EDT Y TAREAS'!AL21),'EDT Y TAREAS'!AE21/'EDT Y TAREAS'!M21,0),IF(AND(126&gt;='EDT Y TAREAS'!AK23,126&lt;'EDT Y TAREAS'!AL23),'EDT Y TAREAS'!AE23/'EDT Y TAREAS'!M23,0),IF(AND(126&gt;='EDT Y TAREAS'!AK37,126&lt;'EDT Y TAREAS'!AL37),'EDT Y TAREAS'!AE37/'EDT Y TAREAS'!M37,0),IF(AND(126&gt;='EDT Y TAREAS'!AK38,126&lt;'EDT Y TAREAS'!AL38),'EDT Y TAREAS'!AE38/'EDT Y TAREAS'!M38,0),IF(AND(126&gt;='EDT Y TAREAS'!AK41,126&lt;'EDT Y TAREAS'!AL41),'EDT Y TAREAS'!AE41/'EDT Y TAREAS'!M41,0),IF(AND(126&gt;='EDT Y TAREAS'!AK43,126&lt;'EDT Y TAREAS'!AL43),'EDT Y TAREAS'!AE43/'EDT Y TAREAS'!M43,0),IF(AND(126&gt;='EDT Y TAREAS'!AK44,126&lt;'EDT Y TAREAS'!AL44),'EDT Y TAREAS'!AE44/'EDT Y TAREAS'!M44,0),IF(AND(126&gt;='EDT Y TAREAS'!AK46,126&lt;'EDT Y TAREAS'!AL46),'EDT Y TAREAS'!AE46/'EDT Y TAREAS'!M46,0),IF(AND(126&gt;='EDT Y TAREAS'!AK47,126&lt;'EDT Y TAREAS'!AL47),'EDT Y TAREAS'!AE47/'EDT Y TAREAS'!M47,0),IF(AND(126&gt;='EDT Y TAREAS'!AK51,126&lt;'EDT Y TAREAS'!AL51),'EDT Y TAREAS'!AE51/'EDT Y TAREAS'!M51,0),IF(AND(126&gt;='EDT Y TAREAS'!AK52,126&lt;'EDT Y TAREAS'!AL52),'EDT Y TAREAS'!AE52/'EDT Y TAREAS'!M52,0))</x:f>
        <x:v>1.6</x:v>
      </x:c>
      <x:c r="D166" s="35" t="n">
        <x:f>SUM(IF(AND(126&gt;='EDT Y TAREAS'!AK11,126&lt;'EDT Y TAREAS'!AL11),'EDT Y TAREAS'!AF11/'EDT Y TAREAS'!M11,0),IF(AND(126&gt;='EDT Y TAREAS'!AK24,126&lt;'EDT Y TAREAS'!AL24),'EDT Y TAREAS'!AF24/'EDT Y TAREAS'!M24,0),IF(AND(126&gt;='EDT Y TAREAS'!AK25,126&lt;'EDT Y TAREAS'!AL25),'EDT Y TAREAS'!AF25/'EDT Y TAREAS'!M25,0),IF(AND(126&gt;='EDT Y TAREAS'!AK26,126&lt;'EDT Y TAREAS'!AL26),'EDT Y TAREAS'!AF26/'EDT Y TAREAS'!M26,0),IF(AND(126&gt;='EDT Y TAREAS'!AK27,126&lt;'EDT Y TAREAS'!AL27),'EDT Y TAREAS'!AF27/'EDT Y TAREAS'!M27,0),IF(AND(126&gt;='EDT Y TAREAS'!AK28,126&lt;'EDT Y TAREAS'!AL28),'EDT Y TAREAS'!AF28/'EDT Y TAREAS'!M28,0),IF(AND(126&gt;='EDT Y TAREAS'!AK31,126&lt;'EDT Y TAREAS'!AL31),'EDT Y TAREAS'!AF31/'EDT Y TAREAS'!M31,0),IF(AND(126&gt;='EDT Y TAREAS'!AK33,126&lt;'EDT Y TAREAS'!AL33),'EDT Y TAREAS'!AF33/'EDT Y TAREAS'!M33,0),IF(AND(126&gt;='EDT Y TAREAS'!AK34,126&lt;'EDT Y TAREAS'!AL34),'EDT Y TAREAS'!AF34/'EDT Y TAREAS'!M34,0),IF(AND(126&gt;='EDT Y TAREAS'!AK35,126&lt;'EDT Y TAREAS'!AL35),'EDT Y TAREAS'!AF35/'EDT Y TAREAS'!M35,0),IF(AND(126&gt;='EDT Y TAREAS'!AK37,126&lt;'EDT Y TAREAS'!AL37),'EDT Y TAREAS'!AF37/'EDT Y TAREAS'!M37,0),IF(AND(126&gt;='EDT Y TAREAS'!AK39,126&lt;'EDT Y TAREAS'!AL39),'EDT Y TAREAS'!AF39/'EDT Y TAREAS'!M39,0),IF(AND(126&gt;='EDT Y TAREAS'!AK40,126&lt;'EDT Y TAREAS'!AL40),'EDT Y TAREAS'!AF40/'EDT Y TAREAS'!M40,0),IF(AND(126&gt;='EDT Y TAREAS'!AK42,126&lt;'EDT Y TAREAS'!AL42),'EDT Y TAREAS'!AF42/'EDT Y TAREAS'!M42,0),IF(AND(126&gt;='EDT Y TAREAS'!AK45,126&lt;'EDT Y TAREAS'!AL45),'EDT Y TAREAS'!AF45/'EDT Y TAREAS'!M45,0),IF(AND(126&gt;='EDT Y TAREAS'!AK49,126&lt;'EDT Y TAREAS'!AL49),'EDT Y TAREAS'!AF49/'EDT Y TAREAS'!M49,0),IF(AND(126&gt;='EDT Y TAREAS'!AK52,126&lt;'EDT Y TAREAS'!AL52),'EDT Y TAREAS'!AF52/'EDT Y TAREAS'!M52,0))</x:f>
        <x:v>3.2</x:v>
      </x:c>
      <x:c r="E166" s="35" t="n">
        <x:f>SUM(IF(AND(126&gt;='EDT Y TAREAS'!AK29,126&lt;'EDT Y TAREAS'!AL29),'EDT Y TAREAS'!AG29/'EDT Y TAREAS'!M29,0),IF(AND(126&gt;='EDT Y TAREAS'!AK30,126&lt;'EDT Y TAREAS'!AL30),'EDT Y TAREAS'!AG30/'EDT Y TAREAS'!M30,0),IF(AND(126&gt;='EDT Y TAREAS'!AK31,126&lt;'EDT Y TAREAS'!AL31),'EDT Y TAREAS'!AG31/'EDT Y TAREAS'!M31,0),IF(AND(126&gt;='EDT Y TAREAS'!AK32,126&lt;'EDT Y TAREAS'!AL32),'EDT Y TAREAS'!AG32/'EDT Y TAREAS'!M32,0),IF(AND(126&gt;='EDT Y TAREAS'!AK41,126&lt;'EDT Y TAREAS'!AL41),'EDT Y TAREAS'!AG41/'EDT Y TAREAS'!M41,0),IF(AND(126&gt;='EDT Y TAREAS'!AK45,126&lt;'EDT Y TAREAS'!AL45),'EDT Y TAREAS'!AG45/'EDT Y TAREAS'!M45,0),IF(AND(126&gt;='EDT Y TAREAS'!AK48,126&lt;'EDT Y TAREAS'!AL48),'EDT Y TAREAS'!AG48/'EDT Y TAREAS'!M48,0))</x:f>
        <x:v>3.2</x:v>
      </x:c>
      <x:c r="F166" s="35" t="n">
        <x:f>SUM(IF(AND(126&gt;='EDT Y TAREAS'!AK10,126&lt;'EDT Y TAREAS'!AL10),'EDT Y TAREAS'!AH10/'EDT Y TAREAS'!M10,0),IF(AND(126&gt;='EDT Y TAREAS'!AK12,126&lt;'EDT Y TAREAS'!AL12),'EDT Y TAREAS'!AH12/'EDT Y TAREAS'!M12,0),IF(AND(126&gt;='EDT Y TAREAS'!AK22,126&lt;'EDT Y TAREAS'!AL22),'EDT Y TAREAS'!AH22/'EDT Y TAREAS'!M22,0),IF(AND(126&gt;='EDT Y TAREAS'!AK23,126&lt;'EDT Y TAREAS'!AL23),'EDT Y TAREAS'!AH23/'EDT Y TAREAS'!M23,0),IF(AND(126&gt;='EDT Y TAREAS'!AK29,126&lt;'EDT Y TAREAS'!AL29),'EDT Y TAREAS'!AH29/'EDT Y TAREAS'!M29,0),IF(AND(126&gt;='EDT Y TAREAS'!AK30,126&lt;'EDT Y TAREAS'!AL30),'EDT Y TAREAS'!AH30/'EDT Y TAREAS'!M30,0),IF(AND(126&gt;='EDT Y TAREAS'!AK32,126&lt;'EDT Y TAREAS'!AL32),'EDT Y TAREAS'!AH32/'EDT Y TAREAS'!M32,0),IF(AND(126&gt;='EDT Y TAREAS'!AK41,126&lt;'EDT Y TAREAS'!AL41),'EDT Y TAREAS'!AH41/'EDT Y TAREAS'!M41,0),IF(AND(126&gt;='EDT Y TAREAS'!AK44,126&lt;'EDT Y TAREAS'!AL44),'EDT Y TAREAS'!AH44/'EDT Y TAREAS'!M44,0),IF(AND(126&gt;='EDT Y TAREAS'!AK46,126&lt;'EDT Y TAREAS'!AL46),'EDT Y TAREAS'!AH46/'EDT Y TAREAS'!M46,0),IF(AND(126&gt;='EDT Y TAREAS'!AK48,126&lt;'EDT Y TAREAS'!AL48),'EDT Y TAREAS'!AH48/'EDT Y TAREAS'!M48,0))</x:f>
        <x:v>0</x:v>
      </x:c>
      <x:c r="G166" s="35" t="n">
        <x:f>SUM(IF(AND(126&gt;='EDT Y TAREAS'!AK20,126&lt;'EDT Y TAREAS'!AL20),'EDT Y TAREAS'!AI20/'EDT Y TAREAS'!M20,0),IF(AND(126&gt;='EDT Y TAREAS'!AK25,126&lt;'EDT Y TAREAS'!AL25),'EDT Y TAREAS'!AI25/'EDT Y TAREAS'!M25,0),IF(AND(126&gt;='EDT Y TAREAS'!AK33,126&lt;'EDT Y TAREAS'!AL33),'EDT Y TAREAS'!AI33/'EDT Y TAREAS'!M33,0),IF(AND(126&gt;='EDT Y TAREAS'!AK34,126&lt;'EDT Y TAREAS'!AL34),'EDT Y TAREAS'!AI34/'EDT Y TAREAS'!M34,0),IF(AND(126&gt;='EDT Y TAREAS'!AK36,126&lt;'EDT Y TAREAS'!AL36),'EDT Y TAREAS'!AI36/'EDT Y TAREAS'!M36,0),IF(AND(126&gt;='EDT Y TAREAS'!AK39,126&lt;'EDT Y TAREAS'!AL39),'EDT Y TAREAS'!AI39/'EDT Y TAREAS'!M39,0),IF(AND(126&gt;='EDT Y TAREAS'!AK40,126&lt;'EDT Y TAREAS'!AL40),'EDT Y TAREAS'!AI40/'EDT Y TAREAS'!M40,0),IF(AND(126&gt;='EDT Y TAREAS'!AK42,126&lt;'EDT Y TAREAS'!AL42),'EDT Y TAREAS'!AI42/'EDT Y TAREAS'!M42,0),IF(AND(126&gt;='EDT Y TAREAS'!AK43,126&lt;'EDT Y TAREAS'!AL43),'EDT Y TAREAS'!AI43/'EDT Y TAREAS'!M43,0),IF(AND(126&gt;='EDT Y TAREAS'!AK44,126&lt;'EDT Y TAREAS'!AL44),'EDT Y TAREAS'!AI44/'EDT Y TAREAS'!M44,0),IF(AND(126&gt;='EDT Y TAREAS'!AK45,126&lt;'EDT Y TAREAS'!AL45),'EDT Y TAREAS'!AI45/'EDT Y TAREAS'!M45,0),IF(AND(126&gt;='EDT Y TAREAS'!AK46,126&lt;'EDT Y TAREAS'!AL46),'EDT Y TAREAS'!AI46/'EDT Y TAREAS'!M46,0),IF(AND(126&gt;='EDT Y TAREAS'!AK48,126&lt;'EDT Y TAREAS'!AL48),'EDT Y TAREAS'!AI48/'EDT Y TAREAS'!M48,0),IF(AND(126&gt;='EDT Y TAREAS'!AK50,126&lt;'EDT Y TAREAS'!AL50),'EDT Y TAREAS'!AI50/'EDT Y TAREAS'!M50,0),IF(AND(126&gt;='EDT Y TAREAS'!AK52,126&lt;'EDT Y TAREAS'!AL52),'EDT Y TAREAS'!AI52/'EDT Y TAREAS'!M52,0))</x:f>
        <x:v>2.4</x:v>
      </x:c>
      <x:c r="H166" s="35" t="n">
        <x:f>SUM(IF(AND(126&gt;='EDT Y TAREAS'!AK11,126&lt;'EDT Y TAREAS'!AL11),'EDT Y TAREAS'!AJ11/'EDT Y TAREAS'!M11,0),IF(AND(126&gt;='EDT Y TAREAS'!AK24,126&lt;'EDT Y TAREAS'!AL24),'EDT Y TAREAS'!AJ24/'EDT Y TAREAS'!M24,0),IF(AND(126&gt;='EDT Y TAREAS'!AK27,126&lt;'EDT Y TAREAS'!AL27),'EDT Y TAREAS'!AJ27/'EDT Y TAREAS'!M27,0),IF(AND(126&gt;='EDT Y TAREAS'!AK28,126&lt;'EDT Y TAREAS'!AL28),'EDT Y TAREAS'!AJ28/'EDT Y TAREAS'!M28,0),IF(AND(126&gt;='EDT Y TAREAS'!AK33,126&lt;'EDT Y TAREAS'!AL33),'EDT Y TAREAS'!AJ33/'EDT Y TAREAS'!M33,0),IF(AND(126&gt;='EDT Y TAREAS'!AK35,126&lt;'EDT Y TAREAS'!AL35),'EDT Y TAREAS'!AJ35/'EDT Y TAREAS'!M35,0),IF(AND(126&gt;='EDT Y TAREAS'!AK36,126&lt;'EDT Y TAREAS'!AL36),'EDT Y TAREAS'!AJ36/'EDT Y TAREAS'!M36,0),IF(AND(126&gt;='EDT Y TAREAS'!AK37,126&lt;'EDT Y TAREAS'!AL37),'EDT Y TAREAS'!AJ37/'EDT Y TAREAS'!M37,0),IF(AND(126&gt;='EDT Y TAREAS'!AK40,126&lt;'EDT Y TAREAS'!AL40),'EDT Y TAREAS'!AJ40/'EDT Y TAREAS'!M40,0),IF(AND(126&gt;='EDT Y TAREAS'!AK42,126&lt;'EDT Y TAREAS'!AL42),'EDT Y TAREAS'!AJ42/'EDT Y TAREAS'!M42,0),IF(AND(126&gt;='EDT Y TAREAS'!AK49,126&lt;'EDT Y TAREAS'!AL49),'EDT Y TAREAS'!AJ49/'EDT Y TAREAS'!M49,0),IF(AND(126&gt;='EDT Y TAREAS'!AK50,126&lt;'EDT Y TAREAS'!AL50),'EDT Y TAREAS'!AJ50/'EDT Y TAREAS'!M50,0),IF(AND(126&gt;='EDT Y TAREAS'!AK51,126&lt;'EDT Y TAREAS'!AL51),'EDT Y TAREAS'!AJ51/'EDT Y TAREAS'!M51,0),IF(AND(126&gt;='EDT Y TAREAS'!AK52,126&lt;'EDT Y TAREAS'!AL52),'EDT Y TAREAS'!AJ52/'EDT Y TAREAS'!M52,0))</x:f>
        <x:v>0</x:v>
      </x:c>
      <x:c r="I166" s="10" t="n">
        <x:f>WORKDAY('RESUMEN'!$D$3-1,A166,'RESUMEN'!$J$6:$J$25)</x:f>
        <x:v>46504</x:v>
      </x:c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/>
      <x:c r="AG166" s="3"/>
      <x:c r="AH166" s="3"/>
      <x:c r="AI166" s="3"/>
      <x:c r="AJ166" s="3"/>
      <x:c r="AK166" s="3"/>
      <x:c r="AL166" s="3"/>
      <x:c r="AM166" s="3"/>
      <x:c r="AN166" s="3"/>
      <x:c r="AO166" s="3"/>
    </x:row>
    <x:row r="167" ht="24" customHeight="1">
      <x:c r="A167" s="3" t="n">
        <x:v>128</x:v>
      </x:c>
      <x:c r="B167" s="35" t="n">
        <x:f>SUM(IF(AND(127&gt;='EDT Y TAREAS'!AK6,127&lt;'EDT Y TAREAS'!AL6),'EDT Y TAREAS'!AD6/'EDT Y TAREAS'!M6,0),IF(AND(127&gt;='EDT Y TAREAS'!AK7,127&lt;'EDT Y TAREAS'!AL7),'EDT Y TAREAS'!AD7/'EDT Y TAREAS'!M7,0),IF(AND(127&gt;='EDT Y TAREAS'!AK8,127&lt;'EDT Y TAREAS'!AL8),'EDT Y TAREAS'!AD8/'EDT Y TAREAS'!M8,0),IF(AND(127&gt;='EDT Y TAREAS'!AK9,127&lt;'EDT Y TAREAS'!AL9),'EDT Y TAREAS'!AD9/'EDT Y TAREAS'!M9,0),IF(AND(127&gt;='EDT Y TAREAS'!AK10,127&lt;'EDT Y TAREAS'!AL10),'EDT Y TAREAS'!AD10/'EDT Y TAREAS'!M10,0),IF(AND(127&gt;='EDT Y TAREAS'!AK11,127&lt;'EDT Y TAREAS'!AL11),'EDT Y TAREAS'!AD11/'EDT Y TAREAS'!M11,0),IF(AND(127&gt;='EDT Y TAREAS'!AK12,127&lt;'EDT Y TAREAS'!AL12),'EDT Y TAREAS'!AD12/'EDT Y TAREAS'!M12,0),IF(AND(127&gt;='EDT Y TAREAS'!AK13,127&lt;'EDT Y TAREAS'!AL13),'EDT Y TAREAS'!AD13/'EDT Y TAREAS'!M13,0),IF(AND(127&gt;='EDT Y TAREAS'!AK14,127&lt;'EDT Y TAREAS'!AL14),'EDT Y TAREAS'!AD14/'EDT Y TAREAS'!M14,0),IF(AND(127&gt;='EDT Y TAREAS'!AK15,127&lt;'EDT Y TAREAS'!AL15),'EDT Y TAREAS'!AD15/'EDT Y TAREAS'!M15,0),IF(AND(127&gt;='EDT Y TAREAS'!AK16,127&lt;'EDT Y TAREAS'!AL16),'EDT Y TAREAS'!AD16/'EDT Y TAREAS'!M16,0),IF(AND(127&gt;='EDT Y TAREAS'!AK17,127&lt;'EDT Y TAREAS'!AL17),'EDT Y TAREAS'!AD17/'EDT Y TAREAS'!M17,0),IF(AND(127&gt;='EDT Y TAREAS'!AK18,127&lt;'EDT Y TAREAS'!AL18),'EDT Y TAREAS'!AD18/'EDT Y TAREAS'!M18,0),IF(AND(127&gt;='EDT Y TAREAS'!AK19,127&lt;'EDT Y TAREAS'!AL19),'EDT Y TAREAS'!AD19/'EDT Y TAREAS'!M19,0),IF(AND(127&gt;='EDT Y TAREAS'!AK20,127&lt;'EDT Y TAREAS'!AL20),'EDT Y TAREAS'!AD20/'EDT Y TAREAS'!M20,0),IF(AND(127&gt;='EDT Y TAREAS'!AK21,127&lt;'EDT Y TAREAS'!AL21),'EDT Y TAREAS'!AD21/'EDT Y TAREAS'!M21,0),IF(AND(127&gt;='EDT Y TAREAS'!AK22,127&lt;'EDT Y TAREAS'!AL22),'EDT Y TAREAS'!AD22/'EDT Y TAREAS'!M22,0),IF(AND(127&gt;='EDT Y TAREAS'!AK23,127&lt;'EDT Y TAREAS'!AL23),'EDT Y TAREAS'!AD23/'EDT Y TAREAS'!M23,0),IF(AND(127&gt;='EDT Y TAREAS'!AK26,127&lt;'EDT Y TAREAS'!AL26),'EDT Y TAREAS'!AD26/'EDT Y TAREAS'!M26,0),IF(AND(127&gt;='EDT Y TAREAS'!AK28,127&lt;'EDT Y TAREAS'!AL28),'EDT Y TAREAS'!AD28/'EDT Y TAREAS'!M28,0),IF(AND(127&gt;='EDT Y TAREAS'!AK30,127&lt;'EDT Y TAREAS'!AL30),'EDT Y TAREAS'!AD30/'EDT Y TAREAS'!M30,0),IF(AND(127&gt;='EDT Y TAREAS'!AK32,127&lt;'EDT Y TAREAS'!AL32),'EDT Y TAREAS'!AD32/'EDT Y TAREAS'!M32,0),IF(AND(127&gt;='EDT Y TAREAS'!AK34,127&lt;'EDT Y TAREAS'!AL34),'EDT Y TAREAS'!AD34/'EDT Y TAREAS'!M34,0),IF(AND(127&gt;='EDT Y TAREAS'!AK38,127&lt;'EDT Y TAREAS'!AL38),'EDT Y TAREAS'!AD38/'EDT Y TAREAS'!M38,0),IF(AND(127&gt;='EDT Y TAREAS'!AK39,127&lt;'EDT Y TAREAS'!AL39),'EDT Y TAREAS'!AD39/'EDT Y TAREAS'!M39,0),IF(AND(127&gt;='EDT Y TAREAS'!AK43,127&lt;'EDT Y TAREAS'!AL43),'EDT Y TAREAS'!AD43/'EDT Y TAREAS'!M43,0),IF(AND(127&gt;='EDT Y TAREAS'!AK44,127&lt;'EDT Y TAREAS'!AL44),'EDT Y TAREAS'!AD44/'EDT Y TAREAS'!M44,0),IF(AND(127&gt;='EDT Y TAREAS'!AK45,127&lt;'EDT Y TAREAS'!AL45),'EDT Y TAREAS'!AD45/'EDT Y TAREAS'!M45,0),IF(AND(127&gt;='EDT Y TAREAS'!AK46,127&lt;'EDT Y TAREAS'!AL46),'EDT Y TAREAS'!AD46/'EDT Y TAREAS'!M46,0),IF(AND(127&gt;='EDT Y TAREAS'!AK47,127&lt;'EDT Y TAREAS'!AL47),'EDT Y TAREAS'!AD47/'EDT Y TAREAS'!M47,0),IF(AND(127&gt;='EDT Y TAREAS'!AK49,127&lt;'EDT Y TAREAS'!AL49),'EDT Y TAREAS'!AD49/'EDT Y TAREAS'!M49,0),IF(AND(127&gt;='EDT Y TAREAS'!AK50,127&lt;'EDT Y TAREAS'!AL50),'EDT Y TAREAS'!AD50/'EDT Y TAREAS'!M50,0),IF(AND(127&gt;='EDT Y TAREAS'!AK51,127&lt;'EDT Y TAREAS'!AL51),'EDT Y TAREAS'!AD51/'EDT Y TAREAS'!M51,0),IF(AND(127&gt;='EDT Y TAREAS'!AK52,127&lt;'EDT Y TAREAS'!AL52),'EDT Y TAREAS'!AD52/'EDT Y TAREAS'!M52,0))</x:f>
        <x:v>3.2</x:v>
      </x:c>
      <x:c r="C167" s="35" t="n">
        <x:f>SUM(IF(AND(127&gt;='EDT Y TAREAS'!AK6,127&lt;'EDT Y TAREAS'!AL6),'EDT Y TAREAS'!AE6/'EDT Y TAREAS'!M6,0),IF(AND(127&gt;='EDT Y TAREAS'!AK8,127&lt;'EDT Y TAREAS'!AL8),'EDT Y TAREAS'!AE8/'EDT Y TAREAS'!M8,0),IF(AND(127&gt;='EDT Y TAREAS'!AK9,127&lt;'EDT Y TAREAS'!AL9),'EDT Y TAREAS'!AE9/'EDT Y TAREAS'!M9,0),IF(AND(127&gt;='EDT Y TAREAS'!AK10,127&lt;'EDT Y TAREAS'!AL10),'EDT Y TAREAS'!AE10/'EDT Y TAREAS'!M10,0),IF(AND(127&gt;='EDT Y TAREAS'!AK12,127&lt;'EDT Y TAREAS'!AL12),'EDT Y TAREAS'!AE12/'EDT Y TAREAS'!M12,0),IF(AND(127&gt;='EDT Y TAREAS'!AK16,127&lt;'EDT Y TAREAS'!AL16),'EDT Y TAREAS'!AE16/'EDT Y TAREAS'!M16,0),IF(AND(127&gt;='EDT Y TAREAS'!AK21,127&lt;'EDT Y TAREAS'!AL21),'EDT Y TAREAS'!AE21/'EDT Y TAREAS'!M21,0),IF(AND(127&gt;='EDT Y TAREAS'!AK23,127&lt;'EDT Y TAREAS'!AL23),'EDT Y TAREAS'!AE23/'EDT Y TAREAS'!M23,0),IF(AND(127&gt;='EDT Y TAREAS'!AK37,127&lt;'EDT Y TAREAS'!AL37),'EDT Y TAREAS'!AE37/'EDT Y TAREAS'!M37,0),IF(AND(127&gt;='EDT Y TAREAS'!AK38,127&lt;'EDT Y TAREAS'!AL38),'EDT Y TAREAS'!AE38/'EDT Y TAREAS'!M38,0),IF(AND(127&gt;='EDT Y TAREAS'!AK41,127&lt;'EDT Y TAREAS'!AL41),'EDT Y TAREAS'!AE41/'EDT Y TAREAS'!M41,0),IF(AND(127&gt;='EDT Y TAREAS'!AK43,127&lt;'EDT Y TAREAS'!AL43),'EDT Y TAREAS'!AE43/'EDT Y TAREAS'!M43,0),IF(AND(127&gt;='EDT Y TAREAS'!AK44,127&lt;'EDT Y TAREAS'!AL44),'EDT Y TAREAS'!AE44/'EDT Y TAREAS'!M44,0),IF(AND(127&gt;='EDT Y TAREAS'!AK46,127&lt;'EDT Y TAREAS'!AL46),'EDT Y TAREAS'!AE46/'EDT Y TAREAS'!M46,0),IF(AND(127&gt;='EDT Y TAREAS'!AK47,127&lt;'EDT Y TAREAS'!AL47),'EDT Y TAREAS'!AE47/'EDT Y TAREAS'!M47,0),IF(AND(127&gt;='EDT Y TAREAS'!AK51,127&lt;'EDT Y TAREAS'!AL51),'EDT Y TAREAS'!AE51/'EDT Y TAREAS'!M51,0),IF(AND(127&gt;='EDT Y TAREAS'!AK52,127&lt;'EDT Y TAREAS'!AL52),'EDT Y TAREAS'!AE52/'EDT Y TAREAS'!M52,0))</x:f>
        <x:v>1.6</x:v>
      </x:c>
      <x:c r="D167" s="35" t="n">
        <x:f>SUM(IF(AND(127&gt;='EDT Y TAREAS'!AK11,127&lt;'EDT Y TAREAS'!AL11),'EDT Y TAREAS'!AF11/'EDT Y TAREAS'!M11,0),IF(AND(127&gt;='EDT Y TAREAS'!AK24,127&lt;'EDT Y TAREAS'!AL24),'EDT Y TAREAS'!AF24/'EDT Y TAREAS'!M24,0),IF(AND(127&gt;='EDT Y TAREAS'!AK25,127&lt;'EDT Y TAREAS'!AL25),'EDT Y TAREAS'!AF25/'EDT Y TAREAS'!M25,0),IF(AND(127&gt;='EDT Y TAREAS'!AK26,127&lt;'EDT Y TAREAS'!AL26),'EDT Y TAREAS'!AF26/'EDT Y TAREAS'!M26,0),IF(AND(127&gt;='EDT Y TAREAS'!AK27,127&lt;'EDT Y TAREAS'!AL27),'EDT Y TAREAS'!AF27/'EDT Y TAREAS'!M27,0),IF(AND(127&gt;='EDT Y TAREAS'!AK28,127&lt;'EDT Y TAREAS'!AL28),'EDT Y TAREAS'!AF28/'EDT Y TAREAS'!M28,0),IF(AND(127&gt;='EDT Y TAREAS'!AK31,127&lt;'EDT Y TAREAS'!AL31),'EDT Y TAREAS'!AF31/'EDT Y TAREAS'!M31,0),IF(AND(127&gt;='EDT Y TAREAS'!AK33,127&lt;'EDT Y TAREAS'!AL33),'EDT Y TAREAS'!AF33/'EDT Y TAREAS'!M33,0),IF(AND(127&gt;='EDT Y TAREAS'!AK34,127&lt;'EDT Y TAREAS'!AL34),'EDT Y TAREAS'!AF34/'EDT Y TAREAS'!M34,0),IF(AND(127&gt;='EDT Y TAREAS'!AK35,127&lt;'EDT Y TAREAS'!AL35),'EDT Y TAREAS'!AF35/'EDT Y TAREAS'!M35,0),IF(AND(127&gt;='EDT Y TAREAS'!AK37,127&lt;'EDT Y TAREAS'!AL37),'EDT Y TAREAS'!AF37/'EDT Y TAREAS'!M37,0),IF(AND(127&gt;='EDT Y TAREAS'!AK39,127&lt;'EDT Y TAREAS'!AL39),'EDT Y TAREAS'!AF39/'EDT Y TAREAS'!M39,0),IF(AND(127&gt;='EDT Y TAREAS'!AK40,127&lt;'EDT Y TAREAS'!AL40),'EDT Y TAREAS'!AF40/'EDT Y TAREAS'!M40,0),IF(AND(127&gt;='EDT Y TAREAS'!AK42,127&lt;'EDT Y TAREAS'!AL42),'EDT Y TAREAS'!AF42/'EDT Y TAREAS'!M42,0),IF(AND(127&gt;='EDT Y TAREAS'!AK45,127&lt;'EDT Y TAREAS'!AL45),'EDT Y TAREAS'!AF45/'EDT Y TAREAS'!M45,0),IF(AND(127&gt;='EDT Y TAREAS'!AK49,127&lt;'EDT Y TAREAS'!AL49),'EDT Y TAREAS'!AF49/'EDT Y TAREAS'!M49,0),IF(AND(127&gt;='EDT Y TAREAS'!AK52,127&lt;'EDT Y TAREAS'!AL52),'EDT Y TAREAS'!AF52/'EDT Y TAREAS'!M52,0))</x:f>
        <x:v>3.2</x:v>
      </x:c>
      <x:c r="E167" s="35" t="n">
        <x:f>SUM(IF(AND(127&gt;='EDT Y TAREAS'!AK29,127&lt;'EDT Y TAREAS'!AL29),'EDT Y TAREAS'!AG29/'EDT Y TAREAS'!M29,0),IF(AND(127&gt;='EDT Y TAREAS'!AK30,127&lt;'EDT Y TAREAS'!AL30),'EDT Y TAREAS'!AG30/'EDT Y TAREAS'!M30,0),IF(AND(127&gt;='EDT Y TAREAS'!AK31,127&lt;'EDT Y TAREAS'!AL31),'EDT Y TAREAS'!AG31/'EDT Y TAREAS'!M31,0),IF(AND(127&gt;='EDT Y TAREAS'!AK32,127&lt;'EDT Y TAREAS'!AL32),'EDT Y TAREAS'!AG32/'EDT Y TAREAS'!M32,0),IF(AND(127&gt;='EDT Y TAREAS'!AK41,127&lt;'EDT Y TAREAS'!AL41),'EDT Y TAREAS'!AG41/'EDT Y TAREAS'!M41,0),IF(AND(127&gt;='EDT Y TAREAS'!AK45,127&lt;'EDT Y TAREAS'!AL45),'EDT Y TAREAS'!AG45/'EDT Y TAREAS'!M45,0),IF(AND(127&gt;='EDT Y TAREAS'!AK48,127&lt;'EDT Y TAREAS'!AL48),'EDT Y TAREAS'!AG48/'EDT Y TAREAS'!M48,0))</x:f>
        <x:v>3.2</x:v>
      </x:c>
      <x:c r="F167" s="35" t="n">
        <x:f>SUM(IF(AND(127&gt;='EDT Y TAREAS'!AK10,127&lt;'EDT Y TAREAS'!AL10),'EDT Y TAREAS'!AH10/'EDT Y TAREAS'!M10,0),IF(AND(127&gt;='EDT Y TAREAS'!AK12,127&lt;'EDT Y TAREAS'!AL12),'EDT Y TAREAS'!AH12/'EDT Y TAREAS'!M12,0),IF(AND(127&gt;='EDT Y TAREAS'!AK22,127&lt;'EDT Y TAREAS'!AL22),'EDT Y TAREAS'!AH22/'EDT Y TAREAS'!M22,0),IF(AND(127&gt;='EDT Y TAREAS'!AK23,127&lt;'EDT Y TAREAS'!AL23),'EDT Y TAREAS'!AH23/'EDT Y TAREAS'!M23,0),IF(AND(127&gt;='EDT Y TAREAS'!AK29,127&lt;'EDT Y TAREAS'!AL29),'EDT Y TAREAS'!AH29/'EDT Y TAREAS'!M29,0),IF(AND(127&gt;='EDT Y TAREAS'!AK30,127&lt;'EDT Y TAREAS'!AL30),'EDT Y TAREAS'!AH30/'EDT Y TAREAS'!M30,0),IF(AND(127&gt;='EDT Y TAREAS'!AK32,127&lt;'EDT Y TAREAS'!AL32),'EDT Y TAREAS'!AH32/'EDT Y TAREAS'!M32,0),IF(AND(127&gt;='EDT Y TAREAS'!AK41,127&lt;'EDT Y TAREAS'!AL41),'EDT Y TAREAS'!AH41/'EDT Y TAREAS'!M41,0),IF(AND(127&gt;='EDT Y TAREAS'!AK44,127&lt;'EDT Y TAREAS'!AL44),'EDT Y TAREAS'!AH44/'EDT Y TAREAS'!M44,0),IF(AND(127&gt;='EDT Y TAREAS'!AK46,127&lt;'EDT Y TAREAS'!AL46),'EDT Y TAREAS'!AH46/'EDT Y TAREAS'!M46,0),IF(AND(127&gt;='EDT Y TAREAS'!AK48,127&lt;'EDT Y TAREAS'!AL48),'EDT Y TAREAS'!AH48/'EDT Y TAREAS'!M48,0))</x:f>
        <x:v>0</x:v>
      </x:c>
      <x:c r="G167" s="35" t="n">
        <x:f>SUM(IF(AND(127&gt;='EDT Y TAREAS'!AK20,127&lt;'EDT Y TAREAS'!AL20),'EDT Y TAREAS'!AI20/'EDT Y TAREAS'!M20,0),IF(AND(127&gt;='EDT Y TAREAS'!AK25,127&lt;'EDT Y TAREAS'!AL25),'EDT Y TAREAS'!AI25/'EDT Y TAREAS'!M25,0),IF(AND(127&gt;='EDT Y TAREAS'!AK33,127&lt;'EDT Y TAREAS'!AL33),'EDT Y TAREAS'!AI33/'EDT Y TAREAS'!M33,0),IF(AND(127&gt;='EDT Y TAREAS'!AK34,127&lt;'EDT Y TAREAS'!AL34),'EDT Y TAREAS'!AI34/'EDT Y TAREAS'!M34,0),IF(AND(127&gt;='EDT Y TAREAS'!AK36,127&lt;'EDT Y TAREAS'!AL36),'EDT Y TAREAS'!AI36/'EDT Y TAREAS'!M36,0),IF(AND(127&gt;='EDT Y TAREAS'!AK39,127&lt;'EDT Y TAREAS'!AL39),'EDT Y TAREAS'!AI39/'EDT Y TAREAS'!M39,0),IF(AND(127&gt;='EDT Y TAREAS'!AK40,127&lt;'EDT Y TAREAS'!AL40),'EDT Y TAREAS'!AI40/'EDT Y TAREAS'!M40,0),IF(AND(127&gt;='EDT Y TAREAS'!AK42,127&lt;'EDT Y TAREAS'!AL42),'EDT Y TAREAS'!AI42/'EDT Y TAREAS'!M42,0),IF(AND(127&gt;='EDT Y TAREAS'!AK43,127&lt;'EDT Y TAREAS'!AL43),'EDT Y TAREAS'!AI43/'EDT Y TAREAS'!M43,0),IF(AND(127&gt;='EDT Y TAREAS'!AK44,127&lt;'EDT Y TAREAS'!AL44),'EDT Y TAREAS'!AI44/'EDT Y TAREAS'!M44,0),IF(AND(127&gt;='EDT Y TAREAS'!AK45,127&lt;'EDT Y TAREAS'!AL45),'EDT Y TAREAS'!AI45/'EDT Y TAREAS'!M45,0),IF(AND(127&gt;='EDT Y TAREAS'!AK46,127&lt;'EDT Y TAREAS'!AL46),'EDT Y TAREAS'!AI46/'EDT Y TAREAS'!M46,0),IF(AND(127&gt;='EDT Y TAREAS'!AK48,127&lt;'EDT Y TAREAS'!AL48),'EDT Y TAREAS'!AI48/'EDT Y TAREAS'!M48,0),IF(AND(127&gt;='EDT Y TAREAS'!AK50,127&lt;'EDT Y TAREAS'!AL50),'EDT Y TAREAS'!AI50/'EDT Y TAREAS'!M50,0),IF(AND(127&gt;='EDT Y TAREAS'!AK52,127&lt;'EDT Y TAREAS'!AL52),'EDT Y TAREAS'!AI52/'EDT Y TAREAS'!M52,0))</x:f>
        <x:v>2.4</x:v>
      </x:c>
      <x:c r="H167" s="35" t="n">
        <x:f>SUM(IF(AND(127&gt;='EDT Y TAREAS'!AK11,127&lt;'EDT Y TAREAS'!AL11),'EDT Y TAREAS'!AJ11/'EDT Y TAREAS'!M11,0),IF(AND(127&gt;='EDT Y TAREAS'!AK24,127&lt;'EDT Y TAREAS'!AL24),'EDT Y TAREAS'!AJ24/'EDT Y TAREAS'!M24,0),IF(AND(127&gt;='EDT Y TAREAS'!AK27,127&lt;'EDT Y TAREAS'!AL27),'EDT Y TAREAS'!AJ27/'EDT Y TAREAS'!M27,0),IF(AND(127&gt;='EDT Y TAREAS'!AK28,127&lt;'EDT Y TAREAS'!AL28),'EDT Y TAREAS'!AJ28/'EDT Y TAREAS'!M28,0),IF(AND(127&gt;='EDT Y TAREAS'!AK33,127&lt;'EDT Y TAREAS'!AL33),'EDT Y TAREAS'!AJ33/'EDT Y TAREAS'!M33,0),IF(AND(127&gt;='EDT Y TAREAS'!AK35,127&lt;'EDT Y TAREAS'!AL35),'EDT Y TAREAS'!AJ35/'EDT Y TAREAS'!M35,0),IF(AND(127&gt;='EDT Y TAREAS'!AK36,127&lt;'EDT Y TAREAS'!AL36),'EDT Y TAREAS'!AJ36/'EDT Y TAREAS'!M36,0),IF(AND(127&gt;='EDT Y TAREAS'!AK37,127&lt;'EDT Y TAREAS'!AL37),'EDT Y TAREAS'!AJ37/'EDT Y TAREAS'!M37,0),IF(AND(127&gt;='EDT Y TAREAS'!AK40,127&lt;'EDT Y TAREAS'!AL40),'EDT Y TAREAS'!AJ40/'EDT Y TAREAS'!M40,0),IF(AND(127&gt;='EDT Y TAREAS'!AK42,127&lt;'EDT Y TAREAS'!AL42),'EDT Y TAREAS'!AJ42/'EDT Y TAREAS'!M42,0),IF(AND(127&gt;='EDT Y TAREAS'!AK49,127&lt;'EDT Y TAREAS'!AL49),'EDT Y TAREAS'!AJ49/'EDT Y TAREAS'!M49,0),IF(AND(127&gt;='EDT Y TAREAS'!AK50,127&lt;'EDT Y TAREAS'!AL50),'EDT Y TAREAS'!AJ50/'EDT Y TAREAS'!M50,0),IF(AND(127&gt;='EDT Y TAREAS'!AK51,127&lt;'EDT Y TAREAS'!AL51),'EDT Y TAREAS'!AJ51/'EDT Y TAREAS'!M51,0),IF(AND(127&gt;='EDT Y TAREAS'!AK52,127&lt;'EDT Y TAREAS'!AL52),'EDT Y TAREAS'!AJ52/'EDT Y TAREAS'!M52,0))</x:f>
        <x:v>0</x:v>
      </x:c>
      <x:c r="I167" s="10" t="n">
        <x:f>WORKDAY('RESUMEN'!$D$3-1,A167,'RESUMEN'!$J$6:$J$25)</x:f>
        <x:v>46505</x:v>
      </x:c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/>
      <x:c r="AG167" s="3"/>
      <x:c r="AH167" s="3"/>
      <x:c r="AI167" s="3"/>
      <x:c r="AJ167" s="3"/>
      <x:c r="AK167" s="3"/>
      <x:c r="AL167" s="3"/>
      <x:c r="AM167" s="3"/>
      <x:c r="AN167" s="3"/>
      <x:c r="AO167" s="3"/>
    </x:row>
    <x:row r="168" ht="24" customHeight="1">
      <x:c r="A168" s="3" t="n">
        <x:v>129</x:v>
      </x:c>
      <x:c r="B168" s="35" t="n">
        <x:f>SUM(IF(AND(128&gt;='EDT Y TAREAS'!AK6,128&lt;'EDT Y TAREAS'!AL6),'EDT Y TAREAS'!AD6/'EDT Y TAREAS'!M6,0),IF(AND(128&gt;='EDT Y TAREAS'!AK7,128&lt;'EDT Y TAREAS'!AL7),'EDT Y TAREAS'!AD7/'EDT Y TAREAS'!M7,0),IF(AND(128&gt;='EDT Y TAREAS'!AK8,128&lt;'EDT Y TAREAS'!AL8),'EDT Y TAREAS'!AD8/'EDT Y TAREAS'!M8,0),IF(AND(128&gt;='EDT Y TAREAS'!AK9,128&lt;'EDT Y TAREAS'!AL9),'EDT Y TAREAS'!AD9/'EDT Y TAREAS'!M9,0),IF(AND(128&gt;='EDT Y TAREAS'!AK10,128&lt;'EDT Y TAREAS'!AL10),'EDT Y TAREAS'!AD10/'EDT Y TAREAS'!M10,0),IF(AND(128&gt;='EDT Y TAREAS'!AK11,128&lt;'EDT Y TAREAS'!AL11),'EDT Y TAREAS'!AD11/'EDT Y TAREAS'!M11,0),IF(AND(128&gt;='EDT Y TAREAS'!AK12,128&lt;'EDT Y TAREAS'!AL12),'EDT Y TAREAS'!AD12/'EDT Y TAREAS'!M12,0),IF(AND(128&gt;='EDT Y TAREAS'!AK13,128&lt;'EDT Y TAREAS'!AL13),'EDT Y TAREAS'!AD13/'EDT Y TAREAS'!M13,0),IF(AND(128&gt;='EDT Y TAREAS'!AK14,128&lt;'EDT Y TAREAS'!AL14),'EDT Y TAREAS'!AD14/'EDT Y TAREAS'!M14,0),IF(AND(128&gt;='EDT Y TAREAS'!AK15,128&lt;'EDT Y TAREAS'!AL15),'EDT Y TAREAS'!AD15/'EDT Y TAREAS'!M15,0),IF(AND(128&gt;='EDT Y TAREAS'!AK16,128&lt;'EDT Y TAREAS'!AL16),'EDT Y TAREAS'!AD16/'EDT Y TAREAS'!M16,0),IF(AND(128&gt;='EDT Y TAREAS'!AK17,128&lt;'EDT Y TAREAS'!AL17),'EDT Y TAREAS'!AD17/'EDT Y TAREAS'!M17,0),IF(AND(128&gt;='EDT Y TAREAS'!AK18,128&lt;'EDT Y TAREAS'!AL18),'EDT Y TAREAS'!AD18/'EDT Y TAREAS'!M18,0),IF(AND(128&gt;='EDT Y TAREAS'!AK19,128&lt;'EDT Y TAREAS'!AL19),'EDT Y TAREAS'!AD19/'EDT Y TAREAS'!M19,0),IF(AND(128&gt;='EDT Y TAREAS'!AK20,128&lt;'EDT Y TAREAS'!AL20),'EDT Y TAREAS'!AD20/'EDT Y TAREAS'!M20,0),IF(AND(128&gt;='EDT Y TAREAS'!AK21,128&lt;'EDT Y TAREAS'!AL21),'EDT Y TAREAS'!AD21/'EDT Y TAREAS'!M21,0),IF(AND(128&gt;='EDT Y TAREAS'!AK22,128&lt;'EDT Y TAREAS'!AL22),'EDT Y TAREAS'!AD22/'EDT Y TAREAS'!M22,0),IF(AND(128&gt;='EDT Y TAREAS'!AK23,128&lt;'EDT Y TAREAS'!AL23),'EDT Y TAREAS'!AD23/'EDT Y TAREAS'!M23,0),IF(AND(128&gt;='EDT Y TAREAS'!AK26,128&lt;'EDT Y TAREAS'!AL26),'EDT Y TAREAS'!AD26/'EDT Y TAREAS'!M26,0),IF(AND(128&gt;='EDT Y TAREAS'!AK28,128&lt;'EDT Y TAREAS'!AL28),'EDT Y TAREAS'!AD28/'EDT Y TAREAS'!M28,0),IF(AND(128&gt;='EDT Y TAREAS'!AK30,128&lt;'EDT Y TAREAS'!AL30),'EDT Y TAREAS'!AD30/'EDT Y TAREAS'!M30,0),IF(AND(128&gt;='EDT Y TAREAS'!AK32,128&lt;'EDT Y TAREAS'!AL32),'EDT Y TAREAS'!AD32/'EDT Y TAREAS'!M32,0),IF(AND(128&gt;='EDT Y TAREAS'!AK34,128&lt;'EDT Y TAREAS'!AL34),'EDT Y TAREAS'!AD34/'EDT Y TAREAS'!M34,0),IF(AND(128&gt;='EDT Y TAREAS'!AK38,128&lt;'EDT Y TAREAS'!AL38),'EDT Y TAREAS'!AD38/'EDT Y TAREAS'!M38,0),IF(AND(128&gt;='EDT Y TAREAS'!AK39,128&lt;'EDT Y TAREAS'!AL39),'EDT Y TAREAS'!AD39/'EDT Y TAREAS'!M39,0),IF(AND(128&gt;='EDT Y TAREAS'!AK43,128&lt;'EDT Y TAREAS'!AL43),'EDT Y TAREAS'!AD43/'EDT Y TAREAS'!M43,0),IF(AND(128&gt;='EDT Y TAREAS'!AK44,128&lt;'EDT Y TAREAS'!AL44),'EDT Y TAREAS'!AD44/'EDT Y TAREAS'!M44,0),IF(AND(128&gt;='EDT Y TAREAS'!AK45,128&lt;'EDT Y TAREAS'!AL45),'EDT Y TAREAS'!AD45/'EDT Y TAREAS'!M45,0),IF(AND(128&gt;='EDT Y TAREAS'!AK46,128&lt;'EDT Y TAREAS'!AL46),'EDT Y TAREAS'!AD46/'EDT Y TAREAS'!M46,0),IF(AND(128&gt;='EDT Y TAREAS'!AK47,128&lt;'EDT Y TAREAS'!AL47),'EDT Y TAREAS'!AD47/'EDT Y TAREAS'!M47,0),IF(AND(128&gt;='EDT Y TAREAS'!AK49,128&lt;'EDT Y TAREAS'!AL49),'EDT Y TAREAS'!AD49/'EDT Y TAREAS'!M49,0),IF(AND(128&gt;='EDT Y TAREAS'!AK50,128&lt;'EDT Y TAREAS'!AL50),'EDT Y TAREAS'!AD50/'EDT Y TAREAS'!M50,0),IF(AND(128&gt;='EDT Y TAREAS'!AK51,128&lt;'EDT Y TAREAS'!AL51),'EDT Y TAREAS'!AD51/'EDT Y TAREAS'!M51,0),IF(AND(128&gt;='EDT Y TAREAS'!AK52,128&lt;'EDT Y TAREAS'!AL52),'EDT Y TAREAS'!AD52/'EDT Y TAREAS'!M52,0))</x:f>
        <x:v>3.2</x:v>
      </x:c>
      <x:c r="C168" s="35" t="n">
        <x:f>SUM(IF(AND(128&gt;='EDT Y TAREAS'!AK6,128&lt;'EDT Y TAREAS'!AL6),'EDT Y TAREAS'!AE6/'EDT Y TAREAS'!M6,0),IF(AND(128&gt;='EDT Y TAREAS'!AK8,128&lt;'EDT Y TAREAS'!AL8),'EDT Y TAREAS'!AE8/'EDT Y TAREAS'!M8,0),IF(AND(128&gt;='EDT Y TAREAS'!AK9,128&lt;'EDT Y TAREAS'!AL9),'EDT Y TAREAS'!AE9/'EDT Y TAREAS'!M9,0),IF(AND(128&gt;='EDT Y TAREAS'!AK10,128&lt;'EDT Y TAREAS'!AL10),'EDT Y TAREAS'!AE10/'EDT Y TAREAS'!M10,0),IF(AND(128&gt;='EDT Y TAREAS'!AK12,128&lt;'EDT Y TAREAS'!AL12),'EDT Y TAREAS'!AE12/'EDT Y TAREAS'!M12,0),IF(AND(128&gt;='EDT Y TAREAS'!AK16,128&lt;'EDT Y TAREAS'!AL16),'EDT Y TAREAS'!AE16/'EDT Y TAREAS'!M16,0),IF(AND(128&gt;='EDT Y TAREAS'!AK21,128&lt;'EDT Y TAREAS'!AL21),'EDT Y TAREAS'!AE21/'EDT Y TAREAS'!M21,0),IF(AND(128&gt;='EDT Y TAREAS'!AK23,128&lt;'EDT Y TAREAS'!AL23),'EDT Y TAREAS'!AE23/'EDT Y TAREAS'!M23,0),IF(AND(128&gt;='EDT Y TAREAS'!AK37,128&lt;'EDT Y TAREAS'!AL37),'EDT Y TAREAS'!AE37/'EDT Y TAREAS'!M37,0),IF(AND(128&gt;='EDT Y TAREAS'!AK38,128&lt;'EDT Y TAREAS'!AL38),'EDT Y TAREAS'!AE38/'EDT Y TAREAS'!M38,0),IF(AND(128&gt;='EDT Y TAREAS'!AK41,128&lt;'EDT Y TAREAS'!AL41),'EDT Y TAREAS'!AE41/'EDT Y TAREAS'!M41,0),IF(AND(128&gt;='EDT Y TAREAS'!AK43,128&lt;'EDT Y TAREAS'!AL43),'EDT Y TAREAS'!AE43/'EDT Y TAREAS'!M43,0),IF(AND(128&gt;='EDT Y TAREAS'!AK44,128&lt;'EDT Y TAREAS'!AL44),'EDT Y TAREAS'!AE44/'EDT Y TAREAS'!M44,0),IF(AND(128&gt;='EDT Y TAREAS'!AK46,128&lt;'EDT Y TAREAS'!AL46),'EDT Y TAREAS'!AE46/'EDT Y TAREAS'!M46,0),IF(AND(128&gt;='EDT Y TAREAS'!AK47,128&lt;'EDT Y TAREAS'!AL47),'EDT Y TAREAS'!AE47/'EDT Y TAREAS'!M47,0),IF(AND(128&gt;='EDT Y TAREAS'!AK51,128&lt;'EDT Y TAREAS'!AL51),'EDT Y TAREAS'!AE51/'EDT Y TAREAS'!M51,0),IF(AND(128&gt;='EDT Y TAREAS'!AK52,128&lt;'EDT Y TAREAS'!AL52),'EDT Y TAREAS'!AE52/'EDT Y TAREAS'!M52,0))</x:f>
        <x:v>1.6</x:v>
      </x:c>
      <x:c r="D168" s="35" t="n">
        <x:f>SUM(IF(AND(128&gt;='EDT Y TAREAS'!AK11,128&lt;'EDT Y TAREAS'!AL11),'EDT Y TAREAS'!AF11/'EDT Y TAREAS'!M11,0),IF(AND(128&gt;='EDT Y TAREAS'!AK24,128&lt;'EDT Y TAREAS'!AL24),'EDT Y TAREAS'!AF24/'EDT Y TAREAS'!M24,0),IF(AND(128&gt;='EDT Y TAREAS'!AK25,128&lt;'EDT Y TAREAS'!AL25),'EDT Y TAREAS'!AF25/'EDT Y TAREAS'!M25,0),IF(AND(128&gt;='EDT Y TAREAS'!AK26,128&lt;'EDT Y TAREAS'!AL26),'EDT Y TAREAS'!AF26/'EDT Y TAREAS'!M26,0),IF(AND(128&gt;='EDT Y TAREAS'!AK27,128&lt;'EDT Y TAREAS'!AL27),'EDT Y TAREAS'!AF27/'EDT Y TAREAS'!M27,0),IF(AND(128&gt;='EDT Y TAREAS'!AK28,128&lt;'EDT Y TAREAS'!AL28),'EDT Y TAREAS'!AF28/'EDT Y TAREAS'!M28,0),IF(AND(128&gt;='EDT Y TAREAS'!AK31,128&lt;'EDT Y TAREAS'!AL31),'EDT Y TAREAS'!AF31/'EDT Y TAREAS'!M31,0),IF(AND(128&gt;='EDT Y TAREAS'!AK33,128&lt;'EDT Y TAREAS'!AL33),'EDT Y TAREAS'!AF33/'EDT Y TAREAS'!M33,0),IF(AND(128&gt;='EDT Y TAREAS'!AK34,128&lt;'EDT Y TAREAS'!AL34),'EDT Y TAREAS'!AF34/'EDT Y TAREAS'!M34,0),IF(AND(128&gt;='EDT Y TAREAS'!AK35,128&lt;'EDT Y TAREAS'!AL35),'EDT Y TAREAS'!AF35/'EDT Y TAREAS'!M35,0),IF(AND(128&gt;='EDT Y TAREAS'!AK37,128&lt;'EDT Y TAREAS'!AL37),'EDT Y TAREAS'!AF37/'EDT Y TAREAS'!M37,0),IF(AND(128&gt;='EDT Y TAREAS'!AK39,128&lt;'EDT Y TAREAS'!AL39),'EDT Y TAREAS'!AF39/'EDT Y TAREAS'!M39,0),IF(AND(128&gt;='EDT Y TAREAS'!AK40,128&lt;'EDT Y TAREAS'!AL40),'EDT Y TAREAS'!AF40/'EDT Y TAREAS'!M40,0),IF(AND(128&gt;='EDT Y TAREAS'!AK42,128&lt;'EDT Y TAREAS'!AL42),'EDT Y TAREAS'!AF42/'EDT Y TAREAS'!M42,0),IF(AND(128&gt;='EDT Y TAREAS'!AK45,128&lt;'EDT Y TAREAS'!AL45),'EDT Y TAREAS'!AF45/'EDT Y TAREAS'!M45,0),IF(AND(128&gt;='EDT Y TAREAS'!AK49,128&lt;'EDT Y TAREAS'!AL49),'EDT Y TAREAS'!AF49/'EDT Y TAREAS'!M49,0),IF(AND(128&gt;='EDT Y TAREAS'!AK52,128&lt;'EDT Y TAREAS'!AL52),'EDT Y TAREAS'!AF52/'EDT Y TAREAS'!M52,0))</x:f>
        <x:v>3.2</x:v>
      </x:c>
      <x:c r="E168" s="35" t="n">
        <x:f>SUM(IF(AND(128&gt;='EDT Y TAREAS'!AK29,128&lt;'EDT Y TAREAS'!AL29),'EDT Y TAREAS'!AG29/'EDT Y TAREAS'!M29,0),IF(AND(128&gt;='EDT Y TAREAS'!AK30,128&lt;'EDT Y TAREAS'!AL30),'EDT Y TAREAS'!AG30/'EDT Y TAREAS'!M30,0),IF(AND(128&gt;='EDT Y TAREAS'!AK31,128&lt;'EDT Y TAREAS'!AL31),'EDT Y TAREAS'!AG31/'EDT Y TAREAS'!M31,0),IF(AND(128&gt;='EDT Y TAREAS'!AK32,128&lt;'EDT Y TAREAS'!AL32),'EDT Y TAREAS'!AG32/'EDT Y TAREAS'!M32,0),IF(AND(128&gt;='EDT Y TAREAS'!AK41,128&lt;'EDT Y TAREAS'!AL41),'EDT Y TAREAS'!AG41/'EDT Y TAREAS'!M41,0),IF(AND(128&gt;='EDT Y TAREAS'!AK45,128&lt;'EDT Y TAREAS'!AL45),'EDT Y TAREAS'!AG45/'EDT Y TAREAS'!M45,0),IF(AND(128&gt;='EDT Y TAREAS'!AK48,128&lt;'EDT Y TAREAS'!AL48),'EDT Y TAREAS'!AG48/'EDT Y TAREAS'!M48,0))</x:f>
        <x:v>3.2</x:v>
      </x:c>
      <x:c r="F168" s="35" t="n">
        <x:f>SUM(IF(AND(128&gt;='EDT Y TAREAS'!AK10,128&lt;'EDT Y TAREAS'!AL10),'EDT Y TAREAS'!AH10/'EDT Y TAREAS'!M10,0),IF(AND(128&gt;='EDT Y TAREAS'!AK12,128&lt;'EDT Y TAREAS'!AL12),'EDT Y TAREAS'!AH12/'EDT Y TAREAS'!M12,0),IF(AND(128&gt;='EDT Y TAREAS'!AK22,128&lt;'EDT Y TAREAS'!AL22),'EDT Y TAREAS'!AH22/'EDT Y TAREAS'!M22,0),IF(AND(128&gt;='EDT Y TAREAS'!AK23,128&lt;'EDT Y TAREAS'!AL23),'EDT Y TAREAS'!AH23/'EDT Y TAREAS'!M23,0),IF(AND(128&gt;='EDT Y TAREAS'!AK29,128&lt;'EDT Y TAREAS'!AL29),'EDT Y TAREAS'!AH29/'EDT Y TAREAS'!M29,0),IF(AND(128&gt;='EDT Y TAREAS'!AK30,128&lt;'EDT Y TAREAS'!AL30),'EDT Y TAREAS'!AH30/'EDT Y TAREAS'!M30,0),IF(AND(128&gt;='EDT Y TAREAS'!AK32,128&lt;'EDT Y TAREAS'!AL32),'EDT Y TAREAS'!AH32/'EDT Y TAREAS'!M32,0),IF(AND(128&gt;='EDT Y TAREAS'!AK41,128&lt;'EDT Y TAREAS'!AL41),'EDT Y TAREAS'!AH41/'EDT Y TAREAS'!M41,0),IF(AND(128&gt;='EDT Y TAREAS'!AK44,128&lt;'EDT Y TAREAS'!AL44),'EDT Y TAREAS'!AH44/'EDT Y TAREAS'!M44,0),IF(AND(128&gt;='EDT Y TAREAS'!AK46,128&lt;'EDT Y TAREAS'!AL46),'EDT Y TAREAS'!AH46/'EDT Y TAREAS'!M46,0),IF(AND(128&gt;='EDT Y TAREAS'!AK48,128&lt;'EDT Y TAREAS'!AL48),'EDT Y TAREAS'!AH48/'EDT Y TAREAS'!M48,0))</x:f>
        <x:v>0</x:v>
      </x:c>
      <x:c r="G168" s="35" t="n">
        <x:f>SUM(IF(AND(128&gt;='EDT Y TAREAS'!AK20,128&lt;'EDT Y TAREAS'!AL20),'EDT Y TAREAS'!AI20/'EDT Y TAREAS'!M20,0),IF(AND(128&gt;='EDT Y TAREAS'!AK25,128&lt;'EDT Y TAREAS'!AL25),'EDT Y TAREAS'!AI25/'EDT Y TAREAS'!M25,0),IF(AND(128&gt;='EDT Y TAREAS'!AK33,128&lt;'EDT Y TAREAS'!AL33),'EDT Y TAREAS'!AI33/'EDT Y TAREAS'!M33,0),IF(AND(128&gt;='EDT Y TAREAS'!AK34,128&lt;'EDT Y TAREAS'!AL34),'EDT Y TAREAS'!AI34/'EDT Y TAREAS'!M34,0),IF(AND(128&gt;='EDT Y TAREAS'!AK36,128&lt;'EDT Y TAREAS'!AL36),'EDT Y TAREAS'!AI36/'EDT Y TAREAS'!M36,0),IF(AND(128&gt;='EDT Y TAREAS'!AK39,128&lt;'EDT Y TAREAS'!AL39),'EDT Y TAREAS'!AI39/'EDT Y TAREAS'!M39,0),IF(AND(128&gt;='EDT Y TAREAS'!AK40,128&lt;'EDT Y TAREAS'!AL40),'EDT Y TAREAS'!AI40/'EDT Y TAREAS'!M40,0),IF(AND(128&gt;='EDT Y TAREAS'!AK42,128&lt;'EDT Y TAREAS'!AL42),'EDT Y TAREAS'!AI42/'EDT Y TAREAS'!M42,0),IF(AND(128&gt;='EDT Y TAREAS'!AK43,128&lt;'EDT Y TAREAS'!AL43),'EDT Y TAREAS'!AI43/'EDT Y TAREAS'!M43,0),IF(AND(128&gt;='EDT Y TAREAS'!AK44,128&lt;'EDT Y TAREAS'!AL44),'EDT Y TAREAS'!AI44/'EDT Y TAREAS'!M44,0),IF(AND(128&gt;='EDT Y TAREAS'!AK45,128&lt;'EDT Y TAREAS'!AL45),'EDT Y TAREAS'!AI45/'EDT Y TAREAS'!M45,0),IF(AND(128&gt;='EDT Y TAREAS'!AK46,128&lt;'EDT Y TAREAS'!AL46),'EDT Y TAREAS'!AI46/'EDT Y TAREAS'!M46,0),IF(AND(128&gt;='EDT Y TAREAS'!AK48,128&lt;'EDT Y TAREAS'!AL48),'EDT Y TAREAS'!AI48/'EDT Y TAREAS'!M48,0),IF(AND(128&gt;='EDT Y TAREAS'!AK50,128&lt;'EDT Y TAREAS'!AL50),'EDT Y TAREAS'!AI50/'EDT Y TAREAS'!M50,0),IF(AND(128&gt;='EDT Y TAREAS'!AK52,128&lt;'EDT Y TAREAS'!AL52),'EDT Y TAREAS'!AI52/'EDT Y TAREAS'!M52,0))</x:f>
        <x:v>2.4</x:v>
      </x:c>
      <x:c r="H168" s="35" t="n">
        <x:f>SUM(IF(AND(128&gt;='EDT Y TAREAS'!AK11,128&lt;'EDT Y TAREAS'!AL11),'EDT Y TAREAS'!AJ11/'EDT Y TAREAS'!M11,0),IF(AND(128&gt;='EDT Y TAREAS'!AK24,128&lt;'EDT Y TAREAS'!AL24),'EDT Y TAREAS'!AJ24/'EDT Y TAREAS'!M24,0),IF(AND(128&gt;='EDT Y TAREAS'!AK27,128&lt;'EDT Y TAREAS'!AL27),'EDT Y TAREAS'!AJ27/'EDT Y TAREAS'!M27,0),IF(AND(128&gt;='EDT Y TAREAS'!AK28,128&lt;'EDT Y TAREAS'!AL28),'EDT Y TAREAS'!AJ28/'EDT Y TAREAS'!M28,0),IF(AND(128&gt;='EDT Y TAREAS'!AK33,128&lt;'EDT Y TAREAS'!AL33),'EDT Y TAREAS'!AJ33/'EDT Y TAREAS'!M33,0),IF(AND(128&gt;='EDT Y TAREAS'!AK35,128&lt;'EDT Y TAREAS'!AL35),'EDT Y TAREAS'!AJ35/'EDT Y TAREAS'!M35,0),IF(AND(128&gt;='EDT Y TAREAS'!AK36,128&lt;'EDT Y TAREAS'!AL36),'EDT Y TAREAS'!AJ36/'EDT Y TAREAS'!M36,0),IF(AND(128&gt;='EDT Y TAREAS'!AK37,128&lt;'EDT Y TAREAS'!AL37),'EDT Y TAREAS'!AJ37/'EDT Y TAREAS'!M37,0),IF(AND(128&gt;='EDT Y TAREAS'!AK40,128&lt;'EDT Y TAREAS'!AL40),'EDT Y TAREAS'!AJ40/'EDT Y TAREAS'!M40,0),IF(AND(128&gt;='EDT Y TAREAS'!AK42,128&lt;'EDT Y TAREAS'!AL42),'EDT Y TAREAS'!AJ42/'EDT Y TAREAS'!M42,0),IF(AND(128&gt;='EDT Y TAREAS'!AK49,128&lt;'EDT Y TAREAS'!AL49),'EDT Y TAREAS'!AJ49/'EDT Y TAREAS'!M49,0),IF(AND(128&gt;='EDT Y TAREAS'!AK50,128&lt;'EDT Y TAREAS'!AL50),'EDT Y TAREAS'!AJ50/'EDT Y TAREAS'!M50,0),IF(AND(128&gt;='EDT Y TAREAS'!AK51,128&lt;'EDT Y TAREAS'!AL51),'EDT Y TAREAS'!AJ51/'EDT Y TAREAS'!M51,0),IF(AND(128&gt;='EDT Y TAREAS'!AK52,128&lt;'EDT Y TAREAS'!AL52),'EDT Y TAREAS'!AJ52/'EDT Y TAREAS'!M52,0))</x:f>
        <x:v>0</x:v>
      </x:c>
      <x:c r="I168" s="10" t="n">
        <x:f>WORKDAY('RESUMEN'!$D$3-1,A168,'RESUMEN'!$J$6:$J$25)</x:f>
        <x:v>46506</x:v>
      </x:c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  <x:c r="AM168" s="3"/>
      <x:c r="AN168" s="3"/>
      <x:c r="AO168" s="3"/>
    </x:row>
    <x:row r="169" ht="24" customHeight="1">
      <x:c r="A169" s="3" t="n">
        <x:v>130</x:v>
      </x:c>
      <x:c r="B169" s="35" t="n">
        <x:f>SUM(IF(AND(129&gt;='EDT Y TAREAS'!AK6,129&lt;'EDT Y TAREAS'!AL6),'EDT Y TAREAS'!AD6/'EDT Y TAREAS'!M6,0),IF(AND(129&gt;='EDT Y TAREAS'!AK7,129&lt;'EDT Y TAREAS'!AL7),'EDT Y TAREAS'!AD7/'EDT Y TAREAS'!M7,0),IF(AND(129&gt;='EDT Y TAREAS'!AK8,129&lt;'EDT Y TAREAS'!AL8),'EDT Y TAREAS'!AD8/'EDT Y TAREAS'!M8,0),IF(AND(129&gt;='EDT Y TAREAS'!AK9,129&lt;'EDT Y TAREAS'!AL9),'EDT Y TAREAS'!AD9/'EDT Y TAREAS'!M9,0),IF(AND(129&gt;='EDT Y TAREAS'!AK10,129&lt;'EDT Y TAREAS'!AL10),'EDT Y TAREAS'!AD10/'EDT Y TAREAS'!M10,0),IF(AND(129&gt;='EDT Y TAREAS'!AK11,129&lt;'EDT Y TAREAS'!AL11),'EDT Y TAREAS'!AD11/'EDT Y TAREAS'!M11,0),IF(AND(129&gt;='EDT Y TAREAS'!AK12,129&lt;'EDT Y TAREAS'!AL12),'EDT Y TAREAS'!AD12/'EDT Y TAREAS'!M12,0),IF(AND(129&gt;='EDT Y TAREAS'!AK13,129&lt;'EDT Y TAREAS'!AL13),'EDT Y TAREAS'!AD13/'EDT Y TAREAS'!M13,0),IF(AND(129&gt;='EDT Y TAREAS'!AK14,129&lt;'EDT Y TAREAS'!AL14),'EDT Y TAREAS'!AD14/'EDT Y TAREAS'!M14,0),IF(AND(129&gt;='EDT Y TAREAS'!AK15,129&lt;'EDT Y TAREAS'!AL15),'EDT Y TAREAS'!AD15/'EDT Y TAREAS'!M15,0),IF(AND(129&gt;='EDT Y TAREAS'!AK16,129&lt;'EDT Y TAREAS'!AL16),'EDT Y TAREAS'!AD16/'EDT Y TAREAS'!M16,0),IF(AND(129&gt;='EDT Y TAREAS'!AK17,129&lt;'EDT Y TAREAS'!AL17),'EDT Y TAREAS'!AD17/'EDT Y TAREAS'!M17,0),IF(AND(129&gt;='EDT Y TAREAS'!AK18,129&lt;'EDT Y TAREAS'!AL18),'EDT Y TAREAS'!AD18/'EDT Y TAREAS'!M18,0),IF(AND(129&gt;='EDT Y TAREAS'!AK19,129&lt;'EDT Y TAREAS'!AL19),'EDT Y TAREAS'!AD19/'EDT Y TAREAS'!M19,0),IF(AND(129&gt;='EDT Y TAREAS'!AK20,129&lt;'EDT Y TAREAS'!AL20),'EDT Y TAREAS'!AD20/'EDT Y TAREAS'!M20,0),IF(AND(129&gt;='EDT Y TAREAS'!AK21,129&lt;'EDT Y TAREAS'!AL21),'EDT Y TAREAS'!AD21/'EDT Y TAREAS'!M21,0),IF(AND(129&gt;='EDT Y TAREAS'!AK22,129&lt;'EDT Y TAREAS'!AL22),'EDT Y TAREAS'!AD22/'EDT Y TAREAS'!M22,0),IF(AND(129&gt;='EDT Y TAREAS'!AK23,129&lt;'EDT Y TAREAS'!AL23),'EDT Y TAREAS'!AD23/'EDT Y TAREAS'!M23,0),IF(AND(129&gt;='EDT Y TAREAS'!AK26,129&lt;'EDT Y TAREAS'!AL26),'EDT Y TAREAS'!AD26/'EDT Y TAREAS'!M26,0),IF(AND(129&gt;='EDT Y TAREAS'!AK28,129&lt;'EDT Y TAREAS'!AL28),'EDT Y TAREAS'!AD28/'EDT Y TAREAS'!M28,0),IF(AND(129&gt;='EDT Y TAREAS'!AK30,129&lt;'EDT Y TAREAS'!AL30),'EDT Y TAREAS'!AD30/'EDT Y TAREAS'!M30,0),IF(AND(129&gt;='EDT Y TAREAS'!AK32,129&lt;'EDT Y TAREAS'!AL32),'EDT Y TAREAS'!AD32/'EDT Y TAREAS'!M32,0),IF(AND(129&gt;='EDT Y TAREAS'!AK34,129&lt;'EDT Y TAREAS'!AL34),'EDT Y TAREAS'!AD34/'EDT Y TAREAS'!M34,0),IF(AND(129&gt;='EDT Y TAREAS'!AK38,129&lt;'EDT Y TAREAS'!AL38),'EDT Y TAREAS'!AD38/'EDT Y TAREAS'!M38,0),IF(AND(129&gt;='EDT Y TAREAS'!AK39,129&lt;'EDT Y TAREAS'!AL39),'EDT Y TAREAS'!AD39/'EDT Y TAREAS'!M39,0),IF(AND(129&gt;='EDT Y TAREAS'!AK43,129&lt;'EDT Y TAREAS'!AL43),'EDT Y TAREAS'!AD43/'EDT Y TAREAS'!M43,0),IF(AND(129&gt;='EDT Y TAREAS'!AK44,129&lt;'EDT Y TAREAS'!AL44),'EDT Y TAREAS'!AD44/'EDT Y TAREAS'!M44,0),IF(AND(129&gt;='EDT Y TAREAS'!AK45,129&lt;'EDT Y TAREAS'!AL45),'EDT Y TAREAS'!AD45/'EDT Y TAREAS'!M45,0),IF(AND(129&gt;='EDT Y TAREAS'!AK46,129&lt;'EDT Y TAREAS'!AL46),'EDT Y TAREAS'!AD46/'EDT Y TAREAS'!M46,0),IF(AND(129&gt;='EDT Y TAREAS'!AK47,129&lt;'EDT Y TAREAS'!AL47),'EDT Y TAREAS'!AD47/'EDT Y TAREAS'!M47,0),IF(AND(129&gt;='EDT Y TAREAS'!AK49,129&lt;'EDT Y TAREAS'!AL49),'EDT Y TAREAS'!AD49/'EDT Y TAREAS'!M49,0),IF(AND(129&gt;='EDT Y TAREAS'!AK50,129&lt;'EDT Y TAREAS'!AL50),'EDT Y TAREAS'!AD50/'EDT Y TAREAS'!M50,0),IF(AND(129&gt;='EDT Y TAREAS'!AK51,129&lt;'EDT Y TAREAS'!AL51),'EDT Y TAREAS'!AD51/'EDT Y TAREAS'!M51,0),IF(AND(129&gt;='EDT Y TAREAS'!AK52,129&lt;'EDT Y TAREAS'!AL52),'EDT Y TAREAS'!AD52/'EDT Y TAREAS'!M52,0))</x:f>
        <x:v>3.2</x:v>
      </x:c>
      <x:c r="C169" s="35" t="n">
        <x:f>SUM(IF(AND(129&gt;='EDT Y TAREAS'!AK6,129&lt;'EDT Y TAREAS'!AL6),'EDT Y TAREAS'!AE6/'EDT Y TAREAS'!M6,0),IF(AND(129&gt;='EDT Y TAREAS'!AK8,129&lt;'EDT Y TAREAS'!AL8),'EDT Y TAREAS'!AE8/'EDT Y TAREAS'!M8,0),IF(AND(129&gt;='EDT Y TAREAS'!AK9,129&lt;'EDT Y TAREAS'!AL9),'EDT Y TAREAS'!AE9/'EDT Y TAREAS'!M9,0),IF(AND(129&gt;='EDT Y TAREAS'!AK10,129&lt;'EDT Y TAREAS'!AL10),'EDT Y TAREAS'!AE10/'EDT Y TAREAS'!M10,0),IF(AND(129&gt;='EDT Y TAREAS'!AK12,129&lt;'EDT Y TAREAS'!AL12),'EDT Y TAREAS'!AE12/'EDT Y TAREAS'!M12,0),IF(AND(129&gt;='EDT Y TAREAS'!AK16,129&lt;'EDT Y TAREAS'!AL16),'EDT Y TAREAS'!AE16/'EDT Y TAREAS'!M16,0),IF(AND(129&gt;='EDT Y TAREAS'!AK21,129&lt;'EDT Y TAREAS'!AL21),'EDT Y TAREAS'!AE21/'EDT Y TAREAS'!M21,0),IF(AND(129&gt;='EDT Y TAREAS'!AK23,129&lt;'EDT Y TAREAS'!AL23),'EDT Y TAREAS'!AE23/'EDT Y TAREAS'!M23,0),IF(AND(129&gt;='EDT Y TAREAS'!AK37,129&lt;'EDT Y TAREAS'!AL37),'EDT Y TAREAS'!AE37/'EDT Y TAREAS'!M37,0),IF(AND(129&gt;='EDT Y TAREAS'!AK38,129&lt;'EDT Y TAREAS'!AL38),'EDT Y TAREAS'!AE38/'EDT Y TAREAS'!M38,0),IF(AND(129&gt;='EDT Y TAREAS'!AK41,129&lt;'EDT Y TAREAS'!AL41),'EDT Y TAREAS'!AE41/'EDT Y TAREAS'!M41,0),IF(AND(129&gt;='EDT Y TAREAS'!AK43,129&lt;'EDT Y TAREAS'!AL43),'EDT Y TAREAS'!AE43/'EDT Y TAREAS'!M43,0),IF(AND(129&gt;='EDT Y TAREAS'!AK44,129&lt;'EDT Y TAREAS'!AL44),'EDT Y TAREAS'!AE44/'EDT Y TAREAS'!M44,0),IF(AND(129&gt;='EDT Y TAREAS'!AK46,129&lt;'EDT Y TAREAS'!AL46),'EDT Y TAREAS'!AE46/'EDT Y TAREAS'!M46,0),IF(AND(129&gt;='EDT Y TAREAS'!AK47,129&lt;'EDT Y TAREAS'!AL47),'EDT Y TAREAS'!AE47/'EDT Y TAREAS'!M47,0),IF(AND(129&gt;='EDT Y TAREAS'!AK51,129&lt;'EDT Y TAREAS'!AL51),'EDT Y TAREAS'!AE51/'EDT Y TAREAS'!M51,0),IF(AND(129&gt;='EDT Y TAREAS'!AK52,129&lt;'EDT Y TAREAS'!AL52),'EDT Y TAREAS'!AE52/'EDT Y TAREAS'!M52,0))</x:f>
        <x:v>1.6</x:v>
      </x:c>
      <x:c r="D169" s="35" t="n">
        <x:f>SUM(IF(AND(129&gt;='EDT Y TAREAS'!AK11,129&lt;'EDT Y TAREAS'!AL11),'EDT Y TAREAS'!AF11/'EDT Y TAREAS'!M11,0),IF(AND(129&gt;='EDT Y TAREAS'!AK24,129&lt;'EDT Y TAREAS'!AL24),'EDT Y TAREAS'!AF24/'EDT Y TAREAS'!M24,0),IF(AND(129&gt;='EDT Y TAREAS'!AK25,129&lt;'EDT Y TAREAS'!AL25),'EDT Y TAREAS'!AF25/'EDT Y TAREAS'!M25,0),IF(AND(129&gt;='EDT Y TAREAS'!AK26,129&lt;'EDT Y TAREAS'!AL26),'EDT Y TAREAS'!AF26/'EDT Y TAREAS'!M26,0),IF(AND(129&gt;='EDT Y TAREAS'!AK27,129&lt;'EDT Y TAREAS'!AL27),'EDT Y TAREAS'!AF27/'EDT Y TAREAS'!M27,0),IF(AND(129&gt;='EDT Y TAREAS'!AK28,129&lt;'EDT Y TAREAS'!AL28),'EDT Y TAREAS'!AF28/'EDT Y TAREAS'!M28,0),IF(AND(129&gt;='EDT Y TAREAS'!AK31,129&lt;'EDT Y TAREAS'!AL31),'EDT Y TAREAS'!AF31/'EDT Y TAREAS'!M31,0),IF(AND(129&gt;='EDT Y TAREAS'!AK33,129&lt;'EDT Y TAREAS'!AL33),'EDT Y TAREAS'!AF33/'EDT Y TAREAS'!M33,0),IF(AND(129&gt;='EDT Y TAREAS'!AK34,129&lt;'EDT Y TAREAS'!AL34),'EDT Y TAREAS'!AF34/'EDT Y TAREAS'!M34,0),IF(AND(129&gt;='EDT Y TAREAS'!AK35,129&lt;'EDT Y TAREAS'!AL35),'EDT Y TAREAS'!AF35/'EDT Y TAREAS'!M35,0),IF(AND(129&gt;='EDT Y TAREAS'!AK37,129&lt;'EDT Y TAREAS'!AL37),'EDT Y TAREAS'!AF37/'EDT Y TAREAS'!M37,0),IF(AND(129&gt;='EDT Y TAREAS'!AK39,129&lt;'EDT Y TAREAS'!AL39),'EDT Y TAREAS'!AF39/'EDT Y TAREAS'!M39,0),IF(AND(129&gt;='EDT Y TAREAS'!AK40,129&lt;'EDT Y TAREAS'!AL40),'EDT Y TAREAS'!AF40/'EDT Y TAREAS'!M40,0),IF(AND(129&gt;='EDT Y TAREAS'!AK42,129&lt;'EDT Y TAREAS'!AL42),'EDT Y TAREAS'!AF42/'EDT Y TAREAS'!M42,0),IF(AND(129&gt;='EDT Y TAREAS'!AK45,129&lt;'EDT Y TAREAS'!AL45),'EDT Y TAREAS'!AF45/'EDT Y TAREAS'!M45,0),IF(AND(129&gt;='EDT Y TAREAS'!AK49,129&lt;'EDT Y TAREAS'!AL49),'EDT Y TAREAS'!AF49/'EDT Y TAREAS'!M49,0),IF(AND(129&gt;='EDT Y TAREAS'!AK52,129&lt;'EDT Y TAREAS'!AL52),'EDT Y TAREAS'!AF52/'EDT Y TAREAS'!M52,0))</x:f>
        <x:v>3.2</x:v>
      </x:c>
      <x:c r="E169" s="35" t="n">
        <x:f>SUM(IF(AND(129&gt;='EDT Y TAREAS'!AK29,129&lt;'EDT Y TAREAS'!AL29),'EDT Y TAREAS'!AG29/'EDT Y TAREAS'!M29,0),IF(AND(129&gt;='EDT Y TAREAS'!AK30,129&lt;'EDT Y TAREAS'!AL30),'EDT Y TAREAS'!AG30/'EDT Y TAREAS'!M30,0),IF(AND(129&gt;='EDT Y TAREAS'!AK31,129&lt;'EDT Y TAREAS'!AL31),'EDT Y TAREAS'!AG31/'EDT Y TAREAS'!M31,0),IF(AND(129&gt;='EDT Y TAREAS'!AK32,129&lt;'EDT Y TAREAS'!AL32),'EDT Y TAREAS'!AG32/'EDT Y TAREAS'!M32,0),IF(AND(129&gt;='EDT Y TAREAS'!AK41,129&lt;'EDT Y TAREAS'!AL41),'EDT Y TAREAS'!AG41/'EDT Y TAREAS'!M41,0),IF(AND(129&gt;='EDT Y TAREAS'!AK45,129&lt;'EDT Y TAREAS'!AL45),'EDT Y TAREAS'!AG45/'EDT Y TAREAS'!M45,0),IF(AND(129&gt;='EDT Y TAREAS'!AK48,129&lt;'EDT Y TAREAS'!AL48),'EDT Y TAREAS'!AG48/'EDT Y TAREAS'!M48,0))</x:f>
        <x:v>3.2</x:v>
      </x:c>
      <x:c r="F169" s="35" t="n">
        <x:f>SUM(IF(AND(129&gt;='EDT Y TAREAS'!AK10,129&lt;'EDT Y TAREAS'!AL10),'EDT Y TAREAS'!AH10/'EDT Y TAREAS'!M10,0),IF(AND(129&gt;='EDT Y TAREAS'!AK12,129&lt;'EDT Y TAREAS'!AL12),'EDT Y TAREAS'!AH12/'EDT Y TAREAS'!M12,0),IF(AND(129&gt;='EDT Y TAREAS'!AK22,129&lt;'EDT Y TAREAS'!AL22),'EDT Y TAREAS'!AH22/'EDT Y TAREAS'!M22,0),IF(AND(129&gt;='EDT Y TAREAS'!AK23,129&lt;'EDT Y TAREAS'!AL23),'EDT Y TAREAS'!AH23/'EDT Y TAREAS'!M23,0),IF(AND(129&gt;='EDT Y TAREAS'!AK29,129&lt;'EDT Y TAREAS'!AL29),'EDT Y TAREAS'!AH29/'EDT Y TAREAS'!M29,0),IF(AND(129&gt;='EDT Y TAREAS'!AK30,129&lt;'EDT Y TAREAS'!AL30),'EDT Y TAREAS'!AH30/'EDT Y TAREAS'!M30,0),IF(AND(129&gt;='EDT Y TAREAS'!AK32,129&lt;'EDT Y TAREAS'!AL32),'EDT Y TAREAS'!AH32/'EDT Y TAREAS'!M32,0),IF(AND(129&gt;='EDT Y TAREAS'!AK41,129&lt;'EDT Y TAREAS'!AL41),'EDT Y TAREAS'!AH41/'EDT Y TAREAS'!M41,0),IF(AND(129&gt;='EDT Y TAREAS'!AK44,129&lt;'EDT Y TAREAS'!AL44),'EDT Y TAREAS'!AH44/'EDT Y TAREAS'!M44,0),IF(AND(129&gt;='EDT Y TAREAS'!AK46,129&lt;'EDT Y TAREAS'!AL46),'EDT Y TAREAS'!AH46/'EDT Y TAREAS'!M46,0),IF(AND(129&gt;='EDT Y TAREAS'!AK48,129&lt;'EDT Y TAREAS'!AL48),'EDT Y TAREAS'!AH48/'EDT Y TAREAS'!M48,0))</x:f>
        <x:v>0</x:v>
      </x:c>
      <x:c r="G169" s="35" t="n">
        <x:f>SUM(IF(AND(129&gt;='EDT Y TAREAS'!AK20,129&lt;'EDT Y TAREAS'!AL20),'EDT Y TAREAS'!AI20/'EDT Y TAREAS'!M20,0),IF(AND(129&gt;='EDT Y TAREAS'!AK25,129&lt;'EDT Y TAREAS'!AL25),'EDT Y TAREAS'!AI25/'EDT Y TAREAS'!M25,0),IF(AND(129&gt;='EDT Y TAREAS'!AK33,129&lt;'EDT Y TAREAS'!AL33),'EDT Y TAREAS'!AI33/'EDT Y TAREAS'!M33,0),IF(AND(129&gt;='EDT Y TAREAS'!AK34,129&lt;'EDT Y TAREAS'!AL34),'EDT Y TAREAS'!AI34/'EDT Y TAREAS'!M34,0),IF(AND(129&gt;='EDT Y TAREAS'!AK36,129&lt;'EDT Y TAREAS'!AL36),'EDT Y TAREAS'!AI36/'EDT Y TAREAS'!M36,0),IF(AND(129&gt;='EDT Y TAREAS'!AK39,129&lt;'EDT Y TAREAS'!AL39),'EDT Y TAREAS'!AI39/'EDT Y TAREAS'!M39,0),IF(AND(129&gt;='EDT Y TAREAS'!AK40,129&lt;'EDT Y TAREAS'!AL40),'EDT Y TAREAS'!AI40/'EDT Y TAREAS'!M40,0),IF(AND(129&gt;='EDT Y TAREAS'!AK42,129&lt;'EDT Y TAREAS'!AL42),'EDT Y TAREAS'!AI42/'EDT Y TAREAS'!M42,0),IF(AND(129&gt;='EDT Y TAREAS'!AK43,129&lt;'EDT Y TAREAS'!AL43),'EDT Y TAREAS'!AI43/'EDT Y TAREAS'!M43,0),IF(AND(129&gt;='EDT Y TAREAS'!AK44,129&lt;'EDT Y TAREAS'!AL44),'EDT Y TAREAS'!AI44/'EDT Y TAREAS'!M44,0),IF(AND(129&gt;='EDT Y TAREAS'!AK45,129&lt;'EDT Y TAREAS'!AL45),'EDT Y TAREAS'!AI45/'EDT Y TAREAS'!M45,0),IF(AND(129&gt;='EDT Y TAREAS'!AK46,129&lt;'EDT Y TAREAS'!AL46),'EDT Y TAREAS'!AI46/'EDT Y TAREAS'!M46,0),IF(AND(129&gt;='EDT Y TAREAS'!AK48,129&lt;'EDT Y TAREAS'!AL48),'EDT Y TAREAS'!AI48/'EDT Y TAREAS'!M48,0),IF(AND(129&gt;='EDT Y TAREAS'!AK50,129&lt;'EDT Y TAREAS'!AL50),'EDT Y TAREAS'!AI50/'EDT Y TAREAS'!M50,0),IF(AND(129&gt;='EDT Y TAREAS'!AK52,129&lt;'EDT Y TAREAS'!AL52),'EDT Y TAREAS'!AI52/'EDT Y TAREAS'!M52,0))</x:f>
        <x:v>2.4</x:v>
      </x:c>
      <x:c r="H169" s="35" t="n">
        <x:f>SUM(IF(AND(129&gt;='EDT Y TAREAS'!AK11,129&lt;'EDT Y TAREAS'!AL11),'EDT Y TAREAS'!AJ11/'EDT Y TAREAS'!M11,0),IF(AND(129&gt;='EDT Y TAREAS'!AK24,129&lt;'EDT Y TAREAS'!AL24),'EDT Y TAREAS'!AJ24/'EDT Y TAREAS'!M24,0),IF(AND(129&gt;='EDT Y TAREAS'!AK27,129&lt;'EDT Y TAREAS'!AL27),'EDT Y TAREAS'!AJ27/'EDT Y TAREAS'!M27,0),IF(AND(129&gt;='EDT Y TAREAS'!AK28,129&lt;'EDT Y TAREAS'!AL28),'EDT Y TAREAS'!AJ28/'EDT Y TAREAS'!M28,0),IF(AND(129&gt;='EDT Y TAREAS'!AK33,129&lt;'EDT Y TAREAS'!AL33),'EDT Y TAREAS'!AJ33/'EDT Y TAREAS'!M33,0),IF(AND(129&gt;='EDT Y TAREAS'!AK35,129&lt;'EDT Y TAREAS'!AL35),'EDT Y TAREAS'!AJ35/'EDT Y TAREAS'!M35,0),IF(AND(129&gt;='EDT Y TAREAS'!AK36,129&lt;'EDT Y TAREAS'!AL36),'EDT Y TAREAS'!AJ36/'EDT Y TAREAS'!M36,0),IF(AND(129&gt;='EDT Y TAREAS'!AK37,129&lt;'EDT Y TAREAS'!AL37),'EDT Y TAREAS'!AJ37/'EDT Y TAREAS'!M37,0),IF(AND(129&gt;='EDT Y TAREAS'!AK40,129&lt;'EDT Y TAREAS'!AL40),'EDT Y TAREAS'!AJ40/'EDT Y TAREAS'!M40,0),IF(AND(129&gt;='EDT Y TAREAS'!AK42,129&lt;'EDT Y TAREAS'!AL42),'EDT Y TAREAS'!AJ42/'EDT Y TAREAS'!M42,0),IF(AND(129&gt;='EDT Y TAREAS'!AK49,129&lt;'EDT Y TAREAS'!AL49),'EDT Y TAREAS'!AJ49/'EDT Y TAREAS'!M49,0),IF(AND(129&gt;='EDT Y TAREAS'!AK50,129&lt;'EDT Y TAREAS'!AL50),'EDT Y TAREAS'!AJ50/'EDT Y TAREAS'!M50,0),IF(AND(129&gt;='EDT Y TAREAS'!AK51,129&lt;'EDT Y TAREAS'!AL51),'EDT Y TAREAS'!AJ51/'EDT Y TAREAS'!M51,0),IF(AND(129&gt;='EDT Y TAREAS'!AK52,129&lt;'EDT Y TAREAS'!AL52),'EDT Y TAREAS'!AJ52/'EDT Y TAREAS'!M52,0))</x:f>
        <x:v>0</x:v>
      </x:c>
      <x:c r="I169" s="10" t="n">
        <x:f>WORKDAY('RESUMEN'!$D$3-1,A169,'RESUMEN'!$J$6:$J$25)</x:f>
        <x:v>46507</x:v>
      </x:c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  <x:c r="AL169" s="3"/>
      <x:c r="AM169" s="3"/>
      <x:c r="AN169" s="3"/>
      <x:c r="AO169" s="3"/>
    </x:row>
    <x:row r="170" ht="24" customHeight="1">
      <x:c r="A170" s="3" t="n">
        <x:v>131</x:v>
      </x:c>
      <x:c r="B170" s="35" t="n">
        <x:f>SUM(IF(AND(130&gt;='EDT Y TAREAS'!AK6,130&lt;'EDT Y TAREAS'!AL6),'EDT Y TAREAS'!AD6/'EDT Y TAREAS'!M6,0),IF(AND(130&gt;='EDT Y TAREAS'!AK7,130&lt;'EDT Y TAREAS'!AL7),'EDT Y TAREAS'!AD7/'EDT Y TAREAS'!M7,0),IF(AND(130&gt;='EDT Y TAREAS'!AK8,130&lt;'EDT Y TAREAS'!AL8),'EDT Y TAREAS'!AD8/'EDT Y TAREAS'!M8,0),IF(AND(130&gt;='EDT Y TAREAS'!AK9,130&lt;'EDT Y TAREAS'!AL9),'EDT Y TAREAS'!AD9/'EDT Y TAREAS'!M9,0),IF(AND(130&gt;='EDT Y TAREAS'!AK10,130&lt;'EDT Y TAREAS'!AL10),'EDT Y TAREAS'!AD10/'EDT Y TAREAS'!M10,0),IF(AND(130&gt;='EDT Y TAREAS'!AK11,130&lt;'EDT Y TAREAS'!AL11),'EDT Y TAREAS'!AD11/'EDT Y TAREAS'!M11,0),IF(AND(130&gt;='EDT Y TAREAS'!AK12,130&lt;'EDT Y TAREAS'!AL12),'EDT Y TAREAS'!AD12/'EDT Y TAREAS'!M12,0),IF(AND(130&gt;='EDT Y TAREAS'!AK13,130&lt;'EDT Y TAREAS'!AL13),'EDT Y TAREAS'!AD13/'EDT Y TAREAS'!M13,0),IF(AND(130&gt;='EDT Y TAREAS'!AK14,130&lt;'EDT Y TAREAS'!AL14),'EDT Y TAREAS'!AD14/'EDT Y TAREAS'!M14,0),IF(AND(130&gt;='EDT Y TAREAS'!AK15,130&lt;'EDT Y TAREAS'!AL15),'EDT Y TAREAS'!AD15/'EDT Y TAREAS'!M15,0),IF(AND(130&gt;='EDT Y TAREAS'!AK16,130&lt;'EDT Y TAREAS'!AL16),'EDT Y TAREAS'!AD16/'EDT Y TAREAS'!M16,0),IF(AND(130&gt;='EDT Y TAREAS'!AK17,130&lt;'EDT Y TAREAS'!AL17),'EDT Y TAREAS'!AD17/'EDT Y TAREAS'!M17,0),IF(AND(130&gt;='EDT Y TAREAS'!AK18,130&lt;'EDT Y TAREAS'!AL18),'EDT Y TAREAS'!AD18/'EDT Y TAREAS'!M18,0),IF(AND(130&gt;='EDT Y TAREAS'!AK19,130&lt;'EDT Y TAREAS'!AL19),'EDT Y TAREAS'!AD19/'EDT Y TAREAS'!M19,0),IF(AND(130&gt;='EDT Y TAREAS'!AK20,130&lt;'EDT Y TAREAS'!AL20),'EDT Y TAREAS'!AD20/'EDT Y TAREAS'!M20,0),IF(AND(130&gt;='EDT Y TAREAS'!AK21,130&lt;'EDT Y TAREAS'!AL21),'EDT Y TAREAS'!AD21/'EDT Y TAREAS'!M21,0),IF(AND(130&gt;='EDT Y TAREAS'!AK22,130&lt;'EDT Y TAREAS'!AL22),'EDT Y TAREAS'!AD22/'EDT Y TAREAS'!M22,0),IF(AND(130&gt;='EDT Y TAREAS'!AK23,130&lt;'EDT Y TAREAS'!AL23),'EDT Y TAREAS'!AD23/'EDT Y TAREAS'!M23,0),IF(AND(130&gt;='EDT Y TAREAS'!AK26,130&lt;'EDT Y TAREAS'!AL26),'EDT Y TAREAS'!AD26/'EDT Y TAREAS'!M26,0),IF(AND(130&gt;='EDT Y TAREAS'!AK28,130&lt;'EDT Y TAREAS'!AL28),'EDT Y TAREAS'!AD28/'EDT Y TAREAS'!M28,0),IF(AND(130&gt;='EDT Y TAREAS'!AK30,130&lt;'EDT Y TAREAS'!AL30),'EDT Y TAREAS'!AD30/'EDT Y TAREAS'!M30,0),IF(AND(130&gt;='EDT Y TAREAS'!AK32,130&lt;'EDT Y TAREAS'!AL32),'EDT Y TAREAS'!AD32/'EDT Y TAREAS'!M32,0),IF(AND(130&gt;='EDT Y TAREAS'!AK34,130&lt;'EDT Y TAREAS'!AL34),'EDT Y TAREAS'!AD34/'EDT Y TAREAS'!M34,0),IF(AND(130&gt;='EDT Y TAREAS'!AK38,130&lt;'EDT Y TAREAS'!AL38),'EDT Y TAREAS'!AD38/'EDT Y TAREAS'!M38,0),IF(AND(130&gt;='EDT Y TAREAS'!AK39,130&lt;'EDT Y TAREAS'!AL39),'EDT Y TAREAS'!AD39/'EDT Y TAREAS'!M39,0),IF(AND(130&gt;='EDT Y TAREAS'!AK43,130&lt;'EDT Y TAREAS'!AL43),'EDT Y TAREAS'!AD43/'EDT Y TAREAS'!M43,0),IF(AND(130&gt;='EDT Y TAREAS'!AK44,130&lt;'EDT Y TAREAS'!AL44),'EDT Y TAREAS'!AD44/'EDT Y TAREAS'!M44,0),IF(AND(130&gt;='EDT Y TAREAS'!AK45,130&lt;'EDT Y TAREAS'!AL45),'EDT Y TAREAS'!AD45/'EDT Y TAREAS'!M45,0),IF(AND(130&gt;='EDT Y TAREAS'!AK46,130&lt;'EDT Y TAREAS'!AL46),'EDT Y TAREAS'!AD46/'EDT Y TAREAS'!M46,0),IF(AND(130&gt;='EDT Y TAREAS'!AK47,130&lt;'EDT Y TAREAS'!AL47),'EDT Y TAREAS'!AD47/'EDT Y TAREAS'!M47,0),IF(AND(130&gt;='EDT Y TAREAS'!AK49,130&lt;'EDT Y TAREAS'!AL49),'EDT Y TAREAS'!AD49/'EDT Y TAREAS'!M49,0),IF(AND(130&gt;='EDT Y TAREAS'!AK50,130&lt;'EDT Y TAREAS'!AL50),'EDT Y TAREAS'!AD50/'EDT Y TAREAS'!M50,0),IF(AND(130&gt;='EDT Y TAREAS'!AK51,130&lt;'EDT Y TAREAS'!AL51),'EDT Y TAREAS'!AD51/'EDT Y TAREAS'!M51,0),IF(AND(130&gt;='EDT Y TAREAS'!AK52,130&lt;'EDT Y TAREAS'!AL52),'EDT Y TAREAS'!AD52/'EDT Y TAREAS'!M52,0))</x:f>
        <x:v>3.2</x:v>
      </x:c>
      <x:c r="C170" s="35" t="n">
        <x:f>SUM(IF(AND(130&gt;='EDT Y TAREAS'!AK6,130&lt;'EDT Y TAREAS'!AL6),'EDT Y TAREAS'!AE6/'EDT Y TAREAS'!M6,0),IF(AND(130&gt;='EDT Y TAREAS'!AK8,130&lt;'EDT Y TAREAS'!AL8),'EDT Y TAREAS'!AE8/'EDT Y TAREAS'!M8,0),IF(AND(130&gt;='EDT Y TAREAS'!AK9,130&lt;'EDT Y TAREAS'!AL9),'EDT Y TAREAS'!AE9/'EDT Y TAREAS'!M9,0),IF(AND(130&gt;='EDT Y TAREAS'!AK10,130&lt;'EDT Y TAREAS'!AL10),'EDT Y TAREAS'!AE10/'EDT Y TAREAS'!M10,0),IF(AND(130&gt;='EDT Y TAREAS'!AK12,130&lt;'EDT Y TAREAS'!AL12),'EDT Y TAREAS'!AE12/'EDT Y TAREAS'!M12,0),IF(AND(130&gt;='EDT Y TAREAS'!AK16,130&lt;'EDT Y TAREAS'!AL16),'EDT Y TAREAS'!AE16/'EDT Y TAREAS'!M16,0),IF(AND(130&gt;='EDT Y TAREAS'!AK21,130&lt;'EDT Y TAREAS'!AL21),'EDT Y TAREAS'!AE21/'EDT Y TAREAS'!M21,0),IF(AND(130&gt;='EDT Y TAREAS'!AK23,130&lt;'EDT Y TAREAS'!AL23),'EDT Y TAREAS'!AE23/'EDT Y TAREAS'!M23,0),IF(AND(130&gt;='EDT Y TAREAS'!AK37,130&lt;'EDT Y TAREAS'!AL37),'EDT Y TAREAS'!AE37/'EDT Y TAREAS'!M37,0),IF(AND(130&gt;='EDT Y TAREAS'!AK38,130&lt;'EDT Y TAREAS'!AL38),'EDT Y TAREAS'!AE38/'EDT Y TAREAS'!M38,0),IF(AND(130&gt;='EDT Y TAREAS'!AK41,130&lt;'EDT Y TAREAS'!AL41),'EDT Y TAREAS'!AE41/'EDT Y TAREAS'!M41,0),IF(AND(130&gt;='EDT Y TAREAS'!AK43,130&lt;'EDT Y TAREAS'!AL43),'EDT Y TAREAS'!AE43/'EDT Y TAREAS'!M43,0),IF(AND(130&gt;='EDT Y TAREAS'!AK44,130&lt;'EDT Y TAREAS'!AL44),'EDT Y TAREAS'!AE44/'EDT Y TAREAS'!M44,0),IF(AND(130&gt;='EDT Y TAREAS'!AK46,130&lt;'EDT Y TAREAS'!AL46),'EDT Y TAREAS'!AE46/'EDT Y TAREAS'!M46,0),IF(AND(130&gt;='EDT Y TAREAS'!AK47,130&lt;'EDT Y TAREAS'!AL47),'EDT Y TAREAS'!AE47/'EDT Y TAREAS'!M47,0),IF(AND(130&gt;='EDT Y TAREAS'!AK51,130&lt;'EDT Y TAREAS'!AL51),'EDT Y TAREAS'!AE51/'EDT Y TAREAS'!M51,0),IF(AND(130&gt;='EDT Y TAREAS'!AK52,130&lt;'EDT Y TAREAS'!AL52),'EDT Y TAREAS'!AE52/'EDT Y TAREAS'!M52,0))</x:f>
        <x:v>1.6</x:v>
      </x:c>
      <x:c r="D170" s="35" t="n">
        <x:f>SUM(IF(AND(130&gt;='EDT Y TAREAS'!AK11,130&lt;'EDT Y TAREAS'!AL11),'EDT Y TAREAS'!AF11/'EDT Y TAREAS'!M11,0),IF(AND(130&gt;='EDT Y TAREAS'!AK24,130&lt;'EDT Y TAREAS'!AL24),'EDT Y TAREAS'!AF24/'EDT Y TAREAS'!M24,0),IF(AND(130&gt;='EDT Y TAREAS'!AK25,130&lt;'EDT Y TAREAS'!AL25),'EDT Y TAREAS'!AF25/'EDT Y TAREAS'!M25,0),IF(AND(130&gt;='EDT Y TAREAS'!AK26,130&lt;'EDT Y TAREAS'!AL26),'EDT Y TAREAS'!AF26/'EDT Y TAREAS'!M26,0),IF(AND(130&gt;='EDT Y TAREAS'!AK27,130&lt;'EDT Y TAREAS'!AL27),'EDT Y TAREAS'!AF27/'EDT Y TAREAS'!M27,0),IF(AND(130&gt;='EDT Y TAREAS'!AK28,130&lt;'EDT Y TAREAS'!AL28),'EDT Y TAREAS'!AF28/'EDT Y TAREAS'!M28,0),IF(AND(130&gt;='EDT Y TAREAS'!AK31,130&lt;'EDT Y TAREAS'!AL31),'EDT Y TAREAS'!AF31/'EDT Y TAREAS'!M31,0),IF(AND(130&gt;='EDT Y TAREAS'!AK33,130&lt;'EDT Y TAREAS'!AL33),'EDT Y TAREAS'!AF33/'EDT Y TAREAS'!M33,0),IF(AND(130&gt;='EDT Y TAREAS'!AK34,130&lt;'EDT Y TAREAS'!AL34),'EDT Y TAREAS'!AF34/'EDT Y TAREAS'!M34,0),IF(AND(130&gt;='EDT Y TAREAS'!AK35,130&lt;'EDT Y TAREAS'!AL35),'EDT Y TAREAS'!AF35/'EDT Y TAREAS'!M35,0),IF(AND(130&gt;='EDT Y TAREAS'!AK37,130&lt;'EDT Y TAREAS'!AL37),'EDT Y TAREAS'!AF37/'EDT Y TAREAS'!M37,0),IF(AND(130&gt;='EDT Y TAREAS'!AK39,130&lt;'EDT Y TAREAS'!AL39),'EDT Y TAREAS'!AF39/'EDT Y TAREAS'!M39,0),IF(AND(130&gt;='EDT Y TAREAS'!AK40,130&lt;'EDT Y TAREAS'!AL40),'EDT Y TAREAS'!AF40/'EDT Y TAREAS'!M40,0),IF(AND(130&gt;='EDT Y TAREAS'!AK42,130&lt;'EDT Y TAREAS'!AL42),'EDT Y TAREAS'!AF42/'EDT Y TAREAS'!M42,0),IF(AND(130&gt;='EDT Y TAREAS'!AK45,130&lt;'EDT Y TAREAS'!AL45),'EDT Y TAREAS'!AF45/'EDT Y TAREAS'!M45,0),IF(AND(130&gt;='EDT Y TAREAS'!AK49,130&lt;'EDT Y TAREAS'!AL49),'EDT Y TAREAS'!AF49/'EDT Y TAREAS'!M49,0),IF(AND(130&gt;='EDT Y TAREAS'!AK52,130&lt;'EDT Y TAREAS'!AL52),'EDT Y TAREAS'!AF52/'EDT Y TAREAS'!M52,0))</x:f>
        <x:v>3.2</x:v>
      </x:c>
      <x:c r="E170" s="35" t="n">
        <x:f>SUM(IF(AND(130&gt;='EDT Y TAREAS'!AK29,130&lt;'EDT Y TAREAS'!AL29),'EDT Y TAREAS'!AG29/'EDT Y TAREAS'!M29,0),IF(AND(130&gt;='EDT Y TAREAS'!AK30,130&lt;'EDT Y TAREAS'!AL30),'EDT Y TAREAS'!AG30/'EDT Y TAREAS'!M30,0),IF(AND(130&gt;='EDT Y TAREAS'!AK31,130&lt;'EDT Y TAREAS'!AL31),'EDT Y TAREAS'!AG31/'EDT Y TAREAS'!M31,0),IF(AND(130&gt;='EDT Y TAREAS'!AK32,130&lt;'EDT Y TAREAS'!AL32),'EDT Y TAREAS'!AG32/'EDT Y TAREAS'!M32,0),IF(AND(130&gt;='EDT Y TAREAS'!AK41,130&lt;'EDT Y TAREAS'!AL41),'EDT Y TAREAS'!AG41/'EDT Y TAREAS'!M41,0),IF(AND(130&gt;='EDT Y TAREAS'!AK45,130&lt;'EDT Y TAREAS'!AL45),'EDT Y TAREAS'!AG45/'EDT Y TAREAS'!M45,0),IF(AND(130&gt;='EDT Y TAREAS'!AK48,130&lt;'EDT Y TAREAS'!AL48),'EDT Y TAREAS'!AG48/'EDT Y TAREAS'!M48,0))</x:f>
        <x:v>3.2</x:v>
      </x:c>
      <x:c r="F170" s="35" t="n">
        <x:f>SUM(IF(AND(130&gt;='EDT Y TAREAS'!AK10,130&lt;'EDT Y TAREAS'!AL10),'EDT Y TAREAS'!AH10/'EDT Y TAREAS'!M10,0),IF(AND(130&gt;='EDT Y TAREAS'!AK12,130&lt;'EDT Y TAREAS'!AL12),'EDT Y TAREAS'!AH12/'EDT Y TAREAS'!M12,0),IF(AND(130&gt;='EDT Y TAREAS'!AK22,130&lt;'EDT Y TAREAS'!AL22),'EDT Y TAREAS'!AH22/'EDT Y TAREAS'!M22,0),IF(AND(130&gt;='EDT Y TAREAS'!AK23,130&lt;'EDT Y TAREAS'!AL23),'EDT Y TAREAS'!AH23/'EDT Y TAREAS'!M23,0),IF(AND(130&gt;='EDT Y TAREAS'!AK29,130&lt;'EDT Y TAREAS'!AL29),'EDT Y TAREAS'!AH29/'EDT Y TAREAS'!M29,0),IF(AND(130&gt;='EDT Y TAREAS'!AK30,130&lt;'EDT Y TAREAS'!AL30),'EDT Y TAREAS'!AH30/'EDT Y TAREAS'!M30,0),IF(AND(130&gt;='EDT Y TAREAS'!AK32,130&lt;'EDT Y TAREAS'!AL32),'EDT Y TAREAS'!AH32/'EDT Y TAREAS'!M32,0),IF(AND(130&gt;='EDT Y TAREAS'!AK41,130&lt;'EDT Y TAREAS'!AL41),'EDT Y TAREAS'!AH41/'EDT Y TAREAS'!M41,0),IF(AND(130&gt;='EDT Y TAREAS'!AK44,130&lt;'EDT Y TAREAS'!AL44),'EDT Y TAREAS'!AH44/'EDT Y TAREAS'!M44,0),IF(AND(130&gt;='EDT Y TAREAS'!AK46,130&lt;'EDT Y TAREAS'!AL46),'EDT Y TAREAS'!AH46/'EDT Y TAREAS'!M46,0),IF(AND(130&gt;='EDT Y TAREAS'!AK48,130&lt;'EDT Y TAREAS'!AL48),'EDT Y TAREAS'!AH48/'EDT Y TAREAS'!M48,0))</x:f>
        <x:v>0</x:v>
      </x:c>
      <x:c r="G170" s="35" t="n">
        <x:f>SUM(IF(AND(130&gt;='EDT Y TAREAS'!AK20,130&lt;'EDT Y TAREAS'!AL20),'EDT Y TAREAS'!AI20/'EDT Y TAREAS'!M20,0),IF(AND(130&gt;='EDT Y TAREAS'!AK25,130&lt;'EDT Y TAREAS'!AL25),'EDT Y TAREAS'!AI25/'EDT Y TAREAS'!M25,0),IF(AND(130&gt;='EDT Y TAREAS'!AK33,130&lt;'EDT Y TAREAS'!AL33),'EDT Y TAREAS'!AI33/'EDT Y TAREAS'!M33,0),IF(AND(130&gt;='EDT Y TAREAS'!AK34,130&lt;'EDT Y TAREAS'!AL34),'EDT Y TAREAS'!AI34/'EDT Y TAREAS'!M34,0),IF(AND(130&gt;='EDT Y TAREAS'!AK36,130&lt;'EDT Y TAREAS'!AL36),'EDT Y TAREAS'!AI36/'EDT Y TAREAS'!M36,0),IF(AND(130&gt;='EDT Y TAREAS'!AK39,130&lt;'EDT Y TAREAS'!AL39),'EDT Y TAREAS'!AI39/'EDT Y TAREAS'!M39,0),IF(AND(130&gt;='EDT Y TAREAS'!AK40,130&lt;'EDT Y TAREAS'!AL40),'EDT Y TAREAS'!AI40/'EDT Y TAREAS'!M40,0),IF(AND(130&gt;='EDT Y TAREAS'!AK42,130&lt;'EDT Y TAREAS'!AL42),'EDT Y TAREAS'!AI42/'EDT Y TAREAS'!M42,0),IF(AND(130&gt;='EDT Y TAREAS'!AK43,130&lt;'EDT Y TAREAS'!AL43),'EDT Y TAREAS'!AI43/'EDT Y TAREAS'!M43,0),IF(AND(130&gt;='EDT Y TAREAS'!AK44,130&lt;'EDT Y TAREAS'!AL44),'EDT Y TAREAS'!AI44/'EDT Y TAREAS'!M44,0),IF(AND(130&gt;='EDT Y TAREAS'!AK45,130&lt;'EDT Y TAREAS'!AL45),'EDT Y TAREAS'!AI45/'EDT Y TAREAS'!M45,0),IF(AND(130&gt;='EDT Y TAREAS'!AK46,130&lt;'EDT Y TAREAS'!AL46),'EDT Y TAREAS'!AI46/'EDT Y TAREAS'!M46,0),IF(AND(130&gt;='EDT Y TAREAS'!AK48,130&lt;'EDT Y TAREAS'!AL48),'EDT Y TAREAS'!AI48/'EDT Y TAREAS'!M48,0),IF(AND(130&gt;='EDT Y TAREAS'!AK50,130&lt;'EDT Y TAREAS'!AL50),'EDT Y TAREAS'!AI50/'EDT Y TAREAS'!M50,0),IF(AND(130&gt;='EDT Y TAREAS'!AK52,130&lt;'EDT Y TAREAS'!AL52),'EDT Y TAREAS'!AI52/'EDT Y TAREAS'!M52,0))</x:f>
        <x:v>2.4</x:v>
      </x:c>
      <x:c r="H170" s="35" t="n">
        <x:f>SUM(IF(AND(130&gt;='EDT Y TAREAS'!AK11,130&lt;'EDT Y TAREAS'!AL11),'EDT Y TAREAS'!AJ11/'EDT Y TAREAS'!M11,0),IF(AND(130&gt;='EDT Y TAREAS'!AK24,130&lt;'EDT Y TAREAS'!AL24),'EDT Y TAREAS'!AJ24/'EDT Y TAREAS'!M24,0),IF(AND(130&gt;='EDT Y TAREAS'!AK27,130&lt;'EDT Y TAREAS'!AL27),'EDT Y TAREAS'!AJ27/'EDT Y TAREAS'!M27,0),IF(AND(130&gt;='EDT Y TAREAS'!AK28,130&lt;'EDT Y TAREAS'!AL28),'EDT Y TAREAS'!AJ28/'EDT Y TAREAS'!M28,0),IF(AND(130&gt;='EDT Y TAREAS'!AK33,130&lt;'EDT Y TAREAS'!AL33),'EDT Y TAREAS'!AJ33/'EDT Y TAREAS'!M33,0),IF(AND(130&gt;='EDT Y TAREAS'!AK35,130&lt;'EDT Y TAREAS'!AL35),'EDT Y TAREAS'!AJ35/'EDT Y TAREAS'!M35,0),IF(AND(130&gt;='EDT Y TAREAS'!AK36,130&lt;'EDT Y TAREAS'!AL36),'EDT Y TAREAS'!AJ36/'EDT Y TAREAS'!M36,0),IF(AND(130&gt;='EDT Y TAREAS'!AK37,130&lt;'EDT Y TAREAS'!AL37),'EDT Y TAREAS'!AJ37/'EDT Y TAREAS'!M37,0),IF(AND(130&gt;='EDT Y TAREAS'!AK40,130&lt;'EDT Y TAREAS'!AL40),'EDT Y TAREAS'!AJ40/'EDT Y TAREAS'!M40,0),IF(AND(130&gt;='EDT Y TAREAS'!AK42,130&lt;'EDT Y TAREAS'!AL42),'EDT Y TAREAS'!AJ42/'EDT Y TAREAS'!M42,0),IF(AND(130&gt;='EDT Y TAREAS'!AK49,130&lt;'EDT Y TAREAS'!AL49),'EDT Y TAREAS'!AJ49/'EDT Y TAREAS'!M49,0),IF(AND(130&gt;='EDT Y TAREAS'!AK50,130&lt;'EDT Y TAREAS'!AL50),'EDT Y TAREAS'!AJ50/'EDT Y TAREAS'!M50,0),IF(AND(130&gt;='EDT Y TAREAS'!AK51,130&lt;'EDT Y TAREAS'!AL51),'EDT Y TAREAS'!AJ51/'EDT Y TAREAS'!M51,0),IF(AND(130&gt;='EDT Y TAREAS'!AK52,130&lt;'EDT Y TAREAS'!AL52),'EDT Y TAREAS'!AJ52/'EDT Y TAREAS'!M52,0))</x:f>
        <x:v>0</x:v>
      </x:c>
      <x:c r="I170" s="10" t="n">
        <x:f>WORKDAY('RESUMEN'!$D$3-1,A170,'RESUMEN'!$J$6:$J$25)</x:f>
        <x:v>46510</x:v>
      </x:c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  <x:c r="AL170" s="3"/>
      <x:c r="AM170" s="3"/>
      <x:c r="AN170" s="3"/>
      <x:c r="AO170" s="3"/>
    </x:row>
    <x:row r="171" ht="24" customHeight="1">
      <x:c r="A171" s="3" t="n">
        <x:v>132</x:v>
      </x:c>
      <x:c r="B171" s="35" t="n">
        <x:f>SUM(IF(AND(131&gt;='EDT Y TAREAS'!AK6,131&lt;'EDT Y TAREAS'!AL6),'EDT Y TAREAS'!AD6/'EDT Y TAREAS'!M6,0),IF(AND(131&gt;='EDT Y TAREAS'!AK7,131&lt;'EDT Y TAREAS'!AL7),'EDT Y TAREAS'!AD7/'EDT Y TAREAS'!M7,0),IF(AND(131&gt;='EDT Y TAREAS'!AK8,131&lt;'EDT Y TAREAS'!AL8),'EDT Y TAREAS'!AD8/'EDT Y TAREAS'!M8,0),IF(AND(131&gt;='EDT Y TAREAS'!AK9,131&lt;'EDT Y TAREAS'!AL9),'EDT Y TAREAS'!AD9/'EDT Y TAREAS'!M9,0),IF(AND(131&gt;='EDT Y TAREAS'!AK10,131&lt;'EDT Y TAREAS'!AL10),'EDT Y TAREAS'!AD10/'EDT Y TAREAS'!M10,0),IF(AND(131&gt;='EDT Y TAREAS'!AK11,131&lt;'EDT Y TAREAS'!AL11),'EDT Y TAREAS'!AD11/'EDT Y TAREAS'!M11,0),IF(AND(131&gt;='EDT Y TAREAS'!AK12,131&lt;'EDT Y TAREAS'!AL12),'EDT Y TAREAS'!AD12/'EDT Y TAREAS'!M12,0),IF(AND(131&gt;='EDT Y TAREAS'!AK13,131&lt;'EDT Y TAREAS'!AL13),'EDT Y TAREAS'!AD13/'EDT Y TAREAS'!M13,0),IF(AND(131&gt;='EDT Y TAREAS'!AK14,131&lt;'EDT Y TAREAS'!AL14),'EDT Y TAREAS'!AD14/'EDT Y TAREAS'!M14,0),IF(AND(131&gt;='EDT Y TAREAS'!AK15,131&lt;'EDT Y TAREAS'!AL15),'EDT Y TAREAS'!AD15/'EDT Y TAREAS'!M15,0),IF(AND(131&gt;='EDT Y TAREAS'!AK16,131&lt;'EDT Y TAREAS'!AL16),'EDT Y TAREAS'!AD16/'EDT Y TAREAS'!M16,0),IF(AND(131&gt;='EDT Y TAREAS'!AK17,131&lt;'EDT Y TAREAS'!AL17),'EDT Y TAREAS'!AD17/'EDT Y TAREAS'!M17,0),IF(AND(131&gt;='EDT Y TAREAS'!AK18,131&lt;'EDT Y TAREAS'!AL18),'EDT Y TAREAS'!AD18/'EDT Y TAREAS'!M18,0),IF(AND(131&gt;='EDT Y TAREAS'!AK19,131&lt;'EDT Y TAREAS'!AL19),'EDT Y TAREAS'!AD19/'EDT Y TAREAS'!M19,0),IF(AND(131&gt;='EDT Y TAREAS'!AK20,131&lt;'EDT Y TAREAS'!AL20),'EDT Y TAREAS'!AD20/'EDT Y TAREAS'!M20,0),IF(AND(131&gt;='EDT Y TAREAS'!AK21,131&lt;'EDT Y TAREAS'!AL21),'EDT Y TAREAS'!AD21/'EDT Y TAREAS'!M21,0),IF(AND(131&gt;='EDT Y TAREAS'!AK22,131&lt;'EDT Y TAREAS'!AL22),'EDT Y TAREAS'!AD22/'EDT Y TAREAS'!M22,0),IF(AND(131&gt;='EDT Y TAREAS'!AK23,131&lt;'EDT Y TAREAS'!AL23),'EDT Y TAREAS'!AD23/'EDT Y TAREAS'!M23,0),IF(AND(131&gt;='EDT Y TAREAS'!AK26,131&lt;'EDT Y TAREAS'!AL26),'EDT Y TAREAS'!AD26/'EDT Y TAREAS'!M26,0),IF(AND(131&gt;='EDT Y TAREAS'!AK28,131&lt;'EDT Y TAREAS'!AL28),'EDT Y TAREAS'!AD28/'EDT Y TAREAS'!M28,0),IF(AND(131&gt;='EDT Y TAREAS'!AK30,131&lt;'EDT Y TAREAS'!AL30),'EDT Y TAREAS'!AD30/'EDT Y TAREAS'!M30,0),IF(AND(131&gt;='EDT Y TAREAS'!AK32,131&lt;'EDT Y TAREAS'!AL32),'EDT Y TAREAS'!AD32/'EDT Y TAREAS'!M32,0),IF(AND(131&gt;='EDT Y TAREAS'!AK34,131&lt;'EDT Y TAREAS'!AL34),'EDT Y TAREAS'!AD34/'EDT Y TAREAS'!M34,0),IF(AND(131&gt;='EDT Y TAREAS'!AK38,131&lt;'EDT Y TAREAS'!AL38),'EDT Y TAREAS'!AD38/'EDT Y TAREAS'!M38,0),IF(AND(131&gt;='EDT Y TAREAS'!AK39,131&lt;'EDT Y TAREAS'!AL39),'EDT Y TAREAS'!AD39/'EDT Y TAREAS'!M39,0),IF(AND(131&gt;='EDT Y TAREAS'!AK43,131&lt;'EDT Y TAREAS'!AL43),'EDT Y TAREAS'!AD43/'EDT Y TAREAS'!M43,0),IF(AND(131&gt;='EDT Y TAREAS'!AK44,131&lt;'EDT Y TAREAS'!AL44),'EDT Y TAREAS'!AD44/'EDT Y TAREAS'!M44,0),IF(AND(131&gt;='EDT Y TAREAS'!AK45,131&lt;'EDT Y TAREAS'!AL45),'EDT Y TAREAS'!AD45/'EDT Y TAREAS'!M45,0),IF(AND(131&gt;='EDT Y TAREAS'!AK46,131&lt;'EDT Y TAREAS'!AL46),'EDT Y TAREAS'!AD46/'EDT Y TAREAS'!M46,0),IF(AND(131&gt;='EDT Y TAREAS'!AK47,131&lt;'EDT Y TAREAS'!AL47),'EDT Y TAREAS'!AD47/'EDT Y TAREAS'!M47,0),IF(AND(131&gt;='EDT Y TAREAS'!AK49,131&lt;'EDT Y TAREAS'!AL49),'EDT Y TAREAS'!AD49/'EDT Y TAREAS'!M49,0),IF(AND(131&gt;='EDT Y TAREAS'!AK50,131&lt;'EDT Y TAREAS'!AL50),'EDT Y TAREAS'!AD50/'EDT Y TAREAS'!M50,0),IF(AND(131&gt;='EDT Y TAREAS'!AK51,131&lt;'EDT Y TAREAS'!AL51),'EDT Y TAREAS'!AD51/'EDT Y TAREAS'!M51,0),IF(AND(131&gt;='EDT Y TAREAS'!AK52,131&lt;'EDT Y TAREAS'!AL52),'EDT Y TAREAS'!AD52/'EDT Y TAREAS'!M52,0))</x:f>
        <x:v>5.6</x:v>
      </x:c>
      <x:c r="C171" s="35" t="n">
        <x:f>SUM(IF(AND(131&gt;='EDT Y TAREAS'!AK6,131&lt;'EDT Y TAREAS'!AL6),'EDT Y TAREAS'!AE6/'EDT Y TAREAS'!M6,0),IF(AND(131&gt;='EDT Y TAREAS'!AK8,131&lt;'EDT Y TAREAS'!AL8),'EDT Y TAREAS'!AE8/'EDT Y TAREAS'!M8,0),IF(AND(131&gt;='EDT Y TAREAS'!AK9,131&lt;'EDT Y TAREAS'!AL9),'EDT Y TAREAS'!AE9/'EDT Y TAREAS'!M9,0),IF(AND(131&gt;='EDT Y TAREAS'!AK10,131&lt;'EDT Y TAREAS'!AL10),'EDT Y TAREAS'!AE10/'EDT Y TAREAS'!M10,0),IF(AND(131&gt;='EDT Y TAREAS'!AK12,131&lt;'EDT Y TAREAS'!AL12),'EDT Y TAREAS'!AE12/'EDT Y TAREAS'!M12,0),IF(AND(131&gt;='EDT Y TAREAS'!AK16,131&lt;'EDT Y TAREAS'!AL16),'EDT Y TAREAS'!AE16/'EDT Y TAREAS'!M16,0),IF(AND(131&gt;='EDT Y TAREAS'!AK21,131&lt;'EDT Y TAREAS'!AL21),'EDT Y TAREAS'!AE21/'EDT Y TAREAS'!M21,0),IF(AND(131&gt;='EDT Y TAREAS'!AK23,131&lt;'EDT Y TAREAS'!AL23),'EDT Y TAREAS'!AE23/'EDT Y TAREAS'!M23,0),IF(AND(131&gt;='EDT Y TAREAS'!AK37,131&lt;'EDT Y TAREAS'!AL37),'EDT Y TAREAS'!AE37/'EDT Y TAREAS'!M37,0),IF(AND(131&gt;='EDT Y TAREAS'!AK38,131&lt;'EDT Y TAREAS'!AL38),'EDT Y TAREAS'!AE38/'EDT Y TAREAS'!M38,0),IF(AND(131&gt;='EDT Y TAREAS'!AK41,131&lt;'EDT Y TAREAS'!AL41),'EDT Y TAREAS'!AE41/'EDT Y TAREAS'!M41,0),IF(AND(131&gt;='EDT Y TAREAS'!AK43,131&lt;'EDT Y TAREAS'!AL43),'EDT Y TAREAS'!AE43/'EDT Y TAREAS'!M43,0),IF(AND(131&gt;='EDT Y TAREAS'!AK44,131&lt;'EDT Y TAREAS'!AL44),'EDT Y TAREAS'!AE44/'EDT Y TAREAS'!M44,0),IF(AND(131&gt;='EDT Y TAREAS'!AK46,131&lt;'EDT Y TAREAS'!AL46),'EDT Y TAREAS'!AE46/'EDT Y TAREAS'!M46,0),IF(AND(131&gt;='EDT Y TAREAS'!AK47,131&lt;'EDT Y TAREAS'!AL47),'EDT Y TAREAS'!AE47/'EDT Y TAREAS'!M47,0),IF(AND(131&gt;='EDT Y TAREAS'!AK51,131&lt;'EDT Y TAREAS'!AL51),'EDT Y TAREAS'!AE51/'EDT Y TAREAS'!M51,0),IF(AND(131&gt;='EDT Y TAREAS'!AK52,131&lt;'EDT Y TAREAS'!AL52),'EDT Y TAREAS'!AE52/'EDT Y TAREAS'!M52,0))</x:f>
        <x:v>1.6</x:v>
      </x:c>
      <x:c r="D171" s="35" t="n">
        <x:f>SUM(IF(AND(131&gt;='EDT Y TAREAS'!AK11,131&lt;'EDT Y TAREAS'!AL11),'EDT Y TAREAS'!AF11/'EDT Y TAREAS'!M11,0),IF(AND(131&gt;='EDT Y TAREAS'!AK24,131&lt;'EDT Y TAREAS'!AL24),'EDT Y TAREAS'!AF24/'EDT Y TAREAS'!M24,0),IF(AND(131&gt;='EDT Y TAREAS'!AK25,131&lt;'EDT Y TAREAS'!AL25),'EDT Y TAREAS'!AF25/'EDT Y TAREAS'!M25,0),IF(AND(131&gt;='EDT Y TAREAS'!AK26,131&lt;'EDT Y TAREAS'!AL26),'EDT Y TAREAS'!AF26/'EDT Y TAREAS'!M26,0),IF(AND(131&gt;='EDT Y TAREAS'!AK27,131&lt;'EDT Y TAREAS'!AL27),'EDT Y TAREAS'!AF27/'EDT Y TAREAS'!M27,0),IF(AND(131&gt;='EDT Y TAREAS'!AK28,131&lt;'EDT Y TAREAS'!AL28),'EDT Y TAREAS'!AF28/'EDT Y TAREAS'!M28,0),IF(AND(131&gt;='EDT Y TAREAS'!AK31,131&lt;'EDT Y TAREAS'!AL31),'EDT Y TAREAS'!AF31/'EDT Y TAREAS'!M31,0),IF(AND(131&gt;='EDT Y TAREAS'!AK33,131&lt;'EDT Y TAREAS'!AL33),'EDT Y TAREAS'!AF33/'EDT Y TAREAS'!M33,0),IF(AND(131&gt;='EDT Y TAREAS'!AK34,131&lt;'EDT Y TAREAS'!AL34),'EDT Y TAREAS'!AF34/'EDT Y TAREAS'!M34,0),IF(AND(131&gt;='EDT Y TAREAS'!AK35,131&lt;'EDT Y TAREAS'!AL35),'EDT Y TAREAS'!AF35/'EDT Y TAREAS'!M35,0),IF(AND(131&gt;='EDT Y TAREAS'!AK37,131&lt;'EDT Y TAREAS'!AL37),'EDT Y TAREAS'!AF37/'EDT Y TAREAS'!M37,0),IF(AND(131&gt;='EDT Y TAREAS'!AK39,131&lt;'EDT Y TAREAS'!AL39),'EDT Y TAREAS'!AF39/'EDT Y TAREAS'!M39,0),IF(AND(131&gt;='EDT Y TAREAS'!AK40,131&lt;'EDT Y TAREAS'!AL40),'EDT Y TAREAS'!AF40/'EDT Y TAREAS'!M40,0),IF(AND(131&gt;='EDT Y TAREAS'!AK42,131&lt;'EDT Y TAREAS'!AL42),'EDT Y TAREAS'!AF42/'EDT Y TAREAS'!M42,0),IF(AND(131&gt;='EDT Y TAREAS'!AK45,131&lt;'EDT Y TAREAS'!AL45),'EDT Y TAREAS'!AF45/'EDT Y TAREAS'!M45,0),IF(AND(131&gt;='EDT Y TAREAS'!AK49,131&lt;'EDT Y TAREAS'!AL49),'EDT Y TAREAS'!AF49/'EDT Y TAREAS'!M49,0),IF(AND(131&gt;='EDT Y TAREAS'!AK52,131&lt;'EDT Y TAREAS'!AL52),'EDT Y TAREAS'!AF52/'EDT Y TAREAS'!M52,0))</x:f>
        <x:v>1.6</x:v>
      </x:c>
      <x:c r="E171" s="35" t="n">
        <x:f>SUM(IF(AND(131&gt;='EDT Y TAREAS'!AK29,131&lt;'EDT Y TAREAS'!AL29),'EDT Y TAREAS'!AG29/'EDT Y TAREAS'!M29,0),IF(AND(131&gt;='EDT Y TAREAS'!AK30,131&lt;'EDT Y TAREAS'!AL30),'EDT Y TAREAS'!AG30/'EDT Y TAREAS'!M30,0),IF(AND(131&gt;='EDT Y TAREAS'!AK31,131&lt;'EDT Y TAREAS'!AL31),'EDT Y TAREAS'!AG31/'EDT Y TAREAS'!M31,0),IF(AND(131&gt;='EDT Y TAREAS'!AK32,131&lt;'EDT Y TAREAS'!AL32),'EDT Y TAREAS'!AG32/'EDT Y TAREAS'!M32,0),IF(AND(131&gt;='EDT Y TAREAS'!AK41,131&lt;'EDT Y TAREAS'!AL41),'EDT Y TAREAS'!AG41/'EDT Y TAREAS'!M41,0),IF(AND(131&gt;='EDT Y TAREAS'!AK45,131&lt;'EDT Y TAREAS'!AL45),'EDT Y TAREAS'!AG45/'EDT Y TAREAS'!M45,0),IF(AND(131&gt;='EDT Y TAREAS'!AK48,131&lt;'EDT Y TAREAS'!AL48),'EDT Y TAREAS'!AG48/'EDT Y TAREAS'!M48,0))</x:f>
        <x:v>0</x:v>
      </x:c>
      <x:c r="F171" s="35" t="n">
        <x:f>SUM(IF(AND(131&gt;='EDT Y TAREAS'!AK10,131&lt;'EDT Y TAREAS'!AL10),'EDT Y TAREAS'!AH10/'EDT Y TAREAS'!M10,0),IF(AND(131&gt;='EDT Y TAREAS'!AK12,131&lt;'EDT Y TAREAS'!AL12),'EDT Y TAREAS'!AH12/'EDT Y TAREAS'!M12,0),IF(AND(131&gt;='EDT Y TAREAS'!AK22,131&lt;'EDT Y TAREAS'!AL22),'EDT Y TAREAS'!AH22/'EDT Y TAREAS'!M22,0),IF(AND(131&gt;='EDT Y TAREAS'!AK23,131&lt;'EDT Y TAREAS'!AL23),'EDT Y TAREAS'!AH23/'EDT Y TAREAS'!M23,0),IF(AND(131&gt;='EDT Y TAREAS'!AK29,131&lt;'EDT Y TAREAS'!AL29),'EDT Y TAREAS'!AH29/'EDT Y TAREAS'!M29,0),IF(AND(131&gt;='EDT Y TAREAS'!AK30,131&lt;'EDT Y TAREAS'!AL30),'EDT Y TAREAS'!AH30/'EDT Y TAREAS'!M30,0),IF(AND(131&gt;='EDT Y TAREAS'!AK32,131&lt;'EDT Y TAREAS'!AL32),'EDT Y TAREAS'!AH32/'EDT Y TAREAS'!M32,0),IF(AND(131&gt;='EDT Y TAREAS'!AK41,131&lt;'EDT Y TAREAS'!AL41),'EDT Y TAREAS'!AH41/'EDT Y TAREAS'!M41,0),IF(AND(131&gt;='EDT Y TAREAS'!AK44,131&lt;'EDT Y TAREAS'!AL44),'EDT Y TAREAS'!AH44/'EDT Y TAREAS'!M44,0),IF(AND(131&gt;='EDT Y TAREAS'!AK46,131&lt;'EDT Y TAREAS'!AL46),'EDT Y TAREAS'!AH46/'EDT Y TAREAS'!M46,0),IF(AND(131&gt;='EDT Y TAREAS'!AK48,131&lt;'EDT Y TAREAS'!AL48),'EDT Y TAREAS'!AH48/'EDT Y TAREAS'!M48,0))</x:f>
        <x:v>2.4</x:v>
      </x:c>
      <x:c r="G171" s="35" t="n">
        <x:f>SUM(IF(AND(131&gt;='EDT Y TAREAS'!AK20,131&lt;'EDT Y TAREAS'!AL20),'EDT Y TAREAS'!AI20/'EDT Y TAREAS'!M20,0),IF(AND(131&gt;='EDT Y TAREAS'!AK25,131&lt;'EDT Y TAREAS'!AL25),'EDT Y TAREAS'!AI25/'EDT Y TAREAS'!M25,0),IF(AND(131&gt;='EDT Y TAREAS'!AK33,131&lt;'EDT Y TAREAS'!AL33),'EDT Y TAREAS'!AI33/'EDT Y TAREAS'!M33,0),IF(AND(131&gt;='EDT Y TAREAS'!AK34,131&lt;'EDT Y TAREAS'!AL34),'EDT Y TAREAS'!AI34/'EDT Y TAREAS'!M34,0),IF(AND(131&gt;='EDT Y TAREAS'!AK36,131&lt;'EDT Y TAREAS'!AL36),'EDT Y TAREAS'!AI36/'EDT Y TAREAS'!M36,0),IF(AND(131&gt;='EDT Y TAREAS'!AK39,131&lt;'EDT Y TAREAS'!AL39),'EDT Y TAREAS'!AI39/'EDT Y TAREAS'!M39,0),IF(AND(131&gt;='EDT Y TAREAS'!AK40,131&lt;'EDT Y TAREAS'!AL40),'EDT Y TAREAS'!AI40/'EDT Y TAREAS'!M40,0),IF(AND(131&gt;='EDT Y TAREAS'!AK42,131&lt;'EDT Y TAREAS'!AL42),'EDT Y TAREAS'!AI42/'EDT Y TAREAS'!M42,0),IF(AND(131&gt;='EDT Y TAREAS'!AK43,131&lt;'EDT Y TAREAS'!AL43),'EDT Y TAREAS'!AI43/'EDT Y TAREAS'!M43,0),IF(AND(131&gt;='EDT Y TAREAS'!AK44,131&lt;'EDT Y TAREAS'!AL44),'EDT Y TAREAS'!AI44/'EDT Y TAREAS'!M44,0),IF(AND(131&gt;='EDT Y TAREAS'!AK45,131&lt;'EDT Y TAREAS'!AL45),'EDT Y TAREAS'!AI45/'EDT Y TAREAS'!M45,0),IF(AND(131&gt;='EDT Y TAREAS'!AK46,131&lt;'EDT Y TAREAS'!AL46),'EDT Y TAREAS'!AI46/'EDT Y TAREAS'!M46,0),IF(AND(131&gt;='EDT Y TAREAS'!AK48,131&lt;'EDT Y TAREAS'!AL48),'EDT Y TAREAS'!AI48/'EDT Y TAREAS'!M48,0),IF(AND(131&gt;='EDT Y TAREAS'!AK50,131&lt;'EDT Y TAREAS'!AL50),'EDT Y TAREAS'!AI50/'EDT Y TAREAS'!M50,0),IF(AND(131&gt;='EDT Y TAREAS'!AK52,131&lt;'EDT Y TAREAS'!AL52),'EDT Y TAREAS'!AI52/'EDT Y TAREAS'!M52,0))</x:f>
        <x:v>2.4</x:v>
      </x:c>
      <x:c r="H171" s="35" t="n">
        <x:f>SUM(IF(AND(131&gt;='EDT Y TAREAS'!AK11,131&lt;'EDT Y TAREAS'!AL11),'EDT Y TAREAS'!AJ11/'EDT Y TAREAS'!M11,0),IF(AND(131&gt;='EDT Y TAREAS'!AK24,131&lt;'EDT Y TAREAS'!AL24),'EDT Y TAREAS'!AJ24/'EDT Y TAREAS'!M24,0),IF(AND(131&gt;='EDT Y TAREAS'!AK27,131&lt;'EDT Y TAREAS'!AL27),'EDT Y TAREAS'!AJ27/'EDT Y TAREAS'!M27,0),IF(AND(131&gt;='EDT Y TAREAS'!AK28,131&lt;'EDT Y TAREAS'!AL28),'EDT Y TAREAS'!AJ28/'EDT Y TAREAS'!M28,0),IF(AND(131&gt;='EDT Y TAREAS'!AK33,131&lt;'EDT Y TAREAS'!AL33),'EDT Y TAREAS'!AJ33/'EDT Y TAREAS'!M33,0),IF(AND(131&gt;='EDT Y TAREAS'!AK35,131&lt;'EDT Y TAREAS'!AL35),'EDT Y TAREAS'!AJ35/'EDT Y TAREAS'!M35,0),IF(AND(131&gt;='EDT Y TAREAS'!AK36,131&lt;'EDT Y TAREAS'!AL36),'EDT Y TAREAS'!AJ36/'EDT Y TAREAS'!M36,0),IF(AND(131&gt;='EDT Y TAREAS'!AK37,131&lt;'EDT Y TAREAS'!AL37),'EDT Y TAREAS'!AJ37/'EDT Y TAREAS'!M37,0),IF(AND(131&gt;='EDT Y TAREAS'!AK40,131&lt;'EDT Y TAREAS'!AL40),'EDT Y TAREAS'!AJ40/'EDT Y TAREAS'!M40,0),IF(AND(131&gt;='EDT Y TAREAS'!AK42,131&lt;'EDT Y TAREAS'!AL42),'EDT Y TAREAS'!AJ42/'EDT Y TAREAS'!M42,0),IF(AND(131&gt;='EDT Y TAREAS'!AK49,131&lt;'EDT Y TAREAS'!AL49),'EDT Y TAREAS'!AJ49/'EDT Y TAREAS'!M49,0),IF(AND(131&gt;='EDT Y TAREAS'!AK50,131&lt;'EDT Y TAREAS'!AL50),'EDT Y TAREAS'!AJ50/'EDT Y TAREAS'!M50,0),IF(AND(131&gt;='EDT Y TAREAS'!AK51,131&lt;'EDT Y TAREAS'!AL51),'EDT Y TAREAS'!AJ51/'EDT Y TAREAS'!M51,0),IF(AND(131&gt;='EDT Y TAREAS'!AK52,131&lt;'EDT Y TAREAS'!AL52),'EDT Y TAREAS'!AJ52/'EDT Y TAREAS'!M52,0))</x:f>
        <x:v>2.4</x:v>
      </x:c>
      <x:c r="I171" s="10" t="n">
        <x:f>WORKDAY('RESUMEN'!$D$3-1,A171,'RESUMEN'!$J$6:$J$25)</x:f>
        <x:v>46511</x:v>
      </x:c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  <x:c r="AL171" s="3"/>
      <x:c r="AM171" s="3"/>
      <x:c r="AN171" s="3"/>
      <x:c r="AO171" s="3"/>
    </x:row>
    <x:row r="172" ht="24" customHeight="1">
      <x:c r="A172" s="3" t="n">
        <x:v>133</x:v>
      </x:c>
      <x:c r="B172" s="35" t="n">
        <x:f>SUM(IF(AND(132&gt;='EDT Y TAREAS'!AK6,132&lt;'EDT Y TAREAS'!AL6),'EDT Y TAREAS'!AD6/'EDT Y TAREAS'!M6,0),IF(AND(132&gt;='EDT Y TAREAS'!AK7,132&lt;'EDT Y TAREAS'!AL7),'EDT Y TAREAS'!AD7/'EDT Y TAREAS'!M7,0),IF(AND(132&gt;='EDT Y TAREAS'!AK8,132&lt;'EDT Y TAREAS'!AL8),'EDT Y TAREAS'!AD8/'EDT Y TAREAS'!M8,0),IF(AND(132&gt;='EDT Y TAREAS'!AK9,132&lt;'EDT Y TAREAS'!AL9),'EDT Y TAREAS'!AD9/'EDT Y TAREAS'!M9,0),IF(AND(132&gt;='EDT Y TAREAS'!AK10,132&lt;'EDT Y TAREAS'!AL10),'EDT Y TAREAS'!AD10/'EDT Y TAREAS'!M10,0),IF(AND(132&gt;='EDT Y TAREAS'!AK11,132&lt;'EDT Y TAREAS'!AL11),'EDT Y TAREAS'!AD11/'EDT Y TAREAS'!M11,0),IF(AND(132&gt;='EDT Y TAREAS'!AK12,132&lt;'EDT Y TAREAS'!AL12),'EDT Y TAREAS'!AD12/'EDT Y TAREAS'!M12,0),IF(AND(132&gt;='EDT Y TAREAS'!AK13,132&lt;'EDT Y TAREAS'!AL13),'EDT Y TAREAS'!AD13/'EDT Y TAREAS'!M13,0),IF(AND(132&gt;='EDT Y TAREAS'!AK14,132&lt;'EDT Y TAREAS'!AL14),'EDT Y TAREAS'!AD14/'EDT Y TAREAS'!M14,0),IF(AND(132&gt;='EDT Y TAREAS'!AK15,132&lt;'EDT Y TAREAS'!AL15),'EDT Y TAREAS'!AD15/'EDT Y TAREAS'!M15,0),IF(AND(132&gt;='EDT Y TAREAS'!AK16,132&lt;'EDT Y TAREAS'!AL16),'EDT Y TAREAS'!AD16/'EDT Y TAREAS'!M16,0),IF(AND(132&gt;='EDT Y TAREAS'!AK17,132&lt;'EDT Y TAREAS'!AL17),'EDT Y TAREAS'!AD17/'EDT Y TAREAS'!M17,0),IF(AND(132&gt;='EDT Y TAREAS'!AK18,132&lt;'EDT Y TAREAS'!AL18),'EDT Y TAREAS'!AD18/'EDT Y TAREAS'!M18,0),IF(AND(132&gt;='EDT Y TAREAS'!AK19,132&lt;'EDT Y TAREAS'!AL19),'EDT Y TAREAS'!AD19/'EDT Y TAREAS'!M19,0),IF(AND(132&gt;='EDT Y TAREAS'!AK20,132&lt;'EDT Y TAREAS'!AL20),'EDT Y TAREAS'!AD20/'EDT Y TAREAS'!M20,0),IF(AND(132&gt;='EDT Y TAREAS'!AK21,132&lt;'EDT Y TAREAS'!AL21),'EDT Y TAREAS'!AD21/'EDT Y TAREAS'!M21,0),IF(AND(132&gt;='EDT Y TAREAS'!AK22,132&lt;'EDT Y TAREAS'!AL22),'EDT Y TAREAS'!AD22/'EDT Y TAREAS'!M22,0),IF(AND(132&gt;='EDT Y TAREAS'!AK23,132&lt;'EDT Y TAREAS'!AL23),'EDT Y TAREAS'!AD23/'EDT Y TAREAS'!M23,0),IF(AND(132&gt;='EDT Y TAREAS'!AK26,132&lt;'EDT Y TAREAS'!AL26),'EDT Y TAREAS'!AD26/'EDT Y TAREAS'!M26,0),IF(AND(132&gt;='EDT Y TAREAS'!AK28,132&lt;'EDT Y TAREAS'!AL28),'EDT Y TAREAS'!AD28/'EDT Y TAREAS'!M28,0),IF(AND(132&gt;='EDT Y TAREAS'!AK30,132&lt;'EDT Y TAREAS'!AL30),'EDT Y TAREAS'!AD30/'EDT Y TAREAS'!M30,0),IF(AND(132&gt;='EDT Y TAREAS'!AK32,132&lt;'EDT Y TAREAS'!AL32),'EDT Y TAREAS'!AD32/'EDT Y TAREAS'!M32,0),IF(AND(132&gt;='EDT Y TAREAS'!AK34,132&lt;'EDT Y TAREAS'!AL34),'EDT Y TAREAS'!AD34/'EDT Y TAREAS'!M34,0),IF(AND(132&gt;='EDT Y TAREAS'!AK38,132&lt;'EDT Y TAREAS'!AL38),'EDT Y TAREAS'!AD38/'EDT Y TAREAS'!M38,0),IF(AND(132&gt;='EDT Y TAREAS'!AK39,132&lt;'EDT Y TAREAS'!AL39),'EDT Y TAREAS'!AD39/'EDT Y TAREAS'!M39,0),IF(AND(132&gt;='EDT Y TAREAS'!AK43,132&lt;'EDT Y TAREAS'!AL43),'EDT Y TAREAS'!AD43/'EDT Y TAREAS'!M43,0),IF(AND(132&gt;='EDT Y TAREAS'!AK44,132&lt;'EDT Y TAREAS'!AL44),'EDT Y TAREAS'!AD44/'EDT Y TAREAS'!M44,0),IF(AND(132&gt;='EDT Y TAREAS'!AK45,132&lt;'EDT Y TAREAS'!AL45),'EDT Y TAREAS'!AD45/'EDT Y TAREAS'!M45,0),IF(AND(132&gt;='EDT Y TAREAS'!AK46,132&lt;'EDT Y TAREAS'!AL46),'EDT Y TAREAS'!AD46/'EDT Y TAREAS'!M46,0),IF(AND(132&gt;='EDT Y TAREAS'!AK47,132&lt;'EDT Y TAREAS'!AL47),'EDT Y TAREAS'!AD47/'EDT Y TAREAS'!M47,0),IF(AND(132&gt;='EDT Y TAREAS'!AK49,132&lt;'EDT Y TAREAS'!AL49),'EDT Y TAREAS'!AD49/'EDT Y TAREAS'!M49,0),IF(AND(132&gt;='EDT Y TAREAS'!AK50,132&lt;'EDT Y TAREAS'!AL50),'EDT Y TAREAS'!AD50/'EDT Y TAREAS'!M50,0),IF(AND(132&gt;='EDT Y TAREAS'!AK51,132&lt;'EDT Y TAREAS'!AL51),'EDT Y TAREAS'!AD51/'EDT Y TAREAS'!M51,0),IF(AND(132&gt;='EDT Y TAREAS'!AK52,132&lt;'EDT Y TAREAS'!AL52),'EDT Y TAREAS'!AD52/'EDT Y TAREAS'!M52,0))</x:f>
        <x:v>5.6</x:v>
      </x:c>
      <x:c r="C172" s="35" t="n">
        <x:f>SUM(IF(AND(132&gt;='EDT Y TAREAS'!AK6,132&lt;'EDT Y TAREAS'!AL6),'EDT Y TAREAS'!AE6/'EDT Y TAREAS'!M6,0),IF(AND(132&gt;='EDT Y TAREAS'!AK8,132&lt;'EDT Y TAREAS'!AL8),'EDT Y TAREAS'!AE8/'EDT Y TAREAS'!M8,0),IF(AND(132&gt;='EDT Y TAREAS'!AK9,132&lt;'EDT Y TAREAS'!AL9),'EDT Y TAREAS'!AE9/'EDT Y TAREAS'!M9,0),IF(AND(132&gt;='EDT Y TAREAS'!AK10,132&lt;'EDT Y TAREAS'!AL10),'EDT Y TAREAS'!AE10/'EDT Y TAREAS'!M10,0),IF(AND(132&gt;='EDT Y TAREAS'!AK12,132&lt;'EDT Y TAREAS'!AL12),'EDT Y TAREAS'!AE12/'EDT Y TAREAS'!M12,0),IF(AND(132&gt;='EDT Y TAREAS'!AK16,132&lt;'EDT Y TAREAS'!AL16),'EDT Y TAREAS'!AE16/'EDT Y TAREAS'!M16,0),IF(AND(132&gt;='EDT Y TAREAS'!AK21,132&lt;'EDT Y TAREAS'!AL21),'EDT Y TAREAS'!AE21/'EDT Y TAREAS'!M21,0),IF(AND(132&gt;='EDT Y TAREAS'!AK23,132&lt;'EDT Y TAREAS'!AL23),'EDT Y TAREAS'!AE23/'EDT Y TAREAS'!M23,0),IF(AND(132&gt;='EDT Y TAREAS'!AK37,132&lt;'EDT Y TAREAS'!AL37),'EDT Y TAREAS'!AE37/'EDT Y TAREAS'!M37,0),IF(AND(132&gt;='EDT Y TAREAS'!AK38,132&lt;'EDT Y TAREAS'!AL38),'EDT Y TAREAS'!AE38/'EDT Y TAREAS'!M38,0),IF(AND(132&gt;='EDT Y TAREAS'!AK41,132&lt;'EDT Y TAREAS'!AL41),'EDT Y TAREAS'!AE41/'EDT Y TAREAS'!M41,0),IF(AND(132&gt;='EDT Y TAREAS'!AK43,132&lt;'EDT Y TAREAS'!AL43),'EDT Y TAREAS'!AE43/'EDT Y TAREAS'!M43,0),IF(AND(132&gt;='EDT Y TAREAS'!AK44,132&lt;'EDT Y TAREAS'!AL44),'EDT Y TAREAS'!AE44/'EDT Y TAREAS'!M44,0),IF(AND(132&gt;='EDT Y TAREAS'!AK46,132&lt;'EDT Y TAREAS'!AL46),'EDT Y TAREAS'!AE46/'EDT Y TAREAS'!M46,0),IF(AND(132&gt;='EDT Y TAREAS'!AK47,132&lt;'EDT Y TAREAS'!AL47),'EDT Y TAREAS'!AE47/'EDT Y TAREAS'!M47,0),IF(AND(132&gt;='EDT Y TAREAS'!AK51,132&lt;'EDT Y TAREAS'!AL51),'EDT Y TAREAS'!AE51/'EDT Y TAREAS'!M51,0),IF(AND(132&gt;='EDT Y TAREAS'!AK52,132&lt;'EDT Y TAREAS'!AL52),'EDT Y TAREAS'!AE52/'EDT Y TAREAS'!M52,0))</x:f>
        <x:v>1.6</x:v>
      </x:c>
      <x:c r="D172" s="35" t="n">
        <x:f>SUM(IF(AND(132&gt;='EDT Y TAREAS'!AK11,132&lt;'EDT Y TAREAS'!AL11),'EDT Y TAREAS'!AF11/'EDT Y TAREAS'!M11,0),IF(AND(132&gt;='EDT Y TAREAS'!AK24,132&lt;'EDT Y TAREAS'!AL24),'EDT Y TAREAS'!AF24/'EDT Y TAREAS'!M24,0),IF(AND(132&gt;='EDT Y TAREAS'!AK25,132&lt;'EDT Y TAREAS'!AL25),'EDT Y TAREAS'!AF25/'EDT Y TAREAS'!M25,0),IF(AND(132&gt;='EDT Y TAREAS'!AK26,132&lt;'EDT Y TAREAS'!AL26),'EDT Y TAREAS'!AF26/'EDT Y TAREAS'!M26,0),IF(AND(132&gt;='EDT Y TAREAS'!AK27,132&lt;'EDT Y TAREAS'!AL27),'EDT Y TAREAS'!AF27/'EDT Y TAREAS'!M27,0),IF(AND(132&gt;='EDT Y TAREAS'!AK28,132&lt;'EDT Y TAREAS'!AL28),'EDT Y TAREAS'!AF28/'EDT Y TAREAS'!M28,0),IF(AND(132&gt;='EDT Y TAREAS'!AK31,132&lt;'EDT Y TAREAS'!AL31),'EDT Y TAREAS'!AF31/'EDT Y TAREAS'!M31,0),IF(AND(132&gt;='EDT Y TAREAS'!AK33,132&lt;'EDT Y TAREAS'!AL33),'EDT Y TAREAS'!AF33/'EDT Y TAREAS'!M33,0),IF(AND(132&gt;='EDT Y TAREAS'!AK34,132&lt;'EDT Y TAREAS'!AL34),'EDT Y TAREAS'!AF34/'EDT Y TAREAS'!M34,0),IF(AND(132&gt;='EDT Y TAREAS'!AK35,132&lt;'EDT Y TAREAS'!AL35),'EDT Y TAREAS'!AF35/'EDT Y TAREAS'!M35,0),IF(AND(132&gt;='EDT Y TAREAS'!AK37,132&lt;'EDT Y TAREAS'!AL37),'EDT Y TAREAS'!AF37/'EDT Y TAREAS'!M37,0),IF(AND(132&gt;='EDT Y TAREAS'!AK39,132&lt;'EDT Y TAREAS'!AL39),'EDT Y TAREAS'!AF39/'EDT Y TAREAS'!M39,0),IF(AND(132&gt;='EDT Y TAREAS'!AK40,132&lt;'EDT Y TAREAS'!AL40),'EDT Y TAREAS'!AF40/'EDT Y TAREAS'!M40,0),IF(AND(132&gt;='EDT Y TAREAS'!AK42,132&lt;'EDT Y TAREAS'!AL42),'EDT Y TAREAS'!AF42/'EDT Y TAREAS'!M42,0),IF(AND(132&gt;='EDT Y TAREAS'!AK45,132&lt;'EDT Y TAREAS'!AL45),'EDT Y TAREAS'!AF45/'EDT Y TAREAS'!M45,0),IF(AND(132&gt;='EDT Y TAREAS'!AK49,132&lt;'EDT Y TAREAS'!AL49),'EDT Y TAREAS'!AF49/'EDT Y TAREAS'!M49,0),IF(AND(132&gt;='EDT Y TAREAS'!AK52,132&lt;'EDT Y TAREAS'!AL52),'EDT Y TAREAS'!AF52/'EDT Y TAREAS'!M52,0))</x:f>
        <x:v>1.6</x:v>
      </x:c>
      <x:c r="E172" s="35" t="n">
        <x:f>SUM(IF(AND(132&gt;='EDT Y TAREAS'!AK29,132&lt;'EDT Y TAREAS'!AL29),'EDT Y TAREAS'!AG29/'EDT Y TAREAS'!M29,0),IF(AND(132&gt;='EDT Y TAREAS'!AK30,132&lt;'EDT Y TAREAS'!AL30),'EDT Y TAREAS'!AG30/'EDT Y TAREAS'!M30,0),IF(AND(132&gt;='EDT Y TAREAS'!AK31,132&lt;'EDT Y TAREAS'!AL31),'EDT Y TAREAS'!AG31/'EDT Y TAREAS'!M31,0),IF(AND(132&gt;='EDT Y TAREAS'!AK32,132&lt;'EDT Y TAREAS'!AL32),'EDT Y TAREAS'!AG32/'EDT Y TAREAS'!M32,0),IF(AND(132&gt;='EDT Y TAREAS'!AK41,132&lt;'EDT Y TAREAS'!AL41),'EDT Y TAREAS'!AG41/'EDT Y TAREAS'!M41,0),IF(AND(132&gt;='EDT Y TAREAS'!AK45,132&lt;'EDT Y TAREAS'!AL45),'EDT Y TAREAS'!AG45/'EDT Y TAREAS'!M45,0),IF(AND(132&gt;='EDT Y TAREAS'!AK48,132&lt;'EDT Y TAREAS'!AL48),'EDT Y TAREAS'!AG48/'EDT Y TAREAS'!M48,0))</x:f>
        <x:v>0</x:v>
      </x:c>
      <x:c r="F172" s="35" t="n">
        <x:f>SUM(IF(AND(132&gt;='EDT Y TAREAS'!AK10,132&lt;'EDT Y TAREAS'!AL10),'EDT Y TAREAS'!AH10/'EDT Y TAREAS'!M10,0),IF(AND(132&gt;='EDT Y TAREAS'!AK12,132&lt;'EDT Y TAREAS'!AL12),'EDT Y TAREAS'!AH12/'EDT Y TAREAS'!M12,0),IF(AND(132&gt;='EDT Y TAREAS'!AK22,132&lt;'EDT Y TAREAS'!AL22),'EDT Y TAREAS'!AH22/'EDT Y TAREAS'!M22,0),IF(AND(132&gt;='EDT Y TAREAS'!AK23,132&lt;'EDT Y TAREAS'!AL23),'EDT Y TAREAS'!AH23/'EDT Y TAREAS'!M23,0),IF(AND(132&gt;='EDT Y TAREAS'!AK29,132&lt;'EDT Y TAREAS'!AL29),'EDT Y TAREAS'!AH29/'EDT Y TAREAS'!M29,0),IF(AND(132&gt;='EDT Y TAREAS'!AK30,132&lt;'EDT Y TAREAS'!AL30),'EDT Y TAREAS'!AH30/'EDT Y TAREAS'!M30,0),IF(AND(132&gt;='EDT Y TAREAS'!AK32,132&lt;'EDT Y TAREAS'!AL32),'EDT Y TAREAS'!AH32/'EDT Y TAREAS'!M32,0),IF(AND(132&gt;='EDT Y TAREAS'!AK41,132&lt;'EDT Y TAREAS'!AL41),'EDT Y TAREAS'!AH41/'EDT Y TAREAS'!M41,0),IF(AND(132&gt;='EDT Y TAREAS'!AK44,132&lt;'EDT Y TAREAS'!AL44),'EDT Y TAREAS'!AH44/'EDT Y TAREAS'!M44,0),IF(AND(132&gt;='EDT Y TAREAS'!AK46,132&lt;'EDT Y TAREAS'!AL46),'EDT Y TAREAS'!AH46/'EDT Y TAREAS'!M46,0),IF(AND(132&gt;='EDT Y TAREAS'!AK48,132&lt;'EDT Y TAREAS'!AL48),'EDT Y TAREAS'!AH48/'EDT Y TAREAS'!M48,0))</x:f>
        <x:v>2.4</x:v>
      </x:c>
      <x:c r="G172" s="35" t="n">
        <x:f>SUM(IF(AND(132&gt;='EDT Y TAREAS'!AK20,132&lt;'EDT Y TAREAS'!AL20),'EDT Y TAREAS'!AI20/'EDT Y TAREAS'!M20,0),IF(AND(132&gt;='EDT Y TAREAS'!AK25,132&lt;'EDT Y TAREAS'!AL25),'EDT Y TAREAS'!AI25/'EDT Y TAREAS'!M25,0),IF(AND(132&gt;='EDT Y TAREAS'!AK33,132&lt;'EDT Y TAREAS'!AL33),'EDT Y TAREAS'!AI33/'EDT Y TAREAS'!M33,0),IF(AND(132&gt;='EDT Y TAREAS'!AK34,132&lt;'EDT Y TAREAS'!AL34),'EDT Y TAREAS'!AI34/'EDT Y TAREAS'!M34,0),IF(AND(132&gt;='EDT Y TAREAS'!AK36,132&lt;'EDT Y TAREAS'!AL36),'EDT Y TAREAS'!AI36/'EDT Y TAREAS'!M36,0),IF(AND(132&gt;='EDT Y TAREAS'!AK39,132&lt;'EDT Y TAREAS'!AL39),'EDT Y TAREAS'!AI39/'EDT Y TAREAS'!M39,0),IF(AND(132&gt;='EDT Y TAREAS'!AK40,132&lt;'EDT Y TAREAS'!AL40),'EDT Y TAREAS'!AI40/'EDT Y TAREAS'!M40,0),IF(AND(132&gt;='EDT Y TAREAS'!AK42,132&lt;'EDT Y TAREAS'!AL42),'EDT Y TAREAS'!AI42/'EDT Y TAREAS'!M42,0),IF(AND(132&gt;='EDT Y TAREAS'!AK43,132&lt;'EDT Y TAREAS'!AL43),'EDT Y TAREAS'!AI43/'EDT Y TAREAS'!M43,0),IF(AND(132&gt;='EDT Y TAREAS'!AK44,132&lt;'EDT Y TAREAS'!AL44),'EDT Y TAREAS'!AI44/'EDT Y TAREAS'!M44,0),IF(AND(132&gt;='EDT Y TAREAS'!AK45,132&lt;'EDT Y TAREAS'!AL45),'EDT Y TAREAS'!AI45/'EDT Y TAREAS'!M45,0),IF(AND(132&gt;='EDT Y TAREAS'!AK46,132&lt;'EDT Y TAREAS'!AL46),'EDT Y TAREAS'!AI46/'EDT Y TAREAS'!M46,0),IF(AND(132&gt;='EDT Y TAREAS'!AK48,132&lt;'EDT Y TAREAS'!AL48),'EDT Y TAREAS'!AI48/'EDT Y TAREAS'!M48,0),IF(AND(132&gt;='EDT Y TAREAS'!AK50,132&lt;'EDT Y TAREAS'!AL50),'EDT Y TAREAS'!AI50/'EDT Y TAREAS'!M50,0),IF(AND(132&gt;='EDT Y TAREAS'!AK52,132&lt;'EDT Y TAREAS'!AL52),'EDT Y TAREAS'!AI52/'EDT Y TAREAS'!M52,0))</x:f>
        <x:v>2.4</x:v>
      </x:c>
      <x:c r="H172" s="35" t="n">
        <x:f>SUM(IF(AND(132&gt;='EDT Y TAREAS'!AK11,132&lt;'EDT Y TAREAS'!AL11),'EDT Y TAREAS'!AJ11/'EDT Y TAREAS'!M11,0),IF(AND(132&gt;='EDT Y TAREAS'!AK24,132&lt;'EDT Y TAREAS'!AL24),'EDT Y TAREAS'!AJ24/'EDT Y TAREAS'!M24,0),IF(AND(132&gt;='EDT Y TAREAS'!AK27,132&lt;'EDT Y TAREAS'!AL27),'EDT Y TAREAS'!AJ27/'EDT Y TAREAS'!M27,0),IF(AND(132&gt;='EDT Y TAREAS'!AK28,132&lt;'EDT Y TAREAS'!AL28),'EDT Y TAREAS'!AJ28/'EDT Y TAREAS'!M28,0),IF(AND(132&gt;='EDT Y TAREAS'!AK33,132&lt;'EDT Y TAREAS'!AL33),'EDT Y TAREAS'!AJ33/'EDT Y TAREAS'!M33,0),IF(AND(132&gt;='EDT Y TAREAS'!AK35,132&lt;'EDT Y TAREAS'!AL35),'EDT Y TAREAS'!AJ35/'EDT Y TAREAS'!M35,0),IF(AND(132&gt;='EDT Y TAREAS'!AK36,132&lt;'EDT Y TAREAS'!AL36),'EDT Y TAREAS'!AJ36/'EDT Y TAREAS'!M36,0),IF(AND(132&gt;='EDT Y TAREAS'!AK37,132&lt;'EDT Y TAREAS'!AL37),'EDT Y TAREAS'!AJ37/'EDT Y TAREAS'!M37,0),IF(AND(132&gt;='EDT Y TAREAS'!AK40,132&lt;'EDT Y TAREAS'!AL40),'EDT Y TAREAS'!AJ40/'EDT Y TAREAS'!M40,0),IF(AND(132&gt;='EDT Y TAREAS'!AK42,132&lt;'EDT Y TAREAS'!AL42),'EDT Y TAREAS'!AJ42/'EDT Y TAREAS'!M42,0),IF(AND(132&gt;='EDT Y TAREAS'!AK49,132&lt;'EDT Y TAREAS'!AL49),'EDT Y TAREAS'!AJ49/'EDT Y TAREAS'!M49,0),IF(AND(132&gt;='EDT Y TAREAS'!AK50,132&lt;'EDT Y TAREAS'!AL50),'EDT Y TAREAS'!AJ50/'EDT Y TAREAS'!M50,0),IF(AND(132&gt;='EDT Y TAREAS'!AK51,132&lt;'EDT Y TAREAS'!AL51),'EDT Y TAREAS'!AJ51/'EDT Y TAREAS'!M51,0),IF(AND(132&gt;='EDT Y TAREAS'!AK52,132&lt;'EDT Y TAREAS'!AL52),'EDT Y TAREAS'!AJ52/'EDT Y TAREAS'!M52,0))</x:f>
        <x:v>2.4</x:v>
      </x:c>
      <x:c r="I172" s="10" t="n">
        <x:f>WORKDAY('RESUMEN'!$D$3-1,A172,'RESUMEN'!$J$6:$J$25)</x:f>
        <x:v>46512</x:v>
      </x:c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  <x:c r="AM172" s="3"/>
      <x:c r="AN172" s="3"/>
      <x:c r="AO172" s="3"/>
    </x:row>
    <x:row r="173" ht="24" customHeight="1">
      <x:c r="A173" s="3" t="n">
        <x:v>134</x:v>
      </x:c>
      <x:c r="B173" s="35" t="n">
        <x:f>SUM(IF(AND(133&gt;='EDT Y TAREAS'!AK6,133&lt;'EDT Y TAREAS'!AL6),'EDT Y TAREAS'!AD6/'EDT Y TAREAS'!M6,0),IF(AND(133&gt;='EDT Y TAREAS'!AK7,133&lt;'EDT Y TAREAS'!AL7),'EDT Y TAREAS'!AD7/'EDT Y TAREAS'!M7,0),IF(AND(133&gt;='EDT Y TAREAS'!AK8,133&lt;'EDT Y TAREAS'!AL8),'EDT Y TAREAS'!AD8/'EDT Y TAREAS'!M8,0),IF(AND(133&gt;='EDT Y TAREAS'!AK9,133&lt;'EDT Y TAREAS'!AL9),'EDT Y TAREAS'!AD9/'EDT Y TAREAS'!M9,0),IF(AND(133&gt;='EDT Y TAREAS'!AK10,133&lt;'EDT Y TAREAS'!AL10),'EDT Y TAREAS'!AD10/'EDT Y TAREAS'!M10,0),IF(AND(133&gt;='EDT Y TAREAS'!AK11,133&lt;'EDT Y TAREAS'!AL11),'EDT Y TAREAS'!AD11/'EDT Y TAREAS'!M11,0),IF(AND(133&gt;='EDT Y TAREAS'!AK12,133&lt;'EDT Y TAREAS'!AL12),'EDT Y TAREAS'!AD12/'EDT Y TAREAS'!M12,0),IF(AND(133&gt;='EDT Y TAREAS'!AK13,133&lt;'EDT Y TAREAS'!AL13),'EDT Y TAREAS'!AD13/'EDT Y TAREAS'!M13,0),IF(AND(133&gt;='EDT Y TAREAS'!AK14,133&lt;'EDT Y TAREAS'!AL14),'EDT Y TAREAS'!AD14/'EDT Y TAREAS'!M14,0),IF(AND(133&gt;='EDT Y TAREAS'!AK15,133&lt;'EDT Y TAREAS'!AL15),'EDT Y TAREAS'!AD15/'EDT Y TAREAS'!M15,0),IF(AND(133&gt;='EDT Y TAREAS'!AK16,133&lt;'EDT Y TAREAS'!AL16),'EDT Y TAREAS'!AD16/'EDT Y TAREAS'!M16,0),IF(AND(133&gt;='EDT Y TAREAS'!AK17,133&lt;'EDT Y TAREAS'!AL17),'EDT Y TAREAS'!AD17/'EDT Y TAREAS'!M17,0),IF(AND(133&gt;='EDT Y TAREAS'!AK18,133&lt;'EDT Y TAREAS'!AL18),'EDT Y TAREAS'!AD18/'EDT Y TAREAS'!M18,0),IF(AND(133&gt;='EDT Y TAREAS'!AK19,133&lt;'EDT Y TAREAS'!AL19),'EDT Y TAREAS'!AD19/'EDT Y TAREAS'!M19,0),IF(AND(133&gt;='EDT Y TAREAS'!AK20,133&lt;'EDT Y TAREAS'!AL20),'EDT Y TAREAS'!AD20/'EDT Y TAREAS'!M20,0),IF(AND(133&gt;='EDT Y TAREAS'!AK21,133&lt;'EDT Y TAREAS'!AL21),'EDT Y TAREAS'!AD21/'EDT Y TAREAS'!M21,0),IF(AND(133&gt;='EDT Y TAREAS'!AK22,133&lt;'EDT Y TAREAS'!AL22),'EDT Y TAREAS'!AD22/'EDT Y TAREAS'!M22,0),IF(AND(133&gt;='EDT Y TAREAS'!AK23,133&lt;'EDT Y TAREAS'!AL23),'EDT Y TAREAS'!AD23/'EDT Y TAREAS'!M23,0),IF(AND(133&gt;='EDT Y TAREAS'!AK26,133&lt;'EDT Y TAREAS'!AL26),'EDT Y TAREAS'!AD26/'EDT Y TAREAS'!M26,0),IF(AND(133&gt;='EDT Y TAREAS'!AK28,133&lt;'EDT Y TAREAS'!AL28),'EDT Y TAREAS'!AD28/'EDT Y TAREAS'!M28,0),IF(AND(133&gt;='EDT Y TAREAS'!AK30,133&lt;'EDT Y TAREAS'!AL30),'EDT Y TAREAS'!AD30/'EDT Y TAREAS'!M30,0),IF(AND(133&gt;='EDT Y TAREAS'!AK32,133&lt;'EDT Y TAREAS'!AL32),'EDT Y TAREAS'!AD32/'EDT Y TAREAS'!M32,0),IF(AND(133&gt;='EDT Y TAREAS'!AK34,133&lt;'EDT Y TAREAS'!AL34),'EDT Y TAREAS'!AD34/'EDT Y TAREAS'!M34,0),IF(AND(133&gt;='EDT Y TAREAS'!AK38,133&lt;'EDT Y TAREAS'!AL38),'EDT Y TAREAS'!AD38/'EDT Y TAREAS'!M38,0),IF(AND(133&gt;='EDT Y TAREAS'!AK39,133&lt;'EDT Y TAREAS'!AL39),'EDT Y TAREAS'!AD39/'EDT Y TAREAS'!M39,0),IF(AND(133&gt;='EDT Y TAREAS'!AK43,133&lt;'EDT Y TAREAS'!AL43),'EDT Y TAREAS'!AD43/'EDT Y TAREAS'!M43,0),IF(AND(133&gt;='EDT Y TAREAS'!AK44,133&lt;'EDT Y TAREAS'!AL44),'EDT Y TAREAS'!AD44/'EDT Y TAREAS'!M44,0),IF(AND(133&gt;='EDT Y TAREAS'!AK45,133&lt;'EDT Y TAREAS'!AL45),'EDT Y TAREAS'!AD45/'EDT Y TAREAS'!M45,0),IF(AND(133&gt;='EDT Y TAREAS'!AK46,133&lt;'EDT Y TAREAS'!AL46),'EDT Y TAREAS'!AD46/'EDT Y TAREAS'!M46,0),IF(AND(133&gt;='EDT Y TAREAS'!AK47,133&lt;'EDT Y TAREAS'!AL47),'EDT Y TAREAS'!AD47/'EDT Y TAREAS'!M47,0),IF(AND(133&gt;='EDT Y TAREAS'!AK49,133&lt;'EDT Y TAREAS'!AL49),'EDT Y TAREAS'!AD49/'EDT Y TAREAS'!M49,0),IF(AND(133&gt;='EDT Y TAREAS'!AK50,133&lt;'EDT Y TAREAS'!AL50),'EDT Y TAREAS'!AD50/'EDT Y TAREAS'!M50,0),IF(AND(133&gt;='EDT Y TAREAS'!AK51,133&lt;'EDT Y TAREAS'!AL51),'EDT Y TAREAS'!AD51/'EDT Y TAREAS'!M51,0),IF(AND(133&gt;='EDT Y TAREAS'!AK52,133&lt;'EDT Y TAREAS'!AL52),'EDT Y TAREAS'!AD52/'EDT Y TAREAS'!M52,0))</x:f>
        <x:v>5.6</x:v>
      </x:c>
      <x:c r="C173" s="35" t="n">
        <x:f>SUM(IF(AND(133&gt;='EDT Y TAREAS'!AK6,133&lt;'EDT Y TAREAS'!AL6),'EDT Y TAREAS'!AE6/'EDT Y TAREAS'!M6,0),IF(AND(133&gt;='EDT Y TAREAS'!AK8,133&lt;'EDT Y TAREAS'!AL8),'EDT Y TAREAS'!AE8/'EDT Y TAREAS'!M8,0),IF(AND(133&gt;='EDT Y TAREAS'!AK9,133&lt;'EDT Y TAREAS'!AL9),'EDT Y TAREAS'!AE9/'EDT Y TAREAS'!M9,0),IF(AND(133&gt;='EDT Y TAREAS'!AK10,133&lt;'EDT Y TAREAS'!AL10),'EDT Y TAREAS'!AE10/'EDT Y TAREAS'!M10,0),IF(AND(133&gt;='EDT Y TAREAS'!AK12,133&lt;'EDT Y TAREAS'!AL12),'EDT Y TAREAS'!AE12/'EDT Y TAREAS'!M12,0),IF(AND(133&gt;='EDT Y TAREAS'!AK16,133&lt;'EDT Y TAREAS'!AL16),'EDT Y TAREAS'!AE16/'EDT Y TAREAS'!M16,0),IF(AND(133&gt;='EDT Y TAREAS'!AK21,133&lt;'EDT Y TAREAS'!AL21),'EDT Y TAREAS'!AE21/'EDT Y TAREAS'!M21,0),IF(AND(133&gt;='EDT Y TAREAS'!AK23,133&lt;'EDT Y TAREAS'!AL23),'EDT Y TAREAS'!AE23/'EDT Y TAREAS'!M23,0),IF(AND(133&gt;='EDT Y TAREAS'!AK37,133&lt;'EDT Y TAREAS'!AL37),'EDT Y TAREAS'!AE37/'EDT Y TAREAS'!M37,0),IF(AND(133&gt;='EDT Y TAREAS'!AK38,133&lt;'EDT Y TAREAS'!AL38),'EDT Y TAREAS'!AE38/'EDT Y TAREAS'!M38,0),IF(AND(133&gt;='EDT Y TAREAS'!AK41,133&lt;'EDT Y TAREAS'!AL41),'EDT Y TAREAS'!AE41/'EDT Y TAREAS'!M41,0),IF(AND(133&gt;='EDT Y TAREAS'!AK43,133&lt;'EDT Y TAREAS'!AL43),'EDT Y TAREAS'!AE43/'EDT Y TAREAS'!M43,0),IF(AND(133&gt;='EDT Y TAREAS'!AK44,133&lt;'EDT Y TAREAS'!AL44),'EDT Y TAREAS'!AE44/'EDT Y TAREAS'!M44,0),IF(AND(133&gt;='EDT Y TAREAS'!AK46,133&lt;'EDT Y TAREAS'!AL46),'EDT Y TAREAS'!AE46/'EDT Y TAREAS'!M46,0),IF(AND(133&gt;='EDT Y TAREAS'!AK47,133&lt;'EDT Y TAREAS'!AL47),'EDT Y TAREAS'!AE47/'EDT Y TAREAS'!M47,0),IF(AND(133&gt;='EDT Y TAREAS'!AK51,133&lt;'EDT Y TAREAS'!AL51),'EDT Y TAREAS'!AE51/'EDT Y TAREAS'!M51,0),IF(AND(133&gt;='EDT Y TAREAS'!AK52,133&lt;'EDT Y TAREAS'!AL52),'EDT Y TAREAS'!AE52/'EDT Y TAREAS'!M52,0))</x:f>
        <x:v>1.6</x:v>
      </x:c>
      <x:c r="D173" s="35" t="n">
        <x:f>SUM(IF(AND(133&gt;='EDT Y TAREAS'!AK11,133&lt;'EDT Y TAREAS'!AL11),'EDT Y TAREAS'!AF11/'EDT Y TAREAS'!M11,0),IF(AND(133&gt;='EDT Y TAREAS'!AK24,133&lt;'EDT Y TAREAS'!AL24),'EDT Y TAREAS'!AF24/'EDT Y TAREAS'!M24,0),IF(AND(133&gt;='EDT Y TAREAS'!AK25,133&lt;'EDT Y TAREAS'!AL25),'EDT Y TAREAS'!AF25/'EDT Y TAREAS'!M25,0),IF(AND(133&gt;='EDT Y TAREAS'!AK26,133&lt;'EDT Y TAREAS'!AL26),'EDT Y TAREAS'!AF26/'EDT Y TAREAS'!M26,0),IF(AND(133&gt;='EDT Y TAREAS'!AK27,133&lt;'EDT Y TAREAS'!AL27),'EDT Y TAREAS'!AF27/'EDT Y TAREAS'!M27,0),IF(AND(133&gt;='EDT Y TAREAS'!AK28,133&lt;'EDT Y TAREAS'!AL28),'EDT Y TAREAS'!AF28/'EDT Y TAREAS'!M28,0),IF(AND(133&gt;='EDT Y TAREAS'!AK31,133&lt;'EDT Y TAREAS'!AL31),'EDT Y TAREAS'!AF31/'EDT Y TAREAS'!M31,0),IF(AND(133&gt;='EDT Y TAREAS'!AK33,133&lt;'EDT Y TAREAS'!AL33),'EDT Y TAREAS'!AF33/'EDT Y TAREAS'!M33,0),IF(AND(133&gt;='EDT Y TAREAS'!AK34,133&lt;'EDT Y TAREAS'!AL34),'EDT Y TAREAS'!AF34/'EDT Y TAREAS'!M34,0),IF(AND(133&gt;='EDT Y TAREAS'!AK35,133&lt;'EDT Y TAREAS'!AL35),'EDT Y TAREAS'!AF35/'EDT Y TAREAS'!M35,0),IF(AND(133&gt;='EDT Y TAREAS'!AK37,133&lt;'EDT Y TAREAS'!AL37),'EDT Y TAREAS'!AF37/'EDT Y TAREAS'!M37,0),IF(AND(133&gt;='EDT Y TAREAS'!AK39,133&lt;'EDT Y TAREAS'!AL39),'EDT Y TAREAS'!AF39/'EDT Y TAREAS'!M39,0),IF(AND(133&gt;='EDT Y TAREAS'!AK40,133&lt;'EDT Y TAREAS'!AL40),'EDT Y TAREAS'!AF40/'EDT Y TAREAS'!M40,0),IF(AND(133&gt;='EDT Y TAREAS'!AK42,133&lt;'EDT Y TAREAS'!AL42),'EDT Y TAREAS'!AF42/'EDT Y TAREAS'!M42,0),IF(AND(133&gt;='EDT Y TAREAS'!AK45,133&lt;'EDT Y TAREAS'!AL45),'EDT Y TAREAS'!AF45/'EDT Y TAREAS'!M45,0),IF(AND(133&gt;='EDT Y TAREAS'!AK49,133&lt;'EDT Y TAREAS'!AL49),'EDT Y TAREAS'!AF49/'EDT Y TAREAS'!M49,0),IF(AND(133&gt;='EDT Y TAREAS'!AK52,133&lt;'EDT Y TAREAS'!AL52),'EDT Y TAREAS'!AF52/'EDT Y TAREAS'!M52,0))</x:f>
        <x:v>1.6</x:v>
      </x:c>
      <x:c r="E173" s="35" t="n">
        <x:f>SUM(IF(AND(133&gt;='EDT Y TAREAS'!AK29,133&lt;'EDT Y TAREAS'!AL29),'EDT Y TAREAS'!AG29/'EDT Y TAREAS'!M29,0),IF(AND(133&gt;='EDT Y TAREAS'!AK30,133&lt;'EDT Y TAREAS'!AL30),'EDT Y TAREAS'!AG30/'EDT Y TAREAS'!M30,0),IF(AND(133&gt;='EDT Y TAREAS'!AK31,133&lt;'EDT Y TAREAS'!AL31),'EDT Y TAREAS'!AG31/'EDT Y TAREAS'!M31,0),IF(AND(133&gt;='EDT Y TAREAS'!AK32,133&lt;'EDT Y TAREAS'!AL32),'EDT Y TAREAS'!AG32/'EDT Y TAREAS'!M32,0),IF(AND(133&gt;='EDT Y TAREAS'!AK41,133&lt;'EDT Y TAREAS'!AL41),'EDT Y TAREAS'!AG41/'EDT Y TAREAS'!M41,0),IF(AND(133&gt;='EDT Y TAREAS'!AK45,133&lt;'EDT Y TAREAS'!AL45),'EDT Y TAREAS'!AG45/'EDT Y TAREAS'!M45,0),IF(AND(133&gt;='EDT Y TAREAS'!AK48,133&lt;'EDT Y TAREAS'!AL48),'EDT Y TAREAS'!AG48/'EDT Y TAREAS'!M48,0))</x:f>
        <x:v>0</x:v>
      </x:c>
      <x:c r="F173" s="35" t="n">
        <x:f>SUM(IF(AND(133&gt;='EDT Y TAREAS'!AK10,133&lt;'EDT Y TAREAS'!AL10),'EDT Y TAREAS'!AH10/'EDT Y TAREAS'!M10,0),IF(AND(133&gt;='EDT Y TAREAS'!AK12,133&lt;'EDT Y TAREAS'!AL12),'EDT Y TAREAS'!AH12/'EDT Y TAREAS'!M12,0),IF(AND(133&gt;='EDT Y TAREAS'!AK22,133&lt;'EDT Y TAREAS'!AL22),'EDT Y TAREAS'!AH22/'EDT Y TAREAS'!M22,0),IF(AND(133&gt;='EDT Y TAREAS'!AK23,133&lt;'EDT Y TAREAS'!AL23),'EDT Y TAREAS'!AH23/'EDT Y TAREAS'!M23,0),IF(AND(133&gt;='EDT Y TAREAS'!AK29,133&lt;'EDT Y TAREAS'!AL29),'EDT Y TAREAS'!AH29/'EDT Y TAREAS'!M29,0),IF(AND(133&gt;='EDT Y TAREAS'!AK30,133&lt;'EDT Y TAREAS'!AL30),'EDT Y TAREAS'!AH30/'EDT Y TAREAS'!M30,0),IF(AND(133&gt;='EDT Y TAREAS'!AK32,133&lt;'EDT Y TAREAS'!AL32),'EDT Y TAREAS'!AH32/'EDT Y TAREAS'!M32,0),IF(AND(133&gt;='EDT Y TAREAS'!AK41,133&lt;'EDT Y TAREAS'!AL41),'EDT Y TAREAS'!AH41/'EDT Y TAREAS'!M41,0),IF(AND(133&gt;='EDT Y TAREAS'!AK44,133&lt;'EDT Y TAREAS'!AL44),'EDT Y TAREAS'!AH44/'EDT Y TAREAS'!M44,0),IF(AND(133&gt;='EDT Y TAREAS'!AK46,133&lt;'EDT Y TAREAS'!AL46),'EDT Y TAREAS'!AH46/'EDT Y TAREAS'!M46,0),IF(AND(133&gt;='EDT Y TAREAS'!AK48,133&lt;'EDT Y TAREAS'!AL48),'EDT Y TAREAS'!AH48/'EDT Y TAREAS'!M48,0))</x:f>
        <x:v>2.4</x:v>
      </x:c>
      <x:c r="G173" s="35" t="n">
        <x:f>SUM(IF(AND(133&gt;='EDT Y TAREAS'!AK20,133&lt;'EDT Y TAREAS'!AL20),'EDT Y TAREAS'!AI20/'EDT Y TAREAS'!M20,0),IF(AND(133&gt;='EDT Y TAREAS'!AK25,133&lt;'EDT Y TAREAS'!AL25),'EDT Y TAREAS'!AI25/'EDT Y TAREAS'!M25,0),IF(AND(133&gt;='EDT Y TAREAS'!AK33,133&lt;'EDT Y TAREAS'!AL33),'EDT Y TAREAS'!AI33/'EDT Y TAREAS'!M33,0),IF(AND(133&gt;='EDT Y TAREAS'!AK34,133&lt;'EDT Y TAREAS'!AL34),'EDT Y TAREAS'!AI34/'EDT Y TAREAS'!M34,0),IF(AND(133&gt;='EDT Y TAREAS'!AK36,133&lt;'EDT Y TAREAS'!AL36),'EDT Y TAREAS'!AI36/'EDT Y TAREAS'!M36,0),IF(AND(133&gt;='EDT Y TAREAS'!AK39,133&lt;'EDT Y TAREAS'!AL39),'EDT Y TAREAS'!AI39/'EDT Y TAREAS'!M39,0),IF(AND(133&gt;='EDT Y TAREAS'!AK40,133&lt;'EDT Y TAREAS'!AL40),'EDT Y TAREAS'!AI40/'EDT Y TAREAS'!M40,0),IF(AND(133&gt;='EDT Y TAREAS'!AK42,133&lt;'EDT Y TAREAS'!AL42),'EDT Y TAREAS'!AI42/'EDT Y TAREAS'!M42,0),IF(AND(133&gt;='EDT Y TAREAS'!AK43,133&lt;'EDT Y TAREAS'!AL43),'EDT Y TAREAS'!AI43/'EDT Y TAREAS'!M43,0),IF(AND(133&gt;='EDT Y TAREAS'!AK44,133&lt;'EDT Y TAREAS'!AL44),'EDT Y TAREAS'!AI44/'EDT Y TAREAS'!M44,0),IF(AND(133&gt;='EDT Y TAREAS'!AK45,133&lt;'EDT Y TAREAS'!AL45),'EDT Y TAREAS'!AI45/'EDT Y TAREAS'!M45,0),IF(AND(133&gt;='EDT Y TAREAS'!AK46,133&lt;'EDT Y TAREAS'!AL46),'EDT Y TAREAS'!AI46/'EDT Y TAREAS'!M46,0),IF(AND(133&gt;='EDT Y TAREAS'!AK48,133&lt;'EDT Y TAREAS'!AL48),'EDT Y TAREAS'!AI48/'EDT Y TAREAS'!M48,0),IF(AND(133&gt;='EDT Y TAREAS'!AK50,133&lt;'EDT Y TAREAS'!AL50),'EDT Y TAREAS'!AI50/'EDT Y TAREAS'!M50,0),IF(AND(133&gt;='EDT Y TAREAS'!AK52,133&lt;'EDT Y TAREAS'!AL52),'EDT Y TAREAS'!AI52/'EDT Y TAREAS'!M52,0))</x:f>
        <x:v>2.4</x:v>
      </x:c>
      <x:c r="H173" s="35" t="n">
        <x:f>SUM(IF(AND(133&gt;='EDT Y TAREAS'!AK11,133&lt;'EDT Y TAREAS'!AL11),'EDT Y TAREAS'!AJ11/'EDT Y TAREAS'!M11,0),IF(AND(133&gt;='EDT Y TAREAS'!AK24,133&lt;'EDT Y TAREAS'!AL24),'EDT Y TAREAS'!AJ24/'EDT Y TAREAS'!M24,0),IF(AND(133&gt;='EDT Y TAREAS'!AK27,133&lt;'EDT Y TAREAS'!AL27),'EDT Y TAREAS'!AJ27/'EDT Y TAREAS'!M27,0),IF(AND(133&gt;='EDT Y TAREAS'!AK28,133&lt;'EDT Y TAREAS'!AL28),'EDT Y TAREAS'!AJ28/'EDT Y TAREAS'!M28,0),IF(AND(133&gt;='EDT Y TAREAS'!AK33,133&lt;'EDT Y TAREAS'!AL33),'EDT Y TAREAS'!AJ33/'EDT Y TAREAS'!M33,0),IF(AND(133&gt;='EDT Y TAREAS'!AK35,133&lt;'EDT Y TAREAS'!AL35),'EDT Y TAREAS'!AJ35/'EDT Y TAREAS'!M35,0),IF(AND(133&gt;='EDT Y TAREAS'!AK36,133&lt;'EDT Y TAREAS'!AL36),'EDT Y TAREAS'!AJ36/'EDT Y TAREAS'!M36,0),IF(AND(133&gt;='EDT Y TAREAS'!AK37,133&lt;'EDT Y TAREAS'!AL37),'EDT Y TAREAS'!AJ37/'EDT Y TAREAS'!M37,0),IF(AND(133&gt;='EDT Y TAREAS'!AK40,133&lt;'EDT Y TAREAS'!AL40),'EDT Y TAREAS'!AJ40/'EDT Y TAREAS'!M40,0),IF(AND(133&gt;='EDT Y TAREAS'!AK42,133&lt;'EDT Y TAREAS'!AL42),'EDT Y TAREAS'!AJ42/'EDT Y TAREAS'!M42,0),IF(AND(133&gt;='EDT Y TAREAS'!AK49,133&lt;'EDT Y TAREAS'!AL49),'EDT Y TAREAS'!AJ49/'EDT Y TAREAS'!M49,0),IF(AND(133&gt;='EDT Y TAREAS'!AK50,133&lt;'EDT Y TAREAS'!AL50),'EDT Y TAREAS'!AJ50/'EDT Y TAREAS'!M50,0),IF(AND(133&gt;='EDT Y TAREAS'!AK51,133&lt;'EDT Y TAREAS'!AL51),'EDT Y TAREAS'!AJ51/'EDT Y TAREAS'!M51,0),IF(AND(133&gt;='EDT Y TAREAS'!AK52,133&lt;'EDT Y TAREAS'!AL52),'EDT Y TAREAS'!AJ52/'EDT Y TAREAS'!M52,0))</x:f>
        <x:v>2.4</x:v>
      </x:c>
      <x:c r="I173" s="10" t="n">
        <x:f>WORKDAY('RESUMEN'!$D$3-1,A173,'RESUMEN'!$J$6:$J$25)</x:f>
        <x:v>46513</x:v>
      </x:c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/>
      <x:c r="AG173" s="3"/>
      <x:c r="AH173" s="3"/>
      <x:c r="AI173" s="3"/>
      <x:c r="AJ173" s="3"/>
      <x:c r="AK173" s="3"/>
      <x:c r="AL173" s="3"/>
      <x:c r="AM173" s="3"/>
      <x:c r="AN173" s="3"/>
      <x:c r="AO173" s="3"/>
    </x:row>
    <x:row r="174" ht="24" customHeight="1">
      <x:c r="A174" s="3" t="n">
        <x:v>135</x:v>
      </x:c>
      <x:c r="B174" s="35" t="n">
        <x:f>SUM(IF(AND(134&gt;='EDT Y TAREAS'!AK6,134&lt;'EDT Y TAREAS'!AL6),'EDT Y TAREAS'!AD6/'EDT Y TAREAS'!M6,0),IF(AND(134&gt;='EDT Y TAREAS'!AK7,134&lt;'EDT Y TAREAS'!AL7),'EDT Y TAREAS'!AD7/'EDT Y TAREAS'!M7,0),IF(AND(134&gt;='EDT Y TAREAS'!AK8,134&lt;'EDT Y TAREAS'!AL8),'EDT Y TAREAS'!AD8/'EDT Y TAREAS'!M8,0),IF(AND(134&gt;='EDT Y TAREAS'!AK9,134&lt;'EDT Y TAREAS'!AL9),'EDT Y TAREAS'!AD9/'EDT Y TAREAS'!M9,0),IF(AND(134&gt;='EDT Y TAREAS'!AK10,134&lt;'EDT Y TAREAS'!AL10),'EDT Y TAREAS'!AD10/'EDT Y TAREAS'!M10,0),IF(AND(134&gt;='EDT Y TAREAS'!AK11,134&lt;'EDT Y TAREAS'!AL11),'EDT Y TAREAS'!AD11/'EDT Y TAREAS'!M11,0),IF(AND(134&gt;='EDT Y TAREAS'!AK12,134&lt;'EDT Y TAREAS'!AL12),'EDT Y TAREAS'!AD12/'EDT Y TAREAS'!M12,0),IF(AND(134&gt;='EDT Y TAREAS'!AK13,134&lt;'EDT Y TAREAS'!AL13),'EDT Y TAREAS'!AD13/'EDT Y TAREAS'!M13,0),IF(AND(134&gt;='EDT Y TAREAS'!AK14,134&lt;'EDT Y TAREAS'!AL14),'EDT Y TAREAS'!AD14/'EDT Y TAREAS'!M14,0),IF(AND(134&gt;='EDT Y TAREAS'!AK15,134&lt;'EDT Y TAREAS'!AL15),'EDT Y TAREAS'!AD15/'EDT Y TAREAS'!M15,0),IF(AND(134&gt;='EDT Y TAREAS'!AK16,134&lt;'EDT Y TAREAS'!AL16),'EDT Y TAREAS'!AD16/'EDT Y TAREAS'!M16,0),IF(AND(134&gt;='EDT Y TAREAS'!AK17,134&lt;'EDT Y TAREAS'!AL17),'EDT Y TAREAS'!AD17/'EDT Y TAREAS'!M17,0),IF(AND(134&gt;='EDT Y TAREAS'!AK18,134&lt;'EDT Y TAREAS'!AL18),'EDT Y TAREAS'!AD18/'EDT Y TAREAS'!M18,0),IF(AND(134&gt;='EDT Y TAREAS'!AK19,134&lt;'EDT Y TAREAS'!AL19),'EDT Y TAREAS'!AD19/'EDT Y TAREAS'!M19,0),IF(AND(134&gt;='EDT Y TAREAS'!AK20,134&lt;'EDT Y TAREAS'!AL20),'EDT Y TAREAS'!AD20/'EDT Y TAREAS'!M20,0),IF(AND(134&gt;='EDT Y TAREAS'!AK21,134&lt;'EDT Y TAREAS'!AL21),'EDT Y TAREAS'!AD21/'EDT Y TAREAS'!M21,0),IF(AND(134&gt;='EDT Y TAREAS'!AK22,134&lt;'EDT Y TAREAS'!AL22),'EDT Y TAREAS'!AD22/'EDT Y TAREAS'!M22,0),IF(AND(134&gt;='EDT Y TAREAS'!AK23,134&lt;'EDT Y TAREAS'!AL23),'EDT Y TAREAS'!AD23/'EDT Y TAREAS'!M23,0),IF(AND(134&gt;='EDT Y TAREAS'!AK26,134&lt;'EDT Y TAREAS'!AL26),'EDT Y TAREAS'!AD26/'EDT Y TAREAS'!M26,0),IF(AND(134&gt;='EDT Y TAREAS'!AK28,134&lt;'EDT Y TAREAS'!AL28),'EDT Y TAREAS'!AD28/'EDT Y TAREAS'!M28,0),IF(AND(134&gt;='EDT Y TAREAS'!AK30,134&lt;'EDT Y TAREAS'!AL30),'EDT Y TAREAS'!AD30/'EDT Y TAREAS'!M30,0),IF(AND(134&gt;='EDT Y TAREAS'!AK32,134&lt;'EDT Y TAREAS'!AL32),'EDT Y TAREAS'!AD32/'EDT Y TAREAS'!M32,0),IF(AND(134&gt;='EDT Y TAREAS'!AK34,134&lt;'EDT Y TAREAS'!AL34),'EDT Y TAREAS'!AD34/'EDT Y TAREAS'!M34,0),IF(AND(134&gt;='EDT Y TAREAS'!AK38,134&lt;'EDT Y TAREAS'!AL38),'EDT Y TAREAS'!AD38/'EDT Y TAREAS'!M38,0),IF(AND(134&gt;='EDT Y TAREAS'!AK39,134&lt;'EDT Y TAREAS'!AL39),'EDT Y TAREAS'!AD39/'EDT Y TAREAS'!M39,0),IF(AND(134&gt;='EDT Y TAREAS'!AK43,134&lt;'EDT Y TAREAS'!AL43),'EDT Y TAREAS'!AD43/'EDT Y TAREAS'!M43,0),IF(AND(134&gt;='EDT Y TAREAS'!AK44,134&lt;'EDT Y TAREAS'!AL44),'EDT Y TAREAS'!AD44/'EDT Y TAREAS'!M44,0),IF(AND(134&gt;='EDT Y TAREAS'!AK45,134&lt;'EDT Y TAREAS'!AL45),'EDT Y TAREAS'!AD45/'EDT Y TAREAS'!M45,0),IF(AND(134&gt;='EDT Y TAREAS'!AK46,134&lt;'EDT Y TAREAS'!AL46),'EDT Y TAREAS'!AD46/'EDT Y TAREAS'!M46,0),IF(AND(134&gt;='EDT Y TAREAS'!AK47,134&lt;'EDT Y TAREAS'!AL47),'EDT Y TAREAS'!AD47/'EDT Y TAREAS'!M47,0),IF(AND(134&gt;='EDT Y TAREAS'!AK49,134&lt;'EDT Y TAREAS'!AL49),'EDT Y TAREAS'!AD49/'EDT Y TAREAS'!M49,0),IF(AND(134&gt;='EDT Y TAREAS'!AK50,134&lt;'EDT Y TAREAS'!AL50),'EDT Y TAREAS'!AD50/'EDT Y TAREAS'!M50,0),IF(AND(134&gt;='EDT Y TAREAS'!AK51,134&lt;'EDT Y TAREAS'!AL51),'EDT Y TAREAS'!AD51/'EDT Y TAREAS'!M51,0),IF(AND(134&gt;='EDT Y TAREAS'!AK52,134&lt;'EDT Y TAREAS'!AL52),'EDT Y TAREAS'!AD52/'EDT Y TAREAS'!M52,0))</x:f>
        <x:v>5.6</x:v>
      </x:c>
      <x:c r="C174" s="35" t="n">
        <x:f>SUM(IF(AND(134&gt;='EDT Y TAREAS'!AK6,134&lt;'EDT Y TAREAS'!AL6),'EDT Y TAREAS'!AE6/'EDT Y TAREAS'!M6,0),IF(AND(134&gt;='EDT Y TAREAS'!AK8,134&lt;'EDT Y TAREAS'!AL8),'EDT Y TAREAS'!AE8/'EDT Y TAREAS'!M8,0),IF(AND(134&gt;='EDT Y TAREAS'!AK9,134&lt;'EDT Y TAREAS'!AL9),'EDT Y TAREAS'!AE9/'EDT Y TAREAS'!M9,0),IF(AND(134&gt;='EDT Y TAREAS'!AK10,134&lt;'EDT Y TAREAS'!AL10),'EDT Y TAREAS'!AE10/'EDT Y TAREAS'!M10,0),IF(AND(134&gt;='EDT Y TAREAS'!AK12,134&lt;'EDT Y TAREAS'!AL12),'EDT Y TAREAS'!AE12/'EDT Y TAREAS'!M12,0),IF(AND(134&gt;='EDT Y TAREAS'!AK16,134&lt;'EDT Y TAREAS'!AL16),'EDT Y TAREAS'!AE16/'EDT Y TAREAS'!M16,0),IF(AND(134&gt;='EDT Y TAREAS'!AK21,134&lt;'EDT Y TAREAS'!AL21),'EDT Y TAREAS'!AE21/'EDT Y TAREAS'!M21,0),IF(AND(134&gt;='EDT Y TAREAS'!AK23,134&lt;'EDT Y TAREAS'!AL23),'EDT Y TAREAS'!AE23/'EDT Y TAREAS'!M23,0),IF(AND(134&gt;='EDT Y TAREAS'!AK37,134&lt;'EDT Y TAREAS'!AL37),'EDT Y TAREAS'!AE37/'EDT Y TAREAS'!M37,0),IF(AND(134&gt;='EDT Y TAREAS'!AK38,134&lt;'EDT Y TAREAS'!AL38),'EDT Y TAREAS'!AE38/'EDT Y TAREAS'!M38,0),IF(AND(134&gt;='EDT Y TAREAS'!AK41,134&lt;'EDT Y TAREAS'!AL41),'EDT Y TAREAS'!AE41/'EDT Y TAREAS'!M41,0),IF(AND(134&gt;='EDT Y TAREAS'!AK43,134&lt;'EDT Y TAREAS'!AL43),'EDT Y TAREAS'!AE43/'EDT Y TAREAS'!M43,0),IF(AND(134&gt;='EDT Y TAREAS'!AK44,134&lt;'EDT Y TAREAS'!AL44),'EDT Y TAREAS'!AE44/'EDT Y TAREAS'!M44,0),IF(AND(134&gt;='EDT Y TAREAS'!AK46,134&lt;'EDT Y TAREAS'!AL46),'EDT Y TAREAS'!AE46/'EDT Y TAREAS'!M46,0),IF(AND(134&gt;='EDT Y TAREAS'!AK47,134&lt;'EDT Y TAREAS'!AL47),'EDT Y TAREAS'!AE47/'EDT Y TAREAS'!M47,0),IF(AND(134&gt;='EDT Y TAREAS'!AK51,134&lt;'EDT Y TAREAS'!AL51),'EDT Y TAREAS'!AE51/'EDT Y TAREAS'!M51,0),IF(AND(134&gt;='EDT Y TAREAS'!AK52,134&lt;'EDT Y TAREAS'!AL52),'EDT Y TAREAS'!AE52/'EDT Y TAREAS'!M52,0))</x:f>
        <x:v>1.6</x:v>
      </x:c>
      <x:c r="D174" s="35" t="n">
        <x:f>SUM(IF(AND(134&gt;='EDT Y TAREAS'!AK11,134&lt;'EDT Y TAREAS'!AL11),'EDT Y TAREAS'!AF11/'EDT Y TAREAS'!M11,0),IF(AND(134&gt;='EDT Y TAREAS'!AK24,134&lt;'EDT Y TAREAS'!AL24),'EDT Y TAREAS'!AF24/'EDT Y TAREAS'!M24,0),IF(AND(134&gt;='EDT Y TAREAS'!AK25,134&lt;'EDT Y TAREAS'!AL25),'EDT Y TAREAS'!AF25/'EDT Y TAREAS'!M25,0),IF(AND(134&gt;='EDT Y TAREAS'!AK26,134&lt;'EDT Y TAREAS'!AL26),'EDT Y TAREAS'!AF26/'EDT Y TAREAS'!M26,0),IF(AND(134&gt;='EDT Y TAREAS'!AK27,134&lt;'EDT Y TAREAS'!AL27),'EDT Y TAREAS'!AF27/'EDT Y TAREAS'!M27,0),IF(AND(134&gt;='EDT Y TAREAS'!AK28,134&lt;'EDT Y TAREAS'!AL28),'EDT Y TAREAS'!AF28/'EDT Y TAREAS'!M28,0),IF(AND(134&gt;='EDT Y TAREAS'!AK31,134&lt;'EDT Y TAREAS'!AL31),'EDT Y TAREAS'!AF31/'EDT Y TAREAS'!M31,0),IF(AND(134&gt;='EDT Y TAREAS'!AK33,134&lt;'EDT Y TAREAS'!AL33),'EDT Y TAREAS'!AF33/'EDT Y TAREAS'!M33,0),IF(AND(134&gt;='EDT Y TAREAS'!AK34,134&lt;'EDT Y TAREAS'!AL34),'EDT Y TAREAS'!AF34/'EDT Y TAREAS'!M34,0),IF(AND(134&gt;='EDT Y TAREAS'!AK35,134&lt;'EDT Y TAREAS'!AL35),'EDT Y TAREAS'!AF35/'EDT Y TAREAS'!M35,0),IF(AND(134&gt;='EDT Y TAREAS'!AK37,134&lt;'EDT Y TAREAS'!AL37),'EDT Y TAREAS'!AF37/'EDT Y TAREAS'!M37,0),IF(AND(134&gt;='EDT Y TAREAS'!AK39,134&lt;'EDT Y TAREAS'!AL39),'EDT Y TAREAS'!AF39/'EDT Y TAREAS'!M39,0),IF(AND(134&gt;='EDT Y TAREAS'!AK40,134&lt;'EDT Y TAREAS'!AL40),'EDT Y TAREAS'!AF40/'EDT Y TAREAS'!M40,0),IF(AND(134&gt;='EDT Y TAREAS'!AK42,134&lt;'EDT Y TAREAS'!AL42),'EDT Y TAREAS'!AF42/'EDT Y TAREAS'!M42,0),IF(AND(134&gt;='EDT Y TAREAS'!AK45,134&lt;'EDT Y TAREAS'!AL45),'EDT Y TAREAS'!AF45/'EDT Y TAREAS'!M45,0),IF(AND(134&gt;='EDT Y TAREAS'!AK49,134&lt;'EDT Y TAREAS'!AL49),'EDT Y TAREAS'!AF49/'EDT Y TAREAS'!M49,0),IF(AND(134&gt;='EDT Y TAREAS'!AK52,134&lt;'EDT Y TAREAS'!AL52),'EDT Y TAREAS'!AF52/'EDT Y TAREAS'!M52,0))</x:f>
        <x:v>1.6</x:v>
      </x:c>
      <x:c r="E174" s="35" t="n">
        <x:f>SUM(IF(AND(134&gt;='EDT Y TAREAS'!AK29,134&lt;'EDT Y TAREAS'!AL29),'EDT Y TAREAS'!AG29/'EDT Y TAREAS'!M29,0),IF(AND(134&gt;='EDT Y TAREAS'!AK30,134&lt;'EDT Y TAREAS'!AL30),'EDT Y TAREAS'!AG30/'EDT Y TAREAS'!M30,0),IF(AND(134&gt;='EDT Y TAREAS'!AK31,134&lt;'EDT Y TAREAS'!AL31),'EDT Y TAREAS'!AG31/'EDT Y TAREAS'!M31,0),IF(AND(134&gt;='EDT Y TAREAS'!AK32,134&lt;'EDT Y TAREAS'!AL32),'EDT Y TAREAS'!AG32/'EDT Y TAREAS'!M32,0),IF(AND(134&gt;='EDT Y TAREAS'!AK41,134&lt;'EDT Y TAREAS'!AL41),'EDT Y TAREAS'!AG41/'EDT Y TAREAS'!M41,0),IF(AND(134&gt;='EDT Y TAREAS'!AK45,134&lt;'EDT Y TAREAS'!AL45),'EDT Y TAREAS'!AG45/'EDT Y TAREAS'!M45,0),IF(AND(134&gt;='EDT Y TAREAS'!AK48,134&lt;'EDT Y TAREAS'!AL48),'EDT Y TAREAS'!AG48/'EDT Y TAREAS'!M48,0))</x:f>
        <x:v>0</x:v>
      </x:c>
      <x:c r="F174" s="35" t="n">
        <x:f>SUM(IF(AND(134&gt;='EDT Y TAREAS'!AK10,134&lt;'EDT Y TAREAS'!AL10),'EDT Y TAREAS'!AH10/'EDT Y TAREAS'!M10,0),IF(AND(134&gt;='EDT Y TAREAS'!AK12,134&lt;'EDT Y TAREAS'!AL12),'EDT Y TAREAS'!AH12/'EDT Y TAREAS'!M12,0),IF(AND(134&gt;='EDT Y TAREAS'!AK22,134&lt;'EDT Y TAREAS'!AL22),'EDT Y TAREAS'!AH22/'EDT Y TAREAS'!M22,0),IF(AND(134&gt;='EDT Y TAREAS'!AK23,134&lt;'EDT Y TAREAS'!AL23),'EDT Y TAREAS'!AH23/'EDT Y TAREAS'!M23,0),IF(AND(134&gt;='EDT Y TAREAS'!AK29,134&lt;'EDT Y TAREAS'!AL29),'EDT Y TAREAS'!AH29/'EDT Y TAREAS'!M29,0),IF(AND(134&gt;='EDT Y TAREAS'!AK30,134&lt;'EDT Y TAREAS'!AL30),'EDT Y TAREAS'!AH30/'EDT Y TAREAS'!M30,0),IF(AND(134&gt;='EDT Y TAREAS'!AK32,134&lt;'EDT Y TAREAS'!AL32),'EDT Y TAREAS'!AH32/'EDT Y TAREAS'!M32,0),IF(AND(134&gt;='EDT Y TAREAS'!AK41,134&lt;'EDT Y TAREAS'!AL41),'EDT Y TAREAS'!AH41/'EDT Y TAREAS'!M41,0),IF(AND(134&gt;='EDT Y TAREAS'!AK44,134&lt;'EDT Y TAREAS'!AL44),'EDT Y TAREAS'!AH44/'EDT Y TAREAS'!M44,0),IF(AND(134&gt;='EDT Y TAREAS'!AK46,134&lt;'EDT Y TAREAS'!AL46),'EDT Y TAREAS'!AH46/'EDT Y TAREAS'!M46,0),IF(AND(134&gt;='EDT Y TAREAS'!AK48,134&lt;'EDT Y TAREAS'!AL48),'EDT Y TAREAS'!AH48/'EDT Y TAREAS'!M48,0))</x:f>
        <x:v>2.4</x:v>
      </x:c>
      <x:c r="G174" s="35" t="n">
        <x:f>SUM(IF(AND(134&gt;='EDT Y TAREAS'!AK20,134&lt;'EDT Y TAREAS'!AL20),'EDT Y TAREAS'!AI20/'EDT Y TAREAS'!M20,0),IF(AND(134&gt;='EDT Y TAREAS'!AK25,134&lt;'EDT Y TAREAS'!AL25),'EDT Y TAREAS'!AI25/'EDT Y TAREAS'!M25,0),IF(AND(134&gt;='EDT Y TAREAS'!AK33,134&lt;'EDT Y TAREAS'!AL33),'EDT Y TAREAS'!AI33/'EDT Y TAREAS'!M33,0),IF(AND(134&gt;='EDT Y TAREAS'!AK34,134&lt;'EDT Y TAREAS'!AL34),'EDT Y TAREAS'!AI34/'EDT Y TAREAS'!M34,0),IF(AND(134&gt;='EDT Y TAREAS'!AK36,134&lt;'EDT Y TAREAS'!AL36),'EDT Y TAREAS'!AI36/'EDT Y TAREAS'!M36,0),IF(AND(134&gt;='EDT Y TAREAS'!AK39,134&lt;'EDT Y TAREAS'!AL39),'EDT Y TAREAS'!AI39/'EDT Y TAREAS'!M39,0),IF(AND(134&gt;='EDT Y TAREAS'!AK40,134&lt;'EDT Y TAREAS'!AL40),'EDT Y TAREAS'!AI40/'EDT Y TAREAS'!M40,0),IF(AND(134&gt;='EDT Y TAREAS'!AK42,134&lt;'EDT Y TAREAS'!AL42),'EDT Y TAREAS'!AI42/'EDT Y TAREAS'!M42,0),IF(AND(134&gt;='EDT Y TAREAS'!AK43,134&lt;'EDT Y TAREAS'!AL43),'EDT Y TAREAS'!AI43/'EDT Y TAREAS'!M43,0),IF(AND(134&gt;='EDT Y TAREAS'!AK44,134&lt;'EDT Y TAREAS'!AL44),'EDT Y TAREAS'!AI44/'EDT Y TAREAS'!M44,0),IF(AND(134&gt;='EDT Y TAREAS'!AK45,134&lt;'EDT Y TAREAS'!AL45),'EDT Y TAREAS'!AI45/'EDT Y TAREAS'!M45,0),IF(AND(134&gt;='EDT Y TAREAS'!AK46,134&lt;'EDT Y TAREAS'!AL46),'EDT Y TAREAS'!AI46/'EDT Y TAREAS'!M46,0),IF(AND(134&gt;='EDT Y TAREAS'!AK48,134&lt;'EDT Y TAREAS'!AL48),'EDT Y TAREAS'!AI48/'EDT Y TAREAS'!M48,0),IF(AND(134&gt;='EDT Y TAREAS'!AK50,134&lt;'EDT Y TAREAS'!AL50),'EDT Y TAREAS'!AI50/'EDT Y TAREAS'!M50,0),IF(AND(134&gt;='EDT Y TAREAS'!AK52,134&lt;'EDT Y TAREAS'!AL52),'EDT Y TAREAS'!AI52/'EDT Y TAREAS'!M52,0))</x:f>
        <x:v>2.4</x:v>
      </x:c>
      <x:c r="H174" s="35" t="n">
        <x:f>SUM(IF(AND(134&gt;='EDT Y TAREAS'!AK11,134&lt;'EDT Y TAREAS'!AL11),'EDT Y TAREAS'!AJ11/'EDT Y TAREAS'!M11,0),IF(AND(134&gt;='EDT Y TAREAS'!AK24,134&lt;'EDT Y TAREAS'!AL24),'EDT Y TAREAS'!AJ24/'EDT Y TAREAS'!M24,0),IF(AND(134&gt;='EDT Y TAREAS'!AK27,134&lt;'EDT Y TAREAS'!AL27),'EDT Y TAREAS'!AJ27/'EDT Y TAREAS'!M27,0),IF(AND(134&gt;='EDT Y TAREAS'!AK28,134&lt;'EDT Y TAREAS'!AL28),'EDT Y TAREAS'!AJ28/'EDT Y TAREAS'!M28,0),IF(AND(134&gt;='EDT Y TAREAS'!AK33,134&lt;'EDT Y TAREAS'!AL33),'EDT Y TAREAS'!AJ33/'EDT Y TAREAS'!M33,0),IF(AND(134&gt;='EDT Y TAREAS'!AK35,134&lt;'EDT Y TAREAS'!AL35),'EDT Y TAREAS'!AJ35/'EDT Y TAREAS'!M35,0),IF(AND(134&gt;='EDT Y TAREAS'!AK36,134&lt;'EDT Y TAREAS'!AL36),'EDT Y TAREAS'!AJ36/'EDT Y TAREAS'!M36,0),IF(AND(134&gt;='EDT Y TAREAS'!AK37,134&lt;'EDT Y TAREAS'!AL37),'EDT Y TAREAS'!AJ37/'EDT Y TAREAS'!M37,0),IF(AND(134&gt;='EDT Y TAREAS'!AK40,134&lt;'EDT Y TAREAS'!AL40),'EDT Y TAREAS'!AJ40/'EDT Y TAREAS'!M40,0),IF(AND(134&gt;='EDT Y TAREAS'!AK42,134&lt;'EDT Y TAREAS'!AL42),'EDT Y TAREAS'!AJ42/'EDT Y TAREAS'!M42,0),IF(AND(134&gt;='EDT Y TAREAS'!AK49,134&lt;'EDT Y TAREAS'!AL49),'EDT Y TAREAS'!AJ49/'EDT Y TAREAS'!M49,0),IF(AND(134&gt;='EDT Y TAREAS'!AK50,134&lt;'EDT Y TAREAS'!AL50),'EDT Y TAREAS'!AJ50/'EDT Y TAREAS'!M50,0),IF(AND(134&gt;='EDT Y TAREAS'!AK51,134&lt;'EDT Y TAREAS'!AL51),'EDT Y TAREAS'!AJ51/'EDT Y TAREAS'!M51,0),IF(AND(134&gt;='EDT Y TAREAS'!AK52,134&lt;'EDT Y TAREAS'!AL52),'EDT Y TAREAS'!AJ52/'EDT Y TAREAS'!M52,0))</x:f>
        <x:v>2.4</x:v>
      </x:c>
      <x:c r="I174" s="10" t="n">
        <x:f>WORKDAY('RESUMEN'!$D$3-1,A174,'RESUMEN'!$J$6:$J$25)</x:f>
        <x:v>46514</x:v>
      </x:c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  <x:c r="AL174" s="3"/>
      <x:c r="AM174" s="3"/>
      <x:c r="AN174" s="3"/>
      <x:c r="AO174" s="3"/>
    </x:row>
    <x:row r="175" ht="24" customHeight="1">
      <x:c r="A175" s="3" t="n">
        <x:v>136</x:v>
      </x:c>
      <x:c r="B175" s="35" t="n">
        <x:f>SUM(IF(AND(135&gt;='EDT Y TAREAS'!AK6,135&lt;'EDT Y TAREAS'!AL6),'EDT Y TAREAS'!AD6/'EDT Y TAREAS'!M6,0),IF(AND(135&gt;='EDT Y TAREAS'!AK7,135&lt;'EDT Y TAREAS'!AL7),'EDT Y TAREAS'!AD7/'EDT Y TAREAS'!M7,0),IF(AND(135&gt;='EDT Y TAREAS'!AK8,135&lt;'EDT Y TAREAS'!AL8),'EDT Y TAREAS'!AD8/'EDT Y TAREAS'!M8,0),IF(AND(135&gt;='EDT Y TAREAS'!AK9,135&lt;'EDT Y TAREAS'!AL9),'EDT Y TAREAS'!AD9/'EDT Y TAREAS'!M9,0),IF(AND(135&gt;='EDT Y TAREAS'!AK10,135&lt;'EDT Y TAREAS'!AL10),'EDT Y TAREAS'!AD10/'EDT Y TAREAS'!M10,0),IF(AND(135&gt;='EDT Y TAREAS'!AK11,135&lt;'EDT Y TAREAS'!AL11),'EDT Y TAREAS'!AD11/'EDT Y TAREAS'!M11,0),IF(AND(135&gt;='EDT Y TAREAS'!AK12,135&lt;'EDT Y TAREAS'!AL12),'EDT Y TAREAS'!AD12/'EDT Y TAREAS'!M12,0),IF(AND(135&gt;='EDT Y TAREAS'!AK13,135&lt;'EDT Y TAREAS'!AL13),'EDT Y TAREAS'!AD13/'EDT Y TAREAS'!M13,0),IF(AND(135&gt;='EDT Y TAREAS'!AK14,135&lt;'EDT Y TAREAS'!AL14),'EDT Y TAREAS'!AD14/'EDT Y TAREAS'!M14,0),IF(AND(135&gt;='EDT Y TAREAS'!AK15,135&lt;'EDT Y TAREAS'!AL15),'EDT Y TAREAS'!AD15/'EDT Y TAREAS'!M15,0),IF(AND(135&gt;='EDT Y TAREAS'!AK16,135&lt;'EDT Y TAREAS'!AL16),'EDT Y TAREAS'!AD16/'EDT Y TAREAS'!M16,0),IF(AND(135&gt;='EDT Y TAREAS'!AK17,135&lt;'EDT Y TAREAS'!AL17),'EDT Y TAREAS'!AD17/'EDT Y TAREAS'!M17,0),IF(AND(135&gt;='EDT Y TAREAS'!AK18,135&lt;'EDT Y TAREAS'!AL18),'EDT Y TAREAS'!AD18/'EDT Y TAREAS'!M18,0),IF(AND(135&gt;='EDT Y TAREAS'!AK19,135&lt;'EDT Y TAREAS'!AL19),'EDT Y TAREAS'!AD19/'EDT Y TAREAS'!M19,0),IF(AND(135&gt;='EDT Y TAREAS'!AK20,135&lt;'EDT Y TAREAS'!AL20),'EDT Y TAREAS'!AD20/'EDT Y TAREAS'!M20,0),IF(AND(135&gt;='EDT Y TAREAS'!AK21,135&lt;'EDT Y TAREAS'!AL21),'EDT Y TAREAS'!AD21/'EDT Y TAREAS'!M21,0),IF(AND(135&gt;='EDT Y TAREAS'!AK22,135&lt;'EDT Y TAREAS'!AL22),'EDT Y TAREAS'!AD22/'EDT Y TAREAS'!M22,0),IF(AND(135&gt;='EDT Y TAREAS'!AK23,135&lt;'EDT Y TAREAS'!AL23),'EDT Y TAREAS'!AD23/'EDT Y TAREAS'!M23,0),IF(AND(135&gt;='EDT Y TAREAS'!AK26,135&lt;'EDT Y TAREAS'!AL26),'EDT Y TAREAS'!AD26/'EDT Y TAREAS'!M26,0),IF(AND(135&gt;='EDT Y TAREAS'!AK28,135&lt;'EDT Y TAREAS'!AL28),'EDT Y TAREAS'!AD28/'EDT Y TAREAS'!M28,0),IF(AND(135&gt;='EDT Y TAREAS'!AK30,135&lt;'EDT Y TAREAS'!AL30),'EDT Y TAREAS'!AD30/'EDT Y TAREAS'!M30,0),IF(AND(135&gt;='EDT Y TAREAS'!AK32,135&lt;'EDT Y TAREAS'!AL32),'EDT Y TAREAS'!AD32/'EDT Y TAREAS'!M32,0),IF(AND(135&gt;='EDT Y TAREAS'!AK34,135&lt;'EDT Y TAREAS'!AL34),'EDT Y TAREAS'!AD34/'EDT Y TAREAS'!M34,0),IF(AND(135&gt;='EDT Y TAREAS'!AK38,135&lt;'EDT Y TAREAS'!AL38),'EDT Y TAREAS'!AD38/'EDT Y TAREAS'!M38,0),IF(AND(135&gt;='EDT Y TAREAS'!AK39,135&lt;'EDT Y TAREAS'!AL39),'EDT Y TAREAS'!AD39/'EDT Y TAREAS'!M39,0),IF(AND(135&gt;='EDT Y TAREAS'!AK43,135&lt;'EDT Y TAREAS'!AL43),'EDT Y TAREAS'!AD43/'EDT Y TAREAS'!M43,0),IF(AND(135&gt;='EDT Y TAREAS'!AK44,135&lt;'EDT Y TAREAS'!AL44),'EDT Y TAREAS'!AD44/'EDT Y TAREAS'!M44,0),IF(AND(135&gt;='EDT Y TAREAS'!AK45,135&lt;'EDT Y TAREAS'!AL45),'EDT Y TAREAS'!AD45/'EDT Y TAREAS'!M45,0),IF(AND(135&gt;='EDT Y TAREAS'!AK46,135&lt;'EDT Y TAREAS'!AL46),'EDT Y TAREAS'!AD46/'EDT Y TAREAS'!M46,0),IF(AND(135&gt;='EDT Y TAREAS'!AK47,135&lt;'EDT Y TAREAS'!AL47),'EDT Y TAREAS'!AD47/'EDT Y TAREAS'!M47,0),IF(AND(135&gt;='EDT Y TAREAS'!AK49,135&lt;'EDT Y TAREAS'!AL49),'EDT Y TAREAS'!AD49/'EDT Y TAREAS'!M49,0),IF(AND(135&gt;='EDT Y TAREAS'!AK50,135&lt;'EDT Y TAREAS'!AL50),'EDT Y TAREAS'!AD50/'EDT Y TAREAS'!M50,0),IF(AND(135&gt;='EDT Y TAREAS'!AK51,135&lt;'EDT Y TAREAS'!AL51),'EDT Y TAREAS'!AD51/'EDT Y TAREAS'!M51,0),IF(AND(135&gt;='EDT Y TAREAS'!AK52,135&lt;'EDT Y TAREAS'!AL52),'EDT Y TAREAS'!AD52/'EDT Y TAREAS'!M52,0))</x:f>
        <x:v>5.6</x:v>
      </x:c>
      <x:c r="C175" s="35" t="n">
        <x:f>SUM(IF(AND(135&gt;='EDT Y TAREAS'!AK6,135&lt;'EDT Y TAREAS'!AL6),'EDT Y TAREAS'!AE6/'EDT Y TAREAS'!M6,0),IF(AND(135&gt;='EDT Y TAREAS'!AK8,135&lt;'EDT Y TAREAS'!AL8),'EDT Y TAREAS'!AE8/'EDT Y TAREAS'!M8,0),IF(AND(135&gt;='EDT Y TAREAS'!AK9,135&lt;'EDT Y TAREAS'!AL9),'EDT Y TAREAS'!AE9/'EDT Y TAREAS'!M9,0),IF(AND(135&gt;='EDT Y TAREAS'!AK10,135&lt;'EDT Y TAREAS'!AL10),'EDT Y TAREAS'!AE10/'EDT Y TAREAS'!M10,0),IF(AND(135&gt;='EDT Y TAREAS'!AK12,135&lt;'EDT Y TAREAS'!AL12),'EDT Y TAREAS'!AE12/'EDT Y TAREAS'!M12,0),IF(AND(135&gt;='EDT Y TAREAS'!AK16,135&lt;'EDT Y TAREAS'!AL16),'EDT Y TAREAS'!AE16/'EDT Y TAREAS'!M16,0),IF(AND(135&gt;='EDT Y TAREAS'!AK21,135&lt;'EDT Y TAREAS'!AL21),'EDT Y TAREAS'!AE21/'EDT Y TAREAS'!M21,0),IF(AND(135&gt;='EDT Y TAREAS'!AK23,135&lt;'EDT Y TAREAS'!AL23),'EDT Y TAREAS'!AE23/'EDT Y TAREAS'!M23,0),IF(AND(135&gt;='EDT Y TAREAS'!AK37,135&lt;'EDT Y TAREAS'!AL37),'EDT Y TAREAS'!AE37/'EDT Y TAREAS'!M37,0),IF(AND(135&gt;='EDT Y TAREAS'!AK38,135&lt;'EDT Y TAREAS'!AL38),'EDT Y TAREAS'!AE38/'EDT Y TAREAS'!M38,0),IF(AND(135&gt;='EDT Y TAREAS'!AK41,135&lt;'EDT Y TAREAS'!AL41),'EDT Y TAREAS'!AE41/'EDT Y TAREAS'!M41,0),IF(AND(135&gt;='EDT Y TAREAS'!AK43,135&lt;'EDT Y TAREAS'!AL43),'EDT Y TAREAS'!AE43/'EDT Y TAREAS'!M43,0),IF(AND(135&gt;='EDT Y TAREAS'!AK44,135&lt;'EDT Y TAREAS'!AL44),'EDT Y TAREAS'!AE44/'EDT Y TAREAS'!M44,0),IF(AND(135&gt;='EDT Y TAREAS'!AK46,135&lt;'EDT Y TAREAS'!AL46),'EDT Y TAREAS'!AE46/'EDT Y TAREAS'!M46,0),IF(AND(135&gt;='EDT Y TAREAS'!AK47,135&lt;'EDT Y TAREAS'!AL47),'EDT Y TAREAS'!AE47/'EDT Y TAREAS'!M47,0),IF(AND(135&gt;='EDT Y TAREAS'!AK51,135&lt;'EDT Y TAREAS'!AL51),'EDT Y TAREAS'!AE51/'EDT Y TAREAS'!M51,0),IF(AND(135&gt;='EDT Y TAREAS'!AK52,135&lt;'EDT Y TAREAS'!AL52),'EDT Y TAREAS'!AE52/'EDT Y TAREAS'!M52,0))</x:f>
        <x:v>1.6</x:v>
      </x:c>
      <x:c r="D175" s="35" t="n">
        <x:f>SUM(IF(AND(135&gt;='EDT Y TAREAS'!AK11,135&lt;'EDT Y TAREAS'!AL11),'EDT Y TAREAS'!AF11/'EDT Y TAREAS'!M11,0),IF(AND(135&gt;='EDT Y TAREAS'!AK24,135&lt;'EDT Y TAREAS'!AL24),'EDT Y TAREAS'!AF24/'EDT Y TAREAS'!M24,0),IF(AND(135&gt;='EDT Y TAREAS'!AK25,135&lt;'EDT Y TAREAS'!AL25),'EDT Y TAREAS'!AF25/'EDT Y TAREAS'!M25,0),IF(AND(135&gt;='EDT Y TAREAS'!AK26,135&lt;'EDT Y TAREAS'!AL26),'EDT Y TAREAS'!AF26/'EDT Y TAREAS'!M26,0),IF(AND(135&gt;='EDT Y TAREAS'!AK27,135&lt;'EDT Y TAREAS'!AL27),'EDT Y TAREAS'!AF27/'EDT Y TAREAS'!M27,0),IF(AND(135&gt;='EDT Y TAREAS'!AK28,135&lt;'EDT Y TAREAS'!AL28),'EDT Y TAREAS'!AF28/'EDT Y TAREAS'!M28,0),IF(AND(135&gt;='EDT Y TAREAS'!AK31,135&lt;'EDT Y TAREAS'!AL31),'EDT Y TAREAS'!AF31/'EDT Y TAREAS'!M31,0),IF(AND(135&gt;='EDT Y TAREAS'!AK33,135&lt;'EDT Y TAREAS'!AL33),'EDT Y TAREAS'!AF33/'EDT Y TAREAS'!M33,0),IF(AND(135&gt;='EDT Y TAREAS'!AK34,135&lt;'EDT Y TAREAS'!AL34),'EDT Y TAREAS'!AF34/'EDT Y TAREAS'!M34,0),IF(AND(135&gt;='EDT Y TAREAS'!AK35,135&lt;'EDT Y TAREAS'!AL35),'EDT Y TAREAS'!AF35/'EDT Y TAREAS'!M35,0),IF(AND(135&gt;='EDT Y TAREAS'!AK37,135&lt;'EDT Y TAREAS'!AL37),'EDT Y TAREAS'!AF37/'EDT Y TAREAS'!M37,0),IF(AND(135&gt;='EDT Y TAREAS'!AK39,135&lt;'EDT Y TAREAS'!AL39),'EDT Y TAREAS'!AF39/'EDT Y TAREAS'!M39,0),IF(AND(135&gt;='EDT Y TAREAS'!AK40,135&lt;'EDT Y TAREAS'!AL40),'EDT Y TAREAS'!AF40/'EDT Y TAREAS'!M40,0),IF(AND(135&gt;='EDT Y TAREAS'!AK42,135&lt;'EDT Y TAREAS'!AL42),'EDT Y TAREAS'!AF42/'EDT Y TAREAS'!M42,0),IF(AND(135&gt;='EDT Y TAREAS'!AK45,135&lt;'EDT Y TAREAS'!AL45),'EDT Y TAREAS'!AF45/'EDT Y TAREAS'!M45,0),IF(AND(135&gt;='EDT Y TAREAS'!AK49,135&lt;'EDT Y TAREAS'!AL49),'EDT Y TAREAS'!AF49/'EDT Y TAREAS'!M49,0),IF(AND(135&gt;='EDT Y TAREAS'!AK52,135&lt;'EDT Y TAREAS'!AL52),'EDT Y TAREAS'!AF52/'EDT Y TAREAS'!M52,0))</x:f>
        <x:v>1.6</x:v>
      </x:c>
      <x:c r="E175" s="35" t="n">
        <x:f>SUM(IF(AND(135&gt;='EDT Y TAREAS'!AK29,135&lt;'EDT Y TAREAS'!AL29),'EDT Y TAREAS'!AG29/'EDT Y TAREAS'!M29,0),IF(AND(135&gt;='EDT Y TAREAS'!AK30,135&lt;'EDT Y TAREAS'!AL30),'EDT Y TAREAS'!AG30/'EDT Y TAREAS'!M30,0),IF(AND(135&gt;='EDT Y TAREAS'!AK31,135&lt;'EDT Y TAREAS'!AL31),'EDT Y TAREAS'!AG31/'EDT Y TAREAS'!M31,0),IF(AND(135&gt;='EDT Y TAREAS'!AK32,135&lt;'EDT Y TAREAS'!AL32),'EDT Y TAREAS'!AG32/'EDT Y TAREAS'!M32,0),IF(AND(135&gt;='EDT Y TAREAS'!AK41,135&lt;'EDT Y TAREAS'!AL41),'EDT Y TAREAS'!AG41/'EDT Y TAREAS'!M41,0),IF(AND(135&gt;='EDT Y TAREAS'!AK45,135&lt;'EDT Y TAREAS'!AL45),'EDT Y TAREAS'!AG45/'EDT Y TAREAS'!M45,0),IF(AND(135&gt;='EDT Y TAREAS'!AK48,135&lt;'EDT Y TAREAS'!AL48),'EDT Y TAREAS'!AG48/'EDT Y TAREAS'!M48,0))</x:f>
        <x:v>0</x:v>
      </x:c>
      <x:c r="F175" s="35" t="n">
        <x:f>SUM(IF(AND(135&gt;='EDT Y TAREAS'!AK10,135&lt;'EDT Y TAREAS'!AL10),'EDT Y TAREAS'!AH10/'EDT Y TAREAS'!M10,0),IF(AND(135&gt;='EDT Y TAREAS'!AK12,135&lt;'EDT Y TAREAS'!AL12),'EDT Y TAREAS'!AH12/'EDT Y TAREAS'!M12,0),IF(AND(135&gt;='EDT Y TAREAS'!AK22,135&lt;'EDT Y TAREAS'!AL22),'EDT Y TAREAS'!AH22/'EDT Y TAREAS'!M22,0),IF(AND(135&gt;='EDT Y TAREAS'!AK23,135&lt;'EDT Y TAREAS'!AL23),'EDT Y TAREAS'!AH23/'EDT Y TAREAS'!M23,0),IF(AND(135&gt;='EDT Y TAREAS'!AK29,135&lt;'EDT Y TAREAS'!AL29),'EDT Y TAREAS'!AH29/'EDT Y TAREAS'!M29,0),IF(AND(135&gt;='EDT Y TAREAS'!AK30,135&lt;'EDT Y TAREAS'!AL30),'EDT Y TAREAS'!AH30/'EDT Y TAREAS'!M30,0),IF(AND(135&gt;='EDT Y TAREAS'!AK32,135&lt;'EDT Y TAREAS'!AL32),'EDT Y TAREAS'!AH32/'EDT Y TAREAS'!M32,0),IF(AND(135&gt;='EDT Y TAREAS'!AK41,135&lt;'EDT Y TAREAS'!AL41),'EDT Y TAREAS'!AH41/'EDT Y TAREAS'!M41,0),IF(AND(135&gt;='EDT Y TAREAS'!AK44,135&lt;'EDT Y TAREAS'!AL44),'EDT Y TAREAS'!AH44/'EDT Y TAREAS'!M44,0),IF(AND(135&gt;='EDT Y TAREAS'!AK46,135&lt;'EDT Y TAREAS'!AL46),'EDT Y TAREAS'!AH46/'EDT Y TAREAS'!M46,0),IF(AND(135&gt;='EDT Y TAREAS'!AK48,135&lt;'EDT Y TAREAS'!AL48),'EDT Y TAREAS'!AH48/'EDT Y TAREAS'!M48,0))</x:f>
        <x:v>2.4</x:v>
      </x:c>
      <x:c r="G175" s="35" t="n">
        <x:f>SUM(IF(AND(135&gt;='EDT Y TAREAS'!AK20,135&lt;'EDT Y TAREAS'!AL20),'EDT Y TAREAS'!AI20/'EDT Y TAREAS'!M20,0),IF(AND(135&gt;='EDT Y TAREAS'!AK25,135&lt;'EDT Y TAREAS'!AL25),'EDT Y TAREAS'!AI25/'EDT Y TAREAS'!M25,0),IF(AND(135&gt;='EDT Y TAREAS'!AK33,135&lt;'EDT Y TAREAS'!AL33),'EDT Y TAREAS'!AI33/'EDT Y TAREAS'!M33,0),IF(AND(135&gt;='EDT Y TAREAS'!AK34,135&lt;'EDT Y TAREAS'!AL34),'EDT Y TAREAS'!AI34/'EDT Y TAREAS'!M34,0),IF(AND(135&gt;='EDT Y TAREAS'!AK36,135&lt;'EDT Y TAREAS'!AL36),'EDT Y TAREAS'!AI36/'EDT Y TAREAS'!M36,0),IF(AND(135&gt;='EDT Y TAREAS'!AK39,135&lt;'EDT Y TAREAS'!AL39),'EDT Y TAREAS'!AI39/'EDT Y TAREAS'!M39,0),IF(AND(135&gt;='EDT Y TAREAS'!AK40,135&lt;'EDT Y TAREAS'!AL40),'EDT Y TAREAS'!AI40/'EDT Y TAREAS'!M40,0),IF(AND(135&gt;='EDT Y TAREAS'!AK42,135&lt;'EDT Y TAREAS'!AL42),'EDT Y TAREAS'!AI42/'EDT Y TAREAS'!M42,0),IF(AND(135&gt;='EDT Y TAREAS'!AK43,135&lt;'EDT Y TAREAS'!AL43),'EDT Y TAREAS'!AI43/'EDT Y TAREAS'!M43,0),IF(AND(135&gt;='EDT Y TAREAS'!AK44,135&lt;'EDT Y TAREAS'!AL44),'EDT Y TAREAS'!AI44/'EDT Y TAREAS'!M44,0),IF(AND(135&gt;='EDT Y TAREAS'!AK45,135&lt;'EDT Y TAREAS'!AL45),'EDT Y TAREAS'!AI45/'EDT Y TAREAS'!M45,0),IF(AND(135&gt;='EDT Y TAREAS'!AK46,135&lt;'EDT Y TAREAS'!AL46),'EDT Y TAREAS'!AI46/'EDT Y TAREAS'!M46,0),IF(AND(135&gt;='EDT Y TAREAS'!AK48,135&lt;'EDT Y TAREAS'!AL48),'EDT Y TAREAS'!AI48/'EDT Y TAREAS'!M48,0),IF(AND(135&gt;='EDT Y TAREAS'!AK50,135&lt;'EDT Y TAREAS'!AL50),'EDT Y TAREAS'!AI50/'EDT Y TAREAS'!M50,0),IF(AND(135&gt;='EDT Y TAREAS'!AK52,135&lt;'EDT Y TAREAS'!AL52),'EDT Y TAREAS'!AI52/'EDT Y TAREAS'!M52,0))</x:f>
        <x:v>2.4</x:v>
      </x:c>
      <x:c r="H175" s="35" t="n">
        <x:f>SUM(IF(AND(135&gt;='EDT Y TAREAS'!AK11,135&lt;'EDT Y TAREAS'!AL11),'EDT Y TAREAS'!AJ11/'EDT Y TAREAS'!M11,0),IF(AND(135&gt;='EDT Y TAREAS'!AK24,135&lt;'EDT Y TAREAS'!AL24),'EDT Y TAREAS'!AJ24/'EDT Y TAREAS'!M24,0),IF(AND(135&gt;='EDT Y TAREAS'!AK27,135&lt;'EDT Y TAREAS'!AL27),'EDT Y TAREAS'!AJ27/'EDT Y TAREAS'!M27,0),IF(AND(135&gt;='EDT Y TAREAS'!AK28,135&lt;'EDT Y TAREAS'!AL28),'EDT Y TAREAS'!AJ28/'EDT Y TAREAS'!M28,0),IF(AND(135&gt;='EDT Y TAREAS'!AK33,135&lt;'EDT Y TAREAS'!AL33),'EDT Y TAREAS'!AJ33/'EDT Y TAREAS'!M33,0),IF(AND(135&gt;='EDT Y TAREAS'!AK35,135&lt;'EDT Y TAREAS'!AL35),'EDT Y TAREAS'!AJ35/'EDT Y TAREAS'!M35,0),IF(AND(135&gt;='EDT Y TAREAS'!AK36,135&lt;'EDT Y TAREAS'!AL36),'EDT Y TAREAS'!AJ36/'EDT Y TAREAS'!M36,0),IF(AND(135&gt;='EDT Y TAREAS'!AK37,135&lt;'EDT Y TAREAS'!AL37),'EDT Y TAREAS'!AJ37/'EDT Y TAREAS'!M37,0),IF(AND(135&gt;='EDT Y TAREAS'!AK40,135&lt;'EDT Y TAREAS'!AL40),'EDT Y TAREAS'!AJ40/'EDT Y TAREAS'!M40,0),IF(AND(135&gt;='EDT Y TAREAS'!AK42,135&lt;'EDT Y TAREAS'!AL42),'EDT Y TAREAS'!AJ42/'EDT Y TAREAS'!M42,0),IF(AND(135&gt;='EDT Y TAREAS'!AK49,135&lt;'EDT Y TAREAS'!AL49),'EDT Y TAREAS'!AJ49/'EDT Y TAREAS'!M49,0),IF(AND(135&gt;='EDT Y TAREAS'!AK50,135&lt;'EDT Y TAREAS'!AL50),'EDT Y TAREAS'!AJ50/'EDT Y TAREAS'!M50,0),IF(AND(135&gt;='EDT Y TAREAS'!AK51,135&lt;'EDT Y TAREAS'!AL51),'EDT Y TAREAS'!AJ51/'EDT Y TAREAS'!M51,0),IF(AND(135&gt;='EDT Y TAREAS'!AK52,135&lt;'EDT Y TAREAS'!AL52),'EDT Y TAREAS'!AJ52/'EDT Y TAREAS'!M52,0))</x:f>
        <x:v>2.4</x:v>
      </x:c>
      <x:c r="I175" s="10" t="n">
        <x:f>WORKDAY('RESUMEN'!$D$3-1,A175,'RESUMEN'!$J$6:$J$25)</x:f>
        <x:v>46517</x:v>
      </x:c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  <x:c r="AL175" s="3"/>
      <x:c r="AM175" s="3"/>
      <x:c r="AN175" s="3"/>
      <x:c r="AO175" s="3"/>
    </x:row>
    <x:row r="176" ht="24" customHeight="1">
      <x:c r="A176" s="3" t="n">
        <x:v>137</x:v>
      </x:c>
      <x:c r="B176" s="35" t="n">
        <x:f>SUM(IF(AND(136&gt;='EDT Y TAREAS'!AK6,136&lt;'EDT Y TAREAS'!AL6),'EDT Y TAREAS'!AD6/'EDT Y TAREAS'!M6,0),IF(AND(136&gt;='EDT Y TAREAS'!AK7,136&lt;'EDT Y TAREAS'!AL7),'EDT Y TAREAS'!AD7/'EDT Y TAREAS'!M7,0),IF(AND(136&gt;='EDT Y TAREAS'!AK8,136&lt;'EDT Y TAREAS'!AL8),'EDT Y TAREAS'!AD8/'EDT Y TAREAS'!M8,0),IF(AND(136&gt;='EDT Y TAREAS'!AK9,136&lt;'EDT Y TAREAS'!AL9),'EDT Y TAREAS'!AD9/'EDT Y TAREAS'!M9,0),IF(AND(136&gt;='EDT Y TAREAS'!AK10,136&lt;'EDT Y TAREAS'!AL10),'EDT Y TAREAS'!AD10/'EDT Y TAREAS'!M10,0),IF(AND(136&gt;='EDT Y TAREAS'!AK11,136&lt;'EDT Y TAREAS'!AL11),'EDT Y TAREAS'!AD11/'EDT Y TAREAS'!M11,0),IF(AND(136&gt;='EDT Y TAREAS'!AK12,136&lt;'EDT Y TAREAS'!AL12),'EDT Y TAREAS'!AD12/'EDT Y TAREAS'!M12,0),IF(AND(136&gt;='EDT Y TAREAS'!AK13,136&lt;'EDT Y TAREAS'!AL13),'EDT Y TAREAS'!AD13/'EDT Y TAREAS'!M13,0),IF(AND(136&gt;='EDT Y TAREAS'!AK14,136&lt;'EDT Y TAREAS'!AL14),'EDT Y TAREAS'!AD14/'EDT Y TAREAS'!M14,0),IF(AND(136&gt;='EDT Y TAREAS'!AK15,136&lt;'EDT Y TAREAS'!AL15),'EDT Y TAREAS'!AD15/'EDT Y TAREAS'!M15,0),IF(AND(136&gt;='EDT Y TAREAS'!AK16,136&lt;'EDT Y TAREAS'!AL16),'EDT Y TAREAS'!AD16/'EDT Y TAREAS'!M16,0),IF(AND(136&gt;='EDT Y TAREAS'!AK17,136&lt;'EDT Y TAREAS'!AL17),'EDT Y TAREAS'!AD17/'EDT Y TAREAS'!M17,0),IF(AND(136&gt;='EDT Y TAREAS'!AK18,136&lt;'EDT Y TAREAS'!AL18),'EDT Y TAREAS'!AD18/'EDT Y TAREAS'!M18,0),IF(AND(136&gt;='EDT Y TAREAS'!AK19,136&lt;'EDT Y TAREAS'!AL19),'EDT Y TAREAS'!AD19/'EDT Y TAREAS'!M19,0),IF(AND(136&gt;='EDT Y TAREAS'!AK20,136&lt;'EDT Y TAREAS'!AL20),'EDT Y TAREAS'!AD20/'EDT Y TAREAS'!M20,0),IF(AND(136&gt;='EDT Y TAREAS'!AK21,136&lt;'EDT Y TAREAS'!AL21),'EDT Y TAREAS'!AD21/'EDT Y TAREAS'!M21,0),IF(AND(136&gt;='EDT Y TAREAS'!AK22,136&lt;'EDT Y TAREAS'!AL22),'EDT Y TAREAS'!AD22/'EDT Y TAREAS'!M22,0),IF(AND(136&gt;='EDT Y TAREAS'!AK23,136&lt;'EDT Y TAREAS'!AL23),'EDT Y TAREAS'!AD23/'EDT Y TAREAS'!M23,0),IF(AND(136&gt;='EDT Y TAREAS'!AK26,136&lt;'EDT Y TAREAS'!AL26),'EDT Y TAREAS'!AD26/'EDT Y TAREAS'!M26,0),IF(AND(136&gt;='EDT Y TAREAS'!AK28,136&lt;'EDT Y TAREAS'!AL28),'EDT Y TAREAS'!AD28/'EDT Y TAREAS'!M28,0),IF(AND(136&gt;='EDT Y TAREAS'!AK30,136&lt;'EDT Y TAREAS'!AL30),'EDT Y TAREAS'!AD30/'EDT Y TAREAS'!M30,0),IF(AND(136&gt;='EDT Y TAREAS'!AK32,136&lt;'EDT Y TAREAS'!AL32),'EDT Y TAREAS'!AD32/'EDT Y TAREAS'!M32,0),IF(AND(136&gt;='EDT Y TAREAS'!AK34,136&lt;'EDT Y TAREAS'!AL34),'EDT Y TAREAS'!AD34/'EDT Y TAREAS'!M34,0),IF(AND(136&gt;='EDT Y TAREAS'!AK38,136&lt;'EDT Y TAREAS'!AL38),'EDT Y TAREAS'!AD38/'EDT Y TAREAS'!M38,0),IF(AND(136&gt;='EDT Y TAREAS'!AK39,136&lt;'EDT Y TAREAS'!AL39),'EDT Y TAREAS'!AD39/'EDT Y TAREAS'!M39,0),IF(AND(136&gt;='EDT Y TAREAS'!AK43,136&lt;'EDT Y TAREAS'!AL43),'EDT Y TAREAS'!AD43/'EDT Y TAREAS'!M43,0),IF(AND(136&gt;='EDT Y TAREAS'!AK44,136&lt;'EDT Y TAREAS'!AL44),'EDT Y TAREAS'!AD44/'EDT Y TAREAS'!M44,0),IF(AND(136&gt;='EDT Y TAREAS'!AK45,136&lt;'EDT Y TAREAS'!AL45),'EDT Y TAREAS'!AD45/'EDT Y TAREAS'!M45,0),IF(AND(136&gt;='EDT Y TAREAS'!AK46,136&lt;'EDT Y TAREAS'!AL46),'EDT Y TAREAS'!AD46/'EDT Y TAREAS'!M46,0),IF(AND(136&gt;='EDT Y TAREAS'!AK47,136&lt;'EDT Y TAREAS'!AL47),'EDT Y TAREAS'!AD47/'EDT Y TAREAS'!M47,0),IF(AND(136&gt;='EDT Y TAREAS'!AK49,136&lt;'EDT Y TAREAS'!AL49),'EDT Y TAREAS'!AD49/'EDT Y TAREAS'!M49,0),IF(AND(136&gt;='EDT Y TAREAS'!AK50,136&lt;'EDT Y TAREAS'!AL50),'EDT Y TAREAS'!AD50/'EDT Y TAREAS'!M50,0),IF(AND(136&gt;='EDT Y TAREAS'!AK51,136&lt;'EDT Y TAREAS'!AL51),'EDT Y TAREAS'!AD51/'EDT Y TAREAS'!M51,0),IF(AND(136&gt;='EDT Y TAREAS'!AK52,136&lt;'EDT Y TAREAS'!AL52),'EDT Y TAREAS'!AD52/'EDT Y TAREAS'!M52,0))</x:f>
        <x:v>1.6</x:v>
      </x:c>
      <x:c r="C176" s="35" t="n">
        <x:f>SUM(IF(AND(136&gt;='EDT Y TAREAS'!AK6,136&lt;'EDT Y TAREAS'!AL6),'EDT Y TAREAS'!AE6/'EDT Y TAREAS'!M6,0),IF(AND(136&gt;='EDT Y TAREAS'!AK8,136&lt;'EDT Y TAREAS'!AL8),'EDT Y TAREAS'!AE8/'EDT Y TAREAS'!M8,0),IF(AND(136&gt;='EDT Y TAREAS'!AK9,136&lt;'EDT Y TAREAS'!AL9),'EDT Y TAREAS'!AE9/'EDT Y TAREAS'!M9,0),IF(AND(136&gt;='EDT Y TAREAS'!AK10,136&lt;'EDT Y TAREAS'!AL10),'EDT Y TAREAS'!AE10/'EDT Y TAREAS'!M10,0),IF(AND(136&gt;='EDT Y TAREAS'!AK12,136&lt;'EDT Y TAREAS'!AL12),'EDT Y TAREAS'!AE12/'EDT Y TAREAS'!M12,0),IF(AND(136&gt;='EDT Y TAREAS'!AK16,136&lt;'EDT Y TAREAS'!AL16),'EDT Y TAREAS'!AE16/'EDT Y TAREAS'!M16,0),IF(AND(136&gt;='EDT Y TAREAS'!AK21,136&lt;'EDT Y TAREAS'!AL21),'EDT Y TAREAS'!AE21/'EDT Y TAREAS'!M21,0),IF(AND(136&gt;='EDT Y TAREAS'!AK23,136&lt;'EDT Y TAREAS'!AL23),'EDT Y TAREAS'!AE23/'EDT Y TAREAS'!M23,0),IF(AND(136&gt;='EDT Y TAREAS'!AK37,136&lt;'EDT Y TAREAS'!AL37),'EDT Y TAREAS'!AE37/'EDT Y TAREAS'!M37,0),IF(AND(136&gt;='EDT Y TAREAS'!AK38,136&lt;'EDT Y TAREAS'!AL38),'EDT Y TAREAS'!AE38/'EDT Y TAREAS'!M38,0),IF(AND(136&gt;='EDT Y TAREAS'!AK41,136&lt;'EDT Y TAREAS'!AL41),'EDT Y TAREAS'!AE41/'EDT Y TAREAS'!M41,0),IF(AND(136&gt;='EDT Y TAREAS'!AK43,136&lt;'EDT Y TAREAS'!AL43),'EDT Y TAREAS'!AE43/'EDT Y TAREAS'!M43,0),IF(AND(136&gt;='EDT Y TAREAS'!AK44,136&lt;'EDT Y TAREAS'!AL44),'EDT Y TAREAS'!AE44/'EDT Y TAREAS'!M44,0),IF(AND(136&gt;='EDT Y TAREAS'!AK46,136&lt;'EDT Y TAREAS'!AL46),'EDT Y TAREAS'!AE46/'EDT Y TAREAS'!M46,0),IF(AND(136&gt;='EDT Y TAREAS'!AK47,136&lt;'EDT Y TAREAS'!AL47),'EDT Y TAREAS'!AE47/'EDT Y TAREAS'!M47,0),IF(AND(136&gt;='EDT Y TAREAS'!AK51,136&lt;'EDT Y TAREAS'!AL51),'EDT Y TAREAS'!AE51/'EDT Y TAREAS'!M51,0),IF(AND(136&gt;='EDT Y TAREAS'!AK52,136&lt;'EDT Y TAREAS'!AL52),'EDT Y TAREAS'!AE52/'EDT Y TAREAS'!M52,0))</x:f>
        <x:v>0</x:v>
      </x:c>
      <x:c r="D176" s="35" t="n">
        <x:f>SUM(IF(AND(136&gt;='EDT Y TAREAS'!AK11,136&lt;'EDT Y TAREAS'!AL11),'EDT Y TAREAS'!AF11/'EDT Y TAREAS'!M11,0),IF(AND(136&gt;='EDT Y TAREAS'!AK24,136&lt;'EDT Y TAREAS'!AL24),'EDT Y TAREAS'!AF24/'EDT Y TAREAS'!M24,0),IF(AND(136&gt;='EDT Y TAREAS'!AK25,136&lt;'EDT Y TAREAS'!AL25),'EDT Y TAREAS'!AF25/'EDT Y TAREAS'!M25,0),IF(AND(136&gt;='EDT Y TAREAS'!AK26,136&lt;'EDT Y TAREAS'!AL26),'EDT Y TAREAS'!AF26/'EDT Y TAREAS'!M26,0),IF(AND(136&gt;='EDT Y TAREAS'!AK27,136&lt;'EDT Y TAREAS'!AL27),'EDT Y TAREAS'!AF27/'EDT Y TAREAS'!M27,0),IF(AND(136&gt;='EDT Y TAREAS'!AK28,136&lt;'EDT Y TAREAS'!AL28),'EDT Y TAREAS'!AF28/'EDT Y TAREAS'!M28,0),IF(AND(136&gt;='EDT Y TAREAS'!AK31,136&lt;'EDT Y TAREAS'!AL31),'EDT Y TAREAS'!AF31/'EDT Y TAREAS'!M31,0),IF(AND(136&gt;='EDT Y TAREAS'!AK33,136&lt;'EDT Y TAREAS'!AL33),'EDT Y TAREAS'!AF33/'EDT Y TAREAS'!M33,0),IF(AND(136&gt;='EDT Y TAREAS'!AK34,136&lt;'EDT Y TAREAS'!AL34),'EDT Y TAREAS'!AF34/'EDT Y TAREAS'!M34,0),IF(AND(136&gt;='EDT Y TAREAS'!AK35,136&lt;'EDT Y TAREAS'!AL35),'EDT Y TAREAS'!AF35/'EDT Y TAREAS'!M35,0),IF(AND(136&gt;='EDT Y TAREAS'!AK37,136&lt;'EDT Y TAREAS'!AL37),'EDT Y TAREAS'!AF37/'EDT Y TAREAS'!M37,0),IF(AND(136&gt;='EDT Y TAREAS'!AK39,136&lt;'EDT Y TAREAS'!AL39),'EDT Y TAREAS'!AF39/'EDT Y TAREAS'!M39,0),IF(AND(136&gt;='EDT Y TAREAS'!AK40,136&lt;'EDT Y TAREAS'!AL40),'EDT Y TAREAS'!AF40/'EDT Y TAREAS'!M40,0),IF(AND(136&gt;='EDT Y TAREAS'!AK42,136&lt;'EDT Y TAREAS'!AL42),'EDT Y TAREAS'!AF42/'EDT Y TAREAS'!M42,0),IF(AND(136&gt;='EDT Y TAREAS'!AK45,136&lt;'EDT Y TAREAS'!AL45),'EDT Y TAREAS'!AF45/'EDT Y TAREAS'!M45,0),IF(AND(136&gt;='EDT Y TAREAS'!AK49,136&lt;'EDT Y TAREAS'!AL49),'EDT Y TAREAS'!AF49/'EDT Y TAREAS'!M49,0),IF(AND(136&gt;='EDT Y TAREAS'!AK52,136&lt;'EDT Y TAREAS'!AL52),'EDT Y TAREAS'!AF52/'EDT Y TAREAS'!M52,0))</x:f>
        <x:v>1.6</x:v>
      </x:c>
      <x:c r="E176" s="35" t="n">
        <x:f>SUM(IF(AND(136&gt;='EDT Y TAREAS'!AK29,136&lt;'EDT Y TAREAS'!AL29),'EDT Y TAREAS'!AG29/'EDT Y TAREAS'!M29,0),IF(AND(136&gt;='EDT Y TAREAS'!AK30,136&lt;'EDT Y TAREAS'!AL30),'EDT Y TAREAS'!AG30/'EDT Y TAREAS'!M30,0),IF(AND(136&gt;='EDT Y TAREAS'!AK31,136&lt;'EDT Y TAREAS'!AL31),'EDT Y TAREAS'!AG31/'EDT Y TAREAS'!M31,0),IF(AND(136&gt;='EDT Y TAREAS'!AK32,136&lt;'EDT Y TAREAS'!AL32),'EDT Y TAREAS'!AG32/'EDT Y TAREAS'!M32,0),IF(AND(136&gt;='EDT Y TAREAS'!AK41,136&lt;'EDT Y TAREAS'!AL41),'EDT Y TAREAS'!AG41/'EDT Y TAREAS'!M41,0),IF(AND(136&gt;='EDT Y TAREAS'!AK45,136&lt;'EDT Y TAREAS'!AL45),'EDT Y TAREAS'!AG45/'EDT Y TAREAS'!M45,0),IF(AND(136&gt;='EDT Y TAREAS'!AK48,136&lt;'EDT Y TAREAS'!AL48),'EDT Y TAREAS'!AG48/'EDT Y TAREAS'!M48,0))</x:f>
        <x:v>5.6</x:v>
      </x:c>
      <x:c r="F176" s="35" t="n">
        <x:f>SUM(IF(AND(136&gt;='EDT Y TAREAS'!AK10,136&lt;'EDT Y TAREAS'!AL10),'EDT Y TAREAS'!AH10/'EDT Y TAREAS'!M10,0),IF(AND(136&gt;='EDT Y TAREAS'!AK12,136&lt;'EDT Y TAREAS'!AL12),'EDT Y TAREAS'!AH12/'EDT Y TAREAS'!M12,0),IF(AND(136&gt;='EDT Y TAREAS'!AK22,136&lt;'EDT Y TAREAS'!AL22),'EDT Y TAREAS'!AH22/'EDT Y TAREAS'!M22,0),IF(AND(136&gt;='EDT Y TAREAS'!AK23,136&lt;'EDT Y TAREAS'!AL23),'EDT Y TAREAS'!AH23/'EDT Y TAREAS'!M23,0),IF(AND(136&gt;='EDT Y TAREAS'!AK29,136&lt;'EDT Y TAREAS'!AL29),'EDT Y TAREAS'!AH29/'EDT Y TAREAS'!M29,0),IF(AND(136&gt;='EDT Y TAREAS'!AK30,136&lt;'EDT Y TAREAS'!AL30),'EDT Y TAREAS'!AH30/'EDT Y TAREAS'!M30,0),IF(AND(136&gt;='EDT Y TAREAS'!AK32,136&lt;'EDT Y TAREAS'!AL32),'EDT Y TAREAS'!AH32/'EDT Y TAREAS'!M32,0),IF(AND(136&gt;='EDT Y TAREAS'!AK41,136&lt;'EDT Y TAREAS'!AL41),'EDT Y TAREAS'!AH41/'EDT Y TAREAS'!M41,0),IF(AND(136&gt;='EDT Y TAREAS'!AK44,136&lt;'EDT Y TAREAS'!AL44),'EDT Y TAREAS'!AH44/'EDT Y TAREAS'!M44,0),IF(AND(136&gt;='EDT Y TAREAS'!AK46,136&lt;'EDT Y TAREAS'!AL46),'EDT Y TAREAS'!AH46/'EDT Y TAREAS'!M46,0),IF(AND(136&gt;='EDT Y TAREAS'!AK48,136&lt;'EDT Y TAREAS'!AL48),'EDT Y TAREAS'!AH48/'EDT Y TAREAS'!M48,0))</x:f>
        <x:v>1.6</x:v>
      </x:c>
      <x:c r="G176" s="35" t="n">
        <x:f>SUM(IF(AND(136&gt;='EDT Y TAREAS'!AK20,136&lt;'EDT Y TAREAS'!AL20),'EDT Y TAREAS'!AI20/'EDT Y TAREAS'!M20,0),IF(AND(136&gt;='EDT Y TAREAS'!AK25,136&lt;'EDT Y TAREAS'!AL25),'EDT Y TAREAS'!AI25/'EDT Y TAREAS'!M25,0),IF(AND(136&gt;='EDT Y TAREAS'!AK33,136&lt;'EDT Y TAREAS'!AL33),'EDT Y TAREAS'!AI33/'EDT Y TAREAS'!M33,0),IF(AND(136&gt;='EDT Y TAREAS'!AK34,136&lt;'EDT Y TAREAS'!AL34),'EDT Y TAREAS'!AI34/'EDT Y TAREAS'!M34,0),IF(AND(136&gt;='EDT Y TAREAS'!AK36,136&lt;'EDT Y TAREAS'!AL36),'EDT Y TAREAS'!AI36/'EDT Y TAREAS'!M36,0),IF(AND(136&gt;='EDT Y TAREAS'!AK39,136&lt;'EDT Y TAREAS'!AL39),'EDT Y TAREAS'!AI39/'EDT Y TAREAS'!M39,0),IF(AND(136&gt;='EDT Y TAREAS'!AK40,136&lt;'EDT Y TAREAS'!AL40),'EDT Y TAREAS'!AI40/'EDT Y TAREAS'!M40,0),IF(AND(136&gt;='EDT Y TAREAS'!AK42,136&lt;'EDT Y TAREAS'!AL42),'EDT Y TAREAS'!AI42/'EDT Y TAREAS'!M42,0),IF(AND(136&gt;='EDT Y TAREAS'!AK43,136&lt;'EDT Y TAREAS'!AL43),'EDT Y TAREAS'!AI43/'EDT Y TAREAS'!M43,0),IF(AND(136&gt;='EDT Y TAREAS'!AK44,136&lt;'EDT Y TAREAS'!AL44),'EDT Y TAREAS'!AI44/'EDT Y TAREAS'!M44,0),IF(AND(136&gt;='EDT Y TAREAS'!AK45,136&lt;'EDT Y TAREAS'!AL45),'EDT Y TAREAS'!AI45/'EDT Y TAREAS'!M45,0),IF(AND(136&gt;='EDT Y TAREAS'!AK46,136&lt;'EDT Y TAREAS'!AL46),'EDT Y TAREAS'!AI46/'EDT Y TAREAS'!M46,0),IF(AND(136&gt;='EDT Y TAREAS'!AK48,136&lt;'EDT Y TAREAS'!AL48),'EDT Y TAREAS'!AI48/'EDT Y TAREAS'!M48,0),IF(AND(136&gt;='EDT Y TAREAS'!AK50,136&lt;'EDT Y TAREAS'!AL50),'EDT Y TAREAS'!AI50/'EDT Y TAREAS'!M50,0),IF(AND(136&gt;='EDT Y TAREAS'!AK52,136&lt;'EDT Y TAREAS'!AL52),'EDT Y TAREAS'!AI52/'EDT Y TAREAS'!M52,0))</x:f>
        <x:v>2.4</x:v>
      </x:c>
      <x:c r="H176" s="35" t="n">
        <x:f>SUM(IF(AND(136&gt;='EDT Y TAREAS'!AK11,136&lt;'EDT Y TAREAS'!AL11),'EDT Y TAREAS'!AJ11/'EDT Y TAREAS'!M11,0),IF(AND(136&gt;='EDT Y TAREAS'!AK24,136&lt;'EDT Y TAREAS'!AL24),'EDT Y TAREAS'!AJ24/'EDT Y TAREAS'!M24,0),IF(AND(136&gt;='EDT Y TAREAS'!AK27,136&lt;'EDT Y TAREAS'!AL27),'EDT Y TAREAS'!AJ27/'EDT Y TAREAS'!M27,0),IF(AND(136&gt;='EDT Y TAREAS'!AK28,136&lt;'EDT Y TAREAS'!AL28),'EDT Y TAREAS'!AJ28/'EDT Y TAREAS'!M28,0),IF(AND(136&gt;='EDT Y TAREAS'!AK33,136&lt;'EDT Y TAREAS'!AL33),'EDT Y TAREAS'!AJ33/'EDT Y TAREAS'!M33,0),IF(AND(136&gt;='EDT Y TAREAS'!AK35,136&lt;'EDT Y TAREAS'!AL35),'EDT Y TAREAS'!AJ35/'EDT Y TAREAS'!M35,0),IF(AND(136&gt;='EDT Y TAREAS'!AK36,136&lt;'EDT Y TAREAS'!AL36),'EDT Y TAREAS'!AJ36/'EDT Y TAREAS'!M36,0),IF(AND(136&gt;='EDT Y TAREAS'!AK37,136&lt;'EDT Y TAREAS'!AL37),'EDT Y TAREAS'!AJ37/'EDT Y TAREAS'!M37,0),IF(AND(136&gt;='EDT Y TAREAS'!AK40,136&lt;'EDT Y TAREAS'!AL40),'EDT Y TAREAS'!AJ40/'EDT Y TAREAS'!M40,0),IF(AND(136&gt;='EDT Y TAREAS'!AK42,136&lt;'EDT Y TAREAS'!AL42),'EDT Y TAREAS'!AJ42/'EDT Y TAREAS'!M42,0),IF(AND(136&gt;='EDT Y TAREAS'!AK49,136&lt;'EDT Y TAREAS'!AL49),'EDT Y TAREAS'!AJ49/'EDT Y TAREAS'!M49,0),IF(AND(136&gt;='EDT Y TAREAS'!AK50,136&lt;'EDT Y TAREAS'!AL50),'EDT Y TAREAS'!AJ50/'EDT Y TAREAS'!M50,0),IF(AND(136&gt;='EDT Y TAREAS'!AK51,136&lt;'EDT Y TAREAS'!AL51),'EDT Y TAREAS'!AJ51/'EDT Y TAREAS'!M51,0),IF(AND(136&gt;='EDT Y TAREAS'!AK52,136&lt;'EDT Y TAREAS'!AL52),'EDT Y TAREAS'!AJ52/'EDT Y TAREAS'!M52,0))</x:f>
        <x:v>2.4</x:v>
      </x:c>
      <x:c r="I176" s="10" t="n">
        <x:f>WORKDAY('RESUMEN'!$D$3-1,A176,'RESUMEN'!$J$6:$J$25)</x:f>
        <x:v>46518</x:v>
      </x:c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  <x:c r="AM176" s="3"/>
      <x:c r="AN176" s="3"/>
      <x:c r="AO176" s="3"/>
    </x:row>
    <x:row r="177" ht="24" customHeight="1">
      <x:c r="A177" s="3" t="n">
        <x:v>138</x:v>
      </x:c>
      <x:c r="B177" s="35" t="n">
        <x:f>SUM(IF(AND(137&gt;='EDT Y TAREAS'!AK6,137&lt;'EDT Y TAREAS'!AL6),'EDT Y TAREAS'!AD6/'EDT Y TAREAS'!M6,0),IF(AND(137&gt;='EDT Y TAREAS'!AK7,137&lt;'EDT Y TAREAS'!AL7),'EDT Y TAREAS'!AD7/'EDT Y TAREAS'!M7,0),IF(AND(137&gt;='EDT Y TAREAS'!AK8,137&lt;'EDT Y TAREAS'!AL8),'EDT Y TAREAS'!AD8/'EDT Y TAREAS'!M8,0),IF(AND(137&gt;='EDT Y TAREAS'!AK9,137&lt;'EDT Y TAREAS'!AL9),'EDT Y TAREAS'!AD9/'EDT Y TAREAS'!M9,0),IF(AND(137&gt;='EDT Y TAREAS'!AK10,137&lt;'EDT Y TAREAS'!AL10),'EDT Y TAREAS'!AD10/'EDT Y TAREAS'!M10,0),IF(AND(137&gt;='EDT Y TAREAS'!AK11,137&lt;'EDT Y TAREAS'!AL11),'EDT Y TAREAS'!AD11/'EDT Y TAREAS'!M11,0),IF(AND(137&gt;='EDT Y TAREAS'!AK12,137&lt;'EDT Y TAREAS'!AL12),'EDT Y TAREAS'!AD12/'EDT Y TAREAS'!M12,0),IF(AND(137&gt;='EDT Y TAREAS'!AK13,137&lt;'EDT Y TAREAS'!AL13),'EDT Y TAREAS'!AD13/'EDT Y TAREAS'!M13,0),IF(AND(137&gt;='EDT Y TAREAS'!AK14,137&lt;'EDT Y TAREAS'!AL14),'EDT Y TAREAS'!AD14/'EDT Y TAREAS'!M14,0),IF(AND(137&gt;='EDT Y TAREAS'!AK15,137&lt;'EDT Y TAREAS'!AL15),'EDT Y TAREAS'!AD15/'EDT Y TAREAS'!M15,0),IF(AND(137&gt;='EDT Y TAREAS'!AK16,137&lt;'EDT Y TAREAS'!AL16),'EDT Y TAREAS'!AD16/'EDT Y TAREAS'!M16,0),IF(AND(137&gt;='EDT Y TAREAS'!AK17,137&lt;'EDT Y TAREAS'!AL17),'EDT Y TAREAS'!AD17/'EDT Y TAREAS'!M17,0),IF(AND(137&gt;='EDT Y TAREAS'!AK18,137&lt;'EDT Y TAREAS'!AL18),'EDT Y TAREAS'!AD18/'EDT Y TAREAS'!M18,0),IF(AND(137&gt;='EDT Y TAREAS'!AK19,137&lt;'EDT Y TAREAS'!AL19),'EDT Y TAREAS'!AD19/'EDT Y TAREAS'!M19,0),IF(AND(137&gt;='EDT Y TAREAS'!AK20,137&lt;'EDT Y TAREAS'!AL20),'EDT Y TAREAS'!AD20/'EDT Y TAREAS'!M20,0),IF(AND(137&gt;='EDT Y TAREAS'!AK21,137&lt;'EDT Y TAREAS'!AL21),'EDT Y TAREAS'!AD21/'EDT Y TAREAS'!M21,0),IF(AND(137&gt;='EDT Y TAREAS'!AK22,137&lt;'EDT Y TAREAS'!AL22),'EDT Y TAREAS'!AD22/'EDT Y TAREAS'!M22,0),IF(AND(137&gt;='EDT Y TAREAS'!AK23,137&lt;'EDT Y TAREAS'!AL23),'EDT Y TAREAS'!AD23/'EDT Y TAREAS'!M23,0),IF(AND(137&gt;='EDT Y TAREAS'!AK26,137&lt;'EDT Y TAREAS'!AL26),'EDT Y TAREAS'!AD26/'EDT Y TAREAS'!M26,0),IF(AND(137&gt;='EDT Y TAREAS'!AK28,137&lt;'EDT Y TAREAS'!AL28),'EDT Y TAREAS'!AD28/'EDT Y TAREAS'!M28,0),IF(AND(137&gt;='EDT Y TAREAS'!AK30,137&lt;'EDT Y TAREAS'!AL30),'EDT Y TAREAS'!AD30/'EDT Y TAREAS'!M30,0),IF(AND(137&gt;='EDT Y TAREAS'!AK32,137&lt;'EDT Y TAREAS'!AL32),'EDT Y TAREAS'!AD32/'EDT Y TAREAS'!M32,0),IF(AND(137&gt;='EDT Y TAREAS'!AK34,137&lt;'EDT Y TAREAS'!AL34),'EDT Y TAREAS'!AD34/'EDT Y TAREAS'!M34,0),IF(AND(137&gt;='EDT Y TAREAS'!AK38,137&lt;'EDT Y TAREAS'!AL38),'EDT Y TAREAS'!AD38/'EDT Y TAREAS'!M38,0),IF(AND(137&gt;='EDT Y TAREAS'!AK39,137&lt;'EDT Y TAREAS'!AL39),'EDT Y TAREAS'!AD39/'EDT Y TAREAS'!M39,0),IF(AND(137&gt;='EDT Y TAREAS'!AK43,137&lt;'EDT Y TAREAS'!AL43),'EDT Y TAREAS'!AD43/'EDT Y TAREAS'!M43,0),IF(AND(137&gt;='EDT Y TAREAS'!AK44,137&lt;'EDT Y TAREAS'!AL44),'EDT Y TAREAS'!AD44/'EDT Y TAREAS'!M44,0),IF(AND(137&gt;='EDT Y TAREAS'!AK45,137&lt;'EDT Y TAREAS'!AL45),'EDT Y TAREAS'!AD45/'EDT Y TAREAS'!M45,0),IF(AND(137&gt;='EDT Y TAREAS'!AK46,137&lt;'EDT Y TAREAS'!AL46),'EDT Y TAREAS'!AD46/'EDT Y TAREAS'!M46,0),IF(AND(137&gt;='EDT Y TAREAS'!AK47,137&lt;'EDT Y TAREAS'!AL47),'EDT Y TAREAS'!AD47/'EDT Y TAREAS'!M47,0),IF(AND(137&gt;='EDT Y TAREAS'!AK49,137&lt;'EDT Y TAREAS'!AL49),'EDT Y TAREAS'!AD49/'EDT Y TAREAS'!M49,0),IF(AND(137&gt;='EDT Y TAREAS'!AK50,137&lt;'EDT Y TAREAS'!AL50),'EDT Y TAREAS'!AD50/'EDT Y TAREAS'!M50,0),IF(AND(137&gt;='EDT Y TAREAS'!AK51,137&lt;'EDT Y TAREAS'!AL51),'EDT Y TAREAS'!AD51/'EDT Y TAREAS'!M51,0),IF(AND(137&gt;='EDT Y TAREAS'!AK52,137&lt;'EDT Y TAREAS'!AL52),'EDT Y TAREAS'!AD52/'EDT Y TAREAS'!M52,0))</x:f>
        <x:v>1.6</x:v>
      </x:c>
      <x:c r="C177" s="35" t="n">
        <x:f>SUM(IF(AND(137&gt;='EDT Y TAREAS'!AK6,137&lt;'EDT Y TAREAS'!AL6),'EDT Y TAREAS'!AE6/'EDT Y TAREAS'!M6,0),IF(AND(137&gt;='EDT Y TAREAS'!AK8,137&lt;'EDT Y TAREAS'!AL8),'EDT Y TAREAS'!AE8/'EDT Y TAREAS'!M8,0),IF(AND(137&gt;='EDT Y TAREAS'!AK9,137&lt;'EDT Y TAREAS'!AL9),'EDT Y TAREAS'!AE9/'EDT Y TAREAS'!M9,0),IF(AND(137&gt;='EDT Y TAREAS'!AK10,137&lt;'EDT Y TAREAS'!AL10),'EDT Y TAREAS'!AE10/'EDT Y TAREAS'!M10,0),IF(AND(137&gt;='EDT Y TAREAS'!AK12,137&lt;'EDT Y TAREAS'!AL12),'EDT Y TAREAS'!AE12/'EDT Y TAREAS'!M12,0),IF(AND(137&gt;='EDT Y TAREAS'!AK16,137&lt;'EDT Y TAREAS'!AL16),'EDT Y TAREAS'!AE16/'EDT Y TAREAS'!M16,0),IF(AND(137&gt;='EDT Y TAREAS'!AK21,137&lt;'EDT Y TAREAS'!AL21),'EDT Y TAREAS'!AE21/'EDT Y TAREAS'!M21,0),IF(AND(137&gt;='EDT Y TAREAS'!AK23,137&lt;'EDT Y TAREAS'!AL23),'EDT Y TAREAS'!AE23/'EDT Y TAREAS'!M23,0),IF(AND(137&gt;='EDT Y TAREAS'!AK37,137&lt;'EDT Y TAREAS'!AL37),'EDT Y TAREAS'!AE37/'EDT Y TAREAS'!M37,0),IF(AND(137&gt;='EDT Y TAREAS'!AK38,137&lt;'EDT Y TAREAS'!AL38),'EDT Y TAREAS'!AE38/'EDT Y TAREAS'!M38,0),IF(AND(137&gt;='EDT Y TAREAS'!AK41,137&lt;'EDT Y TAREAS'!AL41),'EDT Y TAREAS'!AE41/'EDT Y TAREAS'!M41,0),IF(AND(137&gt;='EDT Y TAREAS'!AK43,137&lt;'EDT Y TAREAS'!AL43),'EDT Y TAREAS'!AE43/'EDT Y TAREAS'!M43,0),IF(AND(137&gt;='EDT Y TAREAS'!AK44,137&lt;'EDT Y TAREAS'!AL44),'EDT Y TAREAS'!AE44/'EDT Y TAREAS'!M44,0),IF(AND(137&gt;='EDT Y TAREAS'!AK46,137&lt;'EDT Y TAREAS'!AL46),'EDT Y TAREAS'!AE46/'EDT Y TAREAS'!M46,0),IF(AND(137&gt;='EDT Y TAREAS'!AK47,137&lt;'EDT Y TAREAS'!AL47),'EDT Y TAREAS'!AE47/'EDT Y TAREAS'!M47,0),IF(AND(137&gt;='EDT Y TAREAS'!AK51,137&lt;'EDT Y TAREAS'!AL51),'EDT Y TAREAS'!AE51/'EDT Y TAREAS'!M51,0),IF(AND(137&gt;='EDT Y TAREAS'!AK52,137&lt;'EDT Y TAREAS'!AL52),'EDT Y TAREAS'!AE52/'EDT Y TAREAS'!M52,0))</x:f>
        <x:v>0</x:v>
      </x:c>
      <x:c r="D177" s="35" t="n">
        <x:f>SUM(IF(AND(137&gt;='EDT Y TAREAS'!AK11,137&lt;'EDT Y TAREAS'!AL11),'EDT Y TAREAS'!AF11/'EDT Y TAREAS'!M11,0),IF(AND(137&gt;='EDT Y TAREAS'!AK24,137&lt;'EDT Y TAREAS'!AL24),'EDT Y TAREAS'!AF24/'EDT Y TAREAS'!M24,0),IF(AND(137&gt;='EDT Y TAREAS'!AK25,137&lt;'EDT Y TAREAS'!AL25),'EDT Y TAREAS'!AF25/'EDT Y TAREAS'!M25,0),IF(AND(137&gt;='EDT Y TAREAS'!AK26,137&lt;'EDT Y TAREAS'!AL26),'EDT Y TAREAS'!AF26/'EDT Y TAREAS'!M26,0),IF(AND(137&gt;='EDT Y TAREAS'!AK27,137&lt;'EDT Y TAREAS'!AL27),'EDT Y TAREAS'!AF27/'EDT Y TAREAS'!M27,0),IF(AND(137&gt;='EDT Y TAREAS'!AK28,137&lt;'EDT Y TAREAS'!AL28),'EDT Y TAREAS'!AF28/'EDT Y TAREAS'!M28,0),IF(AND(137&gt;='EDT Y TAREAS'!AK31,137&lt;'EDT Y TAREAS'!AL31),'EDT Y TAREAS'!AF31/'EDT Y TAREAS'!M31,0),IF(AND(137&gt;='EDT Y TAREAS'!AK33,137&lt;'EDT Y TAREAS'!AL33),'EDT Y TAREAS'!AF33/'EDT Y TAREAS'!M33,0),IF(AND(137&gt;='EDT Y TAREAS'!AK34,137&lt;'EDT Y TAREAS'!AL34),'EDT Y TAREAS'!AF34/'EDT Y TAREAS'!M34,0),IF(AND(137&gt;='EDT Y TAREAS'!AK35,137&lt;'EDT Y TAREAS'!AL35),'EDT Y TAREAS'!AF35/'EDT Y TAREAS'!M35,0),IF(AND(137&gt;='EDT Y TAREAS'!AK37,137&lt;'EDT Y TAREAS'!AL37),'EDT Y TAREAS'!AF37/'EDT Y TAREAS'!M37,0),IF(AND(137&gt;='EDT Y TAREAS'!AK39,137&lt;'EDT Y TAREAS'!AL39),'EDT Y TAREAS'!AF39/'EDT Y TAREAS'!M39,0),IF(AND(137&gt;='EDT Y TAREAS'!AK40,137&lt;'EDT Y TAREAS'!AL40),'EDT Y TAREAS'!AF40/'EDT Y TAREAS'!M40,0),IF(AND(137&gt;='EDT Y TAREAS'!AK42,137&lt;'EDT Y TAREAS'!AL42),'EDT Y TAREAS'!AF42/'EDT Y TAREAS'!M42,0),IF(AND(137&gt;='EDT Y TAREAS'!AK45,137&lt;'EDT Y TAREAS'!AL45),'EDT Y TAREAS'!AF45/'EDT Y TAREAS'!M45,0),IF(AND(137&gt;='EDT Y TAREAS'!AK49,137&lt;'EDT Y TAREAS'!AL49),'EDT Y TAREAS'!AF49/'EDT Y TAREAS'!M49,0),IF(AND(137&gt;='EDT Y TAREAS'!AK52,137&lt;'EDT Y TAREAS'!AL52),'EDT Y TAREAS'!AF52/'EDT Y TAREAS'!M52,0))</x:f>
        <x:v>1.6</x:v>
      </x:c>
      <x:c r="E177" s="35" t="n">
        <x:f>SUM(IF(AND(137&gt;='EDT Y TAREAS'!AK29,137&lt;'EDT Y TAREAS'!AL29),'EDT Y TAREAS'!AG29/'EDT Y TAREAS'!M29,0),IF(AND(137&gt;='EDT Y TAREAS'!AK30,137&lt;'EDT Y TAREAS'!AL30),'EDT Y TAREAS'!AG30/'EDT Y TAREAS'!M30,0),IF(AND(137&gt;='EDT Y TAREAS'!AK31,137&lt;'EDT Y TAREAS'!AL31),'EDT Y TAREAS'!AG31/'EDT Y TAREAS'!M31,0),IF(AND(137&gt;='EDT Y TAREAS'!AK32,137&lt;'EDT Y TAREAS'!AL32),'EDT Y TAREAS'!AG32/'EDT Y TAREAS'!M32,0),IF(AND(137&gt;='EDT Y TAREAS'!AK41,137&lt;'EDT Y TAREAS'!AL41),'EDT Y TAREAS'!AG41/'EDT Y TAREAS'!M41,0),IF(AND(137&gt;='EDT Y TAREAS'!AK45,137&lt;'EDT Y TAREAS'!AL45),'EDT Y TAREAS'!AG45/'EDT Y TAREAS'!M45,0),IF(AND(137&gt;='EDT Y TAREAS'!AK48,137&lt;'EDT Y TAREAS'!AL48),'EDT Y TAREAS'!AG48/'EDT Y TAREAS'!M48,0))</x:f>
        <x:v>5.6</x:v>
      </x:c>
      <x:c r="F177" s="35" t="n">
        <x:f>SUM(IF(AND(137&gt;='EDT Y TAREAS'!AK10,137&lt;'EDT Y TAREAS'!AL10),'EDT Y TAREAS'!AH10/'EDT Y TAREAS'!M10,0),IF(AND(137&gt;='EDT Y TAREAS'!AK12,137&lt;'EDT Y TAREAS'!AL12),'EDT Y TAREAS'!AH12/'EDT Y TAREAS'!M12,0),IF(AND(137&gt;='EDT Y TAREAS'!AK22,137&lt;'EDT Y TAREAS'!AL22),'EDT Y TAREAS'!AH22/'EDT Y TAREAS'!M22,0),IF(AND(137&gt;='EDT Y TAREAS'!AK23,137&lt;'EDT Y TAREAS'!AL23),'EDT Y TAREAS'!AH23/'EDT Y TAREAS'!M23,0),IF(AND(137&gt;='EDT Y TAREAS'!AK29,137&lt;'EDT Y TAREAS'!AL29),'EDT Y TAREAS'!AH29/'EDT Y TAREAS'!M29,0),IF(AND(137&gt;='EDT Y TAREAS'!AK30,137&lt;'EDT Y TAREAS'!AL30),'EDT Y TAREAS'!AH30/'EDT Y TAREAS'!M30,0),IF(AND(137&gt;='EDT Y TAREAS'!AK32,137&lt;'EDT Y TAREAS'!AL32),'EDT Y TAREAS'!AH32/'EDT Y TAREAS'!M32,0),IF(AND(137&gt;='EDT Y TAREAS'!AK41,137&lt;'EDT Y TAREAS'!AL41),'EDT Y TAREAS'!AH41/'EDT Y TAREAS'!M41,0),IF(AND(137&gt;='EDT Y TAREAS'!AK44,137&lt;'EDT Y TAREAS'!AL44),'EDT Y TAREAS'!AH44/'EDT Y TAREAS'!M44,0),IF(AND(137&gt;='EDT Y TAREAS'!AK46,137&lt;'EDT Y TAREAS'!AL46),'EDT Y TAREAS'!AH46/'EDT Y TAREAS'!M46,0),IF(AND(137&gt;='EDT Y TAREAS'!AK48,137&lt;'EDT Y TAREAS'!AL48),'EDT Y TAREAS'!AH48/'EDT Y TAREAS'!M48,0))</x:f>
        <x:v>1.6</x:v>
      </x:c>
      <x:c r="G177" s="35" t="n">
        <x:f>SUM(IF(AND(137&gt;='EDT Y TAREAS'!AK20,137&lt;'EDT Y TAREAS'!AL20),'EDT Y TAREAS'!AI20/'EDT Y TAREAS'!M20,0),IF(AND(137&gt;='EDT Y TAREAS'!AK25,137&lt;'EDT Y TAREAS'!AL25),'EDT Y TAREAS'!AI25/'EDT Y TAREAS'!M25,0),IF(AND(137&gt;='EDT Y TAREAS'!AK33,137&lt;'EDT Y TAREAS'!AL33),'EDT Y TAREAS'!AI33/'EDT Y TAREAS'!M33,0),IF(AND(137&gt;='EDT Y TAREAS'!AK34,137&lt;'EDT Y TAREAS'!AL34),'EDT Y TAREAS'!AI34/'EDT Y TAREAS'!M34,0),IF(AND(137&gt;='EDT Y TAREAS'!AK36,137&lt;'EDT Y TAREAS'!AL36),'EDT Y TAREAS'!AI36/'EDT Y TAREAS'!M36,0),IF(AND(137&gt;='EDT Y TAREAS'!AK39,137&lt;'EDT Y TAREAS'!AL39),'EDT Y TAREAS'!AI39/'EDT Y TAREAS'!M39,0),IF(AND(137&gt;='EDT Y TAREAS'!AK40,137&lt;'EDT Y TAREAS'!AL40),'EDT Y TAREAS'!AI40/'EDT Y TAREAS'!M40,0),IF(AND(137&gt;='EDT Y TAREAS'!AK42,137&lt;'EDT Y TAREAS'!AL42),'EDT Y TAREAS'!AI42/'EDT Y TAREAS'!M42,0),IF(AND(137&gt;='EDT Y TAREAS'!AK43,137&lt;'EDT Y TAREAS'!AL43),'EDT Y TAREAS'!AI43/'EDT Y TAREAS'!M43,0),IF(AND(137&gt;='EDT Y TAREAS'!AK44,137&lt;'EDT Y TAREAS'!AL44),'EDT Y TAREAS'!AI44/'EDT Y TAREAS'!M44,0),IF(AND(137&gt;='EDT Y TAREAS'!AK45,137&lt;'EDT Y TAREAS'!AL45),'EDT Y TAREAS'!AI45/'EDT Y TAREAS'!M45,0),IF(AND(137&gt;='EDT Y TAREAS'!AK46,137&lt;'EDT Y TAREAS'!AL46),'EDT Y TAREAS'!AI46/'EDT Y TAREAS'!M46,0),IF(AND(137&gt;='EDT Y TAREAS'!AK48,137&lt;'EDT Y TAREAS'!AL48),'EDT Y TAREAS'!AI48/'EDT Y TAREAS'!M48,0),IF(AND(137&gt;='EDT Y TAREAS'!AK50,137&lt;'EDT Y TAREAS'!AL50),'EDT Y TAREAS'!AI50/'EDT Y TAREAS'!M50,0),IF(AND(137&gt;='EDT Y TAREAS'!AK52,137&lt;'EDT Y TAREAS'!AL52),'EDT Y TAREAS'!AI52/'EDT Y TAREAS'!M52,0))</x:f>
        <x:v>2.4</x:v>
      </x:c>
      <x:c r="H177" s="35" t="n">
        <x:f>SUM(IF(AND(137&gt;='EDT Y TAREAS'!AK11,137&lt;'EDT Y TAREAS'!AL11),'EDT Y TAREAS'!AJ11/'EDT Y TAREAS'!M11,0),IF(AND(137&gt;='EDT Y TAREAS'!AK24,137&lt;'EDT Y TAREAS'!AL24),'EDT Y TAREAS'!AJ24/'EDT Y TAREAS'!M24,0),IF(AND(137&gt;='EDT Y TAREAS'!AK27,137&lt;'EDT Y TAREAS'!AL27),'EDT Y TAREAS'!AJ27/'EDT Y TAREAS'!M27,0),IF(AND(137&gt;='EDT Y TAREAS'!AK28,137&lt;'EDT Y TAREAS'!AL28),'EDT Y TAREAS'!AJ28/'EDT Y TAREAS'!M28,0),IF(AND(137&gt;='EDT Y TAREAS'!AK33,137&lt;'EDT Y TAREAS'!AL33),'EDT Y TAREAS'!AJ33/'EDT Y TAREAS'!M33,0),IF(AND(137&gt;='EDT Y TAREAS'!AK35,137&lt;'EDT Y TAREAS'!AL35),'EDT Y TAREAS'!AJ35/'EDT Y TAREAS'!M35,0),IF(AND(137&gt;='EDT Y TAREAS'!AK36,137&lt;'EDT Y TAREAS'!AL36),'EDT Y TAREAS'!AJ36/'EDT Y TAREAS'!M36,0),IF(AND(137&gt;='EDT Y TAREAS'!AK37,137&lt;'EDT Y TAREAS'!AL37),'EDT Y TAREAS'!AJ37/'EDT Y TAREAS'!M37,0),IF(AND(137&gt;='EDT Y TAREAS'!AK40,137&lt;'EDT Y TAREAS'!AL40),'EDT Y TAREAS'!AJ40/'EDT Y TAREAS'!M40,0),IF(AND(137&gt;='EDT Y TAREAS'!AK42,137&lt;'EDT Y TAREAS'!AL42),'EDT Y TAREAS'!AJ42/'EDT Y TAREAS'!M42,0),IF(AND(137&gt;='EDT Y TAREAS'!AK49,137&lt;'EDT Y TAREAS'!AL49),'EDT Y TAREAS'!AJ49/'EDT Y TAREAS'!M49,0),IF(AND(137&gt;='EDT Y TAREAS'!AK50,137&lt;'EDT Y TAREAS'!AL50),'EDT Y TAREAS'!AJ50/'EDT Y TAREAS'!M50,0),IF(AND(137&gt;='EDT Y TAREAS'!AK51,137&lt;'EDT Y TAREAS'!AL51),'EDT Y TAREAS'!AJ51/'EDT Y TAREAS'!M51,0),IF(AND(137&gt;='EDT Y TAREAS'!AK52,137&lt;'EDT Y TAREAS'!AL52),'EDT Y TAREAS'!AJ52/'EDT Y TAREAS'!M52,0))</x:f>
        <x:v>2.4</x:v>
      </x:c>
      <x:c r="I177" s="10" t="n">
        <x:f>WORKDAY('RESUMEN'!$D$3-1,A177,'RESUMEN'!$J$6:$J$25)</x:f>
        <x:v>46519</x:v>
      </x:c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  <x:c r="AM177" s="3"/>
      <x:c r="AN177" s="3"/>
      <x:c r="AO177" s="3"/>
    </x:row>
    <x:row r="178" ht="24" customHeight="1">
      <x:c r="A178" s="3" t="n">
        <x:v>139</x:v>
      </x:c>
      <x:c r="B178" s="35" t="n">
        <x:f>SUM(IF(AND(138&gt;='EDT Y TAREAS'!AK6,138&lt;'EDT Y TAREAS'!AL6),'EDT Y TAREAS'!AD6/'EDT Y TAREAS'!M6,0),IF(AND(138&gt;='EDT Y TAREAS'!AK7,138&lt;'EDT Y TAREAS'!AL7),'EDT Y TAREAS'!AD7/'EDT Y TAREAS'!M7,0),IF(AND(138&gt;='EDT Y TAREAS'!AK8,138&lt;'EDT Y TAREAS'!AL8),'EDT Y TAREAS'!AD8/'EDT Y TAREAS'!M8,0),IF(AND(138&gt;='EDT Y TAREAS'!AK9,138&lt;'EDT Y TAREAS'!AL9),'EDT Y TAREAS'!AD9/'EDT Y TAREAS'!M9,0),IF(AND(138&gt;='EDT Y TAREAS'!AK10,138&lt;'EDT Y TAREAS'!AL10),'EDT Y TAREAS'!AD10/'EDT Y TAREAS'!M10,0),IF(AND(138&gt;='EDT Y TAREAS'!AK11,138&lt;'EDT Y TAREAS'!AL11),'EDT Y TAREAS'!AD11/'EDT Y TAREAS'!M11,0),IF(AND(138&gt;='EDT Y TAREAS'!AK12,138&lt;'EDT Y TAREAS'!AL12),'EDT Y TAREAS'!AD12/'EDT Y TAREAS'!M12,0),IF(AND(138&gt;='EDT Y TAREAS'!AK13,138&lt;'EDT Y TAREAS'!AL13),'EDT Y TAREAS'!AD13/'EDT Y TAREAS'!M13,0),IF(AND(138&gt;='EDT Y TAREAS'!AK14,138&lt;'EDT Y TAREAS'!AL14),'EDT Y TAREAS'!AD14/'EDT Y TAREAS'!M14,0),IF(AND(138&gt;='EDT Y TAREAS'!AK15,138&lt;'EDT Y TAREAS'!AL15),'EDT Y TAREAS'!AD15/'EDT Y TAREAS'!M15,0),IF(AND(138&gt;='EDT Y TAREAS'!AK16,138&lt;'EDT Y TAREAS'!AL16),'EDT Y TAREAS'!AD16/'EDT Y TAREAS'!M16,0),IF(AND(138&gt;='EDT Y TAREAS'!AK17,138&lt;'EDT Y TAREAS'!AL17),'EDT Y TAREAS'!AD17/'EDT Y TAREAS'!M17,0),IF(AND(138&gt;='EDT Y TAREAS'!AK18,138&lt;'EDT Y TAREAS'!AL18),'EDT Y TAREAS'!AD18/'EDT Y TAREAS'!M18,0),IF(AND(138&gt;='EDT Y TAREAS'!AK19,138&lt;'EDT Y TAREAS'!AL19),'EDT Y TAREAS'!AD19/'EDT Y TAREAS'!M19,0),IF(AND(138&gt;='EDT Y TAREAS'!AK20,138&lt;'EDT Y TAREAS'!AL20),'EDT Y TAREAS'!AD20/'EDT Y TAREAS'!M20,0),IF(AND(138&gt;='EDT Y TAREAS'!AK21,138&lt;'EDT Y TAREAS'!AL21),'EDT Y TAREAS'!AD21/'EDT Y TAREAS'!M21,0),IF(AND(138&gt;='EDT Y TAREAS'!AK22,138&lt;'EDT Y TAREAS'!AL22),'EDT Y TAREAS'!AD22/'EDT Y TAREAS'!M22,0),IF(AND(138&gt;='EDT Y TAREAS'!AK23,138&lt;'EDT Y TAREAS'!AL23),'EDT Y TAREAS'!AD23/'EDT Y TAREAS'!M23,0),IF(AND(138&gt;='EDT Y TAREAS'!AK26,138&lt;'EDT Y TAREAS'!AL26),'EDT Y TAREAS'!AD26/'EDT Y TAREAS'!M26,0),IF(AND(138&gt;='EDT Y TAREAS'!AK28,138&lt;'EDT Y TAREAS'!AL28),'EDT Y TAREAS'!AD28/'EDT Y TAREAS'!M28,0),IF(AND(138&gt;='EDT Y TAREAS'!AK30,138&lt;'EDT Y TAREAS'!AL30),'EDT Y TAREAS'!AD30/'EDT Y TAREAS'!M30,0),IF(AND(138&gt;='EDT Y TAREAS'!AK32,138&lt;'EDT Y TAREAS'!AL32),'EDT Y TAREAS'!AD32/'EDT Y TAREAS'!M32,0),IF(AND(138&gt;='EDT Y TAREAS'!AK34,138&lt;'EDT Y TAREAS'!AL34),'EDT Y TAREAS'!AD34/'EDT Y TAREAS'!M34,0),IF(AND(138&gt;='EDT Y TAREAS'!AK38,138&lt;'EDT Y TAREAS'!AL38),'EDT Y TAREAS'!AD38/'EDT Y TAREAS'!M38,0),IF(AND(138&gt;='EDT Y TAREAS'!AK39,138&lt;'EDT Y TAREAS'!AL39),'EDT Y TAREAS'!AD39/'EDT Y TAREAS'!M39,0),IF(AND(138&gt;='EDT Y TAREAS'!AK43,138&lt;'EDT Y TAREAS'!AL43),'EDT Y TAREAS'!AD43/'EDT Y TAREAS'!M43,0),IF(AND(138&gt;='EDT Y TAREAS'!AK44,138&lt;'EDT Y TAREAS'!AL44),'EDT Y TAREAS'!AD44/'EDT Y TAREAS'!M44,0),IF(AND(138&gt;='EDT Y TAREAS'!AK45,138&lt;'EDT Y TAREAS'!AL45),'EDT Y TAREAS'!AD45/'EDT Y TAREAS'!M45,0),IF(AND(138&gt;='EDT Y TAREAS'!AK46,138&lt;'EDT Y TAREAS'!AL46),'EDT Y TAREAS'!AD46/'EDT Y TAREAS'!M46,0),IF(AND(138&gt;='EDT Y TAREAS'!AK47,138&lt;'EDT Y TAREAS'!AL47),'EDT Y TAREAS'!AD47/'EDT Y TAREAS'!M47,0),IF(AND(138&gt;='EDT Y TAREAS'!AK49,138&lt;'EDT Y TAREAS'!AL49),'EDT Y TAREAS'!AD49/'EDT Y TAREAS'!M49,0),IF(AND(138&gt;='EDT Y TAREAS'!AK50,138&lt;'EDT Y TAREAS'!AL50),'EDT Y TAREAS'!AD50/'EDT Y TAREAS'!M50,0),IF(AND(138&gt;='EDT Y TAREAS'!AK51,138&lt;'EDT Y TAREAS'!AL51),'EDT Y TAREAS'!AD51/'EDT Y TAREAS'!M51,0),IF(AND(138&gt;='EDT Y TAREAS'!AK52,138&lt;'EDT Y TAREAS'!AL52),'EDT Y TAREAS'!AD52/'EDT Y TAREAS'!M52,0))</x:f>
        <x:v>1.6</x:v>
      </x:c>
      <x:c r="C178" s="35" t="n">
        <x:f>SUM(IF(AND(138&gt;='EDT Y TAREAS'!AK6,138&lt;'EDT Y TAREAS'!AL6),'EDT Y TAREAS'!AE6/'EDT Y TAREAS'!M6,0),IF(AND(138&gt;='EDT Y TAREAS'!AK8,138&lt;'EDT Y TAREAS'!AL8),'EDT Y TAREAS'!AE8/'EDT Y TAREAS'!M8,0),IF(AND(138&gt;='EDT Y TAREAS'!AK9,138&lt;'EDT Y TAREAS'!AL9),'EDT Y TAREAS'!AE9/'EDT Y TAREAS'!M9,0),IF(AND(138&gt;='EDT Y TAREAS'!AK10,138&lt;'EDT Y TAREAS'!AL10),'EDT Y TAREAS'!AE10/'EDT Y TAREAS'!M10,0),IF(AND(138&gt;='EDT Y TAREAS'!AK12,138&lt;'EDT Y TAREAS'!AL12),'EDT Y TAREAS'!AE12/'EDT Y TAREAS'!M12,0),IF(AND(138&gt;='EDT Y TAREAS'!AK16,138&lt;'EDT Y TAREAS'!AL16),'EDT Y TAREAS'!AE16/'EDT Y TAREAS'!M16,0),IF(AND(138&gt;='EDT Y TAREAS'!AK21,138&lt;'EDT Y TAREAS'!AL21),'EDT Y TAREAS'!AE21/'EDT Y TAREAS'!M21,0),IF(AND(138&gt;='EDT Y TAREAS'!AK23,138&lt;'EDT Y TAREAS'!AL23),'EDT Y TAREAS'!AE23/'EDT Y TAREAS'!M23,0),IF(AND(138&gt;='EDT Y TAREAS'!AK37,138&lt;'EDT Y TAREAS'!AL37),'EDT Y TAREAS'!AE37/'EDT Y TAREAS'!M37,0),IF(AND(138&gt;='EDT Y TAREAS'!AK38,138&lt;'EDT Y TAREAS'!AL38),'EDT Y TAREAS'!AE38/'EDT Y TAREAS'!M38,0),IF(AND(138&gt;='EDT Y TAREAS'!AK41,138&lt;'EDT Y TAREAS'!AL41),'EDT Y TAREAS'!AE41/'EDT Y TAREAS'!M41,0),IF(AND(138&gt;='EDT Y TAREAS'!AK43,138&lt;'EDT Y TAREAS'!AL43),'EDT Y TAREAS'!AE43/'EDT Y TAREAS'!M43,0),IF(AND(138&gt;='EDT Y TAREAS'!AK44,138&lt;'EDT Y TAREAS'!AL44),'EDT Y TAREAS'!AE44/'EDT Y TAREAS'!M44,0),IF(AND(138&gt;='EDT Y TAREAS'!AK46,138&lt;'EDT Y TAREAS'!AL46),'EDT Y TAREAS'!AE46/'EDT Y TAREAS'!M46,0),IF(AND(138&gt;='EDT Y TAREAS'!AK47,138&lt;'EDT Y TAREAS'!AL47),'EDT Y TAREAS'!AE47/'EDT Y TAREAS'!M47,0),IF(AND(138&gt;='EDT Y TAREAS'!AK51,138&lt;'EDT Y TAREAS'!AL51),'EDT Y TAREAS'!AE51/'EDT Y TAREAS'!M51,0),IF(AND(138&gt;='EDT Y TAREAS'!AK52,138&lt;'EDT Y TAREAS'!AL52),'EDT Y TAREAS'!AE52/'EDT Y TAREAS'!M52,0))</x:f>
        <x:v>0</x:v>
      </x:c>
      <x:c r="D178" s="35" t="n">
        <x:f>SUM(IF(AND(138&gt;='EDT Y TAREAS'!AK11,138&lt;'EDT Y TAREAS'!AL11),'EDT Y TAREAS'!AF11/'EDT Y TAREAS'!M11,0),IF(AND(138&gt;='EDT Y TAREAS'!AK24,138&lt;'EDT Y TAREAS'!AL24),'EDT Y TAREAS'!AF24/'EDT Y TAREAS'!M24,0),IF(AND(138&gt;='EDT Y TAREAS'!AK25,138&lt;'EDT Y TAREAS'!AL25),'EDT Y TAREAS'!AF25/'EDT Y TAREAS'!M25,0),IF(AND(138&gt;='EDT Y TAREAS'!AK26,138&lt;'EDT Y TAREAS'!AL26),'EDT Y TAREAS'!AF26/'EDT Y TAREAS'!M26,0),IF(AND(138&gt;='EDT Y TAREAS'!AK27,138&lt;'EDT Y TAREAS'!AL27),'EDT Y TAREAS'!AF27/'EDT Y TAREAS'!M27,0),IF(AND(138&gt;='EDT Y TAREAS'!AK28,138&lt;'EDT Y TAREAS'!AL28),'EDT Y TAREAS'!AF28/'EDT Y TAREAS'!M28,0),IF(AND(138&gt;='EDT Y TAREAS'!AK31,138&lt;'EDT Y TAREAS'!AL31),'EDT Y TAREAS'!AF31/'EDT Y TAREAS'!M31,0),IF(AND(138&gt;='EDT Y TAREAS'!AK33,138&lt;'EDT Y TAREAS'!AL33),'EDT Y TAREAS'!AF33/'EDT Y TAREAS'!M33,0),IF(AND(138&gt;='EDT Y TAREAS'!AK34,138&lt;'EDT Y TAREAS'!AL34),'EDT Y TAREAS'!AF34/'EDT Y TAREAS'!M34,0),IF(AND(138&gt;='EDT Y TAREAS'!AK35,138&lt;'EDT Y TAREAS'!AL35),'EDT Y TAREAS'!AF35/'EDT Y TAREAS'!M35,0),IF(AND(138&gt;='EDT Y TAREAS'!AK37,138&lt;'EDT Y TAREAS'!AL37),'EDT Y TAREAS'!AF37/'EDT Y TAREAS'!M37,0),IF(AND(138&gt;='EDT Y TAREAS'!AK39,138&lt;'EDT Y TAREAS'!AL39),'EDT Y TAREAS'!AF39/'EDT Y TAREAS'!M39,0),IF(AND(138&gt;='EDT Y TAREAS'!AK40,138&lt;'EDT Y TAREAS'!AL40),'EDT Y TAREAS'!AF40/'EDT Y TAREAS'!M40,0),IF(AND(138&gt;='EDT Y TAREAS'!AK42,138&lt;'EDT Y TAREAS'!AL42),'EDT Y TAREAS'!AF42/'EDT Y TAREAS'!M42,0),IF(AND(138&gt;='EDT Y TAREAS'!AK45,138&lt;'EDT Y TAREAS'!AL45),'EDT Y TAREAS'!AF45/'EDT Y TAREAS'!M45,0),IF(AND(138&gt;='EDT Y TAREAS'!AK49,138&lt;'EDT Y TAREAS'!AL49),'EDT Y TAREAS'!AF49/'EDT Y TAREAS'!M49,0),IF(AND(138&gt;='EDT Y TAREAS'!AK52,138&lt;'EDT Y TAREAS'!AL52),'EDT Y TAREAS'!AF52/'EDT Y TAREAS'!M52,0))</x:f>
        <x:v>1.6</x:v>
      </x:c>
      <x:c r="E178" s="35" t="n">
        <x:f>SUM(IF(AND(138&gt;='EDT Y TAREAS'!AK29,138&lt;'EDT Y TAREAS'!AL29),'EDT Y TAREAS'!AG29/'EDT Y TAREAS'!M29,0),IF(AND(138&gt;='EDT Y TAREAS'!AK30,138&lt;'EDT Y TAREAS'!AL30),'EDT Y TAREAS'!AG30/'EDT Y TAREAS'!M30,0),IF(AND(138&gt;='EDT Y TAREAS'!AK31,138&lt;'EDT Y TAREAS'!AL31),'EDT Y TAREAS'!AG31/'EDT Y TAREAS'!M31,0),IF(AND(138&gt;='EDT Y TAREAS'!AK32,138&lt;'EDT Y TAREAS'!AL32),'EDT Y TAREAS'!AG32/'EDT Y TAREAS'!M32,0),IF(AND(138&gt;='EDT Y TAREAS'!AK41,138&lt;'EDT Y TAREAS'!AL41),'EDT Y TAREAS'!AG41/'EDT Y TAREAS'!M41,0),IF(AND(138&gt;='EDT Y TAREAS'!AK45,138&lt;'EDT Y TAREAS'!AL45),'EDT Y TAREAS'!AG45/'EDT Y TAREAS'!M45,0),IF(AND(138&gt;='EDT Y TAREAS'!AK48,138&lt;'EDT Y TAREAS'!AL48),'EDT Y TAREAS'!AG48/'EDT Y TAREAS'!M48,0))</x:f>
        <x:v>5.6</x:v>
      </x:c>
      <x:c r="F178" s="35" t="n">
        <x:f>SUM(IF(AND(138&gt;='EDT Y TAREAS'!AK10,138&lt;'EDT Y TAREAS'!AL10),'EDT Y TAREAS'!AH10/'EDT Y TAREAS'!M10,0),IF(AND(138&gt;='EDT Y TAREAS'!AK12,138&lt;'EDT Y TAREAS'!AL12),'EDT Y TAREAS'!AH12/'EDT Y TAREAS'!M12,0),IF(AND(138&gt;='EDT Y TAREAS'!AK22,138&lt;'EDT Y TAREAS'!AL22),'EDT Y TAREAS'!AH22/'EDT Y TAREAS'!M22,0),IF(AND(138&gt;='EDT Y TAREAS'!AK23,138&lt;'EDT Y TAREAS'!AL23),'EDT Y TAREAS'!AH23/'EDT Y TAREAS'!M23,0),IF(AND(138&gt;='EDT Y TAREAS'!AK29,138&lt;'EDT Y TAREAS'!AL29),'EDT Y TAREAS'!AH29/'EDT Y TAREAS'!M29,0),IF(AND(138&gt;='EDT Y TAREAS'!AK30,138&lt;'EDT Y TAREAS'!AL30),'EDT Y TAREAS'!AH30/'EDT Y TAREAS'!M30,0),IF(AND(138&gt;='EDT Y TAREAS'!AK32,138&lt;'EDT Y TAREAS'!AL32),'EDT Y TAREAS'!AH32/'EDT Y TAREAS'!M32,0),IF(AND(138&gt;='EDT Y TAREAS'!AK41,138&lt;'EDT Y TAREAS'!AL41),'EDT Y TAREAS'!AH41/'EDT Y TAREAS'!M41,0),IF(AND(138&gt;='EDT Y TAREAS'!AK44,138&lt;'EDT Y TAREAS'!AL44),'EDT Y TAREAS'!AH44/'EDT Y TAREAS'!M44,0),IF(AND(138&gt;='EDT Y TAREAS'!AK46,138&lt;'EDT Y TAREAS'!AL46),'EDT Y TAREAS'!AH46/'EDT Y TAREAS'!M46,0),IF(AND(138&gt;='EDT Y TAREAS'!AK48,138&lt;'EDT Y TAREAS'!AL48),'EDT Y TAREAS'!AH48/'EDT Y TAREAS'!M48,0))</x:f>
        <x:v>1.6</x:v>
      </x:c>
      <x:c r="G178" s="35" t="n">
        <x:f>SUM(IF(AND(138&gt;='EDT Y TAREAS'!AK20,138&lt;'EDT Y TAREAS'!AL20),'EDT Y TAREAS'!AI20/'EDT Y TAREAS'!M20,0),IF(AND(138&gt;='EDT Y TAREAS'!AK25,138&lt;'EDT Y TAREAS'!AL25),'EDT Y TAREAS'!AI25/'EDT Y TAREAS'!M25,0),IF(AND(138&gt;='EDT Y TAREAS'!AK33,138&lt;'EDT Y TAREAS'!AL33),'EDT Y TAREAS'!AI33/'EDT Y TAREAS'!M33,0),IF(AND(138&gt;='EDT Y TAREAS'!AK34,138&lt;'EDT Y TAREAS'!AL34),'EDT Y TAREAS'!AI34/'EDT Y TAREAS'!M34,0),IF(AND(138&gt;='EDT Y TAREAS'!AK36,138&lt;'EDT Y TAREAS'!AL36),'EDT Y TAREAS'!AI36/'EDT Y TAREAS'!M36,0),IF(AND(138&gt;='EDT Y TAREAS'!AK39,138&lt;'EDT Y TAREAS'!AL39),'EDT Y TAREAS'!AI39/'EDT Y TAREAS'!M39,0),IF(AND(138&gt;='EDT Y TAREAS'!AK40,138&lt;'EDT Y TAREAS'!AL40),'EDT Y TAREAS'!AI40/'EDT Y TAREAS'!M40,0),IF(AND(138&gt;='EDT Y TAREAS'!AK42,138&lt;'EDT Y TAREAS'!AL42),'EDT Y TAREAS'!AI42/'EDT Y TAREAS'!M42,0),IF(AND(138&gt;='EDT Y TAREAS'!AK43,138&lt;'EDT Y TAREAS'!AL43),'EDT Y TAREAS'!AI43/'EDT Y TAREAS'!M43,0),IF(AND(138&gt;='EDT Y TAREAS'!AK44,138&lt;'EDT Y TAREAS'!AL44),'EDT Y TAREAS'!AI44/'EDT Y TAREAS'!M44,0),IF(AND(138&gt;='EDT Y TAREAS'!AK45,138&lt;'EDT Y TAREAS'!AL45),'EDT Y TAREAS'!AI45/'EDT Y TAREAS'!M45,0),IF(AND(138&gt;='EDT Y TAREAS'!AK46,138&lt;'EDT Y TAREAS'!AL46),'EDT Y TAREAS'!AI46/'EDT Y TAREAS'!M46,0),IF(AND(138&gt;='EDT Y TAREAS'!AK48,138&lt;'EDT Y TAREAS'!AL48),'EDT Y TAREAS'!AI48/'EDT Y TAREAS'!M48,0),IF(AND(138&gt;='EDT Y TAREAS'!AK50,138&lt;'EDT Y TAREAS'!AL50),'EDT Y TAREAS'!AI50/'EDT Y TAREAS'!M50,0),IF(AND(138&gt;='EDT Y TAREAS'!AK52,138&lt;'EDT Y TAREAS'!AL52),'EDT Y TAREAS'!AI52/'EDT Y TAREAS'!M52,0))</x:f>
        <x:v>2.4</x:v>
      </x:c>
      <x:c r="H178" s="35" t="n">
        <x:f>SUM(IF(AND(138&gt;='EDT Y TAREAS'!AK11,138&lt;'EDT Y TAREAS'!AL11),'EDT Y TAREAS'!AJ11/'EDT Y TAREAS'!M11,0),IF(AND(138&gt;='EDT Y TAREAS'!AK24,138&lt;'EDT Y TAREAS'!AL24),'EDT Y TAREAS'!AJ24/'EDT Y TAREAS'!M24,0),IF(AND(138&gt;='EDT Y TAREAS'!AK27,138&lt;'EDT Y TAREAS'!AL27),'EDT Y TAREAS'!AJ27/'EDT Y TAREAS'!M27,0),IF(AND(138&gt;='EDT Y TAREAS'!AK28,138&lt;'EDT Y TAREAS'!AL28),'EDT Y TAREAS'!AJ28/'EDT Y TAREAS'!M28,0),IF(AND(138&gt;='EDT Y TAREAS'!AK33,138&lt;'EDT Y TAREAS'!AL33),'EDT Y TAREAS'!AJ33/'EDT Y TAREAS'!M33,0),IF(AND(138&gt;='EDT Y TAREAS'!AK35,138&lt;'EDT Y TAREAS'!AL35),'EDT Y TAREAS'!AJ35/'EDT Y TAREAS'!M35,0),IF(AND(138&gt;='EDT Y TAREAS'!AK36,138&lt;'EDT Y TAREAS'!AL36),'EDT Y TAREAS'!AJ36/'EDT Y TAREAS'!M36,0),IF(AND(138&gt;='EDT Y TAREAS'!AK37,138&lt;'EDT Y TAREAS'!AL37),'EDT Y TAREAS'!AJ37/'EDT Y TAREAS'!M37,0),IF(AND(138&gt;='EDT Y TAREAS'!AK40,138&lt;'EDT Y TAREAS'!AL40),'EDT Y TAREAS'!AJ40/'EDT Y TAREAS'!M40,0),IF(AND(138&gt;='EDT Y TAREAS'!AK42,138&lt;'EDT Y TAREAS'!AL42),'EDT Y TAREAS'!AJ42/'EDT Y TAREAS'!M42,0),IF(AND(138&gt;='EDT Y TAREAS'!AK49,138&lt;'EDT Y TAREAS'!AL49),'EDT Y TAREAS'!AJ49/'EDT Y TAREAS'!M49,0),IF(AND(138&gt;='EDT Y TAREAS'!AK50,138&lt;'EDT Y TAREAS'!AL50),'EDT Y TAREAS'!AJ50/'EDT Y TAREAS'!M50,0),IF(AND(138&gt;='EDT Y TAREAS'!AK51,138&lt;'EDT Y TAREAS'!AL51),'EDT Y TAREAS'!AJ51/'EDT Y TAREAS'!M51,0),IF(AND(138&gt;='EDT Y TAREAS'!AK52,138&lt;'EDT Y TAREAS'!AL52),'EDT Y TAREAS'!AJ52/'EDT Y TAREAS'!M52,0))</x:f>
        <x:v>2.4</x:v>
      </x:c>
      <x:c r="I178" s="10" t="n">
        <x:f>WORKDAY('RESUMEN'!$D$3-1,A178,'RESUMEN'!$J$6:$J$25)</x:f>
        <x:v>46520</x:v>
      </x:c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  <x:c r="AL178" s="3"/>
      <x:c r="AM178" s="3"/>
      <x:c r="AN178" s="3"/>
      <x:c r="AO178" s="3"/>
    </x:row>
    <x:row r="179" ht="24" customHeight="1">
      <x:c r="A179" s="3" t="n">
        <x:v>140</x:v>
      </x:c>
      <x:c r="B179" s="35" t="n">
        <x:f>SUM(IF(AND(139&gt;='EDT Y TAREAS'!AK6,139&lt;'EDT Y TAREAS'!AL6),'EDT Y TAREAS'!AD6/'EDT Y TAREAS'!M6,0),IF(AND(139&gt;='EDT Y TAREAS'!AK7,139&lt;'EDT Y TAREAS'!AL7),'EDT Y TAREAS'!AD7/'EDT Y TAREAS'!M7,0),IF(AND(139&gt;='EDT Y TAREAS'!AK8,139&lt;'EDT Y TAREAS'!AL8),'EDT Y TAREAS'!AD8/'EDT Y TAREAS'!M8,0),IF(AND(139&gt;='EDT Y TAREAS'!AK9,139&lt;'EDT Y TAREAS'!AL9),'EDT Y TAREAS'!AD9/'EDT Y TAREAS'!M9,0),IF(AND(139&gt;='EDT Y TAREAS'!AK10,139&lt;'EDT Y TAREAS'!AL10),'EDT Y TAREAS'!AD10/'EDT Y TAREAS'!M10,0),IF(AND(139&gt;='EDT Y TAREAS'!AK11,139&lt;'EDT Y TAREAS'!AL11),'EDT Y TAREAS'!AD11/'EDT Y TAREAS'!M11,0),IF(AND(139&gt;='EDT Y TAREAS'!AK12,139&lt;'EDT Y TAREAS'!AL12),'EDT Y TAREAS'!AD12/'EDT Y TAREAS'!M12,0),IF(AND(139&gt;='EDT Y TAREAS'!AK13,139&lt;'EDT Y TAREAS'!AL13),'EDT Y TAREAS'!AD13/'EDT Y TAREAS'!M13,0),IF(AND(139&gt;='EDT Y TAREAS'!AK14,139&lt;'EDT Y TAREAS'!AL14),'EDT Y TAREAS'!AD14/'EDT Y TAREAS'!M14,0),IF(AND(139&gt;='EDT Y TAREAS'!AK15,139&lt;'EDT Y TAREAS'!AL15),'EDT Y TAREAS'!AD15/'EDT Y TAREAS'!M15,0),IF(AND(139&gt;='EDT Y TAREAS'!AK16,139&lt;'EDT Y TAREAS'!AL16),'EDT Y TAREAS'!AD16/'EDT Y TAREAS'!M16,0),IF(AND(139&gt;='EDT Y TAREAS'!AK17,139&lt;'EDT Y TAREAS'!AL17),'EDT Y TAREAS'!AD17/'EDT Y TAREAS'!M17,0),IF(AND(139&gt;='EDT Y TAREAS'!AK18,139&lt;'EDT Y TAREAS'!AL18),'EDT Y TAREAS'!AD18/'EDT Y TAREAS'!M18,0),IF(AND(139&gt;='EDT Y TAREAS'!AK19,139&lt;'EDT Y TAREAS'!AL19),'EDT Y TAREAS'!AD19/'EDT Y TAREAS'!M19,0),IF(AND(139&gt;='EDT Y TAREAS'!AK20,139&lt;'EDT Y TAREAS'!AL20),'EDT Y TAREAS'!AD20/'EDT Y TAREAS'!M20,0),IF(AND(139&gt;='EDT Y TAREAS'!AK21,139&lt;'EDT Y TAREAS'!AL21),'EDT Y TAREAS'!AD21/'EDT Y TAREAS'!M21,0),IF(AND(139&gt;='EDT Y TAREAS'!AK22,139&lt;'EDT Y TAREAS'!AL22),'EDT Y TAREAS'!AD22/'EDT Y TAREAS'!M22,0),IF(AND(139&gt;='EDT Y TAREAS'!AK23,139&lt;'EDT Y TAREAS'!AL23),'EDT Y TAREAS'!AD23/'EDT Y TAREAS'!M23,0),IF(AND(139&gt;='EDT Y TAREAS'!AK26,139&lt;'EDT Y TAREAS'!AL26),'EDT Y TAREAS'!AD26/'EDT Y TAREAS'!M26,0),IF(AND(139&gt;='EDT Y TAREAS'!AK28,139&lt;'EDT Y TAREAS'!AL28),'EDT Y TAREAS'!AD28/'EDT Y TAREAS'!M28,0),IF(AND(139&gt;='EDT Y TAREAS'!AK30,139&lt;'EDT Y TAREAS'!AL30),'EDT Y TAREAS'!AD30/'EDT Y TAREAS'!M30,0),IF(AND(139&gt;='EDT Y TAREAS'!AK32,139&lt;'EDT Y TAREAS'!AL32),'EDT Y TAREAS'!AD32/'EDT Y TAREAS'!M32,0),IF(AND(139&gt;='EDT Y TAREAS'!AK34,139&lt;'EDT Y TAREAS'!AL34),'EDT Y TAREAS'!AD34/'EDT Y TAREAS'!M34,0),IF(AND(139&gt;='EDT Y TAREAS'!AK38,139&lt;'EDT Y TAREAS'!AL38),'EDT Y TAREAS'!AD38/'EDT Y TAREAS'!M38,0),IF(AND(139&gt;='EDT Y TAREAS'!AK39,139&lt;'EDT Y TAREAS'!AL39),'EDT Y TAREAS'!AD39/'EDT Y TAREAS'!M39,0),IF(AND(139&gt;='EDT Y TAREAS'!AK43,139&lt;'EDT Y TAREAS'!AL43),'EDT Y TAREAS'!AD43/'EDT Y TAREAS'!M43,0),IF(AND(139&gt;='EDT Y TAREAS'!AK44,139&lt;'EDT Y TAREAS'!AL44),'EDT Y TAREAS'!AD44/'EDT Y TAREAS'!M44,0),IF(AND(139&gt;='EDT Y TAREAS'!AK45,139&lt;'EDT Y TAREAS'!AL45),'EDT Y TAREAS'!AD45/'EDT Y TAREAS'!M45,0),IF(AND(139&gt;='EDT Y TAREAS'!AK46,139&lt;'EDT Y TAREAS'!AL46),'EDT Y TAREAS'!AD46/'EDT Y TAREAS'!M46,0),IF(AND(139&gt;='EDT Y TAREAS'!AK47,139&lt;'EDT Y TAREAS'!AL47),'EDT Y TAREAS'!AD47/'EDT Y TAREAS'!M47,0),IF(AND(139&gt;='EDT Y TAREAS'!AK49,139&lt;'EDT Y TAREAS'!AL49),'EDT Y TAREAS'!AD49/'EDT Y TAREAS'!M49,0),IF(AND(139&gt;='EDT Y TAREAS'!AK50,139&lt;'EDT Y TAREAS'!AL50),'EDT Y TAREAS'!AD50/'EDT Y TAREAS'!M50,0),IF(AND(139&gt;='EDT Y TAREAS'!AK51,139&lt;'EDT Y TAREAS'!AL51),'EDT Y TAREAS'!AD51/'EDT Y TAREAS'!M51,0),IF(AND(139&gt;='EDT Y TAREAS'!AK52,139&lt;'EDT Y TAREAS'!AL52),'EDT Y TAREAS'!AD52/'EDT Y TAREAS'!M52,0))</x:f>
        <x:v>1.6</x:v>
      </x:c>
      <x:c r="C179" s="35" t="n">
        <x:f>SUM(IF(AND(139&gt;='EDT Y TAREAS'!AK6,139&lt;'EDT Y TAREAS'!AL6),'EDT Y TAREAS'!AE6/'EDT Y TAREAS'!M6,0),IF(AND(139&gt;='EDT Y TAREAS'!AK8,139&lt;'EDT Y TAREAS'!AL8),'EDT Y TAREAS'!AE8/'EDT Y TAREAS'!M8,0),IF(AND(139&gt;='EDT Y TAREAS'!AK9,139&lt;'EDT Y TAREAS'!AL9),'EDT Y TAREAS'!AE9/'EDT Y TAREAS'!M9,0),IF(AND(139&gt;='EDT Y TAREAS'!AK10,139&lt;'EDT Y TAREAS'!AL10),'EDT Y TAREAS'!AE10/'EDT Y TAREAS'!M10,0),IF(AND(139&gt;='EDT Y TAREAS'!AK12,139&lt;'EDT Y TAREAS'!AL12),'EDT Y TAREAS'!AE12/'EDT Y TAREAS'!M12,0),IF(AND(139&gt;='EDT Y TAREAS'!AK16,139&lt;'EDT Y TAREAS'!AL16),'EDT Y TAREAS'!AE16/'EDT Y TAREAS'!M16,0),IF(AND(139&gt;='EDT Y TAREAS'!AK21,139&lt;'EDT Y TAREAS'!AL21),'EDT Y TAREAS'!AE21/'EDT Y TAREAS'!M21,0),IF(AND(139&gt;='EDT Y TAREAS'!AK23,139&lt;'EDT Y TAREAS'!AL23),'EDT Y TAREAS'!AE23/'EDT Y TAREAS'!M23,0),IF(AND(139&gt;='EDT Y TAREAS'!AK37,139&lt;'EDT Y TAREAS'!AL37),'EDT Y TAREAS'!AE37/'EDT Y TAREAS'!M37,0),IF(AND(139&gt;='EDT Y TAREAS'!AK38,139&lt;'EDT Y TAREAS'!AL38),'EDT Y TAREAS'!AE38/'EDT Y TAREAS'!M38,0),IF(AND(139&gt;='EDT Y TAREAS'!AK41,139&lt;'EDT Y TAREAS'!AL41),'EDT Y TAREAS'!AE41/'EDT Y TAREAS'!M41,0),IF(AND(139&gt;='EDT Y TAREAS'!AK43,139&lt;'EDT Y TAREAS'!AL43),'EDT Y TAREAS'!AE43/'EDT Y TAREAS'!M43,0),IF(AND(139&gt;='EDT Y TAREAS'!AK44,139&lt;'EDT Y TAREAS'!AL44),'EDT Y TAREAS'!AE44/'EDT Y TAREAS'!M44,0),IF(AND(139&gt;='EDT Y TAREAS'!AK46,139&lt;'EDT Y TAREAS'!AL46),'EDT Y TAREAS'!AE46/'EDT Y TAREAS'!M46,0),IF(AND(139&gt;='EDT Y TAREAS'!AK47,139&lt;'EDT Y TAREAS'!AL47),'EDT Y TAREAS'!AE47/'EDT Y TAREAS'!M47,0),IF(AND(139&gt;='EDT Y TAREAS'!AK51,139&lt;'EDT Y TAREAS'!AL51),'EDT Y TAREAS'!AE51/'EDT Y TAREAS'!M51,0),IF(AND(139&gt;='EDT Y TAREAS'!AK52,139&lt;'EDT Y TAREAS'!AL52),'EDT Y TAREAS'!AE52/'EDT Y TAREAS'!M52,0))</x:f>
        <x:v>0</x:v>
      </x:c>
      <x:c r="D179" s="35" t="n">
        <x:f>SUM(IF(AND(139&gt;='EDT Y TAREAS'!AK11,139&lt;'EDT Y TAREAS'!AL11),'EDT Y TAREAS'!AF11/'EDT Y TAREAS'!M11,0),IF(AND(139&gt;='EDT Y TAREAS'!AK24,139&lt;'EDT Y TAREAS'!AL24),'EDT Y TAREAS'!AF24/'EDT Y TAREAS'!M24,0),IF(AND(139&gt;='EDT Y TAREAS'!AK25,139&lt;'EDT Y TAREAS'!AL25),'EDT Y TAREAS'!AF25/'EDT Y TAREAS'!M25,0),IF(AND(139&gt;='EDT Y TAREAS'!AK26,139&lt;'EDT Y TAREAS'!AL26),'EDT Y TAREAS'!AF26/'EDT Y TAREAS'!M26,0),IF(AND(139&gt;='EDT Y TAREAS'!AK27,139&lt;'EDT Y TAREAS'!AL27),'EDT Y TAREAS'!AF27/'EDT Y TAREAS'!M27,0),IF(AND(139&gt;='EDT Y TAREAS'!AK28,139&lt;'EDT Y TAREAS'!AL28),'EDT Y TAREAS'!AF28/'EDT Y TAREAS'!M28,0),IF(AND(139&gt;='EDT Y TAREAS'!AK31,139&lt;'EDT Y TAREAS'!AL31),'EDT Y TAREAS'!AF31/'EDT Y TAREAS'!M31,0),IF(AND(139&gt;='EDT Y TAREAS'!AK33,139&lt;'EDT Y TAREAS'!AL33),'EDT Y TAREAS'!AF33/'EDT Y TAREAS'!M33,0),IF(AND(139&gt;='EDT Y TAREAS'!AK34,139&lt;'EDT Y TAREAS'!AL34),'EDT Y TAREAS'!AF34/'EDT Y TAREAS'!M34,0),IF(AND(139&gt;='EDT Y TAREAS'!AK35,139&lt;'EDT Y TAREAS'!AL35),'EDT Y TAREAS'!AF35/'EDT Y TAREAS'!M35,0),IF(AND(139&gt;='EDT Y TAREAS'!AK37,139&lt;'EDT Y TAREAS'!AL37),'EDT Y TAREAS'!AF37/'EDT Y TAREAS'!M37,0),IF(AND(139&gt;='EDT Y TAREAS'!AK39,139&lt;'EDT Y TAREAS'!AL39),'EDT Y TAREAS'!AF39/'EDT Y TAREAS'!M39,0),IF(AND(139&gt;='EDT Y TAREAS'!AK40,139&lt;'EDT Y TAREAS'!AL40),'EDT Y TAREAS'!AF40/'EDT Y TAREAS'!M40,0),IF(AND(139&gt;='EDT Y TAREAS'!AK42,139&lt;'EDT Y TAREAS'!AL42),'EDT Y TAREAS'!AF42/'EDT Y TAREAS'!M42,0),IF(AND(139&gt;='EDT Y TAREAS'!AK45,139&lt;'EDT Y TAREAS'!AL45),'EDT Y TAREAS'!AF45/'EDT Y TAREAS'!M45,0),IF(AND(139&gt;='EDT Y TAREAS'!AK49,139&lt;'EDT Y TAREAS'!AL49),'EDT Y TAREAS'!AF49/'EDT Y TAREAS'!M49,0),IF(AND(139&gt;='EDT Y TAREAS'!AK52,139&lt;'EDT Y TAREAS'!AL52),'EDT Y TAREAS'!AF52/'EDT Y TAREAS'!M52,0))</x:f>
        <x:v>1.6</x:v>
      </x:c>
      <x:c r="E179" s="35" t="n">
        <x:f>SUM(IF(AND(139&gt;='EDT Y TAREAS'!AK29,139&lt;'EDT Y TAREAS'!AL29),'EDT Y TAREAS'!AG29/'EDT Y TAREAS'!M29,0),IF(AND(139&gt;='EDT Y TAREAS'!AK30,139&lt;'EDT Y TAREAS'!AL30),'EDT Y TAREAS'!AG30/'EDT Y TAREAS'!M30,0),IF(AND(139&gt;='EDT Y TAREAS'!AK31,139&lt;'EDT Y TAREAS'!AL31),'EDT Y TAREAS'!AG31/'EDT Y TAREAS'!M31,0),IF(AND(139&gt;='EDT Y TAREAS'!AK32,139&lt;'EDT Y TAREAS'!AL32),'EDT Y TAREAS'!AG32/'EDT Y TAREAS'!M32,0),IF(AND(139&gt;='EDT Y TAREAS'!AK41,139&lt;'EDT Y TAREAS'!AL41),'EDT Y TAREAS'!AG41/'EDT Y TAREAS'!M41,0),IF(AND(139&gt;='EDT Y TAREAS'!AK45,139&lt;'EDT Y TAREAS'!AL45),'EDT Y TAREAS'!AG45/'EDT Y TAREAS'!M45,0),IF(AND(139&gt;='EDT Y TAREAS'!AK48,139&lt;'EDT Y TAREAS'!AL48),'EDT Y TAREAS'!AG48/'EDT Y TAREAS'!M48,0))</x:f>
        <x:v>5.6</x:v>
      </x:c>
      <x:c r="F179" s="35" t="n">
        <x:f>SUM(IF(AND(139&gt;='EDT Y TAREAS'!AK10,139&lt;'EDT Y TAREAS'!AL10),'EDT Y TAREAS'!AH10/'EDT Y TAREAS'!M10,0),IF(AND(139&gt;='EDT Y TAREAS'!AK12,139&lt;'EDT Y TAREAS'!AL12),'EDT Y TAREAS'!AH12/'EDT Y TAREAS'!M12,0),IF(AND(139&gt;='EDT Y TAREAS'!AK22,139&lt;'EDT Y TAREAS'!AL22),'EDT Y TAREAS'!AH22/'EDT Y TAREAS'!M22,0),IF(AND(139&gt;='EDT Y TAREAS'!AK23,139&lt;'EDT Y TAREAS'!AL23),'EDT Y TAREAS'!AH23/'EDT Y TAREAS'!M23,0),IF(AND(139&gt;='EDT Y TAREAS'!AK29,139&lt;'EDT Y TAREAS'!AL29),'EDT Y TAREAS'!AH29/'EDT Y TAREAS'!M29,0),IF(AND(139&gt;='EDT Y TAREAS'!AK30,139&lt;'EDT Y TAREAS'!AL30),'EDT Y TAREAS'!AH30/'EDT Y TAREAS'!M30,0),IF(AND(139&gt;='EDT Y TAREAS'!AK32,139&lt;'EDT Y TAREAS'!AL32),'EDT Y TAREAS'!AH32/'EDT Y TAREAS'!M32,0),IF(AND(139&gt;='EDT Y TAREAS'!AK41,139&lt;'EDT Y TAREAS'!AL41),'EDT Y TAREAS'!AH41/'EDT Y TAREAS'!M41,0),IF(AND(139&gt;='EDT Y TAREAS'!AK44,139&lt;'EDT Y TAREAS'!AL44),'EDT Y TAREAS'!AH44/'EDT Y TAREAS'!M44,0),IF(AND(139&gt;='EDT Y TAREAS'!AK46,139&lt;'EDT Y TAREAS'!AL46),'EDT Y TAREAS'!AH46/'EDT Y TAREAS'!M46,0),IF(AND(139&gt;='EDT Y TAREAS'!AK48,139&lt;'EDT Y TAREAS'!AL48),'EDT Y TAREAS'!AH48/'EDT Y TAREAS'!M48,0))</x:f>
        <x:v>1.6</x:v>
      </x:c>
      <x:c r="G179" s="35" t="n">
        <x:f>SUM(IF(AND(139&gt;='EDT Y TAREAS'!AK20,139&lt;'EDT Y TAREAS'!AL20),'EDT Y TAREAS'!AI20/'EDT Y TAREAS'!M20,0),IF(AND(139&gt;='EDT Y TAREAS'!AK25,139&lt;'EDT Y TAREAS'!AL25),'EDT Y TAREAS'!AI25/'EDT Y TAREAS'!M25,0),IF(AND(139&gt;='EDT Y TAREAS'!AK33,139&lt;'EDT Y TAREAS'!AL33),'EDT Y TAREAS'!AI33/'EDT Y TAREAS'!M33,0),IF(AND(139&gt;='EDT Y TAREAS'!AK34,139&lt;'EDT Y TAREAS'!AL34),'EDT Y TAREAS'!AI34/'EDT Y TAREAS'!M34,0),IF(AND(139&gt;='EDT Y TAREAS'!AK36,139&lt;'EDT Y TAREAS'!AL36),'EDT Y TAREAS'!AI36/'EDT Y TAREAS'!M36,0),IF(AND(139&gt;='EDT Y TAREAS'!AK39,139&lt;'EDT Y TAREAS'!AL39),'EDT Y TAREAS'!AI39/'EDT Y TAREAS'!M39,0),IF(AND(139&gt;='EDT Y TAREAS'!AK40,139&lt;'EDT Y TAREAS'!AL40),'EDT Y TAREAS'!AI40/'EDT Y TAREAS'!M40,0),IF(AND(139&gt;='EDT Y TAREAS'!AK42,139&lt;'EDT Y TAREAS'!AL42),'EDT Y TAREAS'!AI42/'EDT Y TAREAS'!M42,0),IF(AND(139&gt;='EDT Y TAREAS'!AK43,139&lt;'EDT Y TAREAS'!AL43),'EDT Y TAREAS'!AI43/'EDT Y TAREAS'!M43,0),IF(AND(139&gt;='EDT Y TAREAS'!AK44,139&lt;'EDT Y TAREAS'!AL44),'EDT Y TAREAS'!AI44/'EDT Y TAREAS'!M44,0),IF(AND(139&gt;='EDT Y TAREAS'!AK45,139&lt;'EDT Y TAREAS'!AL45),'EDT Y TAREAS'!AI45/'EDT Y TAREAS'!M45,0),IF(AND(139&gt;='EDT Y TAREAS'!AK46,139&lt;'EDT Y TAREAS'!AL46),'EDT Y TAREAS'!AI46/'EDT Y TAREAS'!M46,0),IF(AND(139&gt;='EDT Y TAREAS'!AK48,139&lt;'EDT Y TAREAS'!AL48),'EDT Y TAREAS'!AI48/'EDT Y TAREAS'!M48,0),IF(AND(139&gt;='EDT Y TAREAS'!AK50,139&lt;'EDT Y TAREAS'!AL50),'EDT Y TAREAS'!AI50/'EDT Y TAREAS'!M50,0),IF(AND(139&gt;='EDT Y TAREAS'!AK52,139&lt;'EDT Y TAREAS'!AL52),'EDT Y TAREAS'!AI52/'EDT Y TAREAS'!M52,0))</x:f>
        <x:v>2.4</x:v>
      </x:c>
      <x:c r="H179" s="35" t="n">
        <x:f>SUM(IF(AND(139&gt;='EDT Y TAREAS'!AK11,139&lt;'EDT Y TAREAS'!AL11),'EDT Y TAREAS'!AJ11/'EDT Y TAREAS'!M11,0),IF(AND(139&gt;='EDT Y TAREAS'!AK24,139&lt;'EDT Y TAREAS'!AL24),'EDT Y TAREAS'!AJ24/'EDT Y TAREAS'!M24,0),IF(AND(139&gt;='EDT Y TAREAS'!AK27,139&lt;'EDT Y TAREAS'!AL27),'EDT Y TAREAS'!AJ27/'EDT Y TAREAS'!M27,0),IF(AND(139&gt;='EDT Y TAREAS'!AK28,139&lt;'EDT Y TAREAS'!AL28),'EDT Y TAREAS'!AJ28/'EDT Y TAREAS'!M28,0),IF(AND(139&gt;='EDT Y TAREAS'!AK33,139&lt;'EDT Y TAREAS'!AL33),'EDT Y TAREAS'!AJ33/'EDT Y TAREAS'!M33,0),IF(AND(139&gt;='EDT Y TAREAS'!AK35,139&lt;'EDT Y TAREAS'!AL35),'EDT Y TAREAS'!AJ35/'EDT Y TAREAS'!M35,0),IF(AND(139&gt;='EDT Y TAREAS'!AK36,139&lt;'EDT Y TAREAS'!AL36),'EDT Y TAREAS'!AJ36/'EDT Y TAREAS'!M36,0),IF(AND(139&gt;='EDT Y TAREAS'!AK37,139&lt;'EDT Y TAREAS'!AL37),'EDT Y TAREAS'!AJ37/'EDT Y TAREAS'!M37,0),IF(AND(139&gt;='EDT Y TAREAS'!AK40,139&lt;'EDT Y TAREAS'!AL40),'EDT Y TAREAS'!AJ40/'EDT Y TAREAS'!M40,0),IF(AND(139&gt;='EDT Y TAREAS'!AK42,139&lt;'EDT Y TAREAS'!AL42),'EDT Y TAREAS'!AJ42/'EDT Y TAREAS'!M42,0),IF(AND(139&gt;='EDT Y TAREAS'!AK49,139&lt;'EDT Y TAREAS'!AL49),'EDT Y TAREAS'!AJ49/'EDT Y TAREAS'!M49,0),IF(AND(139&gt;='EDT Y TAREAS'!AK50,139&lt;'EDT Y TAREAS'!AL50),'EDT Y TAREAS'!AJ50/'EDT Y TAREAS'!M50,0),IF(AND(139&gt;='EDT Y TAREAS'!AK51,139&lt;'EDT Y TAREAS'!AL51),'EDT Y TAREAS'!AJ51/'EDT Y TAREAS'!M51,0),IF(AND(139&gt;='EDT Y TAREAS'!AK52,139&lt;'EDT Y TAREAS'!AL52),'EDT Y TAREAS'!AJ52/'EDT Y TAREAS'!M52,0))</x:f>
        <x:v>2.4</x:v>
      </x:c>
      <x:c r="I179" s="10" t="n">
        <x:f>WORKDAY('RESUMEN'!$D$3-1,A179,'RESUMEN'!$J$6:$J$25)</x:f>
        <x:v>46521</x:v>
      </x:c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  <x:c r="AL179" s="3"/>
      <x:c r="AM179" s="3"/>
      <x:c r="AN179" s="3"/>
      <x:c r="AO179" s="3"/>
    </x:row>
    <x:row r="180" ht="24" customHeight="1">
      <x:c r="A180" s="3" t="n">
        <x:v>141</x:v>
      </x:c>
      <x:c r="B180" s="35" t="n">
        <x:f>SUM(IF(AND(140&gt;='EDT Y TAREAS'!AK6,140&lt;'EDT Y TAREAS'!AL6),'EDT Y TAREAS'!AD6/'EDT Y TAREAS'!M6,0),IF(AND(140&gt;='EDT Y TAREAS'!AK7,140&lt;'EDT Y TAREAS'!AL7),'EDT Y TAREAS'!AD7/'EDT Y TAREAS'!M7,0),IF(AND(140&gt;='EDT Y TAREAS'!AK8,140&lt;'EDT Y TAREAS'!AL8),'EDT Y TAREAS'!AD8/'EDT Y TAREAS'!M8,0),IF(AND(140&gt;='EDT Y TAREAS'!AK9,140&lt;'EDT Y TAREAS'!AL9),'EDT Y TAREAS'!AD9/'EDT Y TAREAS'!M9,0),IF(AND(140&gt;='EDT Y TAREAS'!AK10,140&lt;'EDT Y TAREAS'!AL10),'EDT Y TAREAS'!AD10/'EDT Y TAREAS'!M10,0),IF(AND(140&gt;='EDT Y TAREAS'!AK11,140&lt;'EDT Y TAREAS'!AL11),'EDT Y TAREAS'!AD11/'EDT Y TAREAS'!M11,0),IF(AND(140&gt;='EDT Y TAREAS'!AK12,140&lt;'EDT Y TAREAS'!AL12),'EDT Y TAREAS'!AD12/'EDT Y TAREAS'!M12,0),IF(AND(140&gt;='EDT Y TAREAS'!AK13,140&lt;'EDT Y TAREAS'!AL13),'EDT Y TAREAS'!AD13/'EDT Y TAREAS'!M13,0),IF(AND(140&gt;='EDT Y TAREAS'!AK14,140&lt;'EDT Y TAREAS'!AL14),'EDT Y TAREAS'!AD14/'EDT Y TAREAS'!M14,0),IF(AND(140&gt;='EDT Y TAREAS'!AK15,140&lt;'EDT Y TAREAS'!AL15),'EDT Y TAREAS'!AD15/'EDT Y TAREAS'!M15,0),IF(AND(140&gt;='EDT Y TAREAS'!AK16,140&lt;'EDT Y TAREAS'!AL16),'EDT Y TAREAS'!AD16/'EDT Y TAREAS'!M16,0),IF(AND(140&gt;='EDT Y TAREAS'!AK17,140&lt;'EDT Y TAREAS'!AL17),'EDT Y TAREAS'!AD17/'EDT Y TAREAS'!M17,0),IF(AND(140&gt;='EDT Y TAREAS'!AK18,140&lt;'EDT Y TAREAS'!AL18),'EDT Y TAREAS'!AD18/'EDT Y TAREAS'!M18,0),IF(AND(140&gt;='EDT Y TAREAS'!AK19,140&lt;'EDT Y TAREAS'!AL19),'EDT Y TAREAS'!AD19/'EDT Y TAREAS'!M19,0),IF(AND(140&gt;='EDT Y TAREAS'!AK20,140&lt;'EDT Y TAREAS'!AL20),'EDT Y TAREAS'!AD20/'EDT Y TAREAS'!M20,0),IF(AND(140&gt;='EDT Y TAREAS'!AK21,140&lt;'EDT Y TAREAS'!AL21),'EDT Y TAREAS'!AD21/'EDT Y TAREAS'!M21,0),IF(AND(140&gt;='EDT Y TAREAS'!AK22,140&lt;'EDT Y TAREAS'!AL22),'EDT Y TAREAS'!AD22/'EDT Y TAREAS'!M22,0),IF(AND(140&gt;='EDT Y TAREAS'!AK23,140&lt;'EDT Y TAREAS'!AL23),'EDT Y TAREAS'!AD23/'EDT Y TAREAS'!M23,0),IF(AND(140&gt;='EDT Y TAREAS'!AK26,140&lt;'EDT Y TAREAS'!AL26),'EDT Y TAREAS'!AD26/'EDT Y TAREAS'!M26,0),IF(AND(140&gt;='EDT Y TAREAS'!AK28,140&lt;'EDT Y TAREAS'!AL28),'EDT Y TAREAS'!AD28/'EDT Y TAREAS'!M28,0),IF(AND(140&gt;='EDT Y TAREAS'!AK30,140&lt;'EDT Y TAREAS'!AL30),'EDT Y TAREAS'!AD30/'EDT Y TAREAS'!M30,0),IF(AND(140&gt;='EDT Y TAREAS'!AK32,140&lt;'EDT Y TAREAS'!AL32),'EDT Y TAREAS'!AD32/'EDT Y TAREAS'!M32,0),IF(AND(140&gt;='EDT Y TAREAS'!AK34,140&lt;'EDT Y TAREAS'!AL34),'EDT Y TAREAS'!AD34/'EDT Y TAREAS'!M34,0),IF(AND(140&gt;='EDT Y TAREAS'!AK38,140&lt;'EDT Y TAREAS'!AL38),'EDT Y TAREAS'!AD38/'EDT Y TAREAS'!M38,0),IF(AND(140&gt;='EDT Y TAREAS'!AK39,140&lt;'EDT Y TAREAS'!AL39),'EDT Y TAREAS'!AD39/'EDT Y TAREAS'!M39,0),IF(AND(140&gt;='EDT Y TAREAS'!AK43,140&lt;'EDT Y TAREAS'!AL43),'EDT Y TAREAS'!AD43/'EDT Y TAREAS'!M43,0),IF(AND(140&gt;='EDT Y TAREAS'!AK44,140&lt;'EDT Y TAREAS'!AL44),'EDT Y TAREAS'!AD44/'EDT Y TAREAS'!M44,0),IF(AND(140&gt;='EDT Y TAREAS'!AK45,140&lt;'EDT Y TAREAS'!AL45),'EDT Y TAREAS'!AD45/'EDT Y TAREAS'!M45,0),IF(AND(140&gt;='EDT Y TAREAS'!AK46,140&lt;'EDT Y TAREAS'!AL46),'EDT Y TAREAS'!AD46/'EDT Y TAREAS'!M46,0),IF(AND(140&gt;='EDT Y TAREAS'!AK47,140&lt;'EDT Y TAREAS'!AL47),'EDT Y TAREAS'!AD47/'EDT Y TAREAS'!M47,0),IF(AND(140&gt;='EDT Y TAREAS'!AK49,140&lt;'EDT Y TAREAS'!AL49),'EDT Y TAREAS'!AD49/'EDT Y TAREAS'!M49,0),IF(AND(140&gt;='EDT Y TAREAS'!AK50,140&lt;'EDT Y TAREAS'!AL50),'EDT Y TAREAS'!AD50/'EDT Y TAREAS'!M50,0),IF(AND(140&gt;='EDT Y TAREAS'!AK51,140&lt;'EDT Y TAREAS'!AL51),'EDT Y TAREAS'!AD51/'EDT Y TAREAS'!M51,0),IF(AND(140&gt;='EDT Y TAREAS'!AK52,140&lt;'EDT Y TAREAS'!AL52),'EDT Y TAREAS'!AD52/'EDT Y TAREAS'!M52,0))</x:f>
        <x:v>1.6</x:v>
      </x:c>
      <x:c r="C180" s="35" t="n">
        <x:f>SUM(IF(AND(140&gt;='EDT Y TAREAS'!AK6,140&lt;'EDT Y TAREAS'!AL6),'EDT Y TAREAS'!AE6/'EDT Y TAREAS'!M6,0),IF(AND(140&gt;='EDT Y TAREAS'!AK8,140&lt;'EDT Y TAREAS'!AL8),'EDT Y TAREAS'!AE8/'EDT Y TAREAS'!M8,0),IF(AND(140&gt;='EDT Y TAREAS'!AK9,140&lt;'EDT Y TAREAS'!AL9),'EDT Y TAREAS'!AE9/'EDT Y TAREAS'!M9,0),IF(AND(140&gt;='EDT Y TAREAS'!AK10,140&lt;'EDT Y TAREAS'!AL10),'EDT Y TAREAS'!AE10/'EDT Y TAREAS'!M10,0),IF(AND(140&gt;='EDT Y TAREAS'!AK12,140&lt;'EDT Y TAREAS'!AL12),'EDT Y TAREAS'!AE12/'EDT Y TAREAS'!M12,0),IF(AND(140&gt;='EDT Y TAREAS'!AK16,140&lt;'EDT Y TAREAS'!AL16),'EDT Y TAREAS'!AE16/'EDT Y TAREAS'!M16,0),IF(AND(140&gt;='EDT Y TAREAS'!AK21,140&lt;'EDT Y TAREAS'!AL21),'EDT Y TAREAS'!AE21/'EDT Y TAREAS'!M21,0),IF(AND(140&gt;='EDT Y TAREAS'!AK23,140&lt;'EDT Y TAREAS'!AL23),'EDT Y TAREAS'!AE23/'EDT Y TAREAS'!M23,0),IF(AND(140&gt;='EDT Y TAREAS'!AK37,140&lt;'EDT Y TAREAS'!AL37),'EDT Y TAREAS'!AE37/'EDT Y TAREAS'!M37,0),IF(AND(140&gt;='EDT Y TAREAS'!AK38,140&lt;'EDT Y TAREAS'!AL38),'EDT Y TAREAS'!AE38/'EDT Y TAREAS'!M38,0),IF(AND(140&gt;='EDT Y TAREAS'!AK41,140&lt;'EDT Y TAREAS'!AL41),'EDT Y TAREAS'!AE41/'EDT Y TAREAS'!M41,0),IF(AND(140&gt;='EDT Y TAREAS'!AK43,140&lt;'EDT Y TAREAS'!AL43),'EDT Y TAREAS'!AE43/'EDT Y TAREAS'!M43,0),IF(AND(140&gt;='EDT Y TAREAS'!AK44,140&lt;'EDT Y TAREAS'!AL44),'EDT Y TAREAS'!AE44/'EDT Y TAREAS'!M44,0),IF(AND(140&gt;='EDT Y TAREAS'!AK46,140&lt;'EDT Y TAREAS'!AL46),'EDT Y TAREAS'!AE46/'EDT Y TAREAS'!M46,0),IF(AND(140&gt;='EDT Y TAREAS'!AK47,140&lt;'EDT Y TAREAS'!AL47),'EDT Y TAREAS'!AE47/'EDT Y TAREAS'!M47,0),IF(AND(140&gt;='EDT Y TAREAS'!AK51,140&lt;'EDT Y TAREAS'!AL51),'EDT Y TAREAS'!AE51/'EDT Y TAREAS'!M51,0),IF(AND(140&gt;='EDT Y TAREAS'!AK52,140&lt;'EDT Y TAREAS'!AL52),'EDT Y TAREAS'!AE52/'EDT Y TAREAS'!M52,0))</x:f>
        <x:v>0</x:v>
      </x:c>
      <x:c r="D180" s="35" t="n">
        <x:f>SUM(IF(AND(140&gt;='EDT Y TAREAS'!AK11,140&lt;'EDT Y TAREAS'!AL11),'EDT Y TAREAS'!AF11/'EDT Y TAREAS'!M11,0),IF(AND(140&gt;='EDT Y TAREAS'!AK24,140&lt;'EDT Y TAREAS'!AL24),'EDT Y TAREAS'!AF24/'EDT Y TAREAS'!M24,0),IF(AND(140&gt;='EDT Y TAREAS'!AK25,140&lt;'EDT Y TAREAS'!AL25),'EDT Y TAREAS'!AF25/'EDT Y TAREAS'!M25,0),IF(AND(140&gt;='EDT Y TAREAS'!AK26,140&lt;'EDT Y TAREAS'!AL26),'EDT Y TAREAS'!AF26/'EDT Y TAREAS'!M26,0),IF(AND(140&gt;='EDT Y TAREAS'!AK27,140&lt;'EDT Y TAREAS'!AL27),'EDT Y TAREAS'!AF27/'EDT Y TAREAS'!M27,0),IF(AND(140&gt;='EDT Y TAREAS'!AK28,140&lt;'EDT Y TAREAS'!AL28),'EDT Y TAREAS'!AF28/'EDT Y TAREAS'!M28,0),IF(AND(140&gt;='EDT Y TAREAS'!AK31,140&lt;'EDT Y TAREAS'!AL31),'EDT Y TAREAS'!AF31/'EDT Y TAREAS'!M31,0),IF(AND(140&gt;='EDT Y TAREAS'!AK33,140&lt;'EDT Y TAREAS'!AL33),'EDT Y TAREAS'!AF33/'EDT Y TAREAS'!M33,0),IF(AND(140&gt;='EDT Y TAREAS'!AK34,140&lt;'EDT Y TAREAS'!AL34),'EDT Y TAREAS'!AF34/'EDT Y TAREAS'!M34,0),IF(AND(140&gt;='EDT Y TAREAS'!AK35,140&lt;'EDT Y TAREAS'!AL35),'EDT Y TAREAS'!AF35/'EDT Y TAREAS'!M35,0),IF(AND(140&gt;='EDT Y TAREAS'!AK37,140&lt;'EDT Y TAREAS'!AL37),'EDT Y TAREAS'!AF37/'EDT Y TAREAS'!M37,0),IF(AND(140&gt;='EDT Y TAREAS'!AK39,140&lt;'EDT Y TAREAS'!AL39),'EDT Y TAREAS'!AF39/'EDT Y TAREAS'!M39,0),IF(AND(140&gt;='EDT Y TAREAS'!AK40,140&lt;'EDT Y TAREAS'!AL40),'EDT Y TAREAS'!AF40/'EDT Y TAREAS'!M40,0),IF(AND(140&gt;='EDT Y TAREAS'!AK42,140&lt;'EDT Y TAREAS'!AL42),'EDT Y TAREAS'!AF42/'EDT Y TAREAS'!M42,0),IF(AND(140&gt;='EDT Y TAREAS'!AK45,140&lt;'EDT Y TAREAS'!AL45),'EDT Y TAREAS'!AF45/'EDT Y TAREAS'!M45,0),IF(AND(140&gt;='EDT Y TAREAS'!AK49,140&lt;'EDT Y TAREAS'!AL49),'EDT Y TAREAS'!AF49/'EDT Y TAREAS'!M49,0),IF(AND(140&gt;='EDT Y TAREAS'!AK52,140&lt;'EDT Y TAREAS'!AL52),'EDT Y TAREAS'!AF52/'EDT Y TAREAS'!M52,0))</x:f>
        <x:v>1.6</x:v>
      </x:c>
      <x:c r="E180" s="35" t="n">
        <x:f>SUM(IF(AND(140&gt;='EDT Y TAREAS'!AK29,140&lt;'EDT Y TAREAS'!AL29),'EDT Y TAREAS'!AG29/'EDT Y TAREAS'!M29,0),IF(AND(140&gt;='EDT Y TAREAS'!AK30,140&lt;'EDT Y TAREAS'!AL30),'EDT Y TAREAS'!AG30/'EDT Y TAREAS'!M30,0),IF(AND(140&gt;='EDT Y TAREAS'!AK31,140&lt;'EDT Y TAREAS'!AL31),'EDT Y TAREAS'!AG31/'EDT Y TAREAS'!M31,0),IF(AND(140&gt;='EDT Y TAREAS'!AK32,140&lt;'EDT Y TAREAS'!AL32),'EDT Y TAREAS'!AG32/'EDT Y TAREAS'!M32,0),IF(AND(140&gt;='EDT Y TAREAS'!AK41,140&lt;'EDT Y TAREAS'!AL41),'EDT Y TAREAS'!AG41/'EDT Y TAREAS'!M41,0),IF(AND(140&gt;='EDT Y TAREAS'!AK45,140&lt;'EDT Y TAREAS'!AL45),'EDT Y TAREAS'!AG45/'EDT Y TAREAS'!M45,0),IF(AND(140&gt;='EDT Y TAREAS'!AK48,140&lt;'EDT Y TAREAS'!AL48),'EDT Y TAREAS'!AG48/'EDT Y TAREAS'!M48,0))</x:f>
        <x:v>5.6</x:v>
      </x:c>
      <x:c r="F180" s="35" t="n">
        <x:f>SUM(IF(AND(140&gt;='EDT Y TAREAS'!AK10,140&lt;'EDT Y TAREAS'!AL10),'EDT Y TAREAS'!AH10/'EDT Y TAREAS'!M10,0),IF(AND(140&gt;='EDT Y TAREAS'!AK12,140&lt;'EDT Y TAREAS'!AL12),'EDT Y TAREAS'!AH12/'EDT Y TAREAS'!M12,0),IF(AND(140&gt;='EDT Y TAREAS'!AK22,140&lt;'EDT Y TAREAS'!AL22),'EDT Y TAREAS'!AH22/'EDT Y TAREAS'!M22,0),IF(AND(140&gt;='EDT Y TAREAS'!AK23,140&lt;'EDT Y TAREAS'!AL23),'EDT Y TAREAS'!AH23/'EDT Y TAREAS'!M23,0),IF(AND(140&gt;='EDT Y TAREAS'!AK29,140&lt;'EDT Y TAREAS'!AL29),'EDT Y TAREAS'!AH29/'EDT Y TAREAS'!M29,0),IF(AND(140&gt;='EDT Y TAREAS'!AK30,140&lt;'EDT Y TAREAS'!AL30),'EDT Y TAREAS'!AH30/'EDT Y TAREAS'!M30,0),IF(AND(140&gt;='EDT Y TAREAS'!AK32,140&lt;'EDT Y TAREAS'!AL32),'EDT Y TAREAS'!AH32/'EDT Y TAREAS'!M32,0),IF(AND(140&gt;='EDT Y TAREAS'!AK41,140&lt;'EDT Y TAREAS'!AL41),'EDT Y TAREAS'!AH41/'EDT Y TAREAS'!M41,0),IF(AND(140&gt;='EDT Y TAREAS'!AK44,140&lt;'EDT Y TAREAS'!AL44),'EDT Y TAREAS'!AH44/'EDT Y TAREAS'!M44,0),IF(AND(140&gt;='EDT Y TAREAS'!AK46,140&lt;'EDT Y TAREAS'!AL46),'EDT Y TAREAS'!AH46/'EDT Y TAREAS'!M46,0),IF(AND(140&gt;='EDT Y TAREAS'!AK48,140&lt;'EDT Y TAREAS'!AL48),'EDT Y TAREAS'!AH48/'EDT Y TAREAS'!M48,0))</x:f>
        <x:v>1.6</x:v>
      </x:c>
      <x:c r="G180" s="35" t="n">
        <x:f>SUM(IF(AND(140&gt;='EDT Y TAREAS'!AK20,140&lt;'EDT Y TAREAS'!AL20),'EDT Y TAREAS'!AI20/'EDT Y TAREAS'!M20,0),IF(AND(140&gt;='EDT Y TAREAS'!AK25,140&lt;'EDT Y TAREAS'!AL25),'EDT Y TAREAS'!AI25/'EDT Y TAREAS'!M25,0),IF(AND(140&gt;='EDT Y TAREAS'!AK33,140&lt;'EDT Y TAREAS'!AL33),'EDT Y TAREAS'!AI33/'EDT Y TAREAS'!M33,0),IF(AND(140&gt;='EDT Y TAREAS'!AK34,140&lt;'EDT Y TAREAS'!AL34),'EDT Y TAREAS'!AI34/'EDT Y TAREAS'!M34,0),IF(AND(140&gt;='EDT Y TAREAS'!AK36,140&lt;'EDT Y TAREAS'!AL36),'EDT Y TAREAS'!AI36/'EDT Y TAREAS'!M36,0),IF(AND(140&gt;='EDT Y TAREAS'!AK39,140&lt;'EDT Y TAREAS'!AL39),'EDT Y TAREAS'!AI39/'EDT Y TAREAS'!M39,0),IF(AND(140&gt;='EDT Y TAREAS'!AK40,140&lt;'EDT Y TAREAS'!AL40),'EDT Y TAREAS'!AI40/'EDT Y TAREAS'!M40,0),IF(AND(140&gt;='EDT Y TAREAS'!AK42,140&lt;'EDT Y TAREAS'!AL42),'EDT Y TAREAS'!AI42/'EDT Y TAREAS'!M42,0),IF(AND(140&gt;='EDT Y TAREAS'!AK43,140&lt;'EDT Y TAREAS'!AL43),'EDT Y TAREAS'!AI43/'EDT Y TAREAS'!M43,0),IF(AND(140&gt;='EDT Y TAREAS'!AK44,140&lt;'EDT Y TAREAS'!AL44),'EDT Y TAREAS'!AI44/'EDT Y TAREAS'!M44,0),IF(AND(140&gt;='EDT Y TAREAS'!AK45,140&lt;'EDT Y TAREAS'!AL45),'EDT Y TAREAS'!AI45/'EDT Y TAREAS'!M45,0),IF(AND(140&gt;='EDT Y TAREAS'!AK46,140&lt;'EDT Y TAREAS'!AL46),'EDT Y TAREAS'!AI46/'EDT Y TAREAS'!M46,0),IF(AND(140&gt;='EDT Y TAREAS'!AK48,140&lt;'EDT Y TAREAS'!AL48),'EDT Y TAREAS'!AI48/'EDT Y TAREAS'!M48,0),IF(AND(140&gt;='EDT Y TAREAS'!AK50,140&lt;'EDT Y TAREAS'!AL50),'EDT Y TAREAS'!AI50/'EDT Y TAREAS'!M50,0),IF(AND(140&gt;='EDT Y TAREAS'!AK52,140&lt;'EDT Y TAREAS'!AL52),'EDT Y TAREAS'!AI52/'EDT Y TAREAS'!M52,0))</x:f>
        <x:v>2.4</x:v>
      </x:c>
      <x:c r="H180" s="35" t="n">
        <x:f>SUM(IF(AND(140&gt;='EDT Y TAREAS'!AK11,140&lt;'EDT Y TAREAS'!AL11),'EDT Y TAREAS'!AJ11/'EDT Y TAREAS'!M11,0),IF(AND(140&gt;='EDT Y TAREAS'!AK24,140&lt;'EDT Y TAREAS'!AL24),'EDT Y TAREAS'!AJ24/'EDT Y TAREAS'!M24,0),IF(AND(140&gt;='EDT Y TAREAS'!AK27,140&lt;'EDT Y TAREAS'!AL27),'EDT Y TAREAS'!AJ27/'EDT Y TAREAS'!M27,0),IF(AND(140&gt;='EDT Y TAREAS'!AK28,140&lt;'EDT Y TAREAS'!AL28),'EDT Y TAREAS'!AJ28/'EDT Y TAREAS'!M28,0),IF(AND(140&gt;='EDT Y TAREAS'!AK33,140&lt;'EDT Y TAREAS'!AL33),'EDT Y TAREAS'!AJ33/'EDT Y TAREAS'!M33,0),IF(AND(140&gt;='EDT Y TAREAS'!AK35,140&lt;'EDT Y TAREAS'!AL35),'EDT Y TAREAS'!AJ35/'EDT Y TAREAS'!M35,0),IF(AND(140&gt;='EDT Y TAREAS'!AK36,140&lt;'EDT Y TAREAS'!AL36),'EDT Y TAREAS'!AJ36/'EDT Y TAREAS'!M36,0),IF(AND(140&gt;='EDT Y TAREAS'!AK37,140&lt;'EDT Y TAREAS'!AL37),'EDT Y TAREAS'!AJ37/'EDT Y TAREAS'!M37,0),IF(AND(140&gt;='EDT Y TAREAS'!AK40,140&lt;'EDT Y TAREAS'!AL40),'EDT Y TAREAS'!AJ40/'EDT Y TAREAS'!M40,0),IF(AND(140&gt;='EDT Y TAREAS'!AK42,140&lt;'EDT Y TAREAS'!AL42),'EDT Y TAREAS'!AJ42/'EDT Y TAREAS'!M42,0),IF(AND(140&gt;='EDT Y TAREAS'!AK49,140&lt;'EDT Y TAREAS'!AL49),'EDT Y TAREAS'!AJ49/'EDT Y TAREAS'!M49,0),IF(AND(140&gt;='EDT Y TAREAS'!AK50,140&lt;'EDT Y TAREAS'!AL50),'EDT Y TAREAS'!AJ50/'EDT Y TAREAS'!M50,0),IF(AND(140&gt;='EDT Y TAREAS'!AK51,140&lt;'EDT Y TAREAS'!AL51),'EDT Y TAREAS'!AJ51/'EDT Y TAREAS'!M51,0),IF(AND(140&gt;='EDT Y TAREAS'!AK52,140&lt;'EDT Y TAREAS'!AL52),'EDT Y TAREAS'!AJ52/'EDT Y TAREAS'!M52,0))</x:f>
        <x:v>2.4</x:v>
      </x:c>
      <x:c r="I180" s="10" t="n">
        <x:f>WORKDAY('RESUMEN'!$D$3-1,A180,'RESUMEN'!$J$6:$J$25)</x:f>
        <x:v>46524</x:v>
      </x:c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  <x:c r="AL180" s="3"/>
      <x:c r="AM180" s="3"/>
      <x:c r="AN180" s="3"/>
      <x:c r="AO180" s="3"/>
    </x:row>
    <x:row r="181" ht="24" customHeight="1">
      <x:c r="A181" s="3" t="n">
        <x:v>142</x:v>
      </x:c>
      <x:c r="B181" s="35" t="n">
        <x:f>SUM(IF(AND(141&gt;='EDT Y TAREAS'!AK6,141&lt;'EDT Y TAREAS'!AL6),'EDT Y TAREAS'!AD6/'EDT Y TAREAS'!M6,0),IF(AND(141&gt;='EDT Y TAREAS'!AK7,141&lt;'EDT Y TAREAS'!AL7),'EDT Y TAREAS'!AD7/'EDT Y TAREAS'!M7,0),IF(AND(141&gt;='EDT Y TAREAS'!AK8,141&lt;'EDT Y TAREAS'!AL8),'EDT Y TAREAS'!AD8/'EDT Y TAREAS'!M8,0),IF(AND(141&gt;='EDT Y TAREAS'!AK9,141&lt;'EDT Y TAREAS'!AL9),'EDT Y TAREAS'!AD9/'EDT Y TAREAS'!M9,0),IF(AND(141&gt;='EDT Y TAREAS'!AK10,141&lt;'EDT Y TAREAS'!AL10),'EDT Y TAREAS'!AD10/'EDT Y TAREAS'!M10,0),IF(AND(141&gt;='EDT Y TAREAS'!AK11,141&lt;'EDT Y TAREAS'!AL11),'EDT Y TAREAS'!AD11/'EDT Y TAREAS'!M11,0),IF(AND(141&gt;='EDT Y TAREAS'!AK12,141&lt;'EDT Y TAREAS'!AL12),'EDT Y TAREAS'!AD12/'EDT Y TAREAS'!M12,0),IF(AND(141&gt;='EDT Y TAREAS'!AK13,141&lt;'EDT Y TAREAS'!AL13),'EDT Y TAREAS'!AD13/'EDT Y TAREAS'!M13,0),IF(AND(141&gt;='EDT Y TAREAS'!AK14,141&lt;'EDT Y TAREAS'!AL14),'EDT Y TAREAS'!AD14/'EDT Y TAREAS'!M14,0),IF(AND(141&gt;='EDT Y TAREAS'!AK15,141&lt;'EDT Y TAREAS'!AL15),'EDT Y TAREAS'!AD15/'EDT Y TAREAS'!M15,0),IF(AND(141&gt;='EDT Y TAREAS'!AK16,141&lt;'EDT Y TAREAS'!AL16),'EDT Y TAREAS'!AD16/'EDT Y TAREAS'!M16,0),IF(AND(141&gt;='EDT Y TAREAS'!AK17,141&lt;'EDT Y TAREAS'!AL17),'EDT Y TAREAS'!AD17/'EDT Y TAREAS'!M17,0),IF(AND(141&gt;='EDT Y TAREAS'!AK18,141&lt;'EDT Y TAREAS'!AL18),'EDT Y TAREAS'!AD18/'EDT Y TAREAS'!M18,0),IF(AND(141&gt;='EDT Y TAREAS'!AK19,141&lt;'EDT Y TAREAS'!AL19),'EDT Y TAREAS'!AD19/'EDT Y TAREAS'!M19,0),IF(AND(141&gt;='EDT Y TAREAS'!AK20,141&lt;'EDT Y TAREAS'!AL20),'EDT Y TAREAS'!AD20/'EDT Y TAREAS'!M20,0),IF(AND(141&gt;='EDT Y TAREAS'!AK21,141&lt;'EDT Y TAREAS'!AL21),'EDT Y TAREAS'!AD21/'EDT Y TAREAS'!M21,0),IF(AND(141&gt;='EDT Y TAREAS'!AK22,141&lt;'EDT Y TAREAS'!AL22),'EDT Y TAREAS'!AD22/'EDT Y TAREAS'!M22,0),IF(AND(141&gt;='EDT Y TAREAS'!AK23,141&lt;'EDT Y TAREAS'!AL23),'EDT Y TAREAS'!AD23/'EDT Y TAREAS'!M23,0),IF(AND(141&gt;='EDT Y TAREAS'!AK26,141&lt;'EDT Y TAREAS'!AL26),'EDT Y TAREAS'!AD26/'EDT Y TAREAS'!M26,0),IF(AND(141&gt;='EDT Y TAREAS'!AK28,141&lt;'EDT Y TAREAS'!AL28),'EDT Y TAREAS'!AD28/'EDT Y TAREAS'!M28,0),IF(AND(141&gt;='EDT Y TAREAS'!AK30,141&lt;'EDT Y TAREAS'!AL30),'EDT Y TAREAS'!AD30/'EDT Y TAREAS'!M30,0),IF(AND(141&gt;='EDT Y TAREAS'!AK32,141&lt;'EDT Y TAREAS'!AL32),'EDT Y TAREAS'!AD32/'EDT Y TAREAS'!M32,0),IF(AND(141&gt;='EDT Y TAREAS'!AK34,141&lt;'EDT Y TAREAS'!AL34),'EDT Y TAREAS'!AD34/'EDT Y TAREAS'!M34,0),IF(AND(141&gt;='EDT Y TAREAS'!AK38,141&lt;'EDT Y TAREAS'!AL38),'EDT Y TAREAS'!AD38/'EDT Y TAREAS'!M38,0),IF(AND(141&gt;='EDT Y TAREAS'!AK39,141&lt;'EDT Y TAREAS'!AL39),'EDT Y TAREAS'!AD39/'EDT Y TAREAS'!M39,0),IF(AND(141&gt;='EDT Y TAREAS'!AK43,141&lt;'EDT Y TAREAS'!AL43),'EDT Y TAREAS'!AD43/'EDT Y TAREAS'!M43,0),IF(AND(141&gt;='EDT Y TAREAS'!AK44,141&lt;'EDT Y TAREAS'!AL44),'EDT Y TAREAS'!AD44/'EDT Y TAREAS'!M44,0),IF(AND(141&gt;='EDT Y TAREAS'!AK45,141&lt;'EDT Y TAREAS'!AL45),'EDT Y TAREAS'!AD45/'EDT Y TAREAS'!M45,0),IF(AND(141&gt;='EDT Y TAREAS'!AK46,141&lt;'EDT Y TAREAS'!AL46),'EDT Y TAREAS'!AD46/'EDT Y TAREAS'!M46,0),IF(AND(141&gt;='EDT Y TAREAS'!AK47,141&lt;'EDT Y TAREAS'!AL47),'EDT Y TAREAS'!AD47/'EDT Y TAREAS'!M47,0),IF(AND(141&gt;='EDT Y TAREAS'!AK49,141&lt;'EDT Y TAREAS'!AL49),'EDT Y TAREAS'!AD49/'EDT Y TAREAS'!M49,0),IF(AND(141&gt;='EDT Y TAREAS'!AK50,141&lt;'EDT Y TAREAS'!AL50),'EDT Y TAREAS'!AD50/'EDT Y TAREAS'!M50,0),IF(AND(141&gt;='EDT Y TAREAS'!AK51,141&lt;'EDT Y TAREAS'!AL51),'EDT Y TAREAS'!AD51/'EDT Y TAREAS'!M51,0),IF(AND(141&gt;='EDT Y TAREAS'!AK52,141&lt;'EDT Y TAREAS'!AL52),'EDT Y TAREAS'!AD52/'EDT Y TAREAS'!M52,0))</x:f>
        <x:v>1.6</x:v>
      </x:c>
      <x:c r="C181" s="35" t="n">
        <x:f>SUM(IF(AND(141&gt;='EDT Y TAREAS'!AK6,141&lt;'EDT Y TAREAS'!AL6),'EDT Y TAREAS'!AE6/'EDT Y TAREAS'!M6,0),IF(AND(141&gt;='EDT Y TAREAS'!AK8,141&lt;'EDT Y TAREAS'!AL8),'EDT Y TAREAS'!AE8/'EDT Y TAREAS'!M8,0),IF(AND(141&gt;='EDT Y TAREAS'!AK9,141&lt;'EDT Y TAREAS'!AL9),'EDT Y TAREAS'!AE9/'EDT Y TAREAS'!M9,0),IF(AND(141&gt;='EDT Y TAREAS'!AK10,141&lt;'EDT Y TAREAS'!AL10),'EDT Y TAREAS'!AE10/'EDT Y TAREAS'!M10,0),IF(AND(141&gt;='EDT Y TAREAS'!AK12,141&lt;'EDT Y TAREAS'!AL12),'EDT Y TAREAS'!AE12/'EDT Y TAREAS'!M12,0),IF(AND(141&gt;='EDT Y TAREAS'!AK16,141&lt;'EDT Y TAREAS'!AL16),'EDT Y TAREAS'!AE16/'EDT Y TAREAS'!M16,0),IF(AND(141&gt;='EDT Y TAREAS'!AK21,141&lt;'EDT Y TAREAS'!AL21),'EDT Y TAREAS'!AE21/'EDT Y TAREAS'!M21,0),IF(AND(141&gt;='EDT Y TAREAS'!AK23,141&lt;'EDT Y TAREAS'!AL23),'EDT Y TAREAS'!AE23/'EDT Y TAREAS'!M23,0),IF(AND(141&gt;='EDT Y TAREAS'!AK37,141&lt;'EDT Y TAREAS'!AL37),'EDT Y TAREAS'!AE37/'EDT Y TAREAS'!M37,0),IF(AND(141&gt;='EDT Y TAREAS'!AK38,141&lt;'EDT Y TAREAS'!AL38),'EDT Y TAREAS'!AE38/'EDT Y TAREAS'!M38,0),IF(AND(141&gt;='EDT Y TAREAS'!AK41,141&lt;'EDT Y TAREAS'!AL41),'EDT Y TAREAS'!AE41/'EDT Y TAREAS'!M41,0),IF(AND(141&gt;='EDT Y TAREAS'!AK43,141&lt;'EDT Y TAREAS'!AL43),'EDT Y TAREAS'!AE43/'EDT Y TAREAS'!M43,0),IF(AND(141&gt;='EDT Y TAREAS'!AK44,141&lt;'EDT Y TAREAS'!AL44),'EDT Y TAREAS'!AE44/'EDT Y TAREAS'!M44,0),IF(AND(141&gt;='EDT Y TAREAS'!AK46,141&lt;'EDT Y TAREAS'!AL46),'EDT Y TAREAS'!AE46/'EDT Y TAREAS'!M46,0),IF(AND(141&gt;='EDT Y TAREAS'!AK47,141&lt;'EDT Y TAREAS'!AL47),'EDT Y TAREAS'!AE47/'EDT Y TAREAS'!M47,0),IF(AND(141&gt;='EDT Y TAREAS'!AK51,141&lt;'EDT Y TAREAS'!AL51),'EDT Y TAREAS'!AE51/'EDT Y TAREAS'!M51,0),IF(AND(141&gt;='EDT Y TAREAS'!AK52,141&lt;'EDT Y TAREAS'!AL52),'EDT Y TAREAS'!AE52/'EDT Y TAREAS'!M52,0))</x:f>
        <x:v>0</x:v>
      </x:c>
      <x:c r="D181" s="35" t="n">
        <x:f>SUM(IF(AND(141&gt;='EDT Y TAREAS'!AK11,141&lt;'EDT Y TAREAS'!AL11),'EDT Y TAREAS'!AF11/'EDT Y TAREAS'!M11,0),IF(AND(141&gt;='EDT Y TAREAS'!AK24,141&lt;'EDT Y TAREAS'!AL24),'EDT Y TAREAS'!AF24/'EDT Y TAREAS'!M24,0),IF(AND(141&gt;='EDT Y TAREAS'!AK25,141&lt;'EDT Y TAREAS'!AL25),'EDT Y TAREAS'!AF25/'EDT Y TAREAS'!M25,0),IF(AND(141&gt;='EDT Y TAREAS'!AK26,141&lt;'EDT Y TAREAS'!AL26),'EDT Y TAREAS'!AF26/'EDT Y TAREAS'!M26,0),IF(AND(141&gt;='EDT Y TAREAS'!AK27,141&lt;'EDT Y TAREAS'!AL27),'EDT Y TAREAS'!AF27/'EDT Y TAREAS'!M27,0),IF(AND(141&gt;='EDT Y TAREAS'!AK28,141&lt;'EDT Y TAREAS'!AL28),'EDT Y TAREAS'!AF28/'EDT Y TAREAS'!M28,0),IF(AND(141&gt;='EDT Y TAREAS'!AK31,141&lt;'EDT Y TAREAS'!AL31),'EDT Y TAREAS'!AF31/'EDT Y TAREAS'!M31,0),IF(AND(141&gt;='EDT Y TAREAS'!AK33,141&lt;'EDT Y TAREAS'!AL33),'EDT Y TAREAS'!AF33/'EDT Y TAREAS'!M33,0),IF(AND(141&gt;='EDT Y TAREAS'!AK34,141&lt;'EDT Y TAREAS'!AL34),'EDT Y TAREAS'!AF34/'EDT Y TAREAS'!M34,0),IF(AND(141&gt;='EDT Y TAREAS'!AK35,141&lt;'EDT Y TAREAS'!AL35),'EDT Y TAREAS'!AF35/'EDT Y TAREAS'!M35,0),IF(AND(141&gt;='EDT Y TAREAS'!AK37,141&lt;'EDT Y TAREAS'!AL37),'EDT Y TAREAS'!AF37/'EDT Y TAREAS'!M37,0),IF(AND(141&gt;='EDT Y TAREAS'!AK39,141&lt;'EDT Y TAREAS'!AL39),'EDT Y TAREAS'!AF39/'EDT Y TAREAS'!M39,0),IF(AND(141&gt;='EDT Y TAREAS'!AK40,141&lt;'EDT Y TAREAS'!AL40),'EDT Y TAREAS'!AF40/'EDT Y TAREAS'!M40,0),IF(AND(141&gt;='EDT Y TAREAS'!AK42,141&lt;'EDT Y TAREAS'!AL42),'EDT Y TAREAS'!AF42/'EDT Y TAREAS'!M42,0),IF(AND(141&gt;='EDT Y TAREAS'!AK45,141&lt;'EDT Y TAREAS'!AL45),'EDT Y TAREAS'!AF45/'EDT Y TAREAS'!M45,0),IF(AND(141&gt;='EDT Y TAREAS'!AK49,141&lt;'EDT Y TAREAS'!AL49),'EDT Y TAREAS'!AF49/'EDT Y TAREAS'!M49,0),IF(AND(141&gt;='EDT Y TAREAS'!AK52,141&lt;'EDT Y TAREAS'!AL52),'EDT Y TAREAS'!AF52/'EDT Y TAREAS'!M52,0))</x:f>
        <x:v>0</x:v>
      </x:c>
      <x:c r="E181" s="35" t="n">
        <x:f>SUM(IF(AND(141&gt;='EDT Y TAREAS'!AK29,141&lt;'EDT Y TAREAS'!AL29),'EDT Y TAREAS'!AG29/'EDT Y TAREAS'!M29,0),IF(AND(141&gt;='EDT Y TAREAS'!AK30,141&lt;'EDT Y TAREAS'!AL30),'EDT Y TAREAS'!AG30/'EDT Y TAREAS'!M30,0),IF(AND(141&gt;='EDT Y TAREAS'!AK31,141&lt;'EDT Y TAREAS'!AL31),'EDT Y TAREAS'!AG31/'EDT Y TAREAS'!M31,0),IF(AND(141&gt;='EDT Y TAREAS'!AK32,141&lt;'EDT Y TAREAS'!AL32),'EDT Y TAREAS'!AG32/'EDT Y TAREAS'!M32,0),IF(AND(141&gt;='EDT Y TAREAS'!AK41,141&lt;'EDT Y TAREAS'!AL41),'EDT Y TAREAS'!AG41/'EDT Y TAREAS'!M41,0),IF(AND(141&gt;='EDT Y TAREAS'!AK45,141&lt;'EDT Y TAREAS'!AL45),'EDT Y TAREAS'!AG45/'EDT Y TAREAS'!M45,0),IF(AND(141&gt;='EDT Y TAREAS'!AK48,141&lt;'EDT Y TAREAS'!AL48),'EDT Y TAREAS'!AG48/'EDT Y TAREAS'!M48,0))</x:f>
        <x:v>0</x:v>
      </x:c>
      <x:c r="F181" s="35" t="n">
        <x:f>SUM(IF(AND(141&gt;='EDT Y TAREAS'!AK10,141&lt;'EDT Y TAREAS'!AL10),'EDT Y TAREAS'!AH10/'EDT Y TAREAS'!M10,0),IF(AND(141&gt;='EDT Y TAREAS'!AK12,141&lt;'EDT Y TAREAS'!AL12),'EDT Y TAREAS'!AH12/'EDT Y TAREAS'!M12,0),IF(AND(141&gt;='EDT Y TAREAS'!AK22,141&lt;'EDT Y TAREAS'!AL22),'EDT Y TAREAS'!AH22/'EDT Y TAREAS'!M22,0),IF(AND(141&gt;='EDT Y TAREAS'!AK23,141&lt;'EDT Y TAREAS'!AL23),'EDT Y TAREAS'!AH23/'EDT Y TAREAS'!M23,0),IF(AND(141&gt;='EDT Y TAREAS'!AK29,141&lt;'EDT Y TAREAS'!AL29),'EDT Y TAREAS'!AH29/'EDT Y TAREAS'!M29,0),IF(AND(141&gt;='EDT Y TAREAS'!AK30,141&lt;'EDT Y TAREAS'!AL30),'EDT Y TAREAS'!AH30/'EDT Y TAREAS'!M30,0),IF(AND(141&gt;='EDT Y TAREAS'!AK32,141&lt;'EDT Y TAREAS'!AL32),'EDT Y TAREAS'!AH32/'EDT Y TAREAS'!M32,0),IF(AND(141&gt;='EDT Y TAREAS'!AK41,141&lt;'EDT Y TAREAS'!AL41),'EDT Y TAREAS'!AH41/'EDT Y TAREAS'!M41,0),IF(AND(141&gt;='EDT Y TAREAS'!AK44,141&lt;'EDT Y TAREAS'!AL44),'EDT Y TAREAS'!AH44/'EDT Y TAREAS'!M44,0),IF(AND(141&gt;='EDT Y TAREAS'!AK46,141&lt;'EDT Y TAREAS'!AL46),'EDT Y TAREAS'!AH46/'EDT Y TAREAS'!M46,0),IF(AND(141&gt;='EDT Y TAREAS'!AK48,141&lt;'EDT Y TAREAS'!AL48),'EDT Y TAREAS'!AH48/'EDT Y TAREAS'!M48,0))</x:f>
        <x:v>0</x:v>
      </x:c>
      <x:c r="G181" s="35" t="n">
        <x:f>SUM(IF(AND(141&gt;='EDT Y TAREAS'!AK20,141&lt;'EDT Y TAREAS'!AL20),'EDT Y TAREAS'!AI20/'EDT Y TAREAS'!M20,0),IF(AND(141&gt;='EDT Y TAREAS'!AK25,141&lt;'EDT Y TAREAS'!AL25),'EDT Y TAREAS'!AI25/'EDT Y TAREAS'!M25,0),IF(AND(141&gt;='EDT Y TAREAS'!AK33,141&lt;'EDT Y TAREAS'!AL33),'EDT Y TAREAS'!AI33/'EDT Y TAREAS'!M33,0),IF(AND(141&gt;='EDT Y TAREAS'!AK34,141&lt;'EDT Y TAREAS'!AL34),'EDT Y TAREAS'!AI34/'EDT Y TAREAS'!M34,0),IF(AND(141&gt;='EDT Y TAREAS'!AK36,141&lt;'EDT Y TAREAS'!AL36),'EDT Y TAREAS'!AI36/'EDT Y TAREAS'!M36,0),IF(AND(141&gt;='EDT Y TAREAS'!AK39,141&lt;'EDT Y TAREAS'!AL39),'EDT Y TAREAS'!AI39/'EDT Y TAREAS'!M39,0),IF(AND(141&gt;='EDT Y TAREAS'!AK40,141&lt;'EDT Y TAREAS'!AL40),'EDT Y TAREAS'!AI40/'EDT Y TAREAS'!M40,0),IF(AND(141&gt;='EDT Y TAREAS'!AK42,141&lt;'EDT Y TAREAS'!AL42),'EDT Y TAREAS'!AI42/'EDT Y TAREAS'!M42,0),IF(AND(141&gt;='EDT Y TAREAS'!AK43,141&lt;'EDT Y TAREAS'!AL43),'EDT Y TAREAS'!AI43/'EDT Y TAREAS'!M43,0),IF(AND(141&gt;='EDT Y TAREAS'!AK44,141&lt;'EDT Y TAREAS'!AL44),'EDT Y TAREAS'!AI44/'EDT Y TAREAS'!M44,0),IF(AND(141&gt;='EDT Y TAREAS'!AK45,141&lt;'EDT Y TAREAS'!AL45),'EDT Y TAREAS'!AI45/'EDT Y TAREAS'!M45,0),IF(AND(141&gt;='EDT Y TAREAS'!AK46,141&lt;'EDT Y TAREAS'!AL46),'EDT Y TAREAS'!AI46/'EDT Y TAREAS'!M46,0),IF(AND(141&gt;='EDT Y TAREAS'!AK48,141&lt;'EDT Y TAREAS'!AL48),'EDT Y TAREAS'!AI48/'EDT Y TAREAS'!M48,0),IF(AND(141&gt;='EDT Y TAREAS'!AK50,141&lt;'EDT Y TAREAS'!AL50),'EDT Y TAREAS'!AI50/'EDT Y TAREAS'!M50,0),IF(AND(141&gt;='EDT Y TAREAS'!AK52,141&lt;'EDT Y TAREAS'!AL52),'EDT Y TAREAS'!AI52/'EDT Y TAREAS'!M52,0))</x:f>
        <x:v>4.8</x:v>
      </x:c>
      <x:c r="H181" s="35" t="n">
        <x:f>SUM(IF(AND(141&gt;='EDT Y TAREAS'!AK11,141&lt;'EDT Y TAREAS'!AL11),'EDT Y TAREAS'!AJ11/'EDT Y TAREAS'!M11,0),IF(AND(141&gt;='EDT Y TAREAS'!AK24,141&lt;'EDT Y TAREAS'!AL24),'EDT Y TAREAS'!AJ24/'EDT Y TAREAS'!M24,0),IF(AND(141&gt;='EDT Y TAREAS'!AK27,141&lt;'EDT Y TAREAS'!AL27),'EDT Y TAREAS'!AJ27/'EDT Y TAREAS'!M27,0),IF(AND(141&gt;='EDT Y TAREAS'!AK28,141&lt;'EDT Y TAREAS'!AL28),'EDT Y TAREAS'!AJ28/'EDT Y TAREAS'!M28,0),IF(AND(141&gt;='EDT Y TAREAS'!AK33,141&lt;'EDT Y TAREAS'!AL33),'EDT Y TAREAS'!AJ33/'EDT Y TAREAS'!M33,0),IF(AND(141&gt;='EDT Y TAREAS'!AK35,141&lt;'EDT Y TAREAS'!AL35),'EDT Y TAREAS'!AJ35/'EDT Y TAREAS'!M35,0),IF(AND(141&gt;='EDT Y TAREAS'!AK36,141&lt;'EDT Y TAREAS'!AL36),'EDT Y TAREAS'!AJ36/'EDT Y TAREAS'!M36,0),IF(AND(141&gt;='EDT Y TAREAS'!AK37,141&lt;'EDT Y TAREAS'!AL37),'EDT Y TAREAS'!AJ37/'EDT Y TAREAS'!M37,0),IF(AND(141&gt;='EDT Y TAREAS'!AK40,141&lt;'EDT Y TAREAS'!AL40),'EDT Y TAREAS'!AJ40/'EDT Y TAREAS'!M40,0),IF(AND(141&gt;='EDT Y TAREAS'!AK42,141&lt;'EDT Y TAREAS'!AL42),'EDT Y TAREAS'!AJ42/'EDT Y TAREAS'!M42,0),IF(AND(141&gt;='EDT Y TAREAS'!AK49,141&lt;'EDT Y TAREAS'!AL49),'EDT Y TAREAS'!AJ49/'EDT Y TAREAS'!M49,0),IF(AND(141&gt;='EDT Y TAREAS'!AK50,141&lt;'EDT Y TAREAS'!AL50),'EDT Y TAREAS'!AJ50/'EDT Y TAREAS'!M50,0),IF(AND(141&gt;='EDT Y TAREAS'!AK51,141&lt;'EDT Y TAREAS'!AL51),'EDT Y TAREAS'!AJ51/'EDT Y TAREAS'!M51,0),IF(AND(141&gt;='EDT Y TAREAS'!AK52,141&lt;'EDT Y TAREAS'!AL52),'EDT Y TAREAS'!AJ52/'EDT Y TAREAS'!M52,0))</x:f>
        <x:v>1.6</x:v>
      </x:c>
      <x:c r="I181" s="10" t="n">
        <x:f>WORKDAY('RESUMEN'!$D$3-1,A181,'RESUMEN'!$J$6:$J$25)</x:f>
        <x:v>46525</x:v>
      </x:c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  <x:c r="AM181" s="3"/>
      <x:c r="AN181" s="3"/>
      <x:c r="AO181" s="3"/>
    </x:row>
    <x:row r="182" ht="24" customHeight="1">
      <x:c r="A182" s="3" t="n">
        <x:v>143</x:v>
      </x:c>
      <x:c r="B182" s="35" t="n">
        <x:f>SUM(IF(AND(142&gt;='EDT Y TAREAS'!AK6,142&lt;'EDT Y TAREAS'!AL6),'EDT Y TAREAS'!AD6/'EDT Y TAREAS'!M6,0),IF(AND(142&gt;='EDT Y TAREAS'!AK7,142&lt;'EDT Y TAREAS'!AL7),'EDT Y TAREAS'!AD7/'EDT Y TAREAS'!M7,0),IF(AND(142&gt;='EDT Y TAREAS'!AK8,142&lt;'EDT Y TAREAS'!AL8),'EDT Y TAREAS'!AD8/'EDT Y TAREAS'!M8,0),IF(AND(142&gt;='EDT Y TAREAS'!AK9,142&lt;'EDT Y TAREAS'!AL9),'EDT Y TAREAS'!AD9/'EDT Y TAREAS'!M9,0),IF(AND(142&gt;='EDT Y TAREAS'!AK10,142&lt;'EDT Y TAREAS'!AL10),'EDT Y TAREAS'!AD10/'EDT Y TAREAS'!M10,0),IF(AND(142&gt;='EDT Y TAREAS'!AK11,142&lt;'EDT Y TAREAS'!AL11),'EDT Y TAREAS'!AD11/'EDT Y TAREAS'!M11,0),IF(AND(142&gt;='EDT Y TAREAS'!AK12,142&lt;'EDT Y TAREAS'!AL12),'EDT Y TAREAS'!AD12/'EDT Y TAREAS'!M12,0),IF(AND(142&gt;='EDT Y TAREAS'!AK13,142&lt;'EDT Y TAREAS'!AL13),'EDT Y TAREAS'!AD13/'EDT Y TAREAS'!M13,0),IF(AND(142&gt;='EDT Y TAREAS'!AK14,142&lt;'EDT Y TAREAS'!AL14),'EDT Y TAREAS'!AD14/'EDT Y TAREAS'!M14,0),IF(AND(142&gt;='EDT Y TAREAS'!AK15,142&lt;'EDT Y TAREAS'!AL15),'EDT Y TAREAS'!AD15/'EDT Y TAREAS'!M15,0),IF(AND(142&gt;='EDT Y TAREAS'!AK16,142&lt;'EDT Y TAREAS'!AL16),'EDT Y TAREAS'!AD16/'EDT Y TAREAS'!M16,0),IF(AND(142&gt;='EDT Y TAREAS'!AK17,142&lt;'EDT Y TAREAS'!AL17),'EDT Y TAREAS'!AD17/'EDT Y TAREAS'!M17,0),IF(AND(142&gt;='EDT Y TAREAS'!AK18,142&lt;'EDT Y TAREAS'!AL18),'EDT Y TAREAS'!AD18/'EDT Y TAREAS'!M18,0),IF(AND(142&gt;='EDT Y TAREAS'!AK19,142&lt;'EDT Y TAREAS'!AL19),'EDT Y TAREAS'!AD19/'EDT Y TAREAS'!M19,0),IF(AND(142&gt;='EDT Y TAREAS'!AK20,142&lt;'EDT Y TAREAS'!AL20),'EDT Y TAREAS'!AD20/'EDT Y TAREAS'!M20,0),IF(AND(142&gt;='EDT Y TAREAS'!AK21,142&lt;'EDT Y TAREAS'!AL21),'EDT Y TAREAS'!AD21/'EDT Y TAREAS'!M21,0),IF(AND(142&gt;='EDT Y TAREAS'!AK22,142&lt;'EDT Y TAREAS'!AL22),'EDT Y TAREAS'!AD22/'EDT Y TAREAS'!M22,0),IF(AND(142&gt;='EDT Y TAREAS'!AK23,142&lt;'EDT Y TAREAS'!AL23),'EDT Y TAREAS'!AD23/'EDT Y TAREAS'!M23,0),IF(AND(142&gt;='EDT Y TAREAS'!AK26,142&lt;'EDT Y TAREAS'!AL26),'EDT Y TAREAS'!AD26/'EDT Y TAREAS'!M26,0),IF(AND(142&gt;='EDT Y TAREAS'!AK28,142&lt;'EDT Y TAREAS'!AL28),'EDT Y TAREAS'!AD28/'EDT Y TAREAS'!M28,0),IF(AND(142&gt;='EDT Y TAREAS'!AK30,142&lt;'EDT Y TAREAS'!AL30),'EDT Y TAREAS'!AD30/'EDT Y TAREAS'!M30,0),IF(AND(142&gt;='EDT Y TAREAS'!AK32,142&lt;'EDT Y TAREAS'!AL32),'EDT Y TAREAS'!AD32/'EDT Y TAREAS'!M32,0),IF(AND(142&gt;='EDT Y TAREAS'!AK34,142&lt;'EDT Y TAREAS'!AL34),'EDT Y TAREAS'!AD34/'EDT Y TAREAS'!M34,0),IF(AND(142&gt;='EDT Y TAREAS'!AK38,142&lt;'EDT Y TAREAS'!AL38),'EDT Y TAREAS'!AD38/'EDT Y TAREAS'!M38,0),IF(AND(142&gt;='EDT Y TAREAS'!AK39,142&lt;'EDT Y TAREAS'!AL39),'EDT Y TAREAS'!AD39/'EDT Y TAREAS'!M39,0),IF(AND(142&gt;='EDT Y TAREAS'!AK43,142&lt;'EDT Y TAREAS'!AL43),'EDT Y TAREAS'!AD43/'EDT Y TAREAS'!M43,0),IF(AND(142&gt;='EDT Y TAREAS'!AK44,142&lt;'EDT Y TAREAS'!AL44),'EDT Y TAREAS'!AD44/'EDT Y TAREAS'!M44,0),IF(AND(142&gt;='EDT Y TAREAS'!AK45,142&lt;'EDT Y TAREAS'!AL45),'EDT Y TAREAS'!AD45/'EDT Y TAREAS'!M45,0),IF(AND(142&gt;='EDT Y TAREAS'!AK46,142&lt;'EDT Y TAREAS'!AL46),'EDT Y TAREAS'!AD46/'EDT Y TAREAS'!M46,0),IF(AND(142&gt;='EDT Y TAREAS'!AK47,142&lt;'EDT Y TAREAS'!AL47),'EDT Y TAREAS'!AD47/'EDT Y TAREAS'!M47,0),IF(AND(142&gt;='EDT Y TAREAS'!AK49,142&lt;'EDT Y TAREAS'!AL49),'EDT Y TAREAS'!AD49/'EDT Y TAREAS'!M49,0),IF(AND(142&gt;='EDT Y TAREAS'!AK50,142&lt;'EDT Y TAREAS'!AL50),'EDT Y TAREAS'!AD50/'EDT Y TAREAS'!M50,0),IF(AND(142&gt;='EDT Y TAREAS'!AK51,142&lt;'EDT Y TAREAS'!AL51),'EDT Y TAREAS'!AD51/'EDT Y TAREAS'!M51,0),IF(AND(142&gt;='EDT Y TAREAS'!AK52,142&lt;'EDT Y TAREAS'!AL52),'EDT Y TAREAS'!AD52/'EDT Y TAREAS'!M52,0))</x:f>
        <x:v>1.6</x:v>
      </x:c>
      <x:c r="C182" s="35" t="n">
        <x:f>SUM(IF(AND(142&gt;='EDT Y TAREAS'!AK6,142&lt;'EDT Y TAREAS'!AL6),'EDT Y TAREAS'!AE6/'EDT Y TAREAS'!M6,0),IF(AND(142&gt;='EDT Y TAREAS'!AK8,142&lt;'EDT Y TAREAS'!AL8),'EDT Y TAREAS'!AE8/'EDT Y TAREAS'!M8,0),IF(AND(142&gt;='EDT Y TAREAS'!AK9,142&lt;'EDT Y TAREAS'!AL9),'EDT Y TAREAS'!AE9/'EDT Y TAREAS'!M9,0),IF(AND(142&gt;='EDT Y TAREAS'!AK10,142&lt;'EDT Y TAREAS'!AL10),'EDT Y TAREAS'!AE10/'EDT Y TAREAS'!M10,0),IF(AND(142&gt;='EDT Y TAREAS'!AK12,142&lt;'EDT Y TAREAS'!AL12),'EDT Y TAREAS'!AE12/'EDT Y TAREAS'!M12,0),IF(AND(142&gt;='EDT Y TAREAS'!AK16,142&lt;'EDT Y TAREAS'!AL16),'EDT Y TAREAS'!AE16/'EDT Y TAREAS'!M16,0),IF(AND(142&gt;='EDT Y TAREAS'!AK21,142&lt;'EDT Y TAREAS'!AL21),'EDT Y TAREAS'!AE21/'EDT Y TAREAS'!M21,0),IF(AND(142&gt;='EDT Y TAREAS'!AK23,142&lt;'EDT Y TAREAS'!AL23),'EDT Y TAREAS'!AE23/'EDT Y TAREAS'!M23,0),IF(AND(142&gt;='EDT Y TAREAS'!AK37,142&lt;'EDT Y TAREAS'!AL37),'EDT Y TAREAS'!AE37/'EDT Y TAREAS'!M37,0),IF(AND(142&gt;='EDT Y TAREAS'!AK38,142&lt;'EDT Y TAREAS'!AL38),'EDT Y TAREAS'!AE38/'EDT Y TAREAS'!M38,0),IF(AND(142&gt;='EDT Y TAREAS'!AK41,142&lt;'EDT Y TAREAS'!AL41),'EDT Y TAREAS'!AE41/'EDT Y TAREAS'!M41,0),IF(AND(142&gt;='EDT Y TAREAS'!AK43,142&lt;'EDT Y TAREAS'!AL43),'EDT Y TAREAS'!AE43/'EDT Y TAREAS'!M43,0),IF(AND(142&gt;='EDT Y TAREAS'!AK44,142&lt;'EDT Y TAREAS'!AL44),'EDT Y TAREAS'!AE44/'EDT Y TAREAS'!M44,0),IF(AND(142&gt;='EDT Y TAREAS'!AK46,142&lt;'EDT Y TAREAS'!AL46),'EDT Y TAREAS'!AE46/'EDT Y TAREAS'!M46,0),IF(AND(142&gt;='EDT Y TAREAS'!AK47,142&lt;'EDT Y TAREAS'!AL47),'EDT Y TAREAS'!AE47/'EDT Y TAREAS'!M47,0),IF(AND(142&gt;='EDT Y TAREAS'!AK51,142&lt;'EDT Y TAREAS'!AL51),'EDT Y TAREAS'!AE51/'EDT Y TAREAS'!M51,0),IF(AND(142&gt;='EDT Y TAREAS'!AK52,142&lt;'EDT Y TAREAS'!AL52),'EDT Y TAREAS'!AE52/'EDT Y TAREAS'!M52,0))</x:f>
        <x:v>0</x:v>
      </x:c>
      <x:c r="D182" s="35" t="n">
        <x:f>SUM(IF(AND(142&gt;='EDT Y TAREAS'!AK11,142&lt;'EDT Y TAREAS'!AL11),'EDT Y TAREAS'!AF11/'EDT Y TAREAS'!M11,0),IF(AND(142&gt;='EDT Y TAREAS'!AK24,142&lt;'EDT Y TAREAS'!AL24),'EDT Y TAREAS'!AF24/'EDT Y TAREAS'!M24,0),IF(AND(142&gt;='EDT Y TAREAS'!AK25,142&lt;'EDT Y TAREAS'!AL25),'EDT Y TAREAS'!AF25/'EDT Y TAREAS'!M25,0),IF(AND(142&gt;='EDT Y TAREAS'!AK26,142&lt;'EDT Y TAREAS'!AL26),'EDT Y TAREAS'!AF26/'EDT Y TAREAS'!M26,0),IF(AND(142&gt;='EDT Y TAREAS'!AK27,142&lt;'EDT Y TAREAS'!AL27),'EDT Y TAREAS'!AF27/'EDT Y TAREAS'!M27,0),IF(AND(142&gt;='EDT Y TAREAS'!AK28,142&lt;'EDT Y TAREAS'!AL28),'EDT Y TAREAS'!AF28/'EDT Y TAREAS'!M28,0),IF(AND(142&gt;='EDT Y TAREAS'!AK31,142&lt;'EDT Y TAREAS'!AL31),'EDT Y TAREAS'!AF31/'EDT Y TAREAS'!M31,0),IF(AND(142&gt;='EDT Y TAREAS'!AK33,142&lt;'EDT Y TAREAS'!AL33),'EDT Y TAREAS'!AF33/'EDT Y TAREAS'!M33,0),IF(AND(142&gt;='EDT Y TAREAS'!AK34,142&lt;'EDT Y TAREAS'!AL34),'EDT Y TAREAS'!AF34/'EDT Y TAREAS'!M34,0),IF(AND(142&gt;='EDT Y TAREAS'!AK35,142&lt;'EDT Y TAREAS'!AL35),'EDT Y TAREAS'!AF35/'EDT Y TAREAS'!M35,0),IF(AND(142&gt;='EDT Y TAREAS'!AK37,142&lt;'EDT Y TAREAS'!AL37),'EDT Y TAREAS'!AF37/'EDT Y TAREAS'!M37,0),IF(AND(142&gt;='EDT Y TAREAS'!AK39,142&lt;'EDT Y TAREAS'!AL39),'EDT Y TAREAS'!AF39/'EDT Y TAREAS'!M39,0),IF(AND(142&gt;='EDT Y TAREAS'!AK40,142&lt;'EDT Y TAREAS'!AL40),'EDT Y TAREAS'!AF40/'EDT Y TAREAS'!M40,0),IF(AND(142&gt;='EDT Y TAREAS'!AK42,142&lt;'EDT Y TAREAS'!AL42),'EDT Y TAREAS'!AF42/'EDT Y TAREAS'!M42,0),IF(AND(142&gt;='EDT Y TAREAS'!AK45,142&lt;'EDT Y TAREAS'!AL45),'EDT Y TAREAS'!AF45/'EDT Y TAREAS'!M45,0),IF(AND(142&gt;='EDT Y TAREAS'!AK49,142&lt;'EDT Y TAREAS'!AL49),'EDT Y TAREAS'!AF49/'EDT Y TAREAS'!M49,0),IF(AND(142&gt;='EDT Y TAREAS'!AK52,142&lt;'EDT Y TAREAS'!AL52),'EDT Y TAREAS'!AF52/'EDT Y TAREAS'!M52,0))</x:f>
        <x:v>0</x:v>
      </x:c>
      <x:c r="E182" s="35" t="n">
        <x:f>SUM(IF(AND(142&gt;='EDT Y TAREAS'!AK29,142&lt;'EDT Y TAREAS'!AL29),'EDT Y TAREAS'!AG29/'EDT Y TAREAS'!M29,0),IF(AND(142&gt;='EDT Y TAREAS'!AK30,142&lt;'EDT Y TAREAS'!AL30),'EDT Y TAREAS'!AG30/'EDT Y TAREAS'!M30,0),IF(AND(142&gt;='EDT Y TAREAS'!AK31,142&lt;'EDT Y TAREAS'!AL31),'EDT Y TAREAS'!AG31/'EDT Y TAREAS'!M31,0),IF(AND(142&gt;='EDT Y TAREAS'!AK32,142&lt;'EDT Y TAREAS'!AL32),'EDT Y TAREAS'!AG32/'EDT Y TAREAS'!M32,0),IF(AND(142&gt;='EDT Y TAREAS'!AK41,142&lt;'EDT Y TAREAS'!AL41),'EDT Y TAREAS'!AG41/'EDT Y TAREAS'!M41,0),IF(AND(142&gt;='EDT Y TAREAS'!AK45,142&lt;'EDT Y TAREAS'!AL45),'EDT Y TAREAS'!AG45/'EDT Y TAREAS'!M45,0),IF(AND(142&gt;='EDT Y TAREAS'!AK48,142&lt;'EDT Y TAREAS'!AL48),'EDT Y TAREAS'!AG48/'EDT Y TAREAS'!M48,0))</x:f>
        <x:v>0</x:v>
      </x:c>
      <x:c r="F182" s="35" t="n">
        <x:f>SUM(IF(AND(142&gt;='EDT Y TAREAS'!AK10,142&lt;'EDT Y TAREAS'!AL10),'EDT Y TAREAS'!AH10/'EDT Y TAREAS'!M10,0),IF(AND(142&gt;='EDT Y TAREAS'!AK12,142&lt;'EDT Y TAREAS'!AL12),'EDT Y TAREAS'!AH12/'EDT Y TAREAS'!M12,0),IF(AND(142&gt;='EDT Y TAREAS'!AK22,142&lt;'EDT Y TAREAS'!AL22),'EDT Y TAREAS'!AH22/'EDT Y TAREAS'!M22,0),IF(AND(142&gt;='EDT Y TAREAS'!AK23,142&lt;'EDT Y TAREAS'!AL23),'EDT Y TAREAS'!AH23/'EDT Y TAREAS'!M23,0),IF(AND(142&gt;='EDT Y TAREAS'!AK29,142&lt;'EDT Y TAREAS'!AL29),'EDT Y TAREAS'!AH29/'EDT Y TAREAS'!M29,0),IF(AND(142&gt;='EDT Y TAREAS'!AK30,142&lt;'EDT Y TAREAS'!AL30),'EDT Y TAREAS'!AH30/'EDT Y TAREAS'!M30,0),IF(AND(142&gt;='EDT Y TAREAS'!AK32,142&lt;'EDT Y TAREAS'!AL32),'EDT Y TAREAS'!AH32/'EDT Y TAREAS'!M32,0),IF(AND(142&gt;='EDT Y TAREAS'!AK41,142&lt;'EDT Y TAREAS'!AL41),'EDT Y TAREAS'!AH41/'EDT Y TAREAS'!M41,0),IF(AND(142&gt;='EDT Y TAREAS'!AK44,142&lt;'EDT Y TAREAS'!AL44),'EDT Y TAREAS'!AH44/'EDT Y TAREAS'!M44,0),IF(AND(142&gt;='EDT Y TAREAS'!AK46,142&lt;'EDT Y TAREAS'!AL46),'EDT Y TAREAS'!AH46/'EDT Y TAREAS'!M46,0),IF(AND(142&gt;='EDT Y TAREAS'!AK48,142&lt;'EDT Y TAREAS'!AL48),'EDT Y TAREAS'!AH48/'EDT Y TAREAS'!M48,0))</x:f>
        <x:v>0</x:v>
      </x:c>
      <x:c r="G182" s="35" t="n">
        <x:f>SUM(IF(AND(142&gt;='EDT Y TAREAS'!AK20,142&lt;'EDT Y TAREAS'!AL20),'EDT Y TAREAS'!AI20/'EDT Y TAREAS'!M20,0),IF(AND(142&gt;='EDT Y TAREAS'!AK25,142&lt;'EDT Y TAREAS'!AL25),'EDT Y TAREAS'!AI25/'EDT Y TAREAS'!M25,0),IF(AND(142&gt;='EDT Y TAREAS'!AK33,142&lt;'EDT Y TAREAS'!AL33),'EDT Y TAREAS'!AI33/'EDT Y TAREAS'!M33,0),IF(AND(142&gt;='EDT Y TAREAS'!AK34,142&lt;'EDT Y TAREAS'!AL34),'EDT Y TAREAS'!AI34/'EDT Y TAREAS'!M34,0),IF(AND(142&gt;='EDT Y TAREAS'!AK36,142&lt;'EDT Y TAREAS'!AL36),'EDT Y TAREAS'!AI36/'EDT Y TAREAS'!M36,0),IF(AND(142&gt;='EDT Y TAREAS'!AK39,142&lt;'EDT Y TAREAS'!AL39),'EDT Y TAREAS'!AI39/'EDT Y TAREAS'!M39,0),IF(AND(142&gt;='EDT Y TAREAS'!AK40,142&lt;'EDT Y TAREAS'!AL40),'EDT Y TAREAS'!AI40/'EDT Y TAREAS'!M40,0),IF(AND(142&gt;='EDT Y TAREAS'!AK42,142&lt;'EDT Y TAREAS'!AL42),'EDT Y TAREAS'!AI42/'EDT Y TAREAS'!M42,0),IF(AND(142&gt;='EDT Y TAREAS'!AK43,142&lt;'EDT Y TAREAS'!AL43),'EDT Y TAREAS'!AI43/'EDT Y TAREAS'!M43,0),IF(AND(142&gt;='EDT Y TAREAS'!AK44,142&lt;'EDT Y TAREAS'!AL44),'EDT Y TAREAS'!AI44/'EDT Y TAREAS'!M44,0),IF(AND(142&gt;='EDT Y TAREAS'!AK45,142&lt;'EDT Y TAREAS'!AL45),'EDT Y TAREAS'!AI45/'EDT Y TAREAS'!M45,0),IF(AND(142&gt;='EDT Y TAREAS'!AK46,142&lt;'EDT Y TAREAS'!AL46),'EDT Y TAREAS'!AI46/'EDT Y TAREAS'!M46,0),IF(AND(142&gt;='EDT Y TAREAS'!AK48,142&lt;'EDT Y TAREAS'!AL48),'EDT Y TAREAS'!AI48/'EDT Y TAREAS'!M48,0),IF(AND(142&gt;='EDT Y TAREAS'!AK50,142&lt;'EDT Y TAREAS'!AL50),'EDT Y TAREAS'!AI50/'EDT Y TAREAS'!M50,0),IF(AND(142&gt;='EDT Y TAREAS'!AK52,142&lt;'EDT Y TAREAS'!AL52),'EDT Y TAREAS'!AI52/'EDT Y TAREAS'!M52,0))</x:f>
        <x:v>4.8</x:v>
      </x:c>
      <x:c r="H182" s="35" t="n">
        <x:f>SUM(IF(AND(142&gt;='EDT Y TAREAS'!AK11,142&lt;'EDT Y TAREAS'!AL11),'EDT Y TAREAS'!AJ11/'EDT Y TAREAS'!M11,0),IF(AND(142&gt;='EDT Y TAREAS'!AK24,142&lt;'EDT Y TAREAS'!AL24),'EDT Y TAREAS'!AJ24/'EDT Y TAREAS'!M24,0),IF(AND(142&gt;='EDT Y TAREAS'!AK27,142&lt;'EDT Y TAREAS'!AL27),'EDT Y TAREAS'!AJ27/'EDT Y TAREAS'!M27,0),IF(AND(142&gt;='EDT Y TAREAS'!AK28,142&lt;'EDT Y TAREAS'!AL28),'EDT Y TAREAS'!AJ28/'EDT Y TAREAS'!M28,0),IF(AND(142&gt;='EDT Y TAREAS'!AK33,142&lt;'EDT Y TAREAS'!AL33),'EDT Y TAREAS'!AJ33/'EDT Y TAREAS'!M33,0),IF(AND(142&gt;='EDT Y TAREAS'!AK35,142&lt;'EDT Y TAREAS'!AL35),'EDT Y TAREAS'!AJ35/'EDT Y TAREAS'!M35,0),IF(AND(142&gt;='EDT Y TAREAS'!AK36,142&lt;'EDT Y TAREAS'!AL36),'EDT Y TAREAS'!AJ36/'EDT Y TAREAS'!M36,0),IF(AND(142&gt;='EDT Y TAREAS'!AK37,142&lt;'EDT Y TAREAS'!AL37),'EDT Y TAREAS'!AJ37/'EDT Y TAREAS'!M37,0),IF(AND(142&gt;='EDT Y TAREAS'!AK40,142&lt;'EDT Y TAREAS'!AL40),'EDT Y TAREAS'!AJ40/'EDT Y TAREAS'!M40,0),IF(AND(142&gt;='EDT Y TAREAS'!AK42,142&lt;'EDT Y TAREAS'!AL42),'EDT Y TAREAS'!AJ42/'EDT Y TAREAS'!M42,0),IF(AND(142&gt;='EDT Y TAREAS'!AK49,142&lt;'EDT Y TAREAS'!AL49),'EDT Y TAREAS'!AJ49/'EDT Y TAREAS'!M49,0),IF(AND(142&gt;='EDT Y TAREAS'!AK50,142&lt;'EDT Y TAREAS'!AL50),'EDT Y TAREAS'!AJ50/'EDT Y TAREAS'!M50,0),IF(AND(142&gt;='EDT Y TAREAS'!AK51,142&lt;'EDT Y TAREAS'!AL51),'EDT Y TAREAS'!AJ51/'EDT Y TAREAS'!M51,0),IF(AND(142&gt;='EDT Y TAREAS'!AK52,142&lt;'EDT Y TAREAS'!AL52),'EDT Y TAREAS'!AJ52/'EDT Y TAREAS'!M52,0))</x:f>
        <x:v>1.6</x:v>
      </x:c>
      <x:c r="I182" s="10" t="n">
        <x:f>WORKDAY('RESUMEN'!$D$3-1,A182,'RESUMEN'!$J$6:$J$25)</x:f>
        <x:v>46526</x:v>
      </x:c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  <x:c r="AL182" s="3"/>
      <x:c r="AM182" s="3"/>
      <x:c r="AN182" s="3"/>
      <x:c r="AO182" s="3"/>
    </x:row>
    <x:row r="183" ht="24" customHeight="1">
      <x:c r="A183" s="3" t="n">
        <x:v>144</x:v>
      </x:c>
      <x:c r="B183" s="35" t="n">
        <x:f>SUM(IF(AND(143&gt;='EDT Y TAREAS'!AK6,143&lt;'EDT Y TAREAS'!AL6),'EDT Y TAREAS'!AD6/'EDT Y TAREAS'!M6,0),IF(AND(143&gt;='EDT Y TAREAS'!AK7,143&lt;'EDT Y TAREAS'!AL7),'EDT Y TAREAS'!AD7/'EDT Y TAREAS'!M7,0),IF(AND(143&gt;='EDT Y TAREAS'!AK8,143&lt;'EDT Y TAREAS'!AL8),'EDT Y TAREAS'!AD8/'EDT Y TAREAS'!M8,0),IF(AND(143&gt;='EDT Y TAREAS'!AK9,143&lt;'EDT Y TAREAS'!AL9),'EDT Y TAREAS'!AD9/'EDT Y TAREAS'!M9,0),IF(AND(143&gt;='EDT Y TAREAS'!AK10,143&lt;'EDT Y TAREAS'!AL10),'EDT Y TAREAS'!AD10/'EDT Y TAREAS'!M10,0),IF(AND(143&gt;='EDT Y TAREAS'!AK11,143&lt;'EDT Y TAREAS'!AL11),'EDT Y TAREAS'!AD11/'EDT Y TAREAS'!M11,0),IF(AND(143&gt;='EDT Y TAREAS'!AK12,143&lt;'EDT Y TAREAS'!AL12),'EDT Y TAREAS'!AD12/'EDT Y TAREAS'!M12,0),IF(AND(143&gt;='EDT Y TAREAS'!AK13,143&lt;'EDT Y TAREAS'!AL13),'EDT Y TAREAS'!AD13/'EDT Y TAREAS'!M13,0),IF(AND(143&gt;='EDT Y TAREAS'!AK14,143&lt;'EDT Y TAREAS'!AL14),'EDT Y TAREAS'!AD14/'EDT Y TAREAS'!M14,0),IF(AND(143&gt;='EDT Y TAREAS'!AK15,143&lt;'EDT Y TAREAS'!AL15),'EDT Y TAREAS'!AD15/'EDT Y TAREAS'!M15,0),IF(AND(143&gt;='EDT Y TAREAS'!AK16,143&lt;'EDT Y TAREAS'!AL16),'EDT Y TAREAS'!AD16/'EDT Y TAREAS'!M16,0),IF(AND(143&gt;='EDT Y TAREAS'!AK17,143&lt;'EDT Y TAREAS'!AL17),'EDT Y TAREAS'!AD17/'EDT Y TAREAS'!M17,0),IF(AND(143&gt;='EDT Y TAREAS'!AK18,143&lt;'EDT Y TAREAS'!AL18),'EDT Y TAREAS'!AD18/'EDT Y TAREAS'!M18,0),IF(AND(143&gt;='EDT Y TAREAS'!AK19,143&lt;'EDT Y TAREAS'!AL19),'EDT Y TAREAS'!AD19/'EDT Y TAREAS'!M19,0),IF(AND(143&gt;='EDT Y TAREAS'!AK20,143&lt;'EDT Y TAREAS'!AL20),'EDT Y TAREAS'!AD20/'EDT Y TAREAS'!M20,0),IF(AND(143&gt;='EDT Y TAREAS'!AK21,143&lt;'EDT Y TAREAS'!AL21),'EDT Y TAREAS'!AD21/'EDT Y TAREAS'!M21,0),IF(AND(143&gt;='EDT Y TAREAS'!AK22,143&lt;'EDT Y TAREAS'!AL22),'EDT Y TAREAS'!AD22/'EDT Y TAREAS'!M22,0),IF(AND(143&gt;='EDT Y TAREAS'!AK23,143&lt;'EDT Y TAREAS'!AL23),'EDT Y TAREAS'!AD23/'EDT Y TAREAS'!M23,0),IF(AND(143&gt;='EDT Y TAREAS'!AK26,143&lt;'EDT Y TAREAS'!AL26),'EDT Y TAREAS'!AD26/'EDT Y TAREAS'!M26,0),IF(AND(143&gt;='EDT Y TAREAS'!AK28,143&lt;'EDT Y TAREAS'!AL28),'EDT Y TAREAS'!AD28/'EDT Y TAREAS'!M28,0),IF(AND(143&gt;='EDT Y TAREAS'!AK30,143&lt;'EDT Y TAREAS'!AL30),'EDT Y TAREAS'!AD30/'EDT Y TAREAS'!M30,0),IF(AND(143&gt;='EDT Y TAREAS'!AK32,143&lt;'EDT Y TAREAS'!AL32),'EDT Y TAREAS'!AD32/'EDT Y TAREAS'!M32,0),IF(AND(143&gt;='EDT Y TAREAS'!AK34,143&lt;'EDT Y TAREAS'!AL34),'EDT Y TAREAS'!AD34/'EDT Y TAREAS'!M34,0),IF(AND(143&gt;='EDT Y TAREAS'!AK38,143&lt;'EDT Y TAREAS'!AL38),'EDT Y TAREAS'!AD38/'EDT Y TAREAS'!M38,0),IF(AND(143&gt;='EDT Y TAREAS'!AK39,143&lt;'EDT Y TAREAS'!AL39),'EDT Y TAREAS'!AD39/'EDT Y TAREAS'!M39,0),IF(AND(143&gt;='EDT Y TAREAS'!AK43,143&lt;'EDT Y TAREAS'!AL43),'EDT Y TAREAS'!AD43/'EDT Y TAREAS'!M43,0),IF(AND(143&gt;='EDT Y TAREAS'!AK44,143&lt;'EDT Y TAREAS'!AL44),'EDT Y TAREAS'!AD44/'EDT Y TAREAS'!M44,0),IF(AND(143&gt;='EDT Y TAREAS'!AK45,143&lt;'EDT Y TAREAS'!AL45),'EDT Y TAREAS'!AD45/'EDT Y TAREAS'!M45,0),IF(AND(143&gt;='EDT Y TAREAS'!AK46,143&lt;'EDT Y TAREAS'!AL46),'EDT Y TAREAS'!AD46/'EDT Y TAREAS'!M46,0),IF(AND(143&gt;='EDT Y TAREAS'!AK47,143&lt;'EDT Y TAREAS'!AL47),'EDT Y TAREAS'!AD47/'EDT Y TAREAS'!M47,0),IF(AND(143&gt;='EDT Y TAREAS'!AK49,143&lt;'EDT Y TAREAS'!AL49),'EDT Y TAREAS'!AD49/'EDT Y TAREAS'!M49,0),IF(AND(143&gt;='EDT Y TAREAS'!AK50,143&lt;'EDT Y TAREAS'!AL50),'EDT Y TAREAS'!AD50/'EDT Y TAREAS'!M50,0),IF(AND(143&gt;='EDT Y TAREAS'!AK51,143&lt;'EDT Y TAREAS'!AL51),'EDT Y TAREAS'!AD51/'EDT Y TAREAS'!M51,0),IF(AND(143&gt;='EDT Y TAREAS'!AK52,143&lt;'EDT Y TAREAS'!AL52),'EDT Y TAREAS'!AD52/'EDT Y TAREAS'!M52,0))</x:f>
        <x:v>1.6</x:v>
      </x:c>
      <x:c r="C183" s="35" t="n">
        <x:f>SUM(IF(AND(143&gt;='EDT Y TAREAS'!AK6,143&lt;'EDT Y TAREAS'!AL6),'EDT Y TAREAS'!AE6/'EDT Y TAREAS'!M6,0),IF(AND(143&gt;='EDT Y TAREAS'!AK8,143&lt;'EDT Y TAREAS'!AL8),'EDT Y TAREAS'!AE8/'EDT Y TAREAS'!M8,0),IF(AND(143&gt;='EDT Y TAREAS'!AK9,143&lt;'EDT Y TAREAS'!AL9),'EDT Y TAREAS'!AE9/'EDT Y TAREAS'!M9,0),IF(AND(143&gt;='EDT Y TAREAS'!AK10,143&lt;'EDT Y TAREAS'!AL10),'EDT Y TAREAS'!AE10/'EDT Y TAREAS'!M10,0),IF(AND(143&gt;='EDT Y TAREAS'!AK12,143&lt;'EDT Y TAREAS'!AL12),'EDT Y TAREAS'!AE12/'EDT Y TAREAS'!M12,0),IF(AND(143&gt;='EDT Y TAREAS'!AK16,143&lt;'EDT Y TAREAS'!AL16),'EDT Y TAREAS'!AE16/'EDT Y TAREAS'!M16,0),IF(AND(143&gt;='EDT Y TAREAS'!AK21,143&lt;'EDT Y TAREAS'!AL21),'EDT Y TAREAS'!AE21/'EDT Y TAREAS'!M21,0),IF(AND(143&gt;='EDT Y TAREAS'!AK23,143&lt;'EDT Y TAREAS'!AL23),'EDT Y TAREAS'!AE23/'EDT Y TAREAS'!M23,0),IF(AND(143&gt;='EDT Y TAREAS'!AK37,143&lt;'EDT Y TAREAS'!AL37),'EDT Y TAREAS'!AE37/'EDT Y TAREAS'!M37,0),IF(AND(143&gt;='EDT Y TAREAS'!AK38,143&lt;'EDT Y TAREAS'!AL38),'EDT Y TAREAS'!AE38/'EDT Y TAREAS'!M38,0),IF(AND(143&gt;='EDT Y TAREAS'!AK41,143&lt;'EDT Y TAREAS'!AL41),'EDT Y TAREAS'!AE41/'EDT Y TAREAS'!M41,0),IF(AND(143&gt;='EDT Y TAREAS'!AK43,143&lt;'EDT Y TAREAS'!AL43),'EDT Y TAREAS'!AE43/'EDT Y TAREAS'!M43,0),IF(AND(143&gt;='EDT Y TAREAS'!AK44,143&lt;'EDT Y TAREAS'!AL44),'EDT Y TAREAS'!AE44/'EDT Y TAREAS'!M44,0),IF(AND(143&gt;='EDT Y TAREAS'!AK46,143&lt;'EDT Y TAREAS'!AL46),'EDT Y TAREAS'!AE46/'EDT Y TAREAS'!M46,0),IF(AND(143&gt;='EDT Y TAREAS'!AK47,143&lt;'EDT Y TAREAS'!AL47),'EDT Y TAREAS'!AE47/'EDT Y TAREAS'!M47,0),IF(AND(143&gt;='EDT Y TAREAS'!AK51,143&lt;'EDT Y TAREAS'!AL51),'EDT Y TAREAS'!AE51/'EDT Y TAREAS'!M51,0),IF(AND(143&gt;='EDT Y TAREAS'!AK52,143&lt;'EDT Y TAREAS'!AL52),'EDT Y TAREAS'!AE52/'EDT Y TAREAS'!M52,0))</x:f>
        <x:v>0</x:v>
      </x:c>
      <x:c r="D183" s="35" t="n">
        <x:f>SUM(IF(AND(143&gt;='EDT Y TAREAS'!AK11,143&lt;'EDT Y TAREAS'!AL11),'EDT Y TAREAS'!AF11/'EDT Y TAREAS'!M11,0),IF(AND(143&gt;='EDT Y TAREAS'!AK24,143&lt;'EDT Y TAREAS'!AL24),'EDT Y TAREAS'!AF24/'EDT Y TAREAS'!M24,0),IF(AND(143&gt;='EDT Y TAREAS'!AK25,143&lt;'EDT Y TAREAS'!AL25),'EDT Y TAREAS'!AF25/'EDT Y TAREAS'!M25,0),IF(AND(143&gt;='EDT Y TAREAS'!AK26,143&lt;'EDT Y TAREAS'!AL26),'EDT Y TAREAS'!AF26/'EDT Y TAREAS'!M26,0),IF(AND(143&gt;='EDT Y TAREAS'!AK27,143&lt;'EDT Y TAREAS'!AL27),'EDT Y TAREAS'!AF27/'EDT Y TAREAS'!M27,0),IF(AND(143&gt;='EDT Y TAREAS'!AK28,143&lt;'EDT Y TAREAS'!AL28),'EDT Y TAREAS'!AF28/'EDT Y TAREAS'!M28,0),IF(AND(143&gt;='EDT Y TAREAS'!AK31,143&lt;'EDT Y TAREAS'!AL31),'EDT Y TAREAS'!AF31/'EDT Y TAREAS'!M31,0),IF(AND(143&gt;='EDT Y TAREAS'!AK33,143&lt;'EDT Y TAREAS'!AL33),'EDT Y TAREAS'!AF33/'EDT Y TAREAS'!M33,0),IF(AND(143&gt;='EDT Y TAREAS'!AK34,143&lt;'EDT Y TAREAS'!AL34),'EDT Y TAREAS'!AF34/'EDT Y TAREAS'!M34,0),IF(AND(143&gt;='EDT Y TAREAS'!AK35,143&lt;'EDT Y TAREAS'!AL35),'EDT Y TAREAS'!AF35/'EDT Y TAREAS'!M35,0),IF(AND(143&gt;='EDT Y TAREAS'!AK37,143&lt;'EDT Y TAREAS'!AL37),'EDT Y TAREAS'!AF37/'EDT Y TAREAS'!M37,0),IF(AND(143&gt;='EDT Y TAREAS'!AK39,143&lt;'EDT Y TAREAS'!AL39),'EDT Y TAREAS'!AF39/'EDT Y TAREAS'!M39,0),IF(AND(143&gt;='EDT Y TAREAS'!AK40,143&lt;'EDT Y TAREAS'!AL40),'EDT Y TAREAS'!AF40/'EDT Y TAREAS'!M40,0),IF(AND(143&gt;='EDT Y TAREAS'!AK42,143&lt;'EDT Y TAREAS'!AL42),'EDT Y TAREAS'!AF42/'EDT Y TAREAS'!M42,0),IF(AND(143&gt;='EDT Y TAREAS'!AK45,143&lt;'EDT Y TAREAS'!AL45),'EDT Y TAREAS'!AF45/'EDT Y TAREAS'!M45,0),IF(AND(143&gt;='EDT Y TAREAS'!AK49,143&lt;'EDT Y TAREAS'!AL49),'EDT Y TAREAS'!AF49/'EDT Y TAREAS'!M49,0),IF(AND(143&gt;='EDT Y TAREAS'!AK52,143&lt;'EDT Y TAREAS'!AL52),'EDT Y TAREAS'!AF52/'EDT Y TAREAS'!M52,0))</x:f>
        <x:v>0</x:v>
      </x:c>
      <x:c r="E183" s="35" t="n">
        <x:f>SUM(IF(AND(143&gt;='EDT Y TAREAS'!AK29,143&lt;'EDT Y TAREAS'!AL29),'EDT Y TAREAS'!AG29/'EDT Y TAREAS'!M29,0),IF(AND(143&gt;='EDT Y TAREAS'!AK30,143&lt;'EDT Y TAREAS'!AL30),'EDT Y TAREAS'!AG30/'EDT Y TAREAS'!M30,0),IF(AND(143&gt;='EDT Y TAREAS'!AK31,143&lt;'EDT Y TAREAS'!AL31),'EDT Y TAREAS'!AG31/'EDT Y TAREAS'!M31,0),IF(AND(143&gt;='EDT Y TAREAS'!AK32,143&lt;'EDT Y TAREAS'!AL32),'EDT Y TAREAS'!AG32/'EDT Y TAREAS'!M32,0),IF(AND(143&gt;='EDT Y TAREAS'!AK41,143&lt;'EDT Y TAREAS'!AL41),'EDT Y TAREAS'!AG41/'EDT Y TAREAS'!M41,0),IF(AND(143&gt;='EDT Y TAREAS'!AK45,143&lt;'EDT Y TAREAS'!AL45),'EDT Y TAREAS'!AG45/'EDT Y TAREAS'!M45,0),IF(AND(143&gt;='EDT Y TAREAS'!AK48,143&lt;'EDT Y TAREAS'!AL48),'EDT Y TAREAS'!AG48/'EDT Y TAREAS'!M48,0))</x:f>
        <x:v>0</x:v>
      </x:c>
      <x:c r="F183" s="35" t="n">
        <x:f>SUM(IF(AND(143&gt;='EDT Y TAREAS'!AK10,143&lt;'EDT Y TAREAS'!AL10),'EDT Y TAREAS'!AH10/'EDT Y TAREAS'!M10,0),IF(AND(143&gt;='EDT Y TAREAS'!AK12,143&lt;'EDT Y TAREAS'!AL12),'EDT Y TAREAS'!AH12/'EDT Y TAREAS'!M12,0),IF(AND(143&gt;='EDT Y TAREAS'!AK22,143&lt;'EDT Y TAREAS'!AL22),'EDT Y TAREAS'!AH22/'EDT Y TAREAS'!M22,0),IF(AND(143&gt;='EDT Y TAREAS'!AK23,143&lt;'EDT Y TAREAS'!AL23),'EDT Y TAREAS'!AH23/'EDT Y TAREAS'!M23,0),IF(AND(143&gt;='EDT Y TAREAS'!AK29,143&lt;'EDT Y TAREAS'!AL29),'EDT Y TAREAS'!AH29/'EDT Y TAREAS'!M29,0),IF(AND(143&gt;='EDT Y TAREAS'!AK30,143&lt;'EDT Y TAREAS'!AL30),'EDT Y TAREAS'!AH30/'EDT Y TAREAS'!M30,0),IF(AND(143&gt;='EDT Y TAREAS'!AK32,143&lt;'EDT Y TAREAS'!AL32),'EDT Y TAREAS'!AH32/'EDT Y TAREAS'!M32,0),IF(AND(143&gt;='EDT Y TAREAS'!AK41,143&lt;'EDT Y TAREAS'!AL41),'EDT Y TAREAS'!AH41/'EDT Y TAREAS'!M41,0),IF(AND(143&gt;='EDT Y TAREAS'!AK44,143&lt;'EDT Y TAREAS'!AL44),'EDT Y TAREAS'!AH44/'EDT Y TAREAS'!M44,0),IF(AND(143&gt;='EDT Y TAREAS'!AK46,143&lt;'EDT Y TAREAS'!AL46),'EDT Y TAREAS'!AH46/'EDT Y TAREAS'!M46,0),IF(AND(143&gt;='EDT Y TAREAS'!AK48,143&lt;'EDT Y TAREAS'!AL48),'EDT Y TAREAS'!AH48/'EDT Y TAREAS'!M48,0))</x:f>
        <x:v>0</x:v>
      </x:c>
      <x:c r="G183" s="35" t="n">
        <x:f>SUM(IF(AND(143&gt;='EDT Y TAREAS'!AK20,143&lt;'EDT Y TAREAS'!AL20),'EDT Y TAREAS'!AI20/'EDT Y TAREAS'!M20,0),IF(AND(143&gt;='EDT Y TAREAS'!AK25,143&lt;'EDT Y TAREAS'!AL25),'EDT Y TAREAS'!AI25/'EDT Y TAREAS'!M25,0),IF(AND(143&gt;='EDT Y TAREAS'!AK33,143&lt;'EDT Y TAREAS'!AL33),'EDT Y TAREAS'!AI33/'EDT Y TAREAS'!M33,0),IF(AND(143&gt;='EDT Y TAREAS'!AK34,143&lt;'EDT Y TAREAS'!AL34),'EDT Y TAREAS'!AI34/'EDT Y TAREAS'!M34,0),IF(AND(143&gt;='EDT Y TAREAS'!AK36,143&lt;'EDT Y TAREAS'!AL36),'EDT Y TAREAS'!AI36/'EDT Y TAREAS'!M36,0),IF(AND(143&gt;='EDT Y TAREAS'!AK39,143&lt;'EDT Y TAREAS'!AL39),'EDT Y TAREAS'!AI39/'EDT Y TAREAS'!M39,0),IF(AND(143&gt;='EDT Y TAREAS'!AK40,143&lt;'EDT Y TAREAS'!AL40),'EDT Y TAREAS'!AI40/'EDT Y TAREAS'!M40,0),IF(AND(143&gt;='EDT Y TAREAS'!AK42,143&lt;'EDT Y TAREAS'!AL42),'EDT Y TAREAS'!AI42/'EDT Y TAREAS'!M42,0),IF(AND(143&gt;='EDT Y TAREAS'!AK43,143&lt;'EDT Y TAREAS'!AL43),'EDT Y TAREAS'!AI43/'EDT Y TAREAS'!M43,0),IF(AND(143&gt;='EDT Y TAREAS'!AK44,143&lt;'EDT Y TAREAS'!AL44),'EDT Y TAREAS'!AI44/'EDT Y TAREAS'!M44,0),IF(AND(143&gt;='EDT Y TAREAS'!AK45,143&lt;'EDT Y TAREAS'!AL45),'EDT Y TAREAS'!AI45/'EDT Y TAREAS'!M45,0),IF(AND(143&gt;='EDT Y TAREAS'!AK46,143&lt;'EDT Y TAREAS'!AL46),'EDT Y TAREAS'!AI46/'EDT Y TAREAS'!M46,0),IF(AND(143&gt;='EDT Y TAREAS'!AK48,143&lt;'EDT Y TAREAS'!AL48),'EDT Y TAREAS'!AI48/'EDT Y TAREAS'!M48,0),IF(AND(143&gt;='EDT Y TAREAS'!AK50,143&lt;'EDT Y TAREAS'!AL50),'EDT Y TAREAS'!AI50/'EDT Y TAREAS'!M50,0),IF(AND(143&gt;='EDT Y TAREAS'!AK52,143&lt;'EDT Y TAREAS'!AL52),'EDT Y TAREAS'!AI52/'EDT Y TAREAS'!M52,0))</x:f>
        <x:v>4.8</x:v>
      </x:c>
      <x:c r="H183" s="35" t="n">
        <x:f>SUM(IF(AND(143&gt;='EDT Y TAREAS'!AK11,143&lt;'EDT Y TAREAS'!AL11),'EDT Y TAREAS'!AJ11/'EDT Y TAREAS'!M11,0),IF(AND(143&gt;='EDT Y TAREAS'!AK24,143&lt;'EDT Y TAREAS'!AL24),'EDT Y TAREAS'!AJ24/'EDT Y TAREAS'!M24,0),IF(AND(143&gt;='EDT Y TAREAS'!AK27,143&lt;'EDT Y TAREAS'!AL27),'EDT Y TAREAS'!AJ27/'EDT Y TAREAS'!M27,0),IF(AND(143&gt;='EDT Y TAREAS'!AK28,143&lt;'EDT Y TAREAS'!AL28),'EDT Y TAREAS'!AJ28/'EDT Y TAREAS'!M28,0),IF(AND(143&gt;='EDT Y TAREAS'!AK33,143&lt;'EDT Y TAREAS'!AL33),'EDT Y TAREAS'!AJ33/'EDT Y TAREAS'!M33,0),IF(AND(143&gt;='EDT Y TAREAS'!AK35,143&lt;'EDT Y TAREAS'!AL35),'EDT Y TAREAS'!AJ35/'EDT Y TAREAS'!M35,0),IF(AND(143&gt;='EDT Y TAREAS'!AK36,143&lt;'EDT Y TAREAS'!AL36),'EDT Y TAREAS'!AJ36/'EDT Y TAREAS'!M36,0),IF(AND(143&gt;='EDT Y TAREAS'!AK37,143&lt;'EDT Y TAREAS'!AL37),'EDT Y TAREAS'!AJ37/'EDT Y TAREAS'!M37,0),IF(AND(143&gt;='EDT Y TAREAS'!AK40,143&lt;'EDT Y TAREAS'!AL40),'EDT Y TAREAS'!AJ40/'EDT Y TAREAS'!M40,0),IF(AND(143&gt;='EDT Y TAREAS'!AK42,143&lt;'EDT Y TAREAS'!AL42),'EDT Y TAREAS'!AJ42/'EDT Y TAREAS'!M42,0),IF(AND(143&gt;='EDT Y TAREAS'!AK49,143&lt;'EDT Y TAREAS'!AL49),'EDT Y TAREAS'!AJ49/'EDT Y TAREAS'!M49,0),IF(AND(143&gt;='EDT Y TAREAS'!AK50,143&lt;'EDT Y TAREAS'!AL50),'EDT Y TAREAS'!AJ50/'EDT Y TAREAS'!M50,0),IF(AND(143&gt;='EDT Y TAREAS'!AK51,143&lt;'EDT Y TAREAS'!AL51),'EDT Y TAREAS'!AJ51/'EDT Y TAREAS'!M51,0),IF(AND(143&gt;='EDT Y TAREAS'!AK52,143&lt;'EDT Y TAREAS'!AL52),'EDT Y TAREAS'!AJ52/'EDT Y TAREAS'!M52,0))</x:f>
        <x:v>1.6</x:v>
      </x:c>
      <x:c r="I183" s="10" t="n">
        <x:f>WORKDAY('RESUMEN'!$D$3-1,A183,'RESUMEN'!$J$6:$J$25)</x:f>
        <x:v>46527</x:v>
      </x:c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  <x:c r="AL183" s="3"/>
      <x:c r="AM183" s="3"/>
      <x:c r="AN183" s="3"/>
      <x:c r="AO183" s="3"/>
    </x:row>
    <x:row r="184" ht="24" customHeight="1">
      <x:c r="A184" s="3" t="n">
        <x:v>145</x:v>
      </x:c>
      <x:c r="B184" s="35" t="n">
        <x:f>SUM(IF(AND(144&gt;='EDT Y TAREAS'!AK6,144&lt;'EDT Y TAREAS'!AL6),'EDT Y TAREAS'!AD6/'EDT Y TAREAS'!M6,0),IF(AND(144&gt;='EDT Y TAREAS'!AK7,144&lt;'EDT Y TAREAS'!AL7),'EDT Y TAREAS'!AD7/'EDT Y TAREAS'!M7,0),IF(AND(144&gt;='EDT Y TAREAS'!AK8,144&lt;'EDT Y TAREAS'!AL8),'EDT Y TAREAS'!AD8/'EDT Y TAREAS'!M8,0),IF(AND(144&gt;='EDT Y TAREAS'!AK9,144&lt;'EDT Y TAREAS'!AL9),'EDT Y TAREAS'!AD9/'EDT Y TAREAS'!M9,0),IF(AND(144&gt;='EDT Y TAREAS'!AK10,144&lt;'EDT Y TAREAS'!AL10),'EDT Y TAREAS'!AD10/'EDT Y TAREAS'!M10,0),IF(AND(144&gt;='EDT Y TAREAS'!AK11,144&lt;'EDT Y TAREAS'!AL11),'EDT Y TAREAS'!AD11/'EDT Y TAREAS'!M11,0),IF(AND(144&gt;='EDT Y TAREAS'!AK12,144&lt;'EDT Y TAREAS'!AL12),'EDT Y TAREAS'!AD12/'EDT Y TAREAS'!M12,0),IF(AND(144&gt;='EDT Y TAREAS'!AK13,144&lt;'EDT Y TAREAS'!AL13),'EDT Y TAREAS'!AD13/'EDT Y TAREAS'!M13,0),IF(AND(144&gt;='EDT Y TAREAS'!AK14,144&lt;'EDT Y TAREAS'!AL14),'EDT Y TAREAS'!AD14/'EDT Y TAREAS'!M14,0),IF(AND(144&gt;='EDT Y TAREAS'!AK15,144&lt;'EDT Y TAREAS'!AL15),'EDT Y TAREAS'!AD15/'EDT Y TAREAS'!M15,0),IF(AND(144&gt;='EDT Y TAREAS'!AK16,144&lt;'EDT Y TAREAS'!AL16),'EDT Y TAREAS'!AD16/'EDT Y TAREAS'!M16,0),IF(AND(144&gt;='EDT Y TAREAS'!AK17,144&lt;'EDT Y TAREAS'!AL17),'EDT Y TAREAS'!AD17/'EDT Y TAREAS'!M17,0),IF(AND(144&gt;='EDT Y TAREAS'!AK18,144&lt;'EDT Y TAREAS'!AL18),'EDT Y TAREAS'!AD18/'EDT Y TAREAS'!M18,0),IF(AND(144&gt;='EDT Y TAREAS'!AK19,144&lt;'EDT Y TAREAS'!AL19),'EDT Y TAREAS'!AD19/'EDT Y TAREAS'!M19,0),IF(AND(144&gt;='EDT Y TAREAS'!AK20,144&lt;'EDT Y TAREAS'!AL20),'EDT Y TAREAS'!AD20/'EDT Y TAREAS'!M20,0),IF(AND(144&gt;='EDT Y TAREAS'!AK21,144&lt;'EDT Y TAREAS'!AL21),'EDT Y TAREAS'!AD21/'EDT Y TAREAS'!M21,0),IF(AND(144&gt;='EDT Y TAREAS'!AK22,144&lt;'EDT Y TAREAS'!AL22),'EDT Y TAREAS'!AD22/'EDT Y TAREAS'!M22,0),IF(AND(144&gt;='EDT Y TAREAS'!AK23,144&lt;'EDT Y TAREAS'!AL23),'EDT Y TAREAS'!AD23/'EDT Y TAREAS'!M23,0),IF(AND(144&gt;='EDT Y TAREAS'!AK26,144&lt;'EDT Y TAREAS'!AL26),'EDT Y TAREAS'!AD26/'EDT Y TAREAS'!M26,0),IF(AND(144&gt;='EDT Y TAREAS'!AK28,144&lt;'EDT Y TAREAS'!AL28),'EDT Y TAREAS'!AD28/'EDT Y TAREAS'!M28,0),IF(AND(144&gt;='EDT Y TAREAS'!AK30,144&lt;'EDT Y TAREAS'!AL30),'EDT Y TAREAS'!AD30/'EDT Y TAREAS'!M30,0),IF(AND(144&gt;='EDT Y TAREAS'!AK32,144&lt;'EDT Y TAREAS'!AL32),'EDT Y TAREAS'!AD32/'EDT Y TAREAS'!M32,0),IF(AND(144&gt;='EDT Y TAREAS'!AK34,144&lt;'EDT Y TAREAS'!AL34),'EDT Y TAREAS'!AD34/'EDT Y TAREAS'!M34,0),IF(AND(144&gt;='EDT Y TAREAS'!AK38,144&lt;'EDT Y TAREAS'!AL38),'EDT Y TAREAS'!AD38/'EDT Y TAREAS'!M38,0),IF(AND(144&gt;='EDT Y TAREAS'!AK39,144&lt;'EDT Y TAREAS'!AL39),'EDT Y TAREAS'!AD39/'EDT Y TAREAS'!M39,0),IF(AND(144&gt;='EDT Y TAREAS'!AK43,144&lt;'EDT Y TAREAS'!AL43),'EDT Y TAREAS'!AD43/'EDT Y TAREAS'!M43,0),IF(AND(144&gt;='EDT Y TAREAS'!AK44,144&lt;'EDT Y TAREAS'!AL44),'EDT Y TAREAS'!AD44/'EDT Y TAREAS'!M44,0),IF(AND(144&gt;='EDT Y TAREAS'!AK45,144&lt;'EDT Y TAREAS'!AL45),'EDT Y TAREAS'!AD45/'EDT Y TAREAS'!M45,0),IF(AND(144&gt;='EDT Y TAREAS'!AK46,144&lt;'EDT Y TAREAS'!AL46),'EDT Y TAREAS'!AD46/'EDT Y TAREAS'!M46,0),IF(AND(144&gt;='EDT Y TAREAS'!AK47,144&lt;'EDT Y TAREAS'!AL47),'EDT Y TAREAS'!AD47/'EDT Y TAREAS'!M47,0),IF(AND(144&gt;='EDT Y TAREAS'!AK49,144&lt;'EDT Y TAREAS'!AL49),'EDT Y TAREAS'!AD49/'EDT Y TAREAS'!M49,0),IF(AND(144&gt;='EDT Y TAREAS'!AK50,144&lt;'EDT Y TAREAS'!AL50),'EDT Y TAREAS'!AD50/'EDT Y TAREAS'!M50,0),IF(AND(144&gt;='EDT Y TAREAS'!AK51,144&lt;'EDT Y TAREAS'!AL51),'EDT Y TAREAS'!AD51/'EDT Y TAREAS'!M51,0),IF(AND(144&gt;='EDT Y TAREAS'!AK52,144&lt;'EDT Y TAREAS'!AL52),'EDT Y TAREAS'!AD52/'EDT Y TAREAS'!M52,0))</x:f>
        <x:v>1.6</x:v>
      </x:c>
      <x:c r="C184" s="35" t="n">
        <x:f>SUM(IF(AND(144&gt;='EDT Y TAREAS'!AK6,144&lt;'EDT Y TAREAS'!AL6),'EDT Y TAREAS'!AE6/'EDT Y TAREAS'!M6,0),IF(AND(144&gt;='EDT Y TAREAS'!AK8,144&lt;'EDT Y TAREAS'!AL8),'EDT Y TAREAS'!AE8/'EDT Y TAREAS'!M8,0),IF(AND(144&gt;='EDT Y TAREAS'!AK9,144&lt;'EDT Y TAREAS'!AL9),'EDT Y TAREAS'!AE9/'EDT Y TAREAS'!M9,0),IF(AND(144&gt;='EDT Y TAREAS'!AK10,144&lt;'EDT Y TAREAS'!AL10),'EDT Y TAREAS'!AE10/'EDT Y TAREAS'!M10,0),IF(AND(144&gt;='EDT Y TAREAS'!AK12,144&lt;'EDT Y TAREAS'!AL12),'EDT Y TAREAS'!AE12/'EDT Y TAREAS'!M12,0),IF(AND(144&gt;='EDT Y TAREAS'!AK16,144&lt;'EDT Y TAREAS'!AL16),'EDT Y TAREAS'!AE16/'EDT Y TAREAS'!M16,0),IF(AND(144&gt;='EDT Y TAREAS'!AK21,144&lt;'EDT Y TAREAS'!AL21),'EDT Y TAREAS'!AE21/'EDT Y TAREAS'!M21,0),IF(AND(144&gt;='EDT Y TAREAS'!AK23,144&lt;'EDT Y TAREAS'!AL23),'EDT Y TAREAS'!AE23/'EDT Y TAREAS'!M23,0),IF(AND(144&gt;='EDT Y TAREAS'!AK37,144&lt;'EDT Y TAREAS'!AL37),'EDT Y TAREAS'!AE37/'EDT Y TAREAS'!M37,0),IF(AND(144&gt;='EDT Y TAREAS'!AK38,144&lt;'EDT Y TAREAS'!AL38),'EDT Y TAREAS'!AE38/'EDT Y TAREAS'!M38,0),IF(AND(144&gt;='EDT Y TAREAS'!AK41,144&lt;'EDT Y TAREAS'!AL41),'EDT Y TAREAS'!AE41/'EDT Y TAREAS'!M41,0),IF(AND(144&gt;='EDT Y TAREAS'!AK43,144&lt;'EDT Y TAREAS'!AL43),'EDT Y TAREAS'!AE43/'EDT Y TAREAS'!M43,0),IF(AND(144&gt;='EDT Y TAREAS'!AK44,144&lt;'EDT Y TAREAS'!AL44),'EDT Y TAREAS'!AE44/'EDT Y TAREAS'!M44,0),IF(AND(144&gt;='EDT Y TAREAS'!AK46,144&lt;'EDT Y TAREAS'!AL46),'EDT Y TAREAS'!AE46/'EDT Y TAREAS'!M46,0),IF(AND(144&gt;='EDT Y TAREAS'!AK47,144&lt;'EDT Y TAREAS'!AL47),'EDT Y TAREAS'!AE47/'EDT Y TAREAS'!M47,0),IF(AND(144&gt;='EDT Y TAREAS'!AK51,144&lt;'EDT Y TAREAS'!AL51),'EDT Y TAREAS'!AE51/'EDT Y TAREAS'!M51,0),IF(AND(144&gt;='EDT Y TAREAS'!AK52,144&lt;'EDT Y TAREAS'!AL52),'EDT Y TAREAS'!AE52/'EDT Y TAREAS'!M52,0))</x:f>
        <x:v>0</x:v>
      </x:c>
      <x:c r="D184" s="35" t="n">
        <x:f>SUM(IF(AND(144&gt;='EDT Y TAREAS'!AK11,144&lt;'EDT Y TAREAS'!AL11),'EDT Y TAREAS'!AF11/'EDT Y TAREAS'!M11,0),IF(AND(144&gt;='EDT Y TAREAS'!AK24,144&lt;'EDT Y TAREAS'!AL24),'EDT Y TAREAS'!AF24/'EDT Y TAREAS'!M24,0),IF(AND(144&gt;='EDT Y TAREAS'!AK25,144&lt;'EDT Y TAREAS'!AL25),'EDT Y TAREAS'!AF25/'EDT Y TAREAS'!M25,0),IF(AND(144&gt;='EDT Y TAREAS'!AK26,144&lt;'EDT Y TAREAS'!AL26),'EDT Y TAREAS'!AF26/'EDT Y TAREAS'!M26,0),IF(AND(144&gt;='EDT Y TAREAS'!AK27,144&lt;'EDT Y TAREAS'!AL27),'EDT Y TAREAS'!AF27/'EDT Y TAREAS'!M27,0),IF(AND(144&gt;='EDT Y TAREAS'!AK28,144&lt;'EDT Y TAREAS'!AL28),'EDT Y TAREAS'!AF28/'EDT Y TAREAS'!M28,0),IF(AND(144&gt;='EDT Y TAREAS'!AK31,144&lt;'EDT Y TAREAS'!AL31),'EDT Y TAREAS'!AF31/'EDT Y TAREAS'!M31,0),IF(AND(144&gt;='EDT Y TAREAS'!AK33,144&lt;'EDT Y TAREAS'!AL33),'EDT Y TAREAS'!AF33/'EDT Y TAREAS'!M33,0),IF(AND(144&gt;='EDT Y TAREAS'!AK34,144&lt;'EDT Y TAREAS'!AL34),'EDT Y TAREAS'!AF34/'EDT Y TAREAS'!M34,0),IF(AND(144&gt;='EDT Y TAREAS'!AK35,144&lt;'EDT Y TAREAS'!AL35),'EDT Y TAREAS'!AF35/'EDT Y TAREAS'!M35,0),IF(AND(144&gt;='EDT Y TAREAS'!AK37,144&lt;'EDT Y TAREAS'!AL37),'EDT Y TAREAS'!AF37/'EDT Y TAREAS'!M37,0),IF(AND(144&gt;='EDT Y TAREAS'!AK39,144&lt;'EDT Y TAREAS'!AL39),'EDT Y TAREAS'!AF39/'EDT Y TAREAS'!M39,0),IF(AND(144&gt;='EDT Y TAREAS'!AK40,144&lt;'EDT Y TAREAS'!AL40),'EDT Y TAREAS'!AF40/'EDT Y TAREAS'!M40,0),IF(AND(144&gt;='EDT Y TAREAS'!AK42,144&lt;'EDT Y TAREAS'!AL42),'EDT Y TAREAS'!AF42/'EDT Y TAREAS'!M42,0),IF(AND(144&gt;='EDT Y TAREAS'!AK45,144&lt;'EDT Y TAREAS'!AL45),'EDT Y TAREAS'!AF45/'EDT Y TAREAS'!M45,0),IF(AND(144&gt;='EDT Y TAREAS'!AK49,144&lt;'EDT Y TAREAS'!AL49),'EDT Y TAREAS'!AF49/'EDT Y TAREAS'!M49,0),IF(AND(144&gt;='EDT Y TAREAS'!AK52,144&lt;'EDT Y TAREAS'!AL52),'EDT Y TAREAS'!AF52/'EDT Y TAREAS'!M52,0))</x:f>
        <x:v>0</x:v>
      </x:c>
      <x:c r="E184" s="35" t="n">
        <x:f>SUM(IF(AND(144&gt;='EDT Y TAREAS'!AK29,144&lt;'EDT Y TAREAS'!AL29),'EDT Y TAREAS'!AG29/'EDT Y TAREAS'!M29,0),IF(AND(144&gt;='EDT Y TAREAS'!AK30,144&lt;'EDT Y TAREAS'!AL30),'EDT Y TAREAS'!AG30/'EDT Y TAREAS'!M30,0),IF(AND(144&gt;='EDT Y TAREAS'!AK31,144&lt;'EDT Y TAREAS'!AL31),'EDT Y TAREAS'!AG31/'EDT Y TAREAS'!M31,0),IF(AND(144&gt;='EDT Y TAREAS'!AK32,144&lt;'EDT Y TAREAS'!AL32),'EDT Y TAREAS'!AG32/'EDT Y TAREAS'!M32,0),IF(AND(144&gt;='EDT Y TAREAS'!AK41,144&lt;'EDT Y TAREAS'!AL41),'EDT Y TAREAS'!AG41/'EDT Y TAREAS'!M41,0),IF(AND(144&gt;='EDT Y TAREAS'!AK45,144&lt;'EDT Y TAREAS'!AL45),'EDT Y TAREAS'!AG45/'EDT Y TAREAS'!M45,0),IF(AND(144&gt;='EDT Y TAREAS'!AK48,144&lt;'EDT Y TAREAS'!AL48),'EDT Y TAREAS'!AG48/'EDT Y TAREAS'!M48,0))</x:f>
        <x:v>0</x:v>
      </x:c>
      <x:c r="F184" s="35" t="n">
        <x:f>SUM(IF(AND(144&gt;='EDT Y TAREAS'!AK10,144&lt;'EDT Y TAREAS'!AL10),'EDT Y TAREAS'!AH10/'EDT Y TAREAS'!M10,0),IF(AND(144&gt;='EDT Y TAREAS'!AK12,144&lt;'EDT Y TAREAS'!AL12),'EDT Y TAREAS'!AH12/'EDT Y TAREAS'!M12,0),IF(AND(144&gt;='EDT Y TAREAS'!AK22,144&lt;'EDT Y TAREAS'!AL22),'EDT Y TAREAS'!AH22/'EDT Y TAREAS'!M22,0),IF(AND(144&gt;='EDT Y TAREAS'!AK23,144&lt;'EDT Y TAREAS'!AL23),'EDT Y TAREAS'!AH23/'EDT Y TAREAS'!M23,0),IF(AND(144&gt;='EDT Y TAREAS'!AK29,144&lt;'EDT Y TAREAS'!AL29),'EDT Y TAREAS'!AH29/'EDT Y TAREAS'!M29,0),IF(AND(144&gt;='EDT Y TAREAS'!AK30,144&lt;'EDT Y TAREAS'!AL30),'EDT Y TAREAS'!AH30/'EDT Y TAREAS'!M30,0),IF(AND(144&gt;='EDT Y TAREAS'!AK32,144&lt;'EDT Y TAREAS'!AL32),'EDT Y TAREAS'!AH32/'EDT Y TAREAS'!M32,0),IF(AND(144&gt;='EDT Y TAREAS'!AK41,144&lt;'EDT Y TAREAS'!AL41),'EDT Y TAREAS'!AH41/'EDT Y TAREAS'!M41,0),IF(AND(144&gt;='EDT Y TAREAS'!AK44,144&lt;'EDT Y TAREAS'!AL44),'EDT Y TAREAS'!AH44/'EDT Y TAREAS'!M44,0),IF(AND(144&gt;='EDT Y TAREAS'!AK46,144&lt;'EDT Y TAREAS'!AL46),'EDT Y TAREAS'!AH46/'EDT Y TAREAS'!M46,0),IF(AND(144&gt;='EDT Y TAREAS'!AK48,144&lt;'EDT Y TAREAS'!AL48),'EDT Y TAREAS'!AH48/'EDT Y TAREAS'!M48,0))</x:f>
        <x:v>0</x:v>
      </x:c>
      <x:c r="G184" s="35" t="n">
        <x:f>SUM(IF(AND(144&gt;='EDT Y TAREAS'!AK20,144&lt;'EDT Y TAREAS'!AL20),'EDT Y TAREAS'!AI20/'EDT Y TAREAS'!M20,0),IF(AND(144&gt;='EDT Y TAREAS'!AK25,144&lt;'EDT Y TAREAS'!AL25),'EDT Y TAREAS'!AI25/'EDT Y TAREAS'!M25,0),IF(AND(144&gt;='EDT Y TAREAS'!AK33,144&lt;'EDT Y TAREAS'!AL33),'EDT Y TAREAS'!AI33/'EDT Y TAREAS'!M33,0),IF(AND(144&gt;='EDT Y TAREAS'!AK34,144&lt;'EDT Y TAREAS'!AL34),'EDT Y TAREAS'!AI34/'EDT Y TAREAS'!M34,0),IF(AND(144&gt;='EDT Y TAREAS'!AK36,144&lt;'EDT Y TAREAS'!AL36),'EDT Y TAREAS'!AI36/'EDT Y TAREAS'!M36,0),IF(AND(144&gt;='EDT Y TAREAS'!AK39,144&lt;'EDT Y TAREAS'!AL39),'EDT Y TAREAS'!AI39/'EDT Y TAREAS'!M39,0),IF(AND(144&gt;='EDT Y TAREAS'!AK40,144&lt;'EDT Y TAREAS'!AL40),'EDT Y TAREAS'!AI40/'EDT Y TAREAS'!M40,0),IF(AND(144&gt;='EDT Y TAREAS'!AK42,144&lt;'EDT Y TAREAS'!AL42),'EDT Y TAREAS'!AI42/'EDT Y TAREAS'!M42,0),IF(AND(144&gt;='EDT Y TAREAS'!AK43,144&lt;'EDT Y TAREAS'!AL43),'EDT Y TAREAS'!AI43/'EDT Y TAREAS'!M43,0),IF(AND(144&gt;='EDT Y TAREAS'!AK44,144&lt;'EDT Y TAREAS'!AL44),'EDT Y TAREAS'!AI44/'EDT Y TAREAS'!M44,0),IF(AND(144&gt;='EDT Y TAREAS'!AK45,144&lt;'EDT Y TAREAS'!AL45),'EDT Y TAREAS'!AI45/'EDT Y TAREAS'!M45,0),IF(AND(144&gt;='EDT Y TAREAS'!AK46,144&lt;'EDT Y TAREAS'!AL46),'EDT Y TAREAS'!AI46/'EDT Y TAREAS'!M46,0),IF(AND(144&gt;='EDT Y TAREAS'!AK48,144&lt;'EDT Y TAREAS'!AL48),'EDT Y TAREAS'!AI48/'EDT Y TAREAS'!M48,0),IF(AND(144&gt;='EDT Y TAREAS'!AK50,144&lt;'EDT Y TAREAS'!AL50),'EDT Y TAREAS'!AI50/'EDT Y TAREAS'!M50,0),IF(AND(144&gt;='EDT Y TAREAS'!AK52,144&lt;'EDT Y TAREAS'!AL52),'EDT Y TAREAS'!AI52/'EDT Y TAREAS'!M52,0))</x:f>
        <x:v>4.8</x:v>
      </x:c>
      <x:c r="H184" s="35" t="n">
        <x:f>SUM(IF(AND(144&gt;='EDT Y TAREAS'!AK11,144&lt;'EDT Y TAREAS'!AL11),'EDT Y TAREAS'!AJ11/'EDT Y TAREAS'!M11,0),IF(AND(144&gt;='EDT Y TAREAS'!AK24,144&lt;'EDT Y TAREAS'!AL24),'EDT Y TAREAS'!AJ24/'EDT Y TAREAS'!M24,0),IF(AND(144&gt;='EDT Y TAREAS'!AK27,144&lt;'EDT Y TAREAS'!AL27),'EDT Y TAREAS'!AJ27/'EDT Y TAREAS'!M27,0),IF(AND(144&gt;='EDT Y TAREAS'!AK28,144&lt;'EDT Y TAREAS'!AL28),'EDT Y TAREAS'!AJ28/'EDT Y TAREAS'!M28,0),IF(AND(144&gt;='EDT Y TAREAS'!AK33,144&lt;'EDT Y TAREAS'!AL33),'EDT Y TAREAS'!AJ33/'EDT Y TAREAS'!M33,0),IF(AND(144&gt;='EDT Y TAREAS'!AK35,144&lt;'EDT Y TAREAS'!AL35),'EDT Y TAREAS'!AJ35/'EDT Y TAREAS'!M35,0),IF(AND(144&gt;='EDT Y TAREAS'!AK36,144&lt;'EDT Y TAREAS'!AL36),'EDT Y TAREAS'!AJ36/'EDT Y TAREAS'!M36,0),IF(AND(144&gt;='EDT Y TAREAS'!AK37,144&lt;'EDT Y TAREAS'!AL37),'EDT Y TAREAS'!AJ37/'EDT Y TAREAS'!M37,0),IF(AND(144&gt;='EDT Y TAREAS'!AK40,144&lt;'EDT Y TAREAS'!AL40),'EDT Y TAREAS'!AJ40/'EDT Y TAREAS'!M40,0),IF(AND(144&gt;='EDT Y TAREAS'!AK42,144&lt;'EDT Y TAREAS'!AL42),'EDT Y TAREAS'!AJ42/'EDT Y TAREAS'!M42,0),IF(AND(144&gt;='EDT Y TAREAS'!AK49,144&lt;'EDT Y TAREAS'!AL49),'EDT Y TAREAS'!AJ49/'EDT Y TAREAS'!M49,0),IF(AND(144&gt;='EDT Y TAREAS'!AK50,144&lt;'EDT Y TAREAS'!AL50),'EDT Y TAREAS'!AJ50/'EDT Y TAREAS'!M50,0),IF(AND(144&gt;='EDT Y TAREAS'!AK51,144&lt;'EDT Y TAREAS'!AL51),'EDT Y TAREAS'!AJ51/'EDT Y TAREAS'!M51,0),IF(AND(144&gt;='EDT Y TAREAS'!AK52,144&lt;'EDT Y TAREAS'!AL52),'EDT Y TAREAS'!AJ52/'EDT Y TAREAS'!M52,0))</x:f>
        <x:v>1.6</x:v>
      </x:c>
      <x:c r="I184" s="10" t="n">
        <x:f>WORKDAY('RESUMEN'!$D$3-1,A184,'RESUMEN'!$J$6:$J$25)</x:f>
        <x:v>46528</x:v>
      </x:c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  <x:c r="AL184" s="3"/>
      <x:c r="AM184" s="3"/>
      <x:c r="AN184" s="3"/>
      <x:c r="AO184" s="3"/>
    </x:row>
    <x:row r="185" ht="24" customHeight="1">
      <x:c r="A185" s="3" t="n">
        <x:v>146</x:v>
      </x:c>
      <x:c r="B185" s="35" t="n">
        <x:f>SUM(IF(AND(145&gt;='EDT Y TAREAS'!AK6,145&lt;'EDT Y TAREAS'!AL6),'EDT Y TAREAS'!AD6/'EDT Y TAREAS'!M6,0),IF(AND(145&gt;='EDT Y TAREAS'!AK7,145&lt;'EDT Y TAREAS'!AL7),'EDT Y TAREAS'!AD7/'EDT Y TAREAS'!M7,0),IF(AND(145&gt;='EDT Y TAREAS'!AK8,145&lt;'EDT Y TAREAS'!AL8),'EDT Y TAREAS'!AD8/'EDT Y TAREAS'!M8,0),IF(AND(145&gt;='EDT Y TAREAS'!AK9,145&lt;'EDT Y TAREAS'!AL9),'EDT Y TAREAS'!AD9/'EDT Y TAREAS'!M9,0),IF(AND(145&gt;='EDT Y TAREAS'!AK10,145&lt;'EDT Y TAREAS'!AL10),'EDT Y TAREAS'!AD10/'EDT Y TAREAS'!M10,0),IF(AND(145&gt;='EDT Y TAREAS'!AK11,145&lt;'EDT Y TAREAS'!AL11),'EDT Y TAREAS'!AD11/'EDT Y TAREAS'!M11,0),IF(AND(145&gt;='EDT Y TAREAS'!AK12,145&lt;'EDT Y TAREAS'!AL12),'EDT Y TAREAS'!AD12/'EDT Y TAREAS'!M12,0),IF(AND(145&gt;='EDT Y TAREAS'!AK13,145&lt;'EDT Y TAREAS'!AL13),'EDT Y TAREAS'!AD13/'EDT Y TAREAS'!M13,0),IF(AND(145&gt;='EDT Y TAREAS'!AK14,145&lt;'EDT Y TAREAS'!AL14),'EDT Y TAREAS'!AD14/'EDT Y TAREAS'!M14,0),IF(AND(145&gt;='EDT Y TAREAS'!AK15,145&lt;'EDT Y TAREAS'!AL15),'EDT Y TAREAS'!AD15/'EDT Y TAREAS'!M15,0),IF(AND(145&gt;='EDT Y TAREAS'!AK16,145&lt;'EDT Y TAREAS'!AL16),'EDT Y TAREAS'!AD16/'EDT Y TAREAS'!M16,0),IF(AND(145&gt;='EDT Y TAREAS'!AK17,145&lt;'EDT Y TAREAS'!AL17),'EDT Y TAREAS'!AD17/'EDT Y TAREAS'!M17,0),IF(AND(145&gt;='EDT Y TAREAS'!AK18,145&lt;'EDT Y TAREAS'!AL18),'EDT Y TAREAS'!AD18/'EDT Y TAREAS'!M18,0),IF(AND(145&gt;='EDT Y TAREAS'!AK19,145&lt;'EDT Y TAREAS'!AL19),'EDT Y TAREAS'!AD19/'EDT Y TAREAS'!M19,0),IF(AND(145&gt;='EDT Y TAREAS'!AK20,145&lt;'EDT Y TAREAS'!AL20),'EDT Y TAREAS'!AD20/'EDT Y TAREAS'!M20,0),IF(AND(145&gt;='EDT Y TAREAS'!AK21,145&lt;'EDT Y TAREAS'!AL21),'EDT Y TAREAS'!AD21/'EDT Y TAREAS'!M21,0),IF(AND(145&gt;='EDT Y TAREAS'!AK22,145&lt;'EDT Y TAREAS'!AL22),'EDT Y TAREAS'!AD22/'EDT Y TAREAS'!M22,0),IF(AND(145&gt;='EDT Y TAREAS'!AK23,145&lt;'EDT Y TAREAS'!AL23),'EDT Y TAREAS'!AD23/'EDT Y TAREAS'!M23,0),IF(AND(145&gt;='EDT Y TAREAS'!AK26,145&lt;'EDT Y TAREAS'!AL26),'EDT Y TAREAS'!AD26/'EDT Y TAREAS'!M26,0),IF(AND(145&gt;='EDT Y TAREAS'!AK28,145&lt;'EDT Y TAREAS'!AL28),'EDT Y TAREAS'!AD28/'EDT Y TAREAS'!M28,0),IF(AND(145&gt;='EDT Y TAREAS'!AK30,145&lt;'EDT Y TAREAS'!AL30),'EDT Y TAREAS'!AD30/'EDT Y TAREAS'!M30,0),IF(AND(145&gt;='EDT Y TAREAS'!AK32,145&lt;'EDT Y TAREAS'!AL32),'EDT Y TAREAS'!AD32/'EDT Y TAREAS'!M32,0),IF(AND(145&gt;='EDT Y TAREAS'!AK34,145&lt;'EDT Y TAREAS'!AL34),'EDT Y TAREAS'!AD34/'EDT Y TAREAS'!M34,0),IF(AND(145&gt;='EDT Y TAREAS'!AK38,145&lt;'EDT Y TAREAS'!AL38),'EDT Y TAREAS'!AD38/'EDT Y TAREAS'!M38,0),IF(AND(145&gt;='EDT Y TAREAS'!AK39,145&lt;'EDT Y TAREAS'!AL39),'EDT Y TAREAS'!AD39/'EDT Y TAREAS'!M39,0),IF(AND(145&gt;='EDT Y TAREAS'!AK43,145&lt;'EDT Y TAREAS'!AL43),'EDT Y TAREAS'!AD43/'EDT Y TAREAS'!M43,0),IF(AND(145&gt;='EDT Y TAREAS'!AK44,145&lt;'EDT Y TAREAS'!AL44),'EDT Y TAREAS'!AD44/'EDT Y TAREAS'!M44,0),IF(AND(145&gt;='EDT Y TAREAS'!AK45,145&lt;'EDT Y TAREAS'!AL45),'EDT Y TAREAS'!AD45/'EDT Y TAREAS'!M45,0),IF(AND(145&gt;='EDT Y TAREAS'!AK46,145&lt;'EDT Y TAREAS'!AL46),'EDT Y TAREAS'!AD46/'EDT Y TAREAS'!M46,0),IF(AND(145&gt;='EDT Y TAREAS'!AK47,145&lt;'EDT Y TAREAS'!AL47),'EDT Y TAREAS'!AD47/'EDT Y TAREAS'!M47,0),IF(AND(145&gt;='EDT Y TAREAS'!AK49,145&lt;'EDT Y TAREAS'!AL49),'EDT Y TAREAS'!AD49/'EDT Y TAREAS'!M49,0),IF(AND(145&gt;='EDT Y TAREAS'!AK50,145&lt;'EDT Y TAREAS'!AL50),'EDT Y TAREAS'!AD50/'EDT Y TAREAS'!M50,0),IF(AND(145&gt;='EDT Y TAREAS'!AK51,145&lt;'EDT Y TAREAS'!AL51),'EDT Y TAREAS'!AD51/'EDT Y TAREAS'!M51,0),IF(AND(145&gt;='EDT Y TAREAS'!AK52,145&lt;'EDT Y TAREAS'!AL52),'EDT Y TAREAS'!AD52/'EDT Y TAREAS'!M52,0))</x:f>
        <x:v>1.6</x:v>
      </x:c>
      <x:c r="C185" s="35" t="n">
        <x:f>SUM(IF(AND(145&gt;='EDT Y TAREAS'!AK6,145&lt;'EDT Y TAREAS'!AL6),'EDT Y TAREAS'!AE6/'EDT Y TAREAS'!M6,0),IF(AND(145&gt;='EDT Y TAREAS'!AK8,145&lt;'EDT Y TAREAS'!AL8),'EDT Y TAREAS'!AE8/'EDT Y TAREAS'!M8,0),IF(AND(145&gt;='EDT Y TAREAS'!AK9,145&lt;'EDT Y TAREAS'!AL9),'EDT Y TAREAS'!AE9/'EDT Y TAREAS'!M9,0),IF(AND(145&gt;='EDT Y TAREAS'!AK10,145&lt;'EDT Y TAREAS'!AL10),'EDT Y TAREAS'!AE10/'EDT Y TAREAS'!M10,0),IF(AND(145&gt;='EDT Y TAREAS'!AK12,145&lt;'EDT Y TAREAS'!AL12),'EDT Y TAREAS'!AE12/'EDT Y TAREAS'!M12,0),IF(AND(145&gt;='EDT Y TAREAS'!AK16,145&lt;'EDT Y TAREAS'!AL16),'EDT Y TAREAS'!AE16/'EDT Y TAREAS'!M16,0),IF(AND(145&gt;='EDT Y TAREAS'!AK21,145&lt;'EDT Y TAREAS'!AL21),'EDT Y TAREAS'!AE21/'EDT Y TAREAS'!M21,0),IF(AND(145&gt;='EDT Y TAREAS'!AK23,145&lt;'EDT Y TAREAS'!AL23),'EDT Y TAREAS'!AE23/'EDT Y TAREAS'!M23,0),IF(AND(145&gt;='EDT Y TAREAS'!AK37,145&lt;'EDT Y TAREAS'!AL37),'EDT Y TAREAS'!AE37/'EDT Y TAREAS'!M37,0),IF(AND(145&gt;='EDT Y TAREAS'!AK38,145&lt;'EDT Y TAREAS'!AL38),'EDT Y TAREAS'!AE38/'EDT Y TAREAS'!M38,0),IF(AND(145&gt;='EDT Y TAREAS'!AK41,145&lt;'EDT Y TAREAS'!AL41),'EDT Y TAREAS'!AE41/'EDT Y TAREAS'!M41,0),IF(AND(145&gt;='EDT Y TAREAS'!AK43,145&lt;'EDT Y TAREAS'!AL43),'EDT Y TAREAS'!AE43/'EDT Y TAREAS'!M43,0),IF(AND(145&gt;='EDT Y TAREAS'!AK44,145&lt;'EDT Y TAREAS'!AL44),'EDT Y TAREAS'!AE44/'EDT Y TAREAS'!M44,0),IF(AND(145&gt;='EDT Y TAREAS'!AK46,145&lt;'EDT Y TAREAS'!AL46),'EDT Y TAREAS'!AE46/'EDT Y TAREAS'!M46,0),IF(AND(145&gt;='EDT Y TAREAS'!AK47,145&lt;'EDT Y TAREAS'!AL47),'EDT Y TAREAS'!AE47/'EDT Y TAREAS'!M47,0),IF(AND(145&gt;='EDT Y TAREAS'!AK51,145&lt;'EDT Y TAREAS'!AL51),'EDT Y TAREAS'!AE51/'EDT Y TAREAS'!M51,0),IF(AND(145&gt;='EDT Y TAREAS'!AK52,145&lt;'EDT Y TAREAS'!AL52),'EDT Y TAREAS'!AE52/'EDT Y TAREAS'!M52,0))</x:f>
        <x:v>0</x:v>
      </x:c>
      <x:c r="D185" s="35" t="n">
        <x:f>SUM(IF(AND(145&gt;='EDT Y TAREAS'!AK11,145&lt;'EDT Y TAREAS'!AL11),'EDT Y TAREAS'!AF11/'EDT Y TAREAS'!M11,0),IF(AND(145&gt;='EDT Y TAREAS'!AK24,145&lt;'EDT Y TAREAS'!AL24),'EDT Y TAREAS'!AF24/'EDT Y TAREAS'!M24,0),IF(AND(145&gt;='EDT Y TAREAS'!AK25,145&lt;'EDT Y TAREAS'!AL25),'EDT Y TAREAS'!AF25/'EDT Y TAREAS'!M25,0),IF(AND(145&gt;='EDT Y TAREAS'!AK26,145&lt;'EDT Y TAREAS'!AL26),'EDT Y TAREAS'!AF26/'EDT Y TAREAS'!M26,0),IF(AND(145&gt;='EDT Y TAREAS'!AK27,145&lt;'EDT Y TAREAS'!AL27),'EDT Y TAREAS'!AF27/'EDT Y TAREAS'!M27,0),IF(AND(145&gt;='EDT Y TAREAS'!AK28,145&lt;'EDT Y TAREAS'!AL28),'EDT Y TAREAS'!AF28/'EDT Y TAREAS'!M28,0),IF(AND(145&gt;='EDT Y TAREAS'!AK31,145&lt;'EDT Y TAREAS'!AL31),'EDT Y TAREAS'!AF31/'EDT Y TAREAS'!M31,0),IF(AND(145&gt;='EDT Y TAREAS'!AK33,145&lt;'EDT Y TAREAS'!AL33),'EDT Y TAREAS'!AF33/'EDT Y TAREAS'!M33,0),IF(AND(145&gt;='EDT Y TAREAS'!AK34,145&lt;'EDT Y TAREAS'!AL34),'EDT Y TAREAS'!AF34/'EDT Y TAREAS'!M34,0),IF(AND(145&gt;='EDT Y TAREAS'!AK35,145&lt;'EDT Y TAREAS'!AL35),'EDT Y TAREAS'!AF35/'EDT Y TAREAS'!M35,0),IF(AND(145&gt;='EDT Y TAREAS'!AK37,145&lt;'EDT Y TAREAS'!AL37),'EDT Y TAREAS'!AF37/'EDT Y TAREAS'!M37,0),IF(AND(145&gt;='EDT Y TAREAS'!AK39,145&lt;'EDT Y TAREAS'!AL39),'EDT Y TAREAS'!AF39/'EDT Y TAREAS'!M39,0),IF(AND(145&gt;='EDT Y TAREAS'!AK40,145&lt;'EDT Y TAREAS'!AL40),'EDT Y TAREAS'!AF40/'EDT Y TAREAS'!M40,0),IF(AND(145&gt;='EDT Y TAREAS'!AK42,145&lt;'EDT Y TAREAS'!AL42),'EDT Y TAREAS'!AF42/'EDT Y TAREAS'!M42,0),IF(AND(145&gt;='EDT Y TAREAS'!AK45,145&lt;'EDT Y TAREAS'!AL45),'EDT Y TAREAS'!AF45/'EDT Y TAREAS'!M45,0),IF(AND(145&gt;='EDT Y TAREAS'!AK49,145&lt;'EDT Y TAREAS'!AL49),'EDT Y TAREAS'!AF49/'EDT Y TAREAS'!M49,0),IF(AND(145&gt;='EDT Y TAREAS'!AK52,145&lt;'EDT Y TAREAS'!AL52),'EDT Y TAREAS'!AF52/'EDT Y TAREAS'!M52,0))</x:f>
        <x:v>0</x:v>
      </x:c>
      <x:c r="E185" s="35" t="n">
        <x:f>SUM(IF(AND(145&gt;='EDT Y TAREAS'!AK29,145&lt;'EDT Y TAREAS'!AL29),'EDT Y TAREAS'!AG29/'EDT Y TAREAS'!M29,0),IF(AND(145&gt;='EDT Y TAREAS'!AK30,145&lt;'EDT Y TAREAS'!AL30),'EDT Y TAREAS'!AG30/'EDT Y TAREAS'!M30,0),IF(AND(145&gt;='EDT Y TAREAS'!AK31,145&lt;'EDT Y TAREAS'!AL31),'EDT Y TAREAS'!AG31/'EDT Y TAREAS'!M31,0),IF(AND(145&gt;='EDT Y TAREAS'!AK32,145&lt;'EDT Y TAREAS'!AL32),'EDT Y TAREAS'!AG32/'EDT Y TAREAS'!M32,0),IF(AND(145&gt;='EDT Y TAREAS'!AK41,145&lt;'EDT Y TAREAS'!AL41),'EDT Y TAREAS'!AG41/'EDT Y TAREAS'!M41,0),IF(AND(145&gt;='EDT Y TAREAS'!AK45,145&lt;'EDT Y TAREAS'!AL45),'EDT Y TAREAS'!AG45/'EDT Y TAREAS'!M45,0),IF(AND(145&gt;='EDT Y TAREAS'!AK48,145&lt;'EDT Y TAREAS'!AL48),'EDT Y TAREAS'!AG48/'EDT Y TAREAS'!M48,0))</x:f>
        <x:v>0</x:v>
      </x:c>
      <x:c r="F185" s="35" t="n">
        <x:f>SUM(IF(AND(145&gt;='EDT Y TAREAS'!AK10,145&lt;'EDT Y TAREAS'!AL10),'EDT Y TAREAS'!AH10/'EDT Y TAREAS'!M10,0),IF(AND(145&gt;='EDT Y TAREAS'!AK12,145&lt;'EDT Y TAREAS'!AL12),'EDT Y TAREAS'!AH12/'EDT Y TAREAS'!M12,0),IF(AND(145&gt;='EDT Y TAREAS'!AK22,145&lt;'EDT Y TAREAS'!AL22),'EDT Y TAREAS'!AH22/'EDT Y TAREAS'!M22,0),IF(AND(145&gt;='EDT Y TAREAS'!AK23,145&lt;'EDT Y TAREAS'!AL23),'EDT Y TAREAS'!AH23/'EDT Y TAREAS'!M23,0),IF(AND(145&gt;='EDT Y TAREAS'!AK29,145&lt;'EDT Y TAREAS'!AL29),'EDT Y TAREAS'!AH29/'EDT Y TAREAS'!M29,0),IF(AND(145&gt;='EDT Y TAREAS'!AK30,145&lt;'EDT Y TAREAS'!AL30),'EDT Y TAREAS'!AH30/'EDT Y TAREAS'!M30,0),IF(AND(145&gt;='EDT Y TAREAS'!AK32,145&lt;'EDT Y TAREAS'!AL32),'EDT Y TAREAS'!AH32/'EDT Y TAREAS'!M32,0),IF(AND(145&gt;='EDT Y TAREAS'!AK41,145&lt;'EDT Y TAREAS'!AL41),'EDT Y TAREAS'!AH41/'EDT Y TAREAS'!M41,0),IF(AND(145&gt;='EDT Y TAREAS'!AK44,145&lt;'EDT Y TAREAS'!AL44),'EDT Y TAREAS'!AH44/'EDT Y TAREAS'!M44,0),IF(AND(145&gt;='EDT Y TAREAS'!AK46,145&lt;'EDT Y TAREAS'!AL46),'EDT Y TAREAS'!AH46/'EDT Y TAREAS'!M46,0),IF(AND(145&gt;='EDT Y TAREAS'!AK48,145&lt;'EDT Y TAREAS'!AL48),'EDT Y TAREAS'!AH48/'EDT Y TAREAS'!M48,0))</x:f>
        <x:v>0</x:v>
      </x:c>
      <x:c r="G185" s="35" t="n">
        <x:f>SUM(IF(AND(145&gt;='EDT Y TAREAS'!AK20,145&lt;'EDT Y TAREAS'!AL20),'EDT Y TAREAS'!AI20/'EDT Y TAREAS'!M20,0),IF(AND(145&gt;='EDT Y TAREAS'!AK25,145&lt;'EDT Y TAREAS'!AL25),'EDT Y TAREAS'!AI25/'EDT Y TAREAS'!M25,0),IF(AND(145&gt;='EDT Y TAREAS'!AK33,145&lt;'EDT Y TAREAS'!AL33),'EDT Y TAREAS'!AI33/'EDT Y TAREAS'!M33,0),IF(AND(145&gt;='EDT Y TAREAS'!AK34,145&lt;'EDT Y TAREAS'!AL34),'EDT Y TAREAS'!AI34/'EDT Y TAREAS'!M34,0),IF(AND(145&gt;='EDT Y TAREAS'!AK36,145&lt;'EDT Y TAREAS'!AL36),'EDT Y TAREAS'!AI36/'EDT Y TAREAS'!M36,0),IF(AND(145&gt;='EDT Y TAREAS'!AK39,145&lt;'EDT Y TAREAS'!AL39),'EDT Y TAREAS'!AI39/'EDT Y TAREAS'!M39,0),IF(AND(145&gt;='EDT Y TAREAS'!AK40,145&lt;'EDT Y TAREAS'!AL40),'EDT Y TAREAS'!AI40/'EDT Y TAREAS'!M40,0),IF(AND(145&gt;='EDT Y TAREAS'!AK42,145&lt;'EDT Y TAREAS'!AL42),'EDT Y TAREAS'!AI42/'EDT Y TAREAS'!M42,0),IF(AND(145&gt;='EDT Y TAREAS'!AK43,145&lt;'EDT Y TAREAS'!AL43),'EDT Y TAREAS'!AI43/'EDT Y TAREAS'!M43,0),IF(AND(145&gt;='EDT Y TAREAS'!AK44,145&lt;'EDT Y TAREAS'!AL44),'EDT Y TAREAS'!AI44/'EDT Y TAREAS'!M44,0),IF(AND(145&gt;='EDT Y TAREAS'!AK45,145&lt;'EDT Y TAREAS'!AL45),'EDT Y TAREAS'!AI45/'EDT Y TAREAS'!M45,0),IF(AND(145&gt;='EDT Y TAREAS'!AK46,145&lt;'EDT Y TAREAS'!AL46),'EDT Y TAREAS'!AI46/'EDT Y TAREAS'!M46,0),IF(AND(145&gt;='EDT Y TAREAS'!AK48,145&lt;'EDT Y TAREAS'!AL48),'EDT Y TAREAS'!AI48/'EDT Y TAREAS'!M48,0),IF(AND(145&gt;='EDT Y TAREAS'!AK50,145&lt;'EDT Y TAREAS'!AL50),'EDT Y TAREAS'!AI50/'EDT Y TAREAS'!M50,0),IF(AND(145&gt;='EDT Y TAREAS'!AK52,145&lt;'EDT Y TAREAS'!AL52),'EDT Y TAREAS'!AI52/'EDT Y TAREAS'!M52,0))</x:f>
        <x:v>4.8</x:v>
      </x:c>
      <x:c r="H185" s="35" t="n">
        <x:f>SUM(IF(AND(145&gt;='EDT Y TAREAS'!AK11,145&lt;'EDT Y TAREAS'!AL11),'EDT Y TAREAS'!AJ11/'EDT Y TAREAS'!M11,0),IF(AND(145&gt;='EDT Y TAREAS'!AK24,145&lt;'EDT Y TAREAS'!AL24),'EDT Y TAREAS'!AJ24/'EDT Y TAREAS'!M24,0),IF(AND(145&gt;='EDT Y TAREAS'!AK27,145&lt;'EDT Y TAREAS'!AL27),'EDT Y TAREAS'!AJ27/'EDT Y TAREAS'!M27,0),IF(AND(145&gt;='EDT Y TAREAS'!AK28,145&lt;'EDT Y TAREAS'!AL28),'EDT Y TAREAS'!AJ28/'EDT Y TAREAS'!M28,0),IF(AND(145&gt;='EDT Y TAREAS'!AK33,145&lt;'EDT Y TAREAS'!AL33),'EDT Y TAREAS'!AJ33/'EDT Y TAREAS'!M33,0),IF(AND(145&gt;='EDT Y TAREAS'!AK35,145&lt;'EDT Y TAREAS'!AL35),'EDT Y TAREAS'!AJ35/'EDT Y TAREAS'!M35,0),IF(AND(145&gt;='EDT Y TAREAS'!AK36,145&lt;'EDT Y TAREAS'!AL36),'EDT Y TAREAS'!AJ36/'EDT Y TAREAS'!M36,0),IF(AND(145&gt;='EDT Y TAREAS'!AK37,145&lt;'EDT Y TAREAS'!AL37),'EDT Y TAREAS'!AJ37/'EDT Y TAREAS'!M37,0),IF(AND(145&gt;='EDT Y TAREAS'!AK40,145&lt;'EDT Y TAREAS'!AL40),'EDT Y TAREAS'!AJ40/'EDT Y TAREAS'!M40,0),IF(AND(145&gt;='EDT Y TAREAS'!AK42,145&lt;'EDT Y TAREAS'!AL42),'EDT Y TAREAS'!AJ42/'EDT Y TAREAS'!M42,0),IF(AND(145&gt;='EDT Y TAREAS'!AK49,145&lt;'EDT Y TAREAS'!AL49),'EDT Y TAREAS'!AJ49/'EDT Y TAREAS'!M49,0),IF(AND(145&gt;='EDT Y TAREAS'!AK50,145&lt;'EDT Y TAREAS'!AL50),'EDT Y TAREAS'!AJ50/'EDT Y TAREAS'!M50,0),IF(AND(145&gt;='EDT Y TAREAS'!AK51,145&lt;'EDT Y TAREAS'!AL51),'EDT Y TAREAS'!AJ51/'EDT Y TAREAS'!M51,0),IF(AND(145&gt;='EDT Y TAREAS'!AK52,145&lt;'EDT Y TAREAS'!AL52),'EDT Y TAREAS'!AJ52/'EDT Y TAREAS'!M52,0))</x:f>
        <x:v>1.6</x:v>
      </x:c>
      <x:c r="I185" s="10" t="n">
        <x:f>WORKDAY('RESUMEN'!$D$3-1,A185,'RESUMEN'!$J$6:$J$25)</x:f>
        <x:v>46531</x:v>
      </x:c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  <x:c r="AM185" s="3"/>
      <x:c r="AN185" s="3"/>
      <x:c r="AO185" s="3"/>
    </x:row>
    <x:row r="186" ht="24" customHeight="1">
      <x:c r="A186" s="3" t="n">
        <x:v>147</x:v>
      </x:c>
      <x:c r="B186" s="35" t="n">
        <x:f>SUM(IF(AND(146&gt;='EDT Y TAREAS'!AK6,146&lt;'EDT Y TAREAS'!AL6),'EDT Y TAREAS'!AD6/'EDT Y TAREAS'!M6,0),IF(AND(146&gt;='EDT Y TAREAS'!AK7,146&lt;'EDT Y TAREAS'!AL7),'EDT Y TAREAS'!AD7/'EDT Y TAREAS'!M7,0),IF(AND(146&gt;='EDT Y TAREAS'!AK8,146&lt;'EDT Y TAREAS'!AL8),'EDT Y TAREAS'!AD8/'EDT Y TAREAS'!M8,0),IF(AND(146&gt;='EDT Y TAREAS'!AK9,146&lt;'EDT Y TAREAS'!AL9),'EDT Y TAREAS'!AD9/'EDT Y TAREAS'!M9,0),IF(AND(146&gt;='EDT Y TAREAS'!AK10,146&lt;'EDT Y TAREAS'!AL10),'EDT Y TAREAS'!AD10/'EDT Y TAREAS'!M10,0),IF(AND(146&gt;='EDT Y TAREAS'!AK11,146&lt;'EDT Y TAREAS'!AL11),'EDT Y TAREAS'!AD11/'EDT Y TAREAS'!M11,0),IF(AND(146&gt;='EDT Y TAREAS'!AK12,146&lt;'EDT Y TAREAS'!AL12),'EDT Y TAREAS'!AD12/'EDT Y TAREAS'!M12,0),IF(AND(146&gt;='EDT Y TAREAS'!AK13,146&lt;'EDT Y TAREAS'!AL13),'EDT Y TAREAS'!AD13/'EDT Y TAREAS'!M13,0),IF(AND(146&gt;='EDT Y TAREAS'!AK14,146&lt;'EDT Y TAREAS'!AL14),'EDT Y TAREAS'!AD14/'EDT Y TAREAS'!M14,0),IF(AND(146&gt;='EDT Y TAREAS'!AK15,146&lt;'EDT Y TAREAS'!AL15),'EDT Y TAREAS'!AD15/'EDT Y TAREAS'!M15,0),IF(AND(146&gt;='EDT Y TAREAS'!AK16,146&lt;'EDT Y TAREAS'!AL16),'EDT Y TAREAS'!AD16/'EDT Y TAREAS'!M16,0),IF(AND(146&gt;='EDT Y TAREAS'!AK17,146&lt;'EDT Y TAREAS'!AL17),'EDT Y TAREAS'!AD17/'EDT Y TAREAS'!M17,0),IF(AND(146&gt;='EDT Y TAREAS'!AK18,146&lt;'EDT Y TAREAS'!AL18),'EDT Y TAREAS'!AD18/'EDT Y TAREAS'!M18,0),IF(AND(146&gt;='EDT Y TAREAS'!AK19,146&lt;'EDT Y TAREAS'!AL19),'EDT Y TAREAS'!AD19/'EDT Y TAREAS'!M19,0),IF(AND(146&gt;='EDT Y TAREAS'!AK20,146&lt;'EDT Y TAREAS'!AL20),'EDT Y TAREAS'!AD20/'EDT Y TAREAS'!M20,0),IF(AND(146&gt;='EDT Y TAREAS'!AK21,146&lt;'EDT Y TAREAS'!AL21),'EDT Y TAREAS'!AD21/'EDT Y TAREAS'!M21,0),IF(AND(146&gt;='EDT Y TAREAS'!AK22,146&lt;'EDT Y TAREAS'!AL22),'EDT Y TAREAS'!AD22/'EDT Y TAREAS'!M22,0),IF(AND(146&gt;='EDT Y TAREAS'!AK23,146&lt;'EDT Y TAREAS'!AL23),'EDT Y TAREAS'!AD23/'EDT Y TAREAS'!M23,0),IF(AND(146&gt;='EDT Y TAREAS'!AK26,146&lt;'EDT Y TAREAS'!AL26),'EDT Y TAREAS'!AD26/'EDT Y TAREAS'!M26,0),IF(AND(146&gt;='EDT Y TAREAS'!AK28,146&lt;'EDT Y TAREAS'!AL28),'EDT Y TAREAS'!AD28/'EDT Y TAREAS'!M28,0),IF(AND(146&gt;='EDT Y TAREAS'!AK30,146&lt;'EDT Y TAREAS'!AL30),'EDT Y TAREAS'!AD30/'EDT Y TAREAS'!M30,0),IF(AND(146&gt;='EDT Y TAREAS'!AK32,146&lt;'EDT Y TAREAS'!AL32),'EDT Y TAREAS'!AD32/'EDT Y TAREAS'!M32,0),IF(AND(146&gt;='EDT Y TAREAS'!AK34,146&lt;'EDT Y TAREAS'!AL34),'EDT Y TAREAS'!AD34/'EDT Y TAREAS'!M34,0),IF(AND(146&gt;='EDT Y TAREAS'!AK38,146&lt;'EDT Y TAREAS'!AL38),'EDT Y TAREAS'!AD38/'EDT Y TAREAS'!M38,0),IF(AND(146&gt;='EDT Y TAREAS'!AK39,146&lt;'EDT Y TAREAS'!AL39),'EDT Y TAREAS'!AD39/'EDT Y TAREAS'!M39,0),IF(AND(146&gt;='EDT Y TAREAS'!AK43,146&lt;'EDT Y TAREAS'!AL43),'EDT Y TAREAS'!AD43/'EDT Y TAREAS'!M43,0),IF(AND(146&gt;='EDT Y TAREAS'!AK44,146&lt;'EDT Y TAREAS'!AL44),'EDT Y TAREAS'!AD44/'EDT Y TAREAS'!M44,0),IF(AND(146&gt;='EDT Y TAREAS'!AK45,146&lt;'EDT Y TAREAS'!AL45),'EDT Y TAREAS'!AD45/'EDT Y TAREAS'!M45,0),IF(AND(146&gt;='EDT Y TAREAS'!AK46,146&lt;'EDT Y TAREAS'!AL46),'EDT Y TAREAS'!AD46/'EDT Y TAREAS'!M46,0),IF(AND(146&gt;='EDT Y TAREAS'!AK47,146&lt;'EDT Y TAREAS'!AL47),'EDT Y TAREAS'!AD47/'EDT Y TAREAS'!M47,0),IF(AND(146&gt;='EDT Y TAREAS'!AK49,146&lt;'EDT Y TAREAS'!AL49),'EDT Y TAREAS'!AD49/'EDT Y TAREAS'!M49,0),IF(AND(146&gt;='EDT Y TAREAS'!AK50,146&lt;'EDT Y TAREAS'!AL50),'EDT Y TAREAS'!AD50/'EDT Y TAREAS'!M50,0),IF(AND(146&gt;='EDT Y TAREAS'!AK51,146&lt;'EDT Y TAREAS'!AL51),'EDT Y TAREAS'!AD51/'EDT Y TAREAS'!M51,0),IF(AND(146&gt;='EDT Y TAREAS'!AK52,146&lt;'EDT Y TAREAS'!AL52),'EDT Y TAREAS'!AD52/'EDT Y TAREAS'!M52,0))</x:f>
        <x:v>1.3333333333333333</x:v>
      </x:c>
      <x:c r="C186" s="35" t="n">
        <x:f>SUM(IF(AND(146&gt;='EDT Y TAREAS'!AK6,146&lt;'EDT Y TAREAS'!AL6),'EDT Y TAREAS'!AE6/'EDT Y TAREAS'!M6,0),IF(AND(146&gt;='EDT Y TAREAS'!AK8,146&lt;'EDT Y TAREAS'!AL8),'EDT Y TAREAS'!AE8/'EDT Y TAREAS'!M8,0),IF(AND(146&gt;='EDT Y TAREAS'!AK9,146&lt;'EDT Y TAREAS'!AL9),'EDT Y TAREAS'!AE9/'EDT Y TAREAS'!M9,0),IF(AND(146&gt;='EDT Y TAREAS'!AK10,146&lt;'EDT Y TAREAS'!AL10),'EDT Y TAREAS'!AE10/'EDT Y TAREAS'!M10,0),IF(AND(146&gt;='EDT Y TAREAS'!AK12,146&lt;'EDT Y TAREAS'!AL12),'EDT Y TAREAS'!AE12/'EDT Y TAREAS'!M12,0),IF(AND(146&gt;='EDT Y TAREAS'!AK16,146&lt;'EDT Y TAREAS'!AL16),'EDT Y TAREAS'!AE16/'EDT Y TAREAS'!M16,0),IF(AND(146&gt;='EDT Y TAREAS'!AK21,146&lt;'EDT Y TAREAS'!AL21),'EDT Y TAREAS'!AE21/'EDT Y TAREAS'!M21,0),IF(AND(146&gt;='EDT Y TAREAS'!AK23,146&lt;'EDT Y TAREAS'!AL23),'EDT Y TAREAS'!AE23/'EDT Y TAREAS'!M23,0),IF(AND(146&gt;='EDT Y TAREAS'!AK37,146&lt;'EDT Y TAREAS'!AL37),'EDT Y TAREAS'!AE37/'EDT Y TAREAS'!M37,0),IF(AND(146&gt;='EDT Y TAREAS'!AK38,146&lt;'EDT Y TAREAS'!AL38),'EDT Y TAREAS'!AE38/'EDT Y TAREAS'!M38,0),IF(AND(146&gt;='EDT Y TAREAS'!AK41,146&lt;'EDT Y TAREAS'!AL41),'EDT Y TAREAS'!AE41/'EDT Y TAREAS'!M41,0),IF(AND(146&gt;='EDT Y TAREAS'!AK43,146&lt;'EDT Y TAREAS'!AL43),'EDT Y TAREAS'!AE43/'EDT Y TAREAS'!M43,0),IF(AND(146&gt;='EDT Y TAREAS'!AK44,146&lt;'EDT Y TAREAS'!AL44),'EDT Y TAREAS'!AE44/'EDT Y TAREAS'!M44,0),IF(AND(146&gt;='EDT Y TAREAS'!AK46,146&lt;'EDT Y TAREAS'!AL46),'EDT Y TAREAS'!AE46/'EDT Y TAREAS'!M46,0),IF(AND(146&gt;='EDT Y TAREAS'!AK47,146&lt;'EDT Y TAREAS'!AL47),'EDT Y TAREAS'!AE47/'EDT Y TAREAS'!M47,0),IF(AND(146&gt;='EDT Y TAREAS'!AK51,146&lt;'EDT Y TAREAS'!AL51),'EDT Y TAREAS'!AE51/'EDT Y TAREAS'!M51,0),IF(AND(146&gt;='EDT Y TAREAS'!AK52,146&lt;'EDT Y TAREAS'!AL52),'EDT Y TAREAS'!AE52/'EDT Y TAREAS'!M52,0))</x:f>
        <x:v>1.3333333333333333</x:v>
      </x:c>
      <x:c r="D186" s="35" t="n">
        <x:f>SUM(IF(AND(146&gt;='EDT Y TAREAS'!AK11,146&lt;'EDT Y TAREAS'!AL11),'EDT Y TAREAS'!AF11/'EDT Y TAREAS'!M11,0),IF(AND(146&gt;='EDT Y TAREAS'!AK24,146&lt;'EDT Y TAREAS'!AL24),'EDT Y TAREAS'!AF24/'EDT Y TAREAS'!M24,0),IF(AND(146&gt;='EDT Y TAREAS'!AK25,146&lt;'EDT Y TAREAS'!AL25),'EDT Y TAREAS'!AF25/'EDT Y TAREAS'!M25,0),IF(AND(146&gt;='EDT Y TAREAS'!AK26,146&lt;'EDT Y TAREAS'!AL26),'EDT Y TAREAS'!AF26/'EDT Y TAREAS'!M26,0),IF(AND(146&gt;='EDT Y TAREAS'!AK27,146&lt;'EDT Y TAREAS'!AL27),'EDT Y TAREAS'!AF27/'EDT Y TAREAS'!M27,0),IF(AND(146&gt;='EDT Y TAREAS'!AK28,146&lt;'EDT Y TAREAS'!AL28),'EDT Y TAREAS'!AF28/'EDT Y TAREAS'!M28,0),IF(AND(146&gt;='EDT Y TAREAS'!AK31,146&lt;'EDT Y TAREAS'!AL31),'EDT Y TAREAS'!AF31/'EDT Y TAREAS'!M31,0),IF(AND(146&gt;='EDT Y TAREAS'!AK33,146&lt;'EDT Y TAREAS'!AL33),'EDT Y TAREAS'!AF33/'EDT Y TAREAS'!M33,0),IF(AND(146&gt;='EDT Y TAREAS'!AK34,146&lt;'EDT Y TAREAS'!AL34),'EDT Y TAREAS'!AF34/'EDT Y TAREAS'!M34,0),IF(AND(146&gt;='EDT Y TAREAS'!AK35,146&lt;'EDT Y TAREAS'!AL35),'EDT Y TAREAS'!AF35/'EDT Y TAREAS'!M35,0),IF(AND(146&gt;='EDT Y TAREAS'!AK37,146&lt;'EDT Y TAREAS'!AL37),'EDT Y TAREAS'!AF37/'EDT Y TAREAS'!M37,0),IF(AND(146&gt;='EDT Y TAREAS'!AK39,146&lt;'EDT Y TAREAS'!AL39),'EDT Y TAREAS'!AF39/'EDT Y TAREAS'!M39,0),IF(AND(146&gt;='EDT Y TAREAS'!AK40,146&lt;'EDT Y TAREAS'!AL40),'EDT Y TAREAS'!AF40/'EDT Y TAREAS'!M40,0),IF(AND(146&gt;='EDT Y TAREAS'!AK42,146&lt;'EDT Y TAREAS'!AL42),'EDT Y TAREAS'!AF42/'EDT Y TAREAS'!M42,0),IF(AND(146&gt;='EDT Y TAREAS'!AK45,146&lt;'EDT Y TAREAS'!AL45),'EDT Y TAREAS'!AF45/'EDT Y TAREAS'!M45,0),IF(AND(146&gt;='EDT Y TAREAS'!AK49,146&lt;'EDT Y TAREAS'!AL49),'EDT Y TAREAS'!AF49/'EDT Y TAREAS'!M49,0),IF(AND(146&gt;='EDT Y TAREAS'!AK52,146&lt;'EDT Y TAREAS'!AL52),'EDT Y TAREAS'!AF52/'EDT Y TAREAS'!M52,0))</x:f>
        <x:v>0</x:v>
      </x:c>
      <x:c r="E186" s="35" t="n">
        <x:f>SUM(IF(AND(146&gt;='EDT Y TAREAS'!AK29,146&lt;'EDT Y TAREAS'!AL29),'EDT Y TAREAS'!AG29/'EDT Y TAREAS'!M29,0),IF(AND(146&gt;='EDT Y TAREAS'!AK30,146&lt;'EDT Y TAREAS'!AL30),'EDT Y TAREAS'!AG30/'EDT Y TAREAS'!M30,0),IF(AND(146&gt;='EDT Y TAREAS'!AK31,146&lt;'EDT Y TAREAS'!AL31),'EDT Y TAREAS'!AG31/'EDT Y TAREAS'!M31,0),IF(AND(146&gt;='EDT Y TAREAS'!AK32,146&lt;'EDT Y TAREAS'!AL32),'EDT Y TAREAS'!AG32/'EDT Y TAREAS'!M32,0),IF(AND(146&gt;='EDT Y TAREAS'!AK41,146&lt;'EDT Y TAREAS'!AL41),'EDT Y TAREAS'!AG41/'EDT Y TAREAS'!M41,0),IF(AND(146&gt;='EDT Y TAREAS'!AK45,146&lt;'EDT Y TAREAS'!AL45),'EDT Y TAREAS'!AG45/'EDT Y TAREAS'!M45,0),IF(AND(146&gt;='EDT Y TAREAS'!AK48,146&lt;'EDT Y TAREAS'!AL48),'EDT Y TAREAS'!AG48/'EDT Y TAREAS'!M48,0))</x:f>
        <x:v>0</x:v>
      </x:c>
      <x:c r="F186" s="35" t="n">
        <x:f>SUM(IF(AND(146&gt;='EDT Y TAREAS'!AK10,146&lt;'EDT Y TAREAS'!AL10),'EDT Y TAREAS'!AH10/'EDT Y TAREAS'!M10,0),IF(AND(146&gt;='EDT Y TAREAS'!AK12,146&lt;'EDT Y TAREAS'!AL12),'EDT Y TAREAS'!AH12/'EDT Y TAREAS'!M12,0),IF(AND(146&gt;='EDT Y TAREAS'!AK22,146&lt;'EDT Y TAREAS'!AL22),'EDT Y TAREAS'!AH22/'EDT Y TAREAS'!M22,0),IF(AND(146&gt;='EDT Y TAREAS'!AK23,146&lt;'EDT Y TAREAS'!AL23),'EDT Y TAREAS'!AH23/'EDT Y TAREAS'!M23,0),IF(AND(146&gt;='EDT Y TAREAS'!AK29,146&lt;'EDT Y TAREAS'!AL29),'EDT Y TAREAS'!AH29/'EDT Y TAREAS'!M29,0),IF(AND(146&gt;='EDT Y TAREAS'!AK30,146&lt;'EDT Y TAREAS'!AL30),'EDT Y TAREAS'!AH30/'EDT Y TAREAS'!M30,0),IF(AND(146&gt;='EDT Y TAREAS'!AK32,146&lt;'EDT Y TAREAS'!AL32),'EDT Y TAREAS'!AH32/'EDT Y TAREAS'!M32,0),IF(AND(146&gt;='EDT Y TAREAS'!AK41,146&lt;'EDT Y TAREAS'!AL41),'EDT Y TAREAS'!AH41/'EDT Y TAREAS'!M41,0),IF(AND(146&gt;='EDT Y TAREAS'!AK44,146&lt;'EDT Y TAREAS'!AL44),'EDT Y TAREAS'!AH44/'EDT Y TAREAS'!M44,0),IF(AND(146&gt;='EDT Y TAREAS'!AK46,146&lt;'EDT Y TAREAS'!AL46),'EDT Y TAREAS'!AH46/'EDT Y TAREAS'!M46,0),IF(AND(146&gt;='EDT Y TAREAS'!AK48,146&lt;'EDT Y TAREAS'!AL48),'EDT Y TAREAS'!AH48/'EDT Y TAREAS'!M48,0))</x:f>
        <x:v>0</x:v>
      </x:c>
      <x:c r="G186" s="35" t="n">
        <x:f>SUM(IF(AND(146&gt;='EDT Y TAREAS'!AK20,146&lt;'EDT Y TAREAS'!AL20),'EDT Y TAREAS'!AI20/'EDT Y TAREAS'!M20,0),IF(AND(146&gt;='EDT Y TAREAS'!AK25,146&lt;'EDT Y TAREAS'!AL25),'EDT Y TAREAS'!AI25/'EDT Y TAREAS'!M25,0),IF(AND(146&gt;='EDT Y TAREAS'!AK33,146&lt;'EDT Y TAREAS'!AL33),'EDT Y TAREAS'!AI33/'EDT Y TAREAS'!M33,0),IF(AND(146&gt;='EDT Y TAREAS'!AK34,146&lt;'EDT Y TAREAS'!AL34),'EDT Y TAREAS'!AI34/'EDT Y TAREAS'!M34,0),IF(AND(146&gt;='EDT Y TAREAS'!AK36,146&lt;'EDT Y TAREAS'!AL36),'EDT Y TAREAS'!AI36/'EDT Y TAREAS'!M36,0),IF(AND(146&gt;='EDT Y TAREAS'!AK39,146&lt;'EDT Y TAREAS'!AL39),'EDT Y TAREAS'!AI39/'EDT Y TAREAS'!M39,0),IF(AND(146&gt;='EDT Y TAREAS'!AK40,146&lt;'EDT Y TAREAS'!AL40),'EDT Y TAREAS'!AI40/'EDT Y TAREAS'!M40,0),IF(AND(146&gt;='EDT Y TAREAS'!AK42,146&lt;'EDT Y TAREAS'!AL42),'EDT Y TAREAS'!AI42/'EDT Y TAREAS'!M42,0),IF(AND(146&gt;='EDT Y TAREAS'!AK43,146&lt;'EDT Y TAREAS'!AL43),'EDT Y TAREAS'!AI43/'EDT Y TAREAS'!M43,0),IF(AND(146&gt;='EDT Y TAREAS'!AK44,146&lt;'EDT Y TAREAS'!AL44),'EDT Y TAREAS'!AI44/'EDT Y TAREAS'!M44,0),IF(AND(146&gt;='EDT Y TAREAS'!AK45,146&lt;'EDT Y TAREAS'!AL45),'EDT Y TAREAS'!AI45/'EDT Y TAREAS'!M45,0),IF(AND(146&gt;='EDT Y TAREAS'!AK46,146&lt;'EDT Y TAREAS'!AL46),'EDT Y TAREAS'!AI46/'EDT Y TAREAS'!M46,0),IF(AND(146&gt;='EDT Y TAREAS'!AK48,146&lt;'EDT Y TAREAS'!AL48),'EDT Y TAREAS'!AI48/'EDT Y TAREAS'!M48,0),IF(AND(146&gt;='EDT Y TAREAS'!AK50,146&lt;'EDT Y TAREAS'!AL50),'EDT Y TAREAS'!AI50/'EDT Y TAREAS'!M50,0),IF(AND(146&gt;='EDT Y TAREAS'!AK52,146&lt;'EDT Y TAREAS'!AL52),'EDT Y TAREAS'!AI52/'EDT Y TAREAS'!M52,0))</x:f>
        <x:v>0</x:v>
      </x:c>
      <x:c r="H186" s="35" t="n">
        <x:f>SUM(IF(AND(146&gt;='EDT Y TAREAS'!AK11,146&lt;'EDT Y TAREAS'!AL11),'EDT Y TAREAS'!AJ11/'EDT Y TAREAS'!M11,0),IF(AND(146&gt;='EDT Y TAREAS'!AK24,146&lt;'EDT Y TAREAS'!AL24),'EDT Y TAREAS'!AJ24/'EDT Y TAREAS'!M24,0),IF(AND(146&gt;='EDT Y TAREAS'!AK27,146&lt;'EDT Y TAREAS'!AL27),'EDT Y TAREAS'!AJ27/'EDT Y TAREAS'!M27,0),IF(AND(146&gt;='EDT Y TAREAS'!AK28,146&lt;'EDT Y TAREAS'!AL28),'EDT Y TAREAS'!AJ28/'EDT Y TAREAS'!M28,0),IF(AND(146&gt;='EDT Y TAREAS'!AK33,146&lt;'EDT Y TAREAS'!AL33),'EDT Y TAREAS'!AJ33/'EDT Y TAREAS'!M33,0),IF(AND(146&gt;='EDT Y TAREAS'!AK35,146&lt;'EDT Y TAREAS'!AL35),'EDT Y TAREAS'!AJ35/'EDT Y TAREAS'!M35,0),IF(AND(146&gt;='EDT Y TAREAS'!AK36,146&lt;'EDT Y TAREAS'!AL36),'EDT Y TAREAS'!AJ36/'EDT Y TAREAS'!M36,0),IF(AND(146&gt;='EDT Y TAREAS'!AK37,146&lt;'EDT Y TAREAS'!AL37),'EDT Y TAREAS'!AJ37/'EDT Y TAREAS'!M37,0),IF(AND(146&gt;='EDT Y TAREAS'!AK40,146&lt;'EDT Y TAREAS'!AL40),'EDT Y TAREAS'!AJ40/'EDT Y TAREAS'!M40,0),IF(AND(146&gt;='EDT Y TAREAS'!AK42,146&lt;'EDT Y TAREAS'!AL42),'EDT Y TAREAS'!AJ42/'EDT Y TAREAS'!M42,0),IF(AND(146&gt;='EDT Y TAREAS'!AK49,146&lt;'EDT Y TAREAS'!AL49),'EDT Y TAREAS'!AJ49/'EDT Y TAREAS'!M49,0),IF(AND(146&gt;='EDT Y TAREAS'!AK50,146&lt;'EDT Y TAREAS'!AL50),'EDT Y TAREAS'!AJ50/'EDT Y TAREAS'!M50,0),IF(AND(146&gt;='EDT Y TAREAS'!AK51,146&lt;'EDT Y TAREAS'!AL51),'EDT Y TAREAS'!AJ51/'EDT Y TAREAS'!M51,0),IF(AND(146&gt;='EDT Y TAREAS'!AK52,146&lt;'EDT Y TAREAS'!AL52),'EDT Y TAREAS'!AJ52/'EDT Y TAREAS'!M52,0))</x:f>
        <x:v>1.3333333333333333</x:v>
      </x:c>
      <x:c r="I186" s="10" t="n">
        <x:f>WORKDAY('RESUMEN'!$D$3-1,A186,'RESUMEN'!$J$6:$J$25)</x:f>
        <x:v>46532</x:v>
      </x:c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  <x:c r="AM186" s="3"/>
      <x:c r="AN186" s="3"/>
      <x:c r="AO186" s="3"/>
    </x:row>
    <x:row r="187" ht="24" customHeight="1">
      <x:c r="A187" s="3" t="n">
        <x:v>148</x:v>
      </x:c>
      <x:c r="B187" s="35" t="n">
        <x:f>SUM(IF(AND(147&gt;='EDT Y TAREAS'!AK6,147&lt;'EDT Y TAREAS'!AL6),'EDT Y TAREAS'!AD6/'EDT Y TAREAS'!M6,0),IF(AND(147&gt;='EDT Y TAREAS'!AK7,147&lt;'EDT Y TAREAS'!AL7),'EDT Y TAREAS'!AD7/'EDT Y TAREAS'!M7,0),IF(AND(147&gt;='EDT Y TAREAS'!AK8,147&lt;'EDT Y TAREAS'!AL8),'EDT Y TAREAS'!AD8/'EDT Y TAREAS'!M8,0),IF(AND(147&gt;='EDT Y TAREAS'!AK9,147&lt;'EDT Y TAREAS'!AL9),'EDT Y TAREAS'!AD9/'EDT Y TAREAS'!M9,0),IF(AND(147&gt;='EDT Y TAREAS'!AK10,147&lt;'EDT Y TAREAS'!AL10),'EDT Y TAREAS'!AD10/'EDT Y TAREAS'!M10,0),IF(AND(147&gt;='EDT Y TAREAS'!AK11,147&lt;'EDT Y TAREAS'!AL11),'EDT Y TAREAS'!AD11/'EDT Y TAREAS'!M11,0),IF(AND(147&gt;='EDT Y TAREAS'!AK12,147&lt;'EDT Y TAREAS'!AL12),'EDT Y TAREAS'!AD12/'EDT Y TAREAS'!M12,0),IF(AND(147&gt;='EDT Y TAREAS'!AK13,147&lt;'EDT Y TAREAS'!AL13),'EDT Y TAREAS'!AD13/'EDT Y TAREAS'!M13,0),IF(AND(147&gt;='EDT Y TAREAS'!AK14,147&lt;'EDT Y TAREAS'!AL14),'EDT Y TAREAS'!AD14/'EDT Y TAREAS'!M14,0),IF(AND(147&gt;='EDT Y TAREAS'!AK15,147&lt;'EDT Y TAREAS'!AL15),'EDT Y TAREAS'!AD15/'EDT Y TAREAS'!M15,0),IF(AND(147&gt;='EDT Y TAREAS'!AK16,147&lt;'EDT Y TAREAS'!AL16),'EDT Y TAREAS'!AD16/'EDT Y TAREAS'!M16,0),IF(AND(147&gt;='EDT Y TAREAS'!AK17,147&lt;'EDT Y TAREAS'!AL17),'EDT Y TAREAS'!AD17/'EDT Y TAREAS'!M17,0),IF(AND(147&gt;='EDT Y TAREAS'!AK18,147&lt;'EDT Y TAREAS'!AL18),'EDT Y TAREAS'!AD18/'EDT Y TAREAS'!M18,0),IF(AND(147&gt;='EDT Y TAREAS'!AK19,147&lt;'EDT Y TAREAS'!AL19),'EDT Y TAREAS'!AD19/'EDT Y TAREAS'!M19,0),IF(AND(147&gt;='EDT Y TAREAS'!AK20,147&lt;'EDT Y TAREAS'!AL20),'EDT Y TAREAS'!AD20/'EDT Y TAREAS'!M20,0),IF(AND(147&gt;='EDT Y TAREAS'!AK21,147&lt;'EDT Y TAREAS'!AL21),'EDT Y TAREAS'!AD21/'EDT Y TAREAS'!M21,0),IF(AND(147&gt;='EDT Y TAREAS'!AK22,147&lt;'EDT Y TAREAS'!AL22),'EDT Y TAREAS'!AD22/'EDT Y TAREAS'!M22,0),IF(AND(147&gt;='EDT Y TAREAS'!AK23,147&lt;'EDT Y TAREAS'!AL23),'EDT Y TAREAS'!AD23/'EDT Y TAREAS'!M23,0),IF(AND(147&gt;='EDT Y TAREAS'!AK26,147&lt;'EDT Y TAREAS'!AL26),'EDT Y TAREAS'!AD26/'EDT Y TAREAS'!M26,0),IF(AND(147&gt;='EDT Y TAREAS'!AK28,147&lt;'EDT Y TAREAS'!AL28),'EDT Y TAREAS'!AD28/'EDT Y TAREAS'!M28,0),IF(AND(147&gt;='EDT Y TAREAS'!AK30,147&lt;'EDT Y TAREAS'!AL30),'EDT Y TAREAS'!AD30/'EDT Y TAREAS'!M30,0),IF(AND(147&gt;='EDT Y TAREAS'!AK32,147&lt;'EDT Y TAREAS'!AL32),'EDT Y TAREAS'!AD32/'EDT Y TAREAS'!M32,0),IF(AND(147&gt;='EDT Y TAREAS'!AK34,147&lt;'EDT Y TAREAS'!AL34),'EDT Y TAREAS'!AD34/'EDT Y TAREAS'!M34,0),IF(AND(147&gt;='EDT Y TAREAS'!AK38,147&lt;'EDT Y TAREAS'!AL38),'EDT Y TAREAS'!AD38/'EDT Y TAREAS'!M38,0),IF(AND(147&gt;='EDT Y TAREAS'!AK39,147&lt;'EDT Y TAREAS'!AL39),'EDT Y TAREAS'!AD39/'EDT Y TAREAS'!M39,0),IF(AND(147&gt;='EDT Y TAREAS'!AK43,147&lt;'EDT Y TAREAS'!AL43),'EDT Y TAREAS'!AD43/'EDT Y TAREAS'!M43,0),IF(AND(147&gt;='EDT Y TAREAS'!AK44,147&lt;'EDT Y TAREAS'!AL44),'EDT Y TAREAS'!AD44/'EDT Y TAREAS'!M44,0),IF(AND(147&gt;='EDT Y TAREAS'!AK45,147&lt;'EDT Y TAREAS'!AL45),'EDT Y TAREAS'!AD45/'EDT Y TAREAS'!M45,0),IF(AND(147&gt;='EDT Y TAREAS'!AK46,147&lt;'EDT Y TAREAS'!AL46),'EDT Y TAREAS'!AD46/'EDT Y TAREAS'!M46,0),IF(AND(147&gt;='EDT Y TAREAS'!AK47,147&lt;'EDT Y TAREAS'!AL47),'EDT Y TAREAS'!AD47/'EDT Y TAREAS'!M47,0),IF(AND(147&gt;='EDT Y TAREAS'!AK49,147&lt;'EDT Y TAREAS'!AL49),'EDT Y TAREAS'!AD49/'EDT Y TAREAS'!M49,0),IF(AND(147&gt;='EDT Y TAREAS'!AK50,147&lt;'EDT Y TAREAS'!AL50),'EDT Y TAREAS'!AD50/'EDT Y TAREAS'!M50,0),IF(AND(147&gt;='EDT Y TAREAS'!AK51,147&lt;'EDT Y TAREAS'!AL51),'EDT Y TAREAS'!AD51/'EDT Y TAREAS'!M51,0),IF(AND(147&gt;='EDT Y TAREAS'!AK52,147&lt;'EDT Y TAREAS'!AL52),'EDT Y TAREAS'!AD52/'EDT Y TAREAS'!M52,0))</x:f>
        <x:v>1.3333333333333333</x:v>
      </x:c>
      <x:c r="C187" s="35" t="n">
        <x:f>SUM(IF(AND(147&gt;='EDT Y TAREAS'!AK6,147&lt;'EDT Y TAREAS'!AL6),'EDT Y TAREAS'!AE6/'EDT Y TAREAS'!M6,0),IF(AND(147&gt;='EDT Y TAREAS'!AK8,147&lt;'EDT Y TAREAS'!AL8),'EDT Y TAREAS'!AE8/'EDT Y TAREAS'!M8,0),IF(AND(147&gt;='EDT Y TAREAS'!AK9,147&lt;'EDT Y TAREAS'!AL9),'EDT Y TAREAS'!AE9/'EDT Y TAREAS'!M9,0),IF(AND(147&gt;='EDT Y TAREAS'!AK10,147&lt;'EDT Y TAREAS'!AL10),'EDT Y TAREAS'!AE10/'EDT Y TAREAS'!M10,0),IF(AND(147&gt;='EDT Y TAREAS'!AK12,147&lt;'EDT Y TAREAS'!AL12),'EDT Y TAREAS'!AE12/'EDT Y TAREAS'!M12,0),IF(AND(147&gt;='EDT Y TAREAS'!AK16,147&lt;'EDT Y TAREAS'!AL16),'EDT Y TAREAS'!AE16/'EDT Y TAREAS'!M16,0),IF(AND(147&gt;='EDT Y TAREAS'!AK21,147&lt;'EDT Y TAREAS'!AL21),'EDT Y TAREAS'!AE21/'EDT Y TAREAS'!M21,0),IF(AND(147&gt;='EDT Y TAREAS'!AK23,147&lt;'EDT Y TAREAS'!AL23),'EDT Y TAREAS'!AE23/'EDT Y TAREAS'!M23,0),IF(AND(147&gt;='EDT Y TAREAS'!AK37,147&lt;'EDT Y TAREAS'!AL37),'EDT Y TAREAS'!AE37/'EDT Y TAREAS'!M37,0),IF(AND(147&gt;='EDT Y TAREAS'!AK38,147&lt;'EDT Y TAREAS'!AL38),'EDT Y TAREAS'!AE38/'EDT Y TAREAS'!M38,0),IF(AND(147&gt;='EDT Y TAREAS'!AK41,147&lt;'EDT Y TAREAS'!AL41),'EDT Y TAREAS'!AE41/'EDT Y TAREAS'!M41,0),IF(AND(147&gt;='EDT Y TAREAS'!AK43,147&lt;'EDT Y TAREAS'!AL43),'EDT Y TAREAS'!AE43/'EDT Y TAREAS'!M43,0),IF(AND(147&gt;='EDT Y TAREAS'!AK44,147&lt;'EDT Y TAREAS'!AL44),'EDT Y TAREAS'!AE44/'EDT Y TAREAS'!M44,0),IF(AND(147&gt;='EDT Y TAREAS'!AK46,147&lt;'EDT Y TAREAS'!AL46),'EDT Y TAREAS'!AE46/'EDT Y TAREAS'!M46,0),IF(AND(147&gt;='EDT Y TAREAS'!AK47,147&lt;'EDT Y TAREAS'!AL47),'EDT Y TAREAS'!AE47/'EDT Y TAREAS'!M47,0),IF(AND(147&gt;='EDT Y TAREAS'!AK51,147&lt;'EDT Y TAREAS'!AL51),'EDT Y TAREAS'!AE51/'EDT Y TAREAS'!M51,0),IF(AND(147&gt;='EDT Y TAREAS'!AK52,147&lt;'EDT Y TAREAS'!AL52),'EDT Y TAREAS'!AE52/'EDT Y TAREAS'!M52,0))</x:f>
        <x:v>1.3333333333333333</x:v>
      </x:c>
      <x:c r="D187" s="35" t="n">
        <x:f>SUM(IF(AND(147&gt;='EDT Y TAREAS'!AK11,147&lt;'EDT Y TAREAS'!AL11),'EDT Y TAREAS'!AF11/'EDT Y TAREAS'!M11,0),IF(AND(147&gt;='EDT Y TAREAS'!AK24,147&lt;'EDT Y TAREAS'!AL24),'EDT Y TAREAS'!AF24/'EDT Y TAREAS'!M24,0),IF(AND(147&gt;='EDT Y TAREAS'!AK25,147&lt;'EDT Y TAREAS'!AL25),'EDT Y TAREAS'!AF25/'EDT Y TAREAS'!M25,0),IF(AND(147&gt;='EDT Y TAREAS'!AK26,147&lt;'EDT Y TAREAS'!AL26),'EDT Y TAREAS'!AF26/'EDT Y TAREAS'!M26,0),IF(AND(147&gt;='EDT Y TAREAS'!AK27,147&lt;'EDT Y TAREAS'!AL27),'EDT Y TAREAS'!AF27/'EDT Y TAREAS'!M27,0),IF(AND(147&gt;='EDT Y TAREAS'!AK28,147&lt;'EDT Y TAREAS'!AL28),'EDT Y TAREAS'!AF28/'EDT Y TAREAS'!M28,0),IF(AND(147&gt;='EDT Y TAREAS'!AK31,147&lt;'EDT Y TAREAS'!AL31),'EDT Y TAREAS'!AF31/'EDT Y TAREAS'!M31,0),IF(AND(147&gt;='EDT Y TAREAS'!AK33,147&lt;'EDT Y TAREAS'!AL33),'EDT Y TAREAS'!AF33/'EDT Y TAREAS'!M33,0),IF(AND(147&gt;='EDT Y TAREAS'!AK34,147&lt;'EDT Y TAREAS'!AL34),'EDT Y TAREAS'!AF34/'EDT Y TAREAS'!M34,0),IF(AND(147&gt;='EDT Y TAREAS'!AK35,147&lt;'EDT Y TAREAS'!AL35),'EDT Y TAREAS'!AF35/'EDT Y TAREAS'!M35,0),IF(AND(147&gt;='EDT Y TAREAS'!AK37,147&lt;'EDT Y TAREAS'!AL37),'EDT Y TAREAS'!AF37/'EDT Y TAREAS'!M37,0),IF(AND(147&gt;='EDT Y TAREAS'!AK39,147&lt;'EDT Y TAREAS'!AL39),'EDT Y TAREAS'!AF39/'EDT Y TAREAS'!M39,0),IF(AND(147&gt;='EDT Y TAREAS'!AK40,147&lt;'EDT Y TAREAS'!AL40),'EDT Y TAREAS'!AF40/'EDT Y TAREAS'!M40,0),IF(AND(147&gt;='EDT Y TAREAS'!AK42,147&lt;'EDT Y TAREAS'!AL42),'EDT Y TAREAS'!AF42/'EDT Y TAREAS'!M42,0),IF(AND(147&gt;='EDT Y TAREAS'!AK45,147&lt;'EDT Y TAREAS'!AL45),'EDT Y TAREAS'!AF45/'EDT Y TAREAS'!M45,0),IF(AND(147&gt;='EDT Y TAREAS'!AK49,147&lt;'EDT Y TAREAS'!AL49),'EDT Y TAREAS'!AF49/'EDT Y TAREAS'!M49,0),IF(AND(147&gt;='EDT Y TAREAS'!AK52,147&lt;'EDT Y TAREAS'!AL52),'EDT Y TAREAS'!AF52/'EDT Y TAREAS'!M52,0))</x:f>
        <x:v>0</x:v>
      </x:c>
      <x:c r="E187" s="35" t="n">
        <x:f>SUM(IF(AND(147&gt;='EDT Y TAREAS'!AK29,147&lt;'EDT Y TAREAS'!AL29),'EDT Y TAREAS'!AG29/'EDT Y TAREAS'!M29,0),IF(AND(147&gt;='EDT Y TAREAS'!AK30,147&lt;'EDT Y TAREAS'!AL30),'EDT Y TAREAS'!AG30/'EDT Y TAREAS'!M30,0),IF(AND(147&gt;='EDT Y TAREAS'!AK31,147&lt;'EDT Y TAREAS'!AL31),'EDT Y TAREAS'!AG31/'EDT Y TAREAS'!M31,0),IF(AND(147&gt;='EDT Y TAREAS'!AK32,147&lt;'EDT Y TAREAS'!AL32),'EDT Y TAREAS'!AG32/'EDT Y TAREAS'!M32,0),IF(AND(147&gt;='EDT Y TAREAS'!AK41,147&lt;'EDT Y TAREAS'!AL41),'EDT Y TAREAS'!AG41/'EDT Y TAREAS'!M41,0),IF(AND(147&gt;='EDT Y TAREAS'!AK45,147&lt;'EDT Y TAREAS'!AL45),'EDT Y TAREAS'!AG45/'EDT Y TAREAS'!M45,0),IF(AND(147&gt;='EDT Y TAREAS'!AK48,147&lt;'EDT Y TAREAS'!AL48),'EDT Y TAREAS'!AG48/'EDT Y TAREAS'!M48,0))</x:f>
        <x:v>0</x:v>
      </x:c>
      <x:c r="F187" s="35" t="n">
        <x:f>SUM(IF(AND(147&gt;='EDT Y TAREAS'!AK10,147&lt;'EDT Y TAREAS'!AL10),'EDT Y TAREAS'!AH10/'EDT Y TAREAS'!M10,0),IF(AND(147&gt;='EDT Y TAREAS'!AK12,147&lt;'EDT Y TAREAS'!AL12),'EDT Y TAREAS'!AH12/'EDT Y TAREAS'!M12,0),IF(AND(147&gt;='EDT Y TAREAS'!AK22,147&lt;'EDT Y TAREAS'!AL22),'EDT Y TAREAS'!AH22/'EDT Y TAREAS'!M22,0),IF(AND(147&gt;='EDT Y TAREAS'!AK23,147&lt;'EDT Y TAREAS'!AL23),'EDT Y TAREAS'!AH23/'EDT Y TAREAS'!M23,0),IF(AND(147&gt;='EDT Y TAREAS'!AK29,147&lt;'EDT Y TAREAS'!AL29),'EDT Y TAREAS'!AH29/'EDT Y TAREAS'!M29,0),IF(AND(147&gt;='EDT Y TAREAS'!AK30,147&lt;'EDT Y TAREAS'!AL30),'EDT Y TAREAS'!AH30/'EDT Y TAREAS'!M30,0),IF(AND(147&gt;='EDT Y TAREAS'!AK32,147&lt;'EDT Y TAREAS'!AL32),'EDT Y TAREAS'!AH32/'EDT Y TAREAS'!M32,0),IF(AND(147&gt;='EDT Y TAREAS'!AK41,147&lt;'EDT Y TAREAS'!AL41),'EDT Y TAREAS'!AH41/'EDT Y TAREAS'!M41,0),IF(AND(147&gt;='EDT Y TAREAS'!AK44,147&lt;'EDT Y TAREAS'!AL44),'EDT Y TAREAS'!AH44/'EDT Y TAREAS'!M44,0),IF(AND(147&gt;='EDT Y TAREAS'!AK46,147&lt;'EDT Y TAREAS'!AL46),'EDT Y TAREAS'!AH46/'EDT Y TAREAS'!M46,0),IF(AND(147&gt;='EDT Y TAREAS'!AK48,147&lt;'EDT Y TAREAS'!AL48),'EDT Y TAREAS'!AH48/'EDT Y TAREAS'!M48,0))</x:f>
        <x:v>0</x:v>
      </x:c>
      <x:c r="G187" s="35" t="n">
        <x:f>SUM(IF(AND(147&gt;='EDT Y TAREAS'!AK20,147&lt;'EDT Y TAREAS'!AL20),'EDT Y TAREAS'!AI20/'EDT Y TAREAS'!M20,0),IF(AND(147&gt;='EDT Y TAREAS'!AK25,147&lt;'EDT Y TAREAS'!AL25),'EDT Y TAREAS'!AI25/'EDT Y TAREAS'!M25,0),IF(AND(147&gt;='EDT Y TAREAS'!AK33,147&lt;'EDT Y TAREAS'!AL33),'EDT Y TAREAS'!AI33/'EDT Y TAREAS'!M33,0),IF(AND(147&gt;='EDT Y TAREAS'!AK34,147&lt;'EDT Y TAREAS'!AL34),'EDT Y TAREAS'!AI34/'EDT Y TAREAS'!M34,0),IF(AND(147&gt;='EDT Y TAREAS'!AK36,147&lt;'EDT Y TAREAS'!AL36),'EDT Y TAREAS'!AI36/'EDT Y TAREAS'!M36,0),IF(AND(147&gt;='EDT Y TAREAS'!AK39,147&lt;'EDT Y TAREAS'!AL39),'EDT Y TAREAS'!AI39/'EDT Y TAREAS'!M39,0),IF(AND(147&gt;='EDT Y TAREAS'!AK40,147&lt;'EDT Y TAREAS'!AL40),'EDT Y TAREAS'!AI40/'EDT Y TAREAS'!M40,0),IF(AND(147&gt;='EDT Y TAREAS'!AK42,147&lt;'EDT Y TAREAS'!AL42),'EDT Y TAREAS'!AI42/'EDT Y TAREAS'!M42,0),IF(AND(147&gt;='EDT Y TAREAS'!AK43,147&lt;'EDT Y TAREAS'!AL43),'EDT Y TAREAS'!AI43/'EDT Y TAREAS'!M43,0),IF(AND(147&gt;='EDT Y TAREAS'!AK44,147&lt;'EDT Y TAREAS'!AL44),'EDT Y TAREAS'!AI44/'EDT Y TAREAS'!M44,0),IF(AND(147&gt;='EDT Y TAREAS'!AK45,147&lt;'EDT Y TAREAS'!AL45),'EDT Y TAREAS'!AI45/'EDT Y TAREAS'!M45,0),IF(AND(147&gt;='EDT Y TAREAS'!AK46,147&lt;'EDT Y TAREAS'!AL46),'EDT Y TAREAS'!AI46/'EDT Y TAREAS'!M46,0),IF(AND(147&gt;='EDT Y TAREAS'!AK48,147&lt;'EDT Y TAREAS'!AL48),'EDT Y TAREAS'!AI48/'EDT Y TAREAS'!M48,0),IF(AND(147&gt;='EDT Y TAREAS'!AK50,147&lt;'EDT Y TAREAS'!AL50),'EDT Y TAREAS'!AI50/'EDT Y TAREAS'!M50,0),IF(AND(147&gt;='EDT Y TAREAS'!AK52,147&lt;'EDT Y TAREAS'!AL52),'EDT Y TAREAS'!AI52/'EDT Y TAREAS'!M52,0))</x:f>
        <x:v>0</x:v>
      </x:c>
      <x:c r="H187" s="35" t="n">
        <x:f>SUM(IF(AND(147&gt;='EDT Y TAREAS'!AK11,147&lt;'EDT Y TAREAS'!AL11),'EDT Y TAREAS'!AJ11/'EDT Y TAREAS'!M11,0),IF(AND(147&gt;='EDT Y TAREAS'!AK24,147&lt;'EDT Y TAREAS'!AL24),'EDT Y TAREAS'!AJ24/'EDT Y TAREAS'!M24,0),IF(AND(147&gt;='EDT Y TAREAS'!AK27,147&lt;'EDT Y TAREAS'!AL27),'EDT Y TAREAS'!AJ27/'EDT Y TAREAS'!M27,0),IF(AND(147&gt;='EDT Y TAREAS'!AK28,147&lt;'EDT Y TAREAS'!AL28),'EDT Y TAREAS'!AJ28/'EDT Y TAREAS'!M28,0),IF(AND(147&gt;='EDT Y TAREAS'!AK33,147&lt;'EDT Y TAREAS'!AL33),'EDT Y TAREAS'!AJ33/'EDT Y TAREAS'!M33,0),IF(AND(147&gt;='EDT Y TAREAS'!AK35,147&lt;'EDT Y TAREAS'!AL35),'EDT Y TAREAS'!AJ35/'EDT Y TAREAS'!M35,0),IF(AND(147&gt;='EDT Y TAREAS'!AK36,147&lt;'EDT Y TAREAS'!AL36),'EDT Y TAREAS'!AJ36/'EDT Y TAREAS'!M36,0),IF(AND(147&gt;='EDT Y TAREAS'!AK37,147&lt;'EDT Y TAREAS'!AL37),'EDT Y TAREAS'!AJ37/'EDT Y TAREAS'!M37,0),IF(AND(147&gt;='EDT Y TAREAS'!AK40,147&lt;'EDT Y TAREAS'!AL40),'EDT Y TAREAS'!AJ40/'EDT Y TAREAS'!M40,0),IF(AND(147&gt;='EDT Y TAREAS'!AK42,147&lt;'EDT Y TAREAS'!AL42),'EDT Y TAREAS'!AJ42/'EDT Y TAREAS'!M42,0),IF(AND(147&gt;='EDT Y TAREAS'!AK49,147&lt;'EDT Y TAREAS'!AL49),'EDT Y TAREAS'!AJ49/'EDT Y TAREAS'!M49,0),IF(AND(147&gt;='EDT Y TAREAS'!AK50,147&lt;'EDT Y TAREAS'!AL50),'EDT Y TAREAS'!AJ50/'EDT Y TAREAS'!M50,0),IF(AND(147&gt;='EDT Y TAREAS'!AK51,147&lt;'EDT Y TAREAS'!AL51),'EDT Y TAREAS'!AJ51/'EDT Y TAREAS'!M51,0),IF(AND(147&gt;='EDT Y TAREAS'!AK52,147&lt;'EDT Y TAREAS'!AL52),'EDT Y TAREAS'!AJ52/'EDT Y TAREAS'!M52,0))</x:f>
        <x:v>1.3333333333333333</x:v>
      </x:c>
      <x:c r="I187" s="10" t="n">
        <x:f>WORKDAY('RESUMEN'!$D$3-1,A187,'RESUMEN'!$J$6:$J$25)</x:f>
        <x:v>46533</x:v>
      </x:c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  <x:c r="AL187" s="3"/>
      <x:c r="AM187" s="3"/>
      <x:c r="AN187" s="3"/>
      <x:c r="AO187" s="3"/>
    </x:row>
    <x:row r="188" ht="24" customHeight="1">
      <x:c r="A188" s="3" t="n">
        <x:v>149</x:v>
      </x:c>
      <x:c r="B188" s="35" t="n">
        <x:f>SUM(IF(AND(148&gt;='EDT Y TAREAS'!AK6,148&lt;'EDT Y TAREAS'!AL6),'EDT Y TAREAS'!AD6/'EDT Y TAREAS'!M6,0),IF(AND(148&gt;='EDT Y TAREAS'!AK7,148&lt;'EDT Y TAREAS'!AL7),'EDT Y TAREAS'!AD7/'EDT Y TAREAS'!M7,0),IF(AND(148&gt;='EDT Y TAREAS'!AK8,148&lt;'EDT Y TAREAS'!AL8),'EDT Y TAREAS'!AD8/'EDT Y TAREAS'!M8,0),IF(AND(148&gt;='EDT Y TAREAS'!AK9,148&lt;'EDT Y TAREAS'!AL9),'EDT Y TAREAS'!AD9/'EDT Y TAREAS'!M9,0),IF(AND(148&gt;='EDT Y TAREAS'!AK10,148&lt;'EDT Y TAREAS'!AL10),'EDT Y TAREAS'!AD10/'EDT Y TAREAS'!M10,0),IF(AND(148&gt;='EDT Y TAREAS'!AK11,148&lt;'EDT Y TAREAS'!AL11),'EDT Y TAREAS'!AD11/'EDT Y TAREAS'!M11,0),IF(AND(148&gt;='EDT Y TAREAS'!AK12,148&lt;'EDT Y TAREAS'!AL12),'EDT Y TAREAS'!AD12/'EDT Y TAREAS'!M12,0),IF(AND(148&gt;='EDT Y TAREAS'!AK13,148&lt;'EDT Y TAREAS'!AL13),'EDT Y TAREAS'!AD13/'EDT Y TAREAS'!M13,0),IF(AND(148&gt;='EDT Y TAREAS'!AK14,148&lt;'EDT Y TAREAS'!AL14),'EDT Y TAREAS'!AD14/'EDT Y TAREAS'!M14,0),IF(AND(148&gt;='EDT Y TAREAS'!AK15,148&lt;'EDT Y TAREAS'!AL15),'EDT Y TAREAS'!AD15/'EDT Y TAREAS'!M15,0),IF(AND(148&gt;='EDT Y TAREAS'!AK16,148&lt;'EDT Y TAREAS'!AL16),'EDT Y TAREAS'!AD16/'EDT Y TAREAS'!M16,0),IF(AND(148&gt;='EDT Y TAREAS'!AK17,148&lt;'EDT Y TAREAS'!AL17),'EDT Y TAREAS'!AD17/'EDT Y TAREAS'!M17,0),IF(AND(148&gt;='EDT Y TAREAS'!AK18,148&lt;'EDT Y TAREAS'!AL18),'EDT Y TAREAS'!AD18/'EDT Y TAREAS'!M18,0),IF(AND(148&gt;='EDT Y TAREAS'!AK19,148&lt;'EDT Y TAREAS'!AL19),'EDT Y TAREAS'!AD19/'EDT Y TAREAS'!M19,0),IF(AND(148&gt;='EDT Y TAREAS'!AK20,148&lt;'EDT Y TAREAS'!AL20),'EDT Y TAREAS'!AD20/'EDT Y TAREAS'!M20,0),IF(AND(148&gt;='EDT Y TAREAS'!AK21,148&lt;'EDT Y TAREAS'!AL21),'EDT Y TAREAS'!AD21/'EDT Y TAREAS'!M21,0),IF(AND(148&gt;='EDT Y TAREAS'!AK22,148&lt;'EDT Y TAREAS'!AL22),'EDT Y TAREAS'!AD22/'EDT Y TAREAS'!M22,0),IF(AND(148&gt;='EDT Y TAREAS'!AK23,148&lt;'EDT Y TAREAS'!AL23),'EDT Y TAREAS'!AD23/'EDT Y TAREAS'!M23,0),IF(AND(148&gt;='EDT Y TAREAS'!AK26,148&lt;'EDT Y TAREAS'!AL26),'EDT Y TAREAS'!AD26/'EDT Y TAREAS'!M26,0),IF(AND(148&gt;='EDT Y TAREAS'!AK28,148&lt;'EDT Y TAREAS'!AL28),'EDT Y TAREAS'!AD28/'EDT Y TAREAS'!M28,0),IF(AND(148&gt;='EDT Y TAREAS'!AK30,148&lt;'EDT Y TAREAS'!AL30),'EDT Y TAREAS'!AD30/'EDT Y TAREAS'!M30,0),IF(AND(148&gt;='EDT Y TAREAS'!AK32,148&lt;'EDT Y TAREAS'!AL32),'EDT Y TAREAS'!AD32/'EDT Y TAREAS'!M32,0),IF(AND(148&gt;='EDT Y TAREAS'!AK34,148&lt;'EDT Y TAREAS'!AL34),'EDT Y TAREAS'!AD34/'EDT Y TAREAS'!M34,0),IF(AND(148&gt;='EDT Y TAREAS'!AK38,148&lt;'EDT Y TAREAS'!AL38),'EDT Y TAREAS'!AD38/'EDT Y TAREAS'!M38,0),IF(AND(148&gt;='EDT Y TAREAS'!AK39,148&lt;'EDT Y TAREAS'!AL39),'EDT Y TAREAS'!AD39/'EDT Y TAREAS'!M39,0),IF(AND(148&gt;='EDT Y TAREAS'!AK43,148&lt;'EDT Y TAREAS'!AL43),'EDT Y TAREAS'!AD43/'EDT Y TAREAS'!M43,0),IF(AND(148&gt;='EDT Y TAREAS'!AK44,148&lt;'EDT Y TAREAS'!AL44),'EDT Y TAREAS'!AD44/'EDT Y TAREAS'!M44,0),IF(AND(148&gt;='EDT Y TAREAS'!AK45,148&lt;'EDT Y TAREAS'!AL45),'EDT Y TAREAS'!AD45/'EDT Y TAREAS'!M45,0),IF(AND(148&gt;='EDT Y TAREAS'!AK46,148&lt;'EDT Y TAREAS'!AL46),'EDT Y TAREAS'!AD46/'EDT Y TAREAS'!M46,0),IF(AND(148&gt;='EDT Y TAREAS'!AK47,148&lt;'EDT Y TAREAS'!AL47),'EDT Y TAREAS'!AD47/'EDT Y TAREAS'!M47,0),IF(AND(148&gt;='EDT Y TAREAS'!AK49,148&lt;'EDT Y TAREAS'!AL49),'EDT Y TAREAS'!AD49/'EDT Y TAREAS'!M49,0),IF(AND(148&gt;='EDT Y TAREAS'!AK50,148&lt;'EDT Y TAREAS'!AL50),'EDT Y TAREAS'!AD50/'EDT Y TAREAS'!M50,0),IF(AND(148&gt;='EDT Y TAREAS'!AK51,148&lt;'EDT Y TAREAS'!AL51),'EDT Y TAREAS'!AD51/'EDT Y TAREAS'!M51,0),IF(AND(148&gt;='EDT Y TAREAS'!AK52,148&lt;'EDT Y TAREAS'!AL52),'EDT Y TAREAS'!AD52/'EDT Y TAREAS'!M52,0))</x:f>
        <x:v>1.3333333333333333</x:v>
      </x:c>
      <x:c r="C188" s="35" t="n">
        <x:f>SUM(IF(AND(148&gt;='EDT Y TAREAS'!AK6,148&lt;'EDT Y TAREAS'!AL6),'EDT Y TAREAS'!AE6/'EDT Y TAREAS'!M6,0),IF(AND(148&gt;='EDT Y TAREAS'!AK8,148&lt;'EDT Y TAREAS'!AL8),'EDT Y TAREAS'!AE8/'EDT Y TAREAS'!M8,0),IF(AND(148&gt;='EDT Y TAREAS'!AK9,148&lt;'EDT Y TAREAS'!AL9),'EDT Y TAREAS'!AE9/'EDT Y TAREAS'!M9,0),IF(AND(148&gt;='EDT Y TAREAS'!AK10,148&lt;'EDT Y TAREAS'!AL10),'EDT Y TAREAS'!AE10/'EDT Y TAREAS'!M10,0),IF(AND(148&gt;='EDT Y TAREAS'!AK12,148&lt;'EDT Y TAREAS'!AL12),'EDT Y TAREAS'!AE12/'EDT Y TAREAS'!M12,0),IF(AND(148&gt;='EDT Y TAREAS'!AK16,148&lt;'EDT Y TAREAS'!AL16),'EDT Y TAREAS'!AE16/'EDT Y TAREAS'!M16,0),IF(AND(148&gt;='EDT Y TAREAS'!AK21,148&lt;'EDT Y TAREAS'!AL21),'EDT Y TAREAS'!AE21/'EDT Y TAREAS'!M21,0),IF(AND(148&gt;='EDT Y TAREAS'!AK23,148&lt;'EDT Y TAREAS'!AL23),'EDT Y TAREAS'!AE23/'EDT Y TAREAS'!M23,0),IF(AND(148&gt;='EDT Y TAREAS'!AK37,148&lt;'EDT Y TAREAS'!AL37),'EDT Y TAREAS'!AE37/'EDT Y TAREAS'!M37,0),IF(AND(148&gt;='EDT Y TAREAS'!AK38,148&lt;'EDT Y TAREAS'!AL38),'EDT Y TAREAS'!AE38/'EDT Y TAREAS'!M38,0),IF(AND(148&gt;='EDT Y TAREAS'!AK41,148&lt;'EDT Y TAREAS'!AL41),'EDT Y TAREAS'!AE41/'EDT Y TAREAS'!M41,0),IF(AND(148&gt;='EDT Y TAREAS'!AK43,148&lt;'EDT Y TAREAS'!AL43),'EDT Y TAREAS'!AE43/'EDT Y TAREAS'!M43,0),IF(AND(148&gt;='EDT Y TAREAS'!AK44,148&lt;'EDT Y TAREAS'!AL44),'EDT Y TAREAS'!AE44/'EDT Y TAREAS'!M44,0),IF(AND(148&gt;='EDT Y TAREAS'!AK46,148&lt;'EDT Y TAREAS'!AL46),'EDT Y TAREAS'!AE46/'EDT Y TAREAS'!M46,0),IF(AND(148&gt;='EDT Y TAREAS'!AK47,148&lt;'EDT Y TAREAS'!AL47),'EDT Y TAREAS'!AE47/'EDT Y TAREAS'!M47,0),IF(AND(148&gt;='EDT Y TAREAS'!AK51,148&lt;'EDT Y TAREAS'!AL51),'EDT Y TAREAS'!AE51/'EDT Y TAREAS'!M51,0),IF(AND(148&gt;='EDT Y TAREAS'!AK52,148&lt;'EDT Y TAREAS'!AL52),'EDT Y TAREAS'!AE52/'EDT Y TAREAS'!M52,0))</x:f>
        <x:v>1.3333333333333333</x:v>
      </x:c>
      <x:c r="D188" s="35" t="n">
        <x:f>SUM(IF(AND(148&gt;='EDT Y TAREAS'!AK11,148&lt;'EDT Y TAREAS'!AL11),'EDT Y TAREAS'!AF11/'EDT Y TAREAS'!M11,0),IF(AND(148&gt;='EDT Y TAREAS'!AK24,148&lt;'EDT Y TAREAS'!AL24),'EDT Y TAREAS'!AF24/'EDT Y TAREAS'!M24,0),IF(AND(148&gt;='EDT Y TAREAS'!AK25,148&lt;'EDT Y TAREAS'!AL25),'EDT Y TAREAS'!AF25/'EDT Y TAREAS'!M25,0),IF(AND(148&gt;='EDT Y TAREAS'!AK26,148&lt;'EDT Y TAREAS'!AL26),'EDT Y TAREAS'!AF26/'EDT Y TAREAS'!M26,0),IF(AND(148&gt;='EDT Y TAREAS'!AK27,148&lt;'EDT Y TAREAS'!AL27),'EDT Y TAREAS'!AF27/'EDT Y TAREAS'!M27,0),IF(AND(148&gt;='EDT Y TAREAS'!AK28,148&lt;'EDT Y TAREAS'!AL28),'EDT Y TAREAS'!AF28/'EDT Y TAREAS'!M28,0),IF(AND(148&gt;='EDT Y TAREAS'!AK31,148&lt;'EDT Y TAREAS'!AL31),'EDT Y TAREAS'!AF31/'EDT Y TAREAS'!M31,0),IF(AND(148&gt;='EDT Y TAREAS'!AK33,148&lt;'EDT Y TAREAS'!AL33),'EDT Y TAREAS'!AF33/'EDT Y TAREAS'!M33,0),IF(AND(148&gt;='EDT Y TAREAS'!AK34,148&lt;'EDT Y TAREAS'!AL34),'EDT Y TAREAS'!AF34/'EDT Y TAREAS'!M34,0),IF(AND(148&gt;='EDT Y TAREAS'!AK35,148&lt;'EDT Y TAREAS'!AL35),'EDT Y TAREAS'!AF35/'EDT Y TAREAS'!M35,0),IF(AND(148&gt;='EDT Y TAREAS'!AK37,148&lt;'EDT Y TAREAS'!AL37),'EDT Y TAREAS'!AF37/'EDT Y TAREAS'!M37,0),IF(AND(148&gt;='EDT Y TAREAS'!AK39,148&lt;'EDT Y TAREAS'!AL39),'EDT Y TAREAS'!AF39/'EDT Y TAREAS'!M39,0),IF(AND(148&gt;='EDT Y TAREAS'!AK40,148&lt;'EDT Y TAREAS'!AL40),'EDT Y TAREAS'!AF40/'EDT Y TAREAS'!M40,0),IF(AND(148&gt;='EDT Y TAREAS'!AK42,148&lt;'EDT Y TAREAS'!AL42),'EDT Y TAREAS'!AF42/'EDT Y TAREAS'!M42,0),IF(AND(148&gt;='EDT Y TAREAS'!AK45,148&lt;'EDT Y TAREAS'!AL45),'EDT Y TAREAS'!AF45/'EDT Y TAREAS'!M45,0),IF(AND(148&gt;='EDT Y TAREAS'!AK49,148&lt;'EDT Y TAREAS'!AL49),'EDT Y TAREAS'!AF49/'EDT Y TAREAS'!M49,0),IF(AND(148&gt;='EDT Y TAREAS'!AK52,148&lt;'EDT Y TAREAS'!AL52),'EDT Y TAREAS'!AF52/'EDT Y TAREAS'!M52,0))</x:f>
        <x:v>0</x:v>
      </x:c>
      <x:c r="E188" s="35" t="n">
        <x:f>SUM(IF(AND(148&gt;='EDT Y TAREAS'!AK29,148&lt;'EDT Y TAREAS'!AL29),'EDT Y TAREAS'!AG29/'EDT Y TAREAS'!M29,0),IF(AND(148&gt;='EDT Y TAREAS'!AK30,148&lt;'EDT Y TAREAS'!AL30),'EDT Y TAREAS'!AG30/'EDT Y TAREAS'!M30,0),IF(AND(148&gt;='EDT Y TAREAS'!AK31,148&lt;'EDT Y TAREAS'!AL31),'EDT Y TAREAS'!AG31/'EDT Y TAREAS'!M31,0),IF(AND(148&gt;='EDT Y TAREAS'!AK32,148&lt;'EDT Y TAREAS'!AL32),'EDT Y TAREAS'!AG32/'EDT Y TAREAS'!M32,0),IF(AND(148&gt;='EDT Y TAREAS'!AK41,148&lt;'EDT Y TAREAS'!AL41),'EDT Y TAREAS'!AG41/'EDT Y TAREAS'!M41,0),IF(AND(148&gt;='EDT Y TAREAS'!AK45,148&lt;'EDT Y TAREAS'!AL45),'EDT Y TAREAS'!AG45/'EDT Y TAREAS'!M45,0),IF(AND(148&gt;='EDT Y TAREAS'!AK48,148&lt;'EDT Y TAREAS'!AL48),'EDT Y TAREAS'!AG48/'EDT Y TAREAS'!M48,0))</x:f>
        <x:v>0</x:v>
      </x:c>
      <x:c r="F188" s="35" t="n">
        <x:f>SUM(IF(AND(148&gt;='EDT Y TAREAS'!AK10,148&lt;'EDT Y TAREAS'!AL10),'EDT Y TAREAS'!AH10/'EDT Y TAREAS'!M10,0),IF(AND(148&gt;='EDT Y TAREAS'!AK12,148&lt;'EDT Y TAREAS'!AL12),'EDT Y TAREAS'!AH12/'EDT Y TAREAS'!M12,0),IF(AND(148&gt;='EDT Y TAREAS'!AK22,148&lt;'EDT Y TAREAS'!AL22),'EDT Y TAREAS'!AH22/'EDT Y TAREAS'!M22,0),IF(AND(148&gt;='EDT Y TAREAS'!AK23,148&lt;'EDT Y TAREAS'!AL23),'EDT Y TAREAS'!AH23/'EDT Y TAREAS'!M23,0),IF(AND(148&gt;='EDT Y TAREAS'!AK29,148&lt;'EDT Y TAREAS'!AL29),'EDT Y TAREAS'!AH29/'EDT Y TAREAS'!M29,0),IF(AND(148&gt;='EDT Y TAREAS'!AK30,148&lt;'EDT Y TAREAS'!AL30),'EDT Y TAREAS'!AH30/'EDT Y TAREAS'!M30,0),IF(AND(148&gt;='EDT Y TAREAS'!AK32,148&lt;'EDT Y TAREAS'!AL32),'EDT Y TAREAS'!AH32/'EDT Y TAREAS'!M32,0),IF(AND(148&gt;='EDT Y TAREAS'!AK41,148&lt;'EDT Y TAREAS'!AL41),'EDT Y TAREAS'!AH41/'EDT Y TAREAS'!M41,0),IF(AND(148&gt;='EDT Y TAREAS'!AK44,148&lt;'EDT Y TAREAS'!AL44),'EDT Y TAREAS'!AH44/'EDT Y TAREAS'!M44,0),IF(AND(148&gt;='EDT Y TAREAS'!AK46,148&lt;'EDT Y TAREAS'!AL46),'EDT Y TAREAS'!AH46/'EDT Y TAREAS'!M46,0),IF(AND(148&gt;='EDT Y TAREAS'!AK48,148&lt;'EDT Y TAREAS'!AL48),'EDT Y TAREAS'!AH48/'EDT Y TAREAS'!M48,0))</x:f>
        <x:v>0</x:v>
      </x:c>
      <x:c r="G188" s="35" t="n">
        <x:f>SUM(IF(AND(148&gt;='EDT Y TAREAS'!AK20,148&lt;'EDT Y TAREAS'!AL20),'EDT Y TAREAS'!AI20/'EDT Y TAREAS'!M20,0),IF(AND(148&gt;='EDT Y TAREAS'!AK25,148&lt;'EDT Y TAREAS'!AL25),'EDT Y TAREAS'!AI25/'EDT Y TAREAS'!M25,0),IF(AND(148&gt;='EDT Y TAREAS'!AK33,148&lt;'EDT Y TAREAS'!AL33),'EDT Y TAREAS'!AI33/'EDT Y TAREAS'!M33,0),IF(AND(148&gt;='EDT Y TAREAS'!AK34,148&lt;'EDT Y TAREAS'!AL34),'EDT Y TAREAS'!AI34/'EDT Y TAREAS'!M34,0),IF(AND(148&gt;='EDT Y TAREAS'!AK36,148&lt;'EDT Y TAREAS'!AL36),'EDT Y TAREAS'!AI36/'EDT Y TAREAS'!M36,0),IF(AND(148&gt;='EDT Y TAREAS'!AK39,148&lt;'EDT Y TAREAS'!AL39),'EDT Y TAREAS'!AI39/'EDT Y TAREAS'!M39,0),IF(AND(148&gt;='EDT Y TAREAS'!AK40,148&lt;'EDT Y TAREAS'!AL40),'EDT Y TAREAS'!AI40/'EDT Y TAREAS'!M40,0),IF(AND(148&gt;='EDT Y TAREAS'!AK42,148&lt;'EDT Y TAREAS'!AL42),'EDT Y TAREAS'!AI42/'EDT Y TAREAS'!M42,0),IF(AND(148&gt;='EDT Y TAREAS'!AK43,148&lt;'EDT Y TAREAS'!AL43),'EDT Y TAREAS'!AI43/'EDT Y TAREAS'!M43,0),IF(AND(148&gt;='EDT Y TAREAS'!AK44,148&lt;'EDT Y TAREAS'!AL44),'EDT Y TAREAS'!AI44/'EDT Y TAREAS'!M44,0),IF(AND(148&gt;='EDT Y TAREAS'!AK45,148&lt;'EDT Y TAREAS'!AL45),'EDT Y TAREAS'!AI45/'EDT Y TAREAS'!M45,0),IF(AND(148&gt;='EDT Y TAREAS'!AK46,148&lt;'EDT Y TAREAS'!AL46),'EDT Y TAREAS'!AI46/'EDT Y TAREAS'!M46,0),IF(AND(148&gt;='EDT Y TAREAS'!AK48,148&lt;'EDT Y TAREAS'!AL48),'EDT Y TAREAS'!AI48/'EDT Y TAREAS'!M48,0),IF(AND(148&gt;='EDT Y TAREAS'!AK50,148&lt;'EDT Y TAREAS'!AL50),'EDT Y TAREAS'!AI50/'EDT Y TAREAS'!M50,0),IF(AND(148&gt;='EDT Y TAREAS'!AK52,148&lt;'EDT Y TAREAS'!AL52),'EDT Y TAREAS'!AI52/'EDT Y TAREAS'!M52,0))</x:f>
        <x:v>0</x:v>
      </x:c>
      <x:c r="H188" s="35" t="n">
        <x:f>SUM(IF(AND(148&gt;='EDT Y TAREAS'!AK11,148&lt;'EDT Y TAREAS'!AL11),'EDT Y TAREAS'!AJ11/'EDT Y TAREAS'!M11,0),IF(AND(148&gt;='EDT Y TAREAS'!AK24,148&lt;'EDT Y TAREAS'!AL24),'EDT Y TAREAS'!AJ24/'EDT Y TAREAS'!M24,0),IF(AND(148&gt;='EDT Y TAREAS'!AK27,148&lt;'EDT Y TAREAS'!AL27),'EDT Y TAREAS'!AJ27/'EDT Y TAREAS'!M27,0),IF(AND(148&gt;='EDT Y TAREAS'!AK28,148&lt;'EDT Y TAREAS'!AL28),'EDT Y TAREAS'!AJ28/'EDT Y TAREAS'!M28,0),IF(AND(148&gt;='EDT Y TAREAS'!AK33,148&lt;'EDT Y TAREAS'!AL33),'EDT Y TAREAS'!AJ33/'EDT Y TAREAS'!M33,0),IF(AND(148&gt;='EDT Y TAREAS'!AK35,148&lt;'EDT Y TAREAS'!AL35),'EDT Y TAREAS'!AJ35/'EDT Y TAREAS'!M35,0),IF(AND(148&gt;='EDT Y TAREAS'!AK36,148&lt;'EDT Y TAREAS'!AL36),'EDT Y TAREAS'!AJ36/'EDT Y TAREAS'!M36,0),IF(AND(148&gt;='EDT Y TAREAS'!AK37,148&lt;'EDT Y TAREAS'!AL37),'EDT Y TAREAS'!AJ37/'EDT Y TAREAS'!M37,0),IF(AND(148&gt;='EDT Y TAREAS'!AK40,148&lt;'EDT Y TAREAS'!AL40),'EDT Y TAREAS'!AJ40/'EDT Y TAREAS'!M40,0),IF(AND(148&gt;='EDT Y TAREAS'!AK42,148&lt;'EDT Y TAREAS'!AL42),'EDT Y TAREAS'!AJ42/'EDT Y TAREAS'!M42,0),IF(AND(148&gt;='EDT Y TAREAS'!AK49,148&lt;'EDT Y TAREAS'!AL49),'EDT Y TAREAS'!AJ49/'EDT Y TAREAS'!M49,0),IF(AND(148&gt;='EDT Y TAREAS'!AK50,148&lt;'EDT Y TAREAS'!AL50),'EDT Y TAREAS'!AJ50/'EDT Y TAREAS'!M50,0),IF(AND(148&gt;='EDT Y TAREAS'!AK51,148&lt;'EDT Y TAREAS'!AL51),'EDT Y TAREAS'!AJ51/'EDT Y TAREAS'!M51,0),IF(AND(148&gt;='EDT Y TAREAS'!AK52,148&lt;'EDT Y TAREAS'!AL52),'EDT Y TAREAS'!AJ52/'EDT Y TAREAS'!M52,0))</x:f>
        <x:v>1.3333333333333333</x:v>
      </x:c>
      <x:c r="I188" s="10" t="n">
        <x:f>WORKDAY('RESUMEN'!$D$3-1,A188,'RESUMEN'!$J$6:$J$25)</x:f>
        <x:v>46534</x:v>
      </x:c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  <x:c r="AL188" s="3"/>
      <x:c r="AM188" s="3"/>
      <x:c r="AN188" s="3"/>
      <x:c r="AO188" s="3"/>
    </x:row>
    <x:row r="189" ht="24" customHeight="1">
      <x:c r="A189" s="3" t="n">
        <x:v>150</x:v>
      </x:c>
      <x:c r="B189" s="35" t="n">
        <x:f>SUM(IF(AND(149&gt;='EDT Y TAREAS'!AK6,149&lt;'EDT Y TAREAS'!AL6),'EDT Y TAREAS'!AD6/'EDT Y TAREAS'!M6,0),IF(AND(149&gt;='EDT Y TAREAS'!AK7,149&lt;'EDT Y TAREAS'!AL7),'EDT Y TAREAS'!AD7/'EDT Y TAREAS'!M7,0),IF(AND(149&gt;='EDT Y TAREAS'!AK8,149&lt;'EDT Y TAREAS'!AL8),'EDT Y TAREAS'!AD8/'EDT Y TAREAS'!M8,0),IF(AND(149&gt;='EDT Y TAREAS'!AK9,149&lt;'EDT Y TAREAS'!AL9),'EDT Y TAREAS'!AD9/'EDT Y TAREAS'!M9,0),IF(AND(149&gt;='EDT Y TAREAS'!AK10,149&lt;'EDT Y TAREAS'!AL10),'EDT Y TAREAS'!AD10/'EDT Y TAREAS'!M10,0),IF(AND(149&gt;='EDT Y TAREAS'!AK11,149&lt;'EDT Y TAREAS'!AL11),'EDT Y TAREAS'!AD11/'EDT Y TAREAS'!M11,0),IF(AND(149&gt;='EDT Y TAREAS'!AK12,149&lt;'EDT Y TAREAS'!AL12),'EDT Y TAREAS'!AD12/'EDT Y TAREAS'!M12,0),IF(AND(149&gt;='EDT Y TAREAS'!AK13,149&lt;'EDT Y TAREAS'!AL13),'EDT Y TAREAS'!AD13/'EDT Y TAREAS'!M13,0),IF(AND(149&gt;='EDT Y TAREAS'!AK14,149&lt;'EDT Y TAREAS'!AL14),'EDT Y TAREAS'!AD14/'EDT Y TAREAS'!M14,0),IF(AND(149&gt;='EDT Y TAREAS'!AK15,149&lt;'EDT Y TAREAS'!AL15),'EDT Y TAREAS'!AD15/'EDT Y TAREAS'!M15,0),IF(AND(149&gt;='EDT Y TAREAS'!AK16,149&lt;'EDT Y TAREAS'!AL16),'EDT Y TAREAS'!AD16/'EDT Y TAREAS'!M16,0),IF(AND(149&gt;='EDT Y TAREAS'!AK17,149&lt;'EDT Y TAREAS'!AL17),'EDT Y TAREAS'!AD17/'EDT Y TAREAS'!M17,0),IF(AND(149&gt;='EDT Y TAREAS'!AK18,149&lt;'EDT Y TAREAS'!AL18),'EDT Y TAREAS'!AD18/'EDT Y TAREAS'!M18,0),IF(AND(149&gt;='EDT Y TAREAS'!AK19,149&lt;'EDT Y TAREAS'!AL19),'EDT Y TAREAS'!AD19/'EDT Y TAREAS'!M19,0),IF(AND(149&gt;='EDT Y TAREAS'!AK20,149&lt;'EDT Y TAREAS'!AL20),'EDT Y TAREAS'!AD20/'EDT Y TAREAS'!M20,0),IF(AND(149&gt;='EDT Y TAREAS'!AK21,149&lt;'EDT Y TAREAS'!AL21),'EDT Y TAREAS'!AD21/'EDT Y TAREAS'!M21,0),IF(AND(149&gt;='EDT Y TAREAS'!AK22,149&lt;'EDT Y TAREAS'!AL22),'EDT Y TAREAS'!AD22/'EDT Y TAREAS'!M22,0),IF(AND(149&gt;='EDT Y TAREAS'!AK23,149&lt;'EDT Y TAREAS'!AL23),'EDT Y TAREAS'!AD23/'EDT Y TAREAS'!M23,0),IF(AND(149&gt;='EDT Y TAREAS'!AK26,149&lt;'EDT Y TAREAS'!AL26),'EDT Y TAREAS'!AD26/'EDT Y TAREAS'!M26,0),IF(AND(149&gt;='EDT Y TAREAS'!AK28,149&lt;'EDT Y TAREAS'!AL28),'EDT Y TAREAS'!AD28/'EDT Y TAREAS'!M28,0),IF(AND(149&gt;='EDT Y TAREAS'!AK30,149&lt;'EDT Y TAREAS'!AL30),'EDT Y TAREAS'!AD30/'EDT Y TAREAS'!M30,0),IF(AND(149&gt;='EDT Y TAREAS'!AK32,149&lt;'EDT Y TAREAS'!AL32),'EDT Y TAREAS'!AD32/'EDT Y TAREAS'!M32,0),IF(AND(149&gt;='EDT Y TAREAS'!AK34,149&lt;'EDT Y TAREAS'!AL34),'EDT Y TAREAS'!AD34/'EDT Y TAREAS'!M34,0),IF(AND(149&gt;='EDT Y TAREAS'!AK38,149&lt;'EDT Y TAREAS'!AL38),'EDT Y TAREAS'!AD38/'EDT Y TAREAS'!M38,0),IF(AND(149&gt;='EDT Y TAREAS'!AK39,149&lt;'EDT Y TAREAS'!AL39),'EDT Y TAREAS'!AD39/'EDT Y TAREAS'!M39,0),IF(AND(149&gt;='EDT Y TAREAS'!AK43,149&lt;'EDT Y TAREAS'!AL43),'EDT Y TAREAS'!AD43/'EDT Y TAREAS'!M43,0),IF(AND(149&gt;='EDT Y TAREAS'!AK44,149&lt;'EDT Y TAREAS'!AL44),'EDT Y TAREAS'!AD44/'EDT Y TAREAS'!M44,0),IF(AND(149&gt;='EDT Y TAREAS'!AK45,149&lt;'EDT Y TAREAS'!AL45),'EDT Y TAREAS'!AD45/'EDT Y TAREAS'!M45,0),IF(AND(149&gt;='EDT Y TAREAS'!AK46,149&lt;'EDT Y TAREAS'!AL46),'EDT Y TAREAS'!AD46/'EDT Y TAREAS'!M46,0),IF(AND(149&gt;='EDT Y TAREAS'!AK47,149&lt;'EDT Y TAREAS'!AL47),'EDT Y TAREAS'!AD47/'EDT Y TAREAS'!M47,0),IF(AND(149&gt;='EDT Y TAREAS'!AK49,149&lt;'EDT Y TAREAS'!AL49),'EDT Y TAREAS'!AD49/'EDT Y TAREAS'!M49,0),IF(AND(149&gt;='EDT Y TAREAS'!AK50,149&lt;'EDT Y TAREAS'!AL50),'EDT Y TAREAS'!AD50/'EDT Y TAREAS'!M50,0),IF(AND(149&gt;='EDT Y TAREAS'!AK51,149&lt;'EDT Y TAREAS'!AL51),'EDT Y TAREAS'!AD51/'EDT Y TAREAS'!M51,0),IF(AND(149&gt;='EDT Y TAREAS'!AK52,149&lt;'EDT Y TAREAS'!AL52),'EDT Y TAREAS'!AD52/'EDT Y TAREAS'!M52,0))</x:f>
        <x:v>1.6</x:v>
      </x:c>
      <x:c r="C189" s="35" t="n">
        <x:f>SUM(IF(AND(149&gt;='EDT Y TAREAS'!AK6,149&lt;'EDT Y TAREAS'!AL6),'EDT Y TAREAS'!AE6/'EDT Y TAREAS'!M6,0),IF(AND(149&gt;='EDT Y TAREAS'!AK8,149&lt;'EDT Y TAREAS'!AL8),'EDT Y TAREAS'!AE8/'EDT Y TAREAS'!M8,0),IF(AND(149&gt;='EDT Y TAREAS'!AK9,149&lt;'EDT Y TAREAS'!AL9),'EDT Y TAREAS'!AE9/'EDT Y TAREAS'!M9,0),IF(AND(149&gt;='EDT Y TAREAS'!AK10,149&lt;'EDT Y TAREAS'!AL10),'EDT Y TAREAS'!AE10/'EDT Y TAREAS'!M10,0),IF(AND(149&gt;='EDT Y TAREAS'!AK12,149&lt;'EDT Y TAREAS'!AL12),'EDT Y TAREAS'!AE12/'EDT Y TAREAS'!M12,0),IF(AND(149&gt;='EDT Y TAREAS'!AK16,149&lt;'EDT Y TAREAS'!AL16),'EDT Y TAREAS'!AE16/'EDT Y TAREAS'!M16,0),IF(AND(149&gt;='EDT Y TAREAS'!AK21,149&lt;'EDT Y TAREAS'!AL21),'EDT Y TAREAS'!AE21/'EDT Y TAREAS'!M21,0),IF(AND(149&gt;='EDT Y TAREAS'!AK23,149&lt;'EDT Y TAREAS'!AL23),'EDT Y TAREAS'!AE23/'EDT Y TAREAS'!M23,0),IF(AND(149&gt;='EDT Y TAREAS'!AK37,149&lt;'EDT Y TAREAS'!AL37),'EDT Y TAREAS'!AE37/'EDT Y TAREAS'!M37,0),IF(AND(149&gt;='EDT Y TAREAS'!AK38,149&lt;'EDT Y TAREAS'!AL38),'EDT Y TAREAS'!AE38/'EDT Y TAREAS'!M38,0),IF(AND(149&gt;='EDT Y TAREAS'!AK41,149&lt;'EDT Y TAREAS'!AL41),'EDT Y TAREAS'!AE41/'EDT Y TAREAS'!M41,0),IF(AND(149&gt;='EDT Y TAREAS'!AK43,149&lt;'EDT Y TAREAS'!AL43),'EDT Y TAREAS'!AE43/'EDT Y TAREAS'!M43,0),IF(AND(149&gt;='EDT Y TAREAS'!AK44,149&lt;'EDT Y TAREAS'!AL44),'EDT Y TAREAS'!AE44/'EDT Y TAREAS'!M44,0),IF(AND(149&gt;='EDT Y TAREAS'!AK46,149&lt;'EDT Y TAREAS'!AL46),'EDT Y TAREAS'!AE46/'EDT Y TAREAS'!M46,0),IF(AND(149&gt;='EDT Y TAREAS'!AK47,149&lt;'EDT Y TAREAS'!AL47),'EDT Y TAREAS'!AE47/'EDT Y TAREAS'!M47,0),IF(AND(149&gt;='EDT Y TAREAS'!AK51,149&lt;'EDT Y TAREAS'!AL51),'EDT Y TAREAS'!AE51/'EDT Y TAREAS'!M51,0),IF(AND(149&gt;='EDT Y TAREAS'!AK52,149&lt;'EDT Y TAREAS'!AL52),'EDT Y TAREAS'!AE52/'EDT Y TAREAS'!M52,0))</x:f>
        <x:v>0.4</x:v>
      </x:c>
      <x:c r="D189" s="35" t="n">
        <x:f>SUM(IF(AND(149&gt;='EDT Y TAREAS'!AK11,149&lt;'EDT Y TAREAS'!AL11),'EDT Y TAREAS'!AF11/'EDT Y TAREAS'!M11,0),IF(AND(149&gt;='EDT Y TAREAS'!AK24,149&lt;'EDT Y TAREAS'!AL24),'EDT Y TAREAS'!AF24/'EDT Y TAREAS'!M24,0),IF(AND(149&gt;='EDT Y TAREAS'!AK25,149&lt;'EDT Y TAREAS'!AL25),'EDT Y TAREAS'!AF25/'EDT Y TAREAS'!M25,0),IF(AND(149&gt;='EDT Y TAREAS'!AK26,149&lt;'EDT Y TAREAS'!AL26),'EDT Y TAREAS'!AF26/'EDT Y TAREAS'!M26,0),IF(AND(149&gt;='EDT Y TAREAS'!AK27,149&lt;'EDT Y TAREAS'!AL27),'EDT Y TAREAS'!AF27/'EDT Y TAREAS'!M27,0),IF(AND(149&gt;='EDT Y TAREAS'!AK28,149&lt;'EDT Y TAREAS'!AL28),'EDT Y TAREAS'!AF28/'EDT Y TAREAS'!M28,0),IF(AND(149&gt;='EDT Y TAREAS'!AK31,149&lt;'EDT Y TAREAS'!AL31),'EDT Y TAREAS'!AF31/'EDT Y TAREAS'!M31,0),IF(AND(149&gt;='EDT Y TAREAS'!AK33,149&lt;'EDT Y TAREAS'!AL33),'EDT Y TAREAS'!AF33/'EDT Y TAREAS'!M33,0),IF(AND(149&gt;='EDT Y TAREAS'!AK34,149&lt;'EDT Y TAREAS'!AL34),'EDT Y TAREAS'!AF34/'EDT Y TAREAS'!M34,0),IF(AND(149&gt;='EDT Y TAREAS'!AK35,149&lt;'EDT Y TAREAS'!AL35),'EDT Y TAREAS'!AF35/'EDT Y TAREAS'!M35,0),IF(AND(149&gt;='EDT Y TAREAS'!AK37,149&lt;'EDT Y TAREAS'!AL37),'EDT Y TAREAS'!AF37/'EDT Y TAREAS'!M37,0),IF(AND(149&gt;='EDT Y TAREAS'!AK39,149&lt;'EDT Y TAREAS'!AL39),'EDT Y TAREAS'!AF39/'EDT Y TAREAS'!M39,0),IF(AND(149&gt;='EDT Y TAREAS'!AK40,149&lt;'EDT Y TAREAS'!AL40),'EDT Y TAREAS'!AF40/'EDT Y TAREAS'!M40,0),IF(AND(149&gt;='EDT Y TAREAS'!AK42,149&lt;'EDT Y TAREAS'!AL42),'EDT Y TAREAS'!AF42/'EDT Y TAREAS'!M42,0),IF(AND(149&gt;='EDT Y TAREAS'!AK45,149&lt;'EDT Y TAREAS'!AL45),'EDT Y TAREAS'!AF45/'EDT Y TAREAS'!M45,0),IF(AND(149&gt;='EDT Y TAREAS'!AK49,149&lt;'EDT Y TAREAS'!AL49),'EDT Y TAREAS'!AF49/'EDT Y TAREAS'!M49,0),IF(AND(149&gt;='EDT Y TAREAS'!AK52,149&lt;'EDT Y TAREAS'!AL52),'EDT Y TAREAS'!AF52/'EDT Y TAREAS'!M52,0))</x:f>
        <x:v>0.8</x:v>
      </x:c>
      <x:c r="E189" s="35" t="n">
        <x:f>SUM(IF(AND(149&gt;='EDT Y TAREAS'!AK29,149&lt;'EDT Y TAREAS'!AL29),'EDT Y TAREAS'!AG29/'EDT Y TAREAS'!M29,0),IF(AND(149&gt;='EDT Y TAREAS'!AK30,149&lt;'EDT Y TAREAS'!AL30),'EDT Y TAREAS'!AG30/'EDT Y TAREAS'!M30,0),IF(AND(149&gt;='EDT Y TAREAS'!AK31,149&lt;'EDT Y TAREAS'!AL31),'EDT Y TAREAS'!AG31/'EDT Y TAREAS'!M31,0),IF(AND(149&gt;='EDT Y TAREAS'!AK32,149&lt;'EDT Y TAREAS'!AL32),'EDT Y TAREAS'!AG32/'EDT Y TAREAS'!M32,0),IF(AND(149&gt;='EDT Y TAREAS'!AK41,149&lt;'EDT Y TAREAS'!AL41),'EDT Y TAREAS'!AG41/'EDT Y TAREAS'!M41,0),IF(AND(149&gt;='EDT Y TAREAS'!AK45,149&lt;'EDT Y TAREAS'!AL45),'EDT Y TAREAS'!AG45/'EDT Y TAREAS'!M45,0),IF(AND(149&gt;='EDT Y TAREAS'!AK48,149&lt;'EDT Y TAREAS'!AL48),'EDT Y TAREAS'!AG48/'EDT Y TAREAS'!M48,0))</x:f>
        <x:v>0</x:v>
      </x:c>
      <x:c r="F189" s="35" t="n">
        <x:f>SUM(IF(AND(149&gt;='EDT Y TAREAS'!AK10,149&lt;'EDT Y TAREAS'!AL10),'EDT Y TAREAS'!AH10/'EDT Y TAREAS'!M10,0),IF(AND(149&gt;='EDT Y TAREAS'!AK12,149&lt;'EDT Y TAREAS'!AL12),'EDT Y TAREAS'!AH12/'EDT Y TAREAS'!M12,0),IF(AND(149&gt;='EDT Y TAREAS'!AK22,149&lt;'EDT Y TAREAS'!AL22),'EDT Y TAREAS'!AH22/'EDT Y TAREAS'!M22,0),IF(AND(149&gt;='EDT Y TAREAS'!AK23,149&lt;'EDT Y TAREAS'!AL23),'EDT Y TAREAS'!AH23/'EDT Y TAREAS'!M23,0),IF(AND(149&gt;='EDT Y TAREAS'!AK29,149&lt;'EDT Y TAREAS'!AL29),'EDT Y TAREAS'!AH29/'EDT Y TAREAS'!M29,0),IF(AND(149&gt;='EDT Y TAREAS'!AK30,149&lt;'EDT Y TAREAS'!AL30),'EDT Y TAREAS'!AH30/'EDT Y TAREAS'!M30,0),IF(AND(149&gt;='EDT Y TAREAS'!AK32,149&lt;'EDT Y TAREAS'!AL32),'EDT Y TAREAS'!AH32/'EDT Y TAREAS'!M32,0),IF(AND(149&gt;='EDT Y TAREAS'!AK41,149&lt;'EDT Y TAREAS'!AL41),'EDT Y TAREAS'!AH41/'EDT Y TAREAS'!M41,0),IF(AND(149&gt;='EDT Y TAREAS'!AK44,149&lt;'EDT Y TAREAS'!AL44),'EDT Y TAREAS'!AH44/'EDT Y TAREAS'!M44,0),IF(AND(149&gt;='EDT Y TAREAS'!AK46,149&lt;'EDT Y TAREAS'!AL46),'EDT Y TAREAS'!AH46/'EDT Y TAREAS'!M46,0),IF(AND(149&gt;='EDT Y TAREAS'!AK48,149&lt;'EDT Y TAREAS'!AL48),'EDT Y TAREAS'!AH48/'EDT Y TAREAS'!M48,0))</x:f>
        <x:v>0</x:v>
      </x:c>
      <x:c r="G189" s="35" t="n">
        <x:f>SUM(IF(AND(149&gt;='EDT Y TAREAS'!AK20,149&lt;'EDT Y TAREAS'!AL20),'EDT Y TAREAS'!AI20/'EDT Y TAREAS'!M20,0),IF(AND(149&gt;='EDT Y TAREAS'!AK25,149&lt;'EDT Y TAREAS'!AL25),'EDT Y TAREAS'!AI25/'EDT Y TAREAS'!M25,0),IF(AND(149&gt;='EDT Y TAREAS'!AK33,149&lt;'EDT Y TAREAS'!AL33),'EDT Y TAREAS'!AI33/'EDT Y TAREAS'!M33,0),IF(AND(149&gt;='EDT Y TAREAS'!AK34,149&lt;'EDT Y TAREAS'!AL34),'EDT Y TAREAS'!AI34/'EDT Y TAREAS'!M34,0),IF(AND(149&gt;='EDT Y TAREAS'!AK36,149&lt;'EDT Y TAREAS'!AL36),'EDT Y TAREAS'!AI36/'EDT Y TAREAS'!M36,0),IF(AND(149&gt;='EDT Y TAREAS'!AK39,149&lt;'EDT Y TAREAS'!AL39),'EDT Y TAREAS'!AI39/'EDT Y TAREAS'!M39,0),IF(AND(149&gt;='EDT Y TAREAS'!AK40,149&lt;'EDT Y TAREAS'!AL40),'EDT Y TAREAS'!AI40/'EDT Y TAREAS'!M40,0),IF(AND(149&gt;='EDT Y TAREAS'!AK42,149&lt;'EDT Y TAREAS'!AL42),'EDT Y TAREAS'!AI42/'EDT Y TAREAS'!M42,0),IF(AND(149&gt;='EDT Y TAREAS'!AK43,149&lt;'EDT Y TAREAS'!AL43),'EDT Y TAREAS'!AI43/'EDT Y TAREAS'!M43,0),IF(AND(149&gt;='EDT Y TAREAS'!AK44,149&lt;'EDT Y TAREAS'!AL44),'EDT Y TAREAS'!AI44/'EDT Y TAREAS'!M44,0),IF(AND(149&gt;='EDT Y TAREAS'!AK45,149&lt;'EDT Y TAREAS'!AL45),'EDT Y TAREAS'!AI45/'EDT Y TAREAS'!M45,0),IF(AND(149&gt;='EDT Y TAREAS'!AK46,149&lt;'EDT Y TAREAS'!AL46),'EDT Y TAREAS'!AI46/'EDT Y TAREAS'!M46,0),IF(AND(149&gt;='EDT Y TAREAS'!AK48,149&lt;'EDT Y TAREAS'!AL48),'EDT Y TAREAS'!AI48/'EDT Y TAREAS'!M48,0),IF(AND(149&gt;='EDT Y TAREAS'!AK50,149&lt;'EDT Y TAREAS'!AL50),'EDT Y TAREAS'!AI50/'EDT Y TAREAS'!M50,0),IF(AND(149&gt;='EDT Y TAREAS'!AK52,149&lt;'EDT Y TAREAS'!AL52),'EDT Y TAREAS'!AI52/'EDT Y TAREAS'!M52,0))</x:f>
        <x:v>0.8</x:v>
      </x:c>
      <x:c r="H189" s="35" t="n">
        <x:f>SUM(IF(AND(149&gt;='EDT Y TAREAS'!AK11,149&lt;'EDT Y TAREAS'!AL11),'EDT Y TAREAS'!AJ11/'EDT Y TAREAS'!M11,0),IF(AND(149&gt;='EDT Y TAREAS'!AK24,149&lt;'EDT Y TAREAS'!AL24),'EDT Y TAREAS'!AJ24/'EDT Y TAREAS'!M24,0),IF(AND(149&gt;='EDT Y TAREAS'!AK27,149&lt;'EDT Y TAREAS'!AL27),'EDT Y TAREAS'!AJ27/'EDT Y TAREAS'!M27,0),IF(AND(149&gt;='EDT Y TAREAS'!AK28,149&lt;'EDT Y TAREAS'!AL28),'EDT Y TAREAS'!AJ28/'EDT Y TAREAS'!M28,0),IF(AND(149&gt;='EDT Y TAREAS'!AK33,149&lt;'EDT Y TAREAS'!AL33),'EDT Y TAREAS'!AJ33/'EDT Y TAREAS'!M33,0),IF(AND(149&gt;='EDT Y TAREAS'!AK35,149&lt;'EDT Y TAREAS'!AL35),'EDT Y TAREAS'!AJ35/'EDT Y TAREAS'!M35,0),IF(AND(149&gt;='EDT Y TAREAS'!AK36,149&lt;'EDT Y TAREAS'!AL36),'EDT Y TAREAS'!AJ36/'EDT Y TAREAS'!M36,0),IF(AND(149&gt;='EDT Y TAREAS'!AK37,149&lt;'EDT Y TAREAS'!AL37),'EDT Y TAREAS'!AJ37/'EDT Y TAREAS'!M37,0),IF(AND(149&gt;='EDT Y TAREAS'!AK40,149&lt;'EDT Y TAREAS'!AL40),'EDT Y TAREAS'!AJ40/'EDT Y TAREAS'!M40,0),IF(AND(149&gt;='EDT Y TAREAS'!AK42,149&lt;'EDT Y TAREAS'!AL42),'EDT Y TAREAS'!AJ42/'EDT Y TAREAS'!M42,0),IF(AND(149&gt;='EDT Y TAREAS'!AK49,149&lt;'EDT Y TAREAS'!AL49),'EDT Y TAREAS'!AJ49/'EDT Y TAREAS'!M49,0),IF(AND(149&gt;='EDT Y TAREAS'!AK50,149&lt;'EDT Y TAREAS'!AL50),'EDT Y TAREAS'!AJ50/'EDT Y TAREAS'!M50,0),IF(AND(149&gt;='EDT Y TAREAS'!AK51,149&lt;'EDT Y TAREAS'!AL51),'EDT Y TAREAS'!AJ51/'EDT Y TAREAS'!M51,0),IF(AND(149&gt;='EDT Y TAREAS'!AK52,149&lt;'EDT Y TAREAS'!AL52),'EDT Y TAREAS'!AJ52/'EDT Y TAREAS'!M52,0))</x:f>
        <x:v>1.6</x:v>
      </x:c>
      <x:c r="I189" s="10" t="n">
        <x:f>WORKDAY('RESUMEN'!$D$3-1,A189,'RESUMEN'!$J$6:$J$25)</x:f>
        <x:v>46535</x:v>
      </x:c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  <x:c r="AL189" s="3"/>
      <x:c r="AM189" s="3"/>
      <x:c r="AN189" s="3"/>
      <x:c r="AO189" s="3"/>
    </x:row>
    <x:row r="190" ht="24" customHeight="1">
      <x:c r="A190" s="3" t="n">
        <x:v>151</x:v>
      </x:c>
      <x:c r="B190" s="35" t="n">
        <x:f>SUM(IF(AND(150&gt;='EDT Y TAREAS'!AK6,150&lt;'EDT Y TAREAS'!AL6),'EDT Y TAREAS'!AD6/'EDT Y TAREAS'!M6,0),IF(AND(150&gt;='EDT Y TAREAS'!AK7,150&lt;'EDT Y TAREAS'!AL7),'EDT Y TAREAS'!AD7/'EDT Y TAREAS'!M7,0),IF(AND(150&gt;='EDT Y TAREAS'!AK8,150&lt;'EDT Y TAREAS'!AL8),'EDT Y TAREAS'!AD8/'EDT Y TAREAS'!M8,0),IF(AND(150&gt;='EDT Y TAREAS'!AK9,150&lt;'EDT Y TAREAS'!AL9),'EDT Y TAREAS'!AD9/'EDT Y TAREAS'!M9,0),IF(AND(150&gt;='EDT Y TAREAS'!AK10,150&lt;'EDT Y TAREAS'!AL10),'EDT Y TAREAS'!AD10/'EDT Y TAREAS'!M10,0),IF(AND(150&gt;='EDT Y TAREAS'!AK11,150&lt;'EDT Y TAREAS'!AL11),'EDT Y TAREAS'!AD11/'EDT Y TAREAS'!M11,0),IF(AND(150&gt;='EDT Y TAREAS'!AK12,150&lt;'EDT Y TAREAS'!AL12),'EDT Y TAREAS'!AD12/'EDT Y TAREAS'!M12,0),IF(AND(150&gt;='EDT Y TAREAS'!AK13,150&lt;'EDT Y TAREAS'!AL13),'EDT Y TAREAS'!AD13/'EDT Y TAREAS'!M13,0),IF(AND(150&gt;='EDT Y TAREAS'!AK14,150&lt;'EDT Y TAREAS'!AL14),'EDT Y TAREAS'!AD14/'EDT Y TAREAS'!M14,0),IF(AND(150&gt;='EDT Y TAREAS'!AK15,150&lt;'EDT Y TAREAS'!AL15),'EDT Y TAREAS'!AD15/'EDT Y TAREAS'!M15,0),IF(AND(150&gt;='EDT Y TAREAS'!AK16,150&lt;'EDT Y TAREAS'!AL16),'EDT Y TAREAS'!AD16/'EDT Y TAREAS'!M16,0),IF(AND(150&gt;='EDT Y TAREAS'!AK17,150&lt;'EDT Y TAREAS'!AL17),'EDT Y TAREAS'!AD17/'EDT Y TAREAS'!M17,0),IF(AND(150&gt;='EDT Y TAREAS'!AK18,150&lt;'EDT Y TAREAS'!AL18),'EDT Y TAREAS'!AD18/'EDT Y TAREAS'!M18,0),IF(AND(150&gt;='EDT Y TAREAS'!AK19,150&lt;'EDT Y TAREAS'!AL19),'EDT Y TAREAS'!AD19/'EDT Y TAREAS'!M19,0),IF(AND(150&gt;='EDT Y TAREAS'!AK20,150&lt;'EDT Y TAREAS'!AL20),'EDT Y TAREAS'!AD20/'EDT Y TAREAS'!M20,0),IF(AND(150&gt;='EDT Y TAREAS'!AK21,150&lt;'EDT Y TAREAS'!AL21),'EDT Y TAREAS'!AD21/'EDT Y TAREAS'!M21,0),IF(AND(150&gt;='EDT Y TAREAS'!AK22,150&lt;'EDT Y TAREAS'!AL22),'EDT Y TAREAS'!AD22/'EDT Y TAREAS'!M22,0),IF(AND(150&gt;='EDT Y TAREAS'!AK23,150&lt;'EDT Y TAREAS'!AL23),'EDT Y TAREAS'!AD23/'EDT Y TAREAS'!M23,0),IF(AND(150&gt;='EDT Y TAREAS'!AK26,150&lt;'EDT Y TAREAS'!AL26),'EDT Y TAREAS'!AD26/'EDT Y TAREAS'!M26,0),IF(AND(150&gt;='EDT Y TAREAS'!AK28,150&lt;'EDT Y TAREAS'!AL28),'EDT Y TAREAS'!AD28/'EDT Y TAREAS'!M28,0),IF(AND(150&gt;='EDT Y TAREAS'!AK30,150&lt;'EDT Y TAREAS'!AL30),'EDT Y TAREAS'!AD30/'EDT Y TAREAS'!M30,0),IF(AND(150&gt;='EDT Y TAREAS'!AK32,150&lt;'EDT Y TAREAS'!AL32),'EDT Y TAREAS'!AD32/'EDT Y TAREAS'!M32,0),IF(AND(150&gt;='EDT Y TAREAS'!AK34,150&lt;'EDT Y TAREAS'!AL34),'EDT Y TAREAS'!AD34/'EDT Y TAREAS'!M34,0),IF(AND(150&gt;='EDT Y TAREAS'!AK38,150&lt;'EDT Y TAREAS'!AL38),'EDT Y TAREAS'!AD38/'EDT Y TAREAS'!M38,0),IF(AND(150&gt;='EDT Y TAREAS'!AK39,150&lt;'EDT Y TAREAS'!AL39),'EDT Y TAREAS'!AD39/'EDT Y TAREAS'!M39,0),IF(AND(150&gt;='EDT Y TAREAS'!AK43,150&lt;'EDT Y TAREAS'!AL43),'EDT Y TAREAS'!AD43/'EDT Y TAREAS'!M43,0),IF(AND(150&gt;='EDT Y TAREAS'!AK44,150&lt;'EDT Y TAREAS'!AL44),'EDT Y TAREAS'!AD44/'EDT Y TAREAS'!M44,0),IF(AND(150&gt;='EDT Y TAREAS'!AK45,150&lt;'EDT Y TAREAS'!AL45),'EDT Y TAREAS'!AD45/'EDT Y TAREAS'!M45,0),IF(AND(150&gt;='EDT Y TAREAS'!AK46,150&lt;'EDT Y TAREAS'!AL46),'EDT Y TAREAS'!AD46/'EDT Y TAREAS'!M46,0),IF(AND(150&gt;='EDT Y TAREAS'!AK47,150&lt;'EDT Y TAREAS'!AL47),'EDT Y TAREAS'!AD47/'EDT Y TAREAS'!M47,0),IF(AND(150&gt;='EDT Y TAREAS'!AK49,150&lt;'EDT Y TAREAS'!AL49),'EDT Y TAREAS'!AD49/'EDT Y TAREAS'!M49,0),IF(AND(150&gt;='EDT Y TAREAS'!AK50,150&lt;'EDT Y TAREAS'!AL50),'EDT Y TAREAS'!AD50/'EDT Y TAREAS'!M50,0),IF(AND(150&gt;='EDT Y TAREAS'!AK51,150&lt;'EDT Y TAREAS'!AL51),'EDT Y TAREAS'!AD51/'EDT Y TAREAS'!M51,0),IF(AND(150&gt;='EDT Y TAREAS'!AK52,150&lt;'EDT Y TAREAS'!AL52),'EDT Y TAREAS'!AD52/'EDT Y TAREAS'!M52,0))</x:f>
        <x:v>1.6</x:v>
      </x:c>
      <x:c r="C190" s="35" t="n">
        <x:f>SUM(IF(AND(150&gt;='EDT Y TAREAS'!AK6,150&lt;'EDT Y TAREAS'!AL6),'EDT Y TAREAS'!AE6/'EDT Y TAREAS'!M6,0),IF(AND(150&gt;='EDT Y TAREAS'!AK8,150&lt;'EDT Y TAREAS'!AL8),'EDT Y TAREAS'!AE8/'EDT Y TAREAS'!M8,0),IF(AND(150&gt;='EDT Y TAREAS'!AK9,150&lt;'EDT Y TAREAS'!AL9),'EDT Y TAREAS'!AE9/'EDT Y TAREAS'!M9,0),IF(AND(150&gt;='EDT Y TAREAS'!AK10,150&lt;'EDT Y TAREAS'!AL10),'EDT Y TAREAS'!AE10/'EDT Y TAREAS'!M10,0),IF(AND(150&gt;='EDT Y TAREAS'!AK12,150&lt;'EDT Y TAREAS'!AL12),'EDT Y TAREAS'!AE12/'EDT Y TAREAS'!M12,0),IF(AND(150&gt;='EDT Y TAREAS'!AK16,150&lt;'EDT Y TAREAS'!AL16),'EDT Y TAREAS'!AE16/'EDT Y TAREAS'!M16,0),IF(AND(150&gt;='EDT Y TAREAS'!AK21,150&lt;'EDT Y TAREAS'!AL21),'EDT Y TAREAS'!AE21/'EDT Y TAREAS'!M21,0),IF(AND(150&gt;='EDT Y TAREAS'!AK23,150&lt;'EDT Y TAREAS'!AL23),'EDT Y TAREAS'!AE23/'EDT Y TAREAS'!M23,0),IF(AND(150&gt;='EDT Y TAREAS'!AK37,150&lt;'EDT Y TAREAS'!AL37),'EDT Y TAREAS'!AE37/'EDT Y TAREAS'!M37,0),IF(AND(150&gt;='EDT Y TAREAS'!AK38,150&lt;'EDT Y TAREAS'!AL38),'EDT Y TAREAS'!AE38/'EDT Y TAREAS'!M38,0),IF(AND(150&gt;='EDT Y TAREAS'!AK41,150&lt;'EDT Y TAREAS'!AL41),'EDT Y TAREAS'!AE41/'EDT Y TAREAS'!M41,0),IF(AND(150&gt;='EDT Y TAREAS'!AK43,150&lt;'EDT Y TAREAS'!AL43),'EDT Y TAREAS'!AE43/'EDT Y TAREAS'!M43,0),IF(AND(150&gt;='EDT Y TAREAS'!AK44,150&lt;'EDT Y TAREAS'!AL44),'EDT Y TAREAS'!AE44/'EDT Y TAREAS'!M44,0),IF(AND(150&gt;='EDT Y TAREAS'!AK46,150&lt;'EDT Y TAREAS'!AL46),'EDT Y TAREAS'!AE46/'EDT Y TAREAS'!M46,0),IF(AND(150&gt;='EDT Y TAREAS'!AK47,150&lt;'EDT Y TAREAS'!AL47),'EDT Y TAREAS'!AE47/'EDT Y TAREAS'!M47,0),IF(AND(150&gt;='EDT Y TAREAS'!AK51,150&lt;'EDT Y TAREAS'!AL51),'EDT Y TAREAS'!AE51/'EDT Y TAREAS'!M51,0),IF(AND(150&gt;='EDT Y TAREAS'!AK52,150&lt;'EDT Y TAREAS'!AL52),'EDT Y TAREAS'!AE52/'EDT Y TAREAS'!M52,0))</x:f>
        <x:v>0.4</x:v>
      </x:c>
      <x:c r="D190" s="35" t="n">
        <x:f>SUM(IF(AND(150&gt;='EDT Y TAREAS'!AK11,150&lt;'EDT Y TAREAS'!AL11),'EDT Y TAREAS'!AF11/'EDT Y TAREAS'!M11,0),IF(AND(150&gt;='EDT Y TAREAS'!AK24,150&lt;'EDT Y TAREAS'!AL24),'EDT Y TAREAS'!AF24/'EDT Y TAREAS'!M24,0),IF(AND(150&gt;='EDT Y TAREAS'!AK25,150&lt;'EDT Y TAREAS'!AL25),'EDT Y TAREAS'!AF25/'EDT Y TAREAS'!M25,0),IF(AND(150&gt;='EDT Y TAREAS'!AK26,150&lt;'EDT Y TAREAS'!AL26),'EDT Y TAREAS'!AF26/'EDT Y TAREAS'!M26,0),IF(AND(150&gt;='EDT Y TAREAS'!AK27,150&lt;'EDT Y TAREAS'!AL27),'EDT Y TAREAS'!AF27/'EDT Y TAREAS'!M27,0),IF(AND(150&gt;='EDT Y TAREAS'!AK28,150&lt;'EDT Y TAREAS'!AL28),'EDT Y TAREAS'!AF28/'EDT Y TAREAS'!M28,0),IF(AND(150&gt;='EDT Y TAREAS'!AK31,150&lt;'EDT Y TAREAS'!AL31),'EDT Y TAREAS'!AF31/'EDT Y TAREAS'!M31,0),IF(AND(150&gt;='EDT Y TAREAS'!AK33,150&lt;'EDT Y TAREAS'!AL33),'EDT Y TAREAS'!AF33/'EDT Y TAREAS'!M33,0),IF(AND(150&gt;='EDT Y TAREAS'!AK34,150&lt;'EDT Y TAREAS'!AL34),'EDT Y TAREAS'!AF34/'EDT Y TAREAS'!M34,0),IF(AND(150&gt;='EDT Y TAREAS'!AK35,150&lt;'EDT Y TAREAS'!AL35),'EDT Y TAREAS'!AF35/'EDT Y TAREAS'!M35,0),IF(AND(150&gt;='EDT Y TAREAS'!AK37,150&lt;'EDT Y TAREAS'!AL37),'EDT Y TAREAS'!AF37/'EDT Y TAREAS'!M37,0),IF(AND(150&gt;='EDT Y TAREAS'!AK39,150&lt;'EDT Y TAREAS'!AL39),'EDT Y TAREAS'!AF39/'EDT Y TAREAS'!M39,0),IF(AND(150&gt;='EDT Y TAREAS'!AK40,150&lt;'EDT Y TAREAS'!AL40),'EDT Y TAREAS'!AF40/'EDT Y TAREAS'!M40,0),IF(AND(150&gt;='EDT Y TAREAS'!AK42,150&lt;'EDT Y TAREAS'!AL42),'EDT Y TAREAS'!AF42/'EDT Y TAREAS'!M42,0),IF(AND(150&gt;='EDT Y TAREAS'!AK45,150&lt;'EDT Y TAREAS'!AL45),'EDT Y TAREAS'!AF45/'EDT Y TAREAS'!M45,0),IF(AND(150&gt;='EDT Y TAREAS'!AK49,150&lt;'EDT Y TAREAS'!AL49),'EDT Y TAREAS'!AF49/'EDT Y TAREAS'!M49,0),IF(AND(150&gt;='EDT Y TAREAS'!AK52,150&lt;'EDT Y TAREAS'!AL52),'EDT Y TAREAS'!AF52/'EDT Y TAREAS'!M52,0))</x:f>
        <x:v>0.8</x:v>
      </x:c>
      <x:c r="E190" s="35" t="n">
        <x:f>SUM(IF(AND(150&gt;='EDT Y TAREAS'!AK29,150&lt;'EDT Y TAREAS'!AL29),'EDT Y TAREAS'!AG29/'EDT Y TAREAS'!M29,0),IF(AND(150&gt;='EDT Y TAREAS'!AK30,150&lt;'EDT Y TAREAS'!AL30),'EDT Y TAREAS'!AG30/'EDT Y TAREAS'!M30,0),IF(AND(150&gt;='EDT Y TAREAS'!AK31,150&lt;'EDT Y TAREAS'!AL31),'EDT Y TAREAS'!AG31/'EDT Y TAREAS'!M31,0),IF(AND(150&gt;='EDT Y TAREAS'!AK32,150&lt;'EDT Y TAREAS'!AL32),'EDT Y TAREAS'!AG32/'EDT Y TAREAS'!M32,0),IF(AND(150&gt;='EDT Y TAREAS'!AK41,150&lt;'EDT Y TAREAS'!AL41),'EDT Y TAREAS'!AG41/'EDT Y TAREAS'!M41,0),IF(AND(150&gt;='EDT Y TAREAS'!AK45,150&lt;'EDT Y TAREAS'!AL45),'EDT Y TAREAS'!AG45/'EDT Y TAREAS'!M45,0),IF(AND(150&gt;='EDT Y TAREAS'!AK48,150&lt;'EDT Y TAREAS'!AL48),'EDT Y TAREAS'!AG48/'EDT Y TAREAS'!M48,0))</x:f>
        <x:v>0</x:v>
      </x:c>
      <x:c r="F190" s="35" t="n">
        <x:f>SUM(IF(AND(150&gt;='EDT Y TAREAS'!AK10,150&lt;'EDT Y TAREAS'!AL10),'EDT Y TAREAS'!AH10/'EDT Y TAREAS'!M10,0),IF(AND(150&gt;='EDT Y TAREAS'!AK12,150&lt;'EDT Y TAREAS'!AL12),'EDT Y TAREAS'!AH12/'EDT Y TAREAS'!M12,0),IF(AND(150&gt;='EDT Y TAREAS'!AK22,150&lt;'EDT Y TAREAS'!AL22),'EDT Y TAREAS'!AH22/'EDT Y TAREAS'!M22,0),IF(AND(150&gt;='EDT Y TAREAS'!AK23,150&lt;'EDT Y TAREAS'!AL23),'EDT Y TAREAS'!AH23/'EDT Y TAREAS'!M23,0),IF(AND(150&gt;='EDT Y TAREAS'!AK29,150&lt;'EDT Y TAREAS'!AL29),'EDT Y TAREAS'!AH29/'EDT Y TAREAS'!M29,0),IF(AND(150&gt;='EDT Y TAREAS'!AK30,150&lt;'EDT Y TAREAS'!AL30),'EDT Y TAREAS'!AH30/'EDT Y TAREAS'!M30,0),IF(AND(150&gt;='EDT Y TAREAS'!AK32,150&lt;'EDT Y TAREAS'!AL32),'EDT Y TAREAS'!AH32/'EDT Y TAREAS'!M32,0),IF(AND(150&gt;='EDT Y TAREAS'!AK41,150&lt;'EDT Y TAREAS'!AL41),'EDT Y TAREAS'!AH41/'EDT Y TAREAS'!M41,0),IF(AND(150&gt;='EDT Y TAREAS'!AK44,150&lt;'EDT Y TAREAS'!AL44),'EDT Y TAREAS'!AH44/'EDT Y TAREAS'!M44,0),IF(AND(150&gt;='EDT Y TAREAS'!AK46,150&lt;'EDT Y TAREAS'!AL46),'EDT Y TAREAS'!AH46/'EDT Y TAREAS'!M46,0),IF(AND(150&gt;='EDT Y TAREAS'!AK48,150&lt;'EDT Y TAREAS'!AL48),'EDT Y TAREAS'!AH48/'EDT Y TAREAS'!M48,0))</x:f>
        <x:v>0</x:v>
      </x:c>
      <x:c r="G190" s="35" t="n">
        <x:f>SUM(IF(AND(150&gt;='EDT Y TAREAS'!AK20,150&lt;'EDT Y TAREAS'!AL20),'EDT Y TAREAS'!AI20/'EDT Y TAREAS'!M20,0),IF(AND(150&gt;='EDT Y TAREAS'!AK25,150&lt;'EDT Y TAREAS'!AL25),'EDT Y TAREAS'!AI25/'EDT Y TAREAS'!M25,0),IF(AND(150&gt;='EDT Y TAREAS'!AK33,150&lt;'EDT Y TAREAS'!AL33),'EDT Y TAREAS'!AI33/'EDT Y TAREAS'!M33,0),IF(AND(150&gt;='EDT Y TAREAS'!AK34,150&lt;'EDT Y TAREAS'!AL34),'EDT Y TAREAS'!AI34/'EDT Y TAREAS'!M34,0),IF(AND(150&gt;='EDT Y TAREAS'!AK36,150&lt;'EDT Y TAREAS'!AL36),'EDT Y TAREAS'!AI36/'EDT Y TAREAS'!M36,0),IF(AND(150&gt;='EDT Y TAREAS'!AK39,150&lt;'EDT Y TAREAS'!AL39),'EDT Y TAREAS'!AI39/'EDT Y TAREAS'!M39,0),IF(AND(150&gt;='EDT Y TAREAS'!AK40,150&lt;'EDT Y TAREAS'!AL40),'EDT Y TAREAS'!AI40/'EDT Y TAREAS'!M40,0),IF(AND(150&gt;='EDT Y TAREAS'!AK42,150&lt;'EDT Y TAREAS'!AL42),'EDT Y TAREAS'!AI42/'EDT Y TAREAS'!M42,0),IF(AND(150&gt;='EDT Y TAREAS'!AK43,150&lt;'EDT Y TAREAS'!AL43),'EDT Y TAREAS'!AI43/'EDT Y TAREAS'!M43,0),IF(AND(150&gt;='EDT Y TAREAS'!AK44,150&lt;'EDT Y TAREAS'!AL44),'EDT Y TAREAS'!AI44/'EDT Y TAREAS'!M44,0),IF(AND(150&gt;='EDT Y TAREAS'!AK45,150&lt;'EDT Y TAREAS'!AL45),'EDT Y TAREAS'!AI45/'EDT Y TAREAS'!M45,0),IF(AND(150&gt;='EDT Y TAREAS'!AK46,150&lt;'EDT Y TAREAS'!AL46),'EDT Y TAREAS'!AI46/'EDT Y TAREAS'!M46,0),IF(AND(150&gt;='EDT Y TAREAS'!AK48,150&lt;'EDT Y TAREAS'!AL48),'EDT Y TAREAS'!AI48/'EDT Y TAREAS'!M48,0),IF(AND(150&gt;='EDT Y TAREAS'!AK50,150&lt;'EDT Y TAREAS'!AL50),'EDT Y TAREAS'!AI50/'EDT Y TAREAS'!M50,0),IF(AND(150&gt;='EDT Y TAREAS'!AK52,150&lt;'EDT Y TAREAS'!AL52),'EDT Y TAREAS'!AI52/'EDT Y TAREAS'!M52,0))</x:f>
        <x:v>0.8</x:v>
      </x:c>
      <x:c r="H190" s="35" t="n">
        <x:f>SUM(IF(AND(150&gt;='EDT Y TAREAS'!AK11,150&lt;'EDT Y TAREAS'!AL11),'EDT Y TAREAS'!AJ11/'EDT Y TAREAS'!M11,0),IF(AND(150&gt;='EDT Y TAREAS'!AK24,150&lt;'EDT Y TAREAS'!AL24),'EDT Y TAREAS'!AJ24/'EDT Y TAREAS'!M24,0),IF(AND(150&gt;='EDT Y TAREAS'!AK27,150&lt;'EDT Y TAREAS'!AL27),'EDT Y TAREAS'!AJ27/'EDT Y TAREAS'!M27,0),IF(AND(150&gt;='EDT Y TAREAS'!AK28,150&lt;'EDT Y TAREAS'!AL28),'EDT Y TAREAS'!AJ28/'EDT Y TAREAS'!M28,0),IF(AND(150&gt;='EDT Y TAREAS'!AK33,150&lt;'EDT Y TAREAS'!AL33),'EDT Y TAREAS'!AJ33/'EDT Y TAREAS'!M33,0),IF(AND(150&gt;='EDT Y TAREAS'!AK35,150&lt;'EDT Y TAREAS'!AL35),'EDT Y TAREAS'!AJ35/'EDT Y TAREAS'!M35,0),IF(AND(150&gt;='EDT Y TAREAS'!AK36,150&lt;'EDT Y TAREAS'!AL36),'EDT Y TAREAS'!AJ36/'EDT Y TAREAS'!M36,0),IF(AND(150&gt;='EDT Y TAREAS'!AK37,150&lt;'EDT Y TAREAS'!AL37),'EDT Y TAREAS'!AJ37/'EDT Y TAREAS'!M37,0),IF(AND(150&gt;='EDT Y TAREAS'!AK40,150&lt;'EDT Y TAREAS'!AL40),'EDT Y TAREAS'!AJ40/'EDT Y TAREAS'!M40,0),IF(AND(150&gt;='EDT Y TAREAS'!AK42,150&lt;'EDT Y TAREAS'!AL42),'EDT Y TAREAS'!AJ42/'EDT Y TAREAS'!M42,0),IF(AND(150&gt;='EDT Y TAREAS'!AK49,150&lt;'EDT Y TAREAS'!AL49),'EDT Y TAREAS'!AJ49/'EDT Y TAREAS'!M49,0),IF(AND(150&gt;='EDT Y TAREAS'!AK50,150&lt;'EDT Y TAREAS'!AL50),'EDT Y TAREAS'!AJ50/'EDT Y TAREAS'!M50,0),IF(AND(150&gt;='EDT Y TAREAS'!AK51,150&lt;'EDT Y TAREAS'!AL51),'EDT Y TAREAS'!AJ51/'EDT Y TAREAS'!M51,0),IF(AND(150&gt;='EDT Y TAREAS'!AK52,150&lt;'EDT Y TAREAS'!AL52),'EDT Y TAREAS'!AJ52/'EDT Y TAREAS'!M52,0))</x:f>
        <x:v>1.6</x:v>
      </x:c>
      <x:c r="I190" s="10" t="n">
        <x:f>WORKDAY('RESUMEN'!$D$3-1,A190,'RESUMEN'!$J$6:$J$25)</x:f>
        <x:v>46538</x:v>
      </x:c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  <x:c r="AL190" s="3"/>
      <x:c r="AM190" s="3"/>
      <x:c r="AN190" s="3"/>
      <x:c r="AO190" s="3"/>
    </x:row>
    <x:row r="191" ht="24" customHeight="1">
      <x:c r="A191" s="3" t="n">
        <x:v>152</x:v>
      </x:c>
      <x:c r="B191" s="35" t="n">
        <x:f>SUM(IF(AND(151&gt;='EDT Y TAREAS'!AK6,151&lt;'EDT Y TAREAS'!AL6),'EDT Y TAREAS'!AD6/'EDT Y TAREAS'!M6,0),IF(AND(151&gt;='EDT Y TAREAS'!AK7,151&lt;'EDT Y TAREAS'!AL7),'EDT Y TAREAS'!AD7/'EDT Y TAREAS'!M7,0),IF(AND(151&gt;='EDT Y TAREAS'!AK8,151&lt;'EDT Y TAREAS'!AL8),'EDT Y TAREAS'!AD8/'EDT Y TAREAS'!M8,0),IF(AND(151&gt;='EDT Y TAREAS'!AK9,151&lt;'EDT Y TAREAS'!AL9),'EDT Y TAREAS'!AD9/'EDT Y TAREAS'!M9,0),IF(AND(151&gt;='EDT Y TAREAS'!AK10,151&lt;'EDT Y TAREAS'!AL10),'EDT Y TAREAS'!AD10/'EDT Y TAREAS'!M10,0),IF(AND(151&gt;='EDT Y TAREAS'!AK11,151&lt;'EDT Y TAREAS'!AL11),'EDT Y TAREAS'!AD11/'EDT Y TAREAS'!M11,0),IF(AND(151&gt;='EDT Y TAREAS'!AK12,151&lt;'EDT Y TAREAS'!AL12),'EDT Y TAREAS'!AD12/'EDT Y TAREAS'!M12,0),IF(AND(151&gt;='EDT Y TAREAS'!AK13,151&lt;'EDT Y TAREAS'!AL13),'EDT Y TAREAS'!AD13/'EDT Y TAREAS'!M13,0),IF(AND(151&gt;='EDT Y TAREAS'!AK14,151&lt;'EDT Y TAREAS'!AL14),'EDT Y TAREAS'!AD14/'EDT Y TAREAS'!M14,0),IF(AND(151&gt;='EDT Y TAREAS'!AK15,151&lt;'EDT Y TAREAS'!AL15),'EDT Y TAREAS'!AD15/'EDT Y TAREAS'!M15,0),IF(AND(151&gt;='EDT Y TAREAS'!AK16,151&lt;'EDT Y TAREAS'!AL16),'EDT Y TAREAS'!AD16/'EDT Y TAREAS'!M16,0),IF(AND(151&gt;='EDT Y TAREAS'!AK17,151&lt;'EDT Y TAREAS'!AL17),'EDT Y TAREAS'!AD17/'EDT Y TAREAS'!M17,0),IF(AND(151&gt;='EDT Y TAREAS'!AK18,151&lt;'EDT Y TAREAS'!AL18),'EDT Y TAREAS'!AD18/'EDT Y TAREAS'!M18,0),IF(AND(151&gt;='EDT Y TAREAS'!AK19,151&lt;'EDT Y TAREAS'!AL19),'EDT Y TAREAS'!AD19/'EDT Y TAREAS'!M19,0),IF(AND(151&gt;='EDT Y TAREAS'!AK20,151&lt;'EDT Y TAREAS'!AL20),'EDT Y TAREAS'!AD20/'EDT Y TAREAS'!M20,0),IF(AND(151&gt;='EDT Y TAREAS'!AK21,151&lt;'EDT Y TAREAS'!AL21),'EDT Y TAREAS'!AD21/'EDT Y TAREAS'!M21,0),IF(AND(151&gt;='EDT Y TAREAS'!AK22,151&lt;'EDT Y TAREAS'!AL22),'EDT Y TAREAS'!AD22/'EDT Y TAREAS'!M22,0),IF(AND(151&gt;='EDT Y TAREAS'!AK23,151&lt;'EDT Y TAREAS'!AL23),'EDT Y TAREAS'!AD23/'EDT Y TAREAS'!M23,0),IF(AND(151&gt;='EDT Y TAREAS'!AK26,151&lt;'EDT Y TAREAS'!AL26),'EDT Y TAREAS'!AD26/'EDT Y TAREAS'!M26,0),IF(AND(151&gt;='EDT Y TAREAS'!AK28,151&lt;'EDT Y TAREAS'!AL28),'EDT Y TAREAS'!AD28/'EDT Y TAREAS'!M28,0),IF(AND(151&gt;='EDT Y TAREAS'!AK30,151&lt;'EDT Y TAREAS'!AL30),'EDT Y TAREAS'!AD30/'EDT Y TAREAS'!M30,0),IF(AND(151&gt;='EDT Y TAREAS'!AK32,151&lt;'EDT Y TAREAS'!AL32),'EDT Y TAREAS'!AD32/'EDT Y TAREAS'!M32,0),IF(AND(151&gt;='EDT Y TAREAS'!AK34,151&lt;'EDT Y TAREAS'!AL34),'EDT Y TAREAS'!AD34/'EDT Y TAREAS'!M34,0),IF(AND(151&gt;='EDT Y TAREAS'!AK38,151&lt;'EDT Y TAREAS'!AL38),'EDT Y TAREAS'!AD38/'EDT Y TAREAS'!M38,0),IF(AND(151&gt;='EDT Y TAREAS'!AK39,151&lt;'EDT Y TAREAS'!AL39),'EDT Y TAREAS'!AD39/'EDT Y TAREAS'!M39,0),IF(AND(151&gt;='EDT Y TAREAS'!AK43,151&lt;'EDT Y TAREAS'!AL43),'EDT Y TAREAS'!AD43/'EDT Y TAREAS'!M43,0),IF(AND(151&gt;='EDT Y TAREAS'!AK44,151&lt;'EDT Y TAREAS'!AL44),'EDT Y TAREAS'!AD44/'EDT Y TAREAS'!M44,0),IF(AND(151&gt;='EDT Y TAREAS'!AK45,151&lt;'EDT Y TAREAS'!AL45),'EDT Y TAREAS'!AD45/'EDT Y TAREAS'!M45,0),IF(AND(151&gt;='EDT Y TAREAS'!AK46,151&lt;'EDT Y TAREAS'!AL46),'EDT Y TAREAS'!AD46/'EDT Y TAREAS'!M46,0),IF(AND(151&gt;='EDT Y TAREAS'!AK47,151&lt;'EDT Y TAREAS'!AL47),'EDT Y TAREAS'!AD47/'EDT Y TAREAS'!M47,0),IF(AND(151&gt;='EDT Y TAREAS'!AK49,151&lt;'EDT Y TAREAS'!AL49),'EDT Y TAREAS'!AD49/'EDT Y TAREAS'!M49,0),IF(AND(151&gt;='EDT Y TAREAS'!AK50,151&lt;'EDT Y TAREAS'!AL50),'EDT Y TAREAS'!AD50/'EDT Y TAREAS'!M50,0),IF(AND(151&gt;='EDT Y TAREAS'!AK51,151&lt;'EDT Y TAREAS'!AL51),'EDT Y TAREAS'!AD51/'EDT Y TAREAS'!M51,0),IF(AND(151&gt;='EDT Y TAREAS'!AK52,151&lt;'EDT Y TAREAS'!AL52),'EDT Y TAREAS'!AD52/'EDT Y TAREAS'!M52,0))</x:f>
        <x:v>1.6</x:v>
      </x:c>
      <x:c r="C191" s="35" t="n">
        <x:f>SUM(IF(AND(151&gt;='EDT Y TAREAS'!AK6,151&lt;'EDT Y TAREAS'!AL6),'EDT Y TAREAS'!AE6/'EDT Y TAREAS'!M6,0),IF(AND(151&gt;='EDT Y TAREAS'!AK8,151&lt;'EDT Y TAREAS'!AL8),'EDT Y TAREAS'!AE8/'EDT Y TAREAS'!M8,0),IF(AND(151&gt;='EDT Y TAREAS'!AK9,151&lt;'EDT Y TAREAS'!AL9),'EDT Y TAREAS'!AE9/'EDT Y TAREAS'!M9,0),IF(AND(151&gt;='EDT Y TAREAS'!AK10,151&lt;'EDT Y TAREAS'!AL10),'EDT Y TAREAS'!AE10/'EDT Y TAREAS'!M10,0),IF(AND(151&gt;='EDT Y TAREAS'!AK12,151&lt;'EDT Y TAREAS'!AL12),'EDT Y TAREAS'!AE12/'EDT Y TAREAS'!M12,0),IF(AND(151&gt;='EDT Y TAREAS'!AK16,151&lt;'EDT Y TAREAS'!AL16),'EDT Y TAREAS'!AE16/'EDT Y TAREAS'!M16,0),IF(AND(151&gt;='EDT Y TAREAS'!AK21,151&lt;'EDT Y TAREAS'!AL21),'EDT Y TAREAS'!AE21/'EDT Y TAREAS'!M21,0),IF(AND(151&gt;='EDT Y TAREAS'!AK23,151&lt;'EDT Y TAREAS'!AL23),'EDT Y TAREAS'!AE23/'EDT Y TAREAS'!M23,0),IF(AND(151&gt;='EDT Y TAREAS'!AK37,151&lt;'EDT Y TAREAS'!AL37),'EDT Y TAREAS'!AE37/'EDT Y TAREAS'!M37,0),IF(AND(151&gt;='EDT Y TAREAS'!AK38,151&lt;'EDT Y TAREAS'!AL38),'EDT Y TAREAS'!AE38/'EDT Y TAREAS'!M38,0),IF(AND(151&gt;='EDT Y TAREAS'!AK41,151&lt;'EDT Y TAREAS'!AL41),'EDT Y TAREAS'!AE41/'EDT Y TAREAS'!M41,0),IF(AND(151&gt;='EDT Y TAREAS'!AK43,151&lt;'EDT Y TAREAS'!AL43),'EDT Y TAREAS'!AE43/'EDT Y TAREAS'!M43,0),IF(AND(151&gt;='EDT Y TAREAS'!AK44,151&lt;'EDT Y TAREAS'!AL44),'EDT Y TAREAS'!AE44/'EDT Y TAREAS'!M44,0),IF(AND(151&gt;='EDT Y TAREAS'!AK46,151&lt;'EDT Y TAREAS'!AL46),'EDT Y TAREAS'!AE46/'EDT Y TAREAS'!M46,0),IF(AND(151&gt;='EDT Y TAREAS'!AK47,151&lt;'EDT Y TAREAS'!AL47),'EDT Y TAREAS'!AE47/'EDT Y TAREAS'!M47,0),IF(AND(151&gt;='EDT Y TAREAS'!AK51,151&lt;'EDT Y TAREAS'!AL51),'EDT Y TAREAS'!AE51/'EDT Y TAREAS'!M51,0),IF(AND(151&gt;='EDT Y TAREAS'!AK52,151&lt;'EDT Y TAREAS'!AL52),'EDT Y TAREAS'!AE52/'EDT Y TAREAS'!M52,0))</x:f>
        <x:v>0.4</x:v>
      </x:c>
      <x:c r="D191" s="35" t="n">
        <x:f>SUM(IF(AND(151&gt;='EDT Y TAREAS'!AK11,151&lt;'EDT Y TAREAS'!AL11),'EDT Y TAREAS'!AF11/'EDT Y TAREAS'!M11,0),IF(AND(151&gt;='EDT Y TAREAS'!AK24,151&lt;'EDT Y TAREAS'!AL24),'EDT Y TAREAS'!AF24/'EDT Y TAREAS'!M24,0),IF(AND(151&gt;='EDT Y TAREAS'!AK25,151&lt;'EDT Y TAREAS'!AL25),'EDT Y TAREAS'!AF25/'EDT Y TAREAS'!M25,0),IF(AND(151&gt;='EDT Y TAREAS'!AK26,151&lt;'EDT Y TAREAS'!AL26),'EDT Y TAREAS'!AF26/'EDT Y TAREAS'!M26,0),IF(AND(151&gt;='EDT Y TAREAS'!AK27,151&lt;'EDT Y TAREAS'!AL27),'EDT Y TAREAS'!AF27/'EDT Y TAREAS'!M27,0),IF(AND(151&gt;='EDT Y TAREAS'!AK28,151&lt;'EDT Y TAREAS'!AL28),'EDT Y TAREAS'!AF28/'EDT Y TAREAS'!M28,0),IF(AND(151&gt;='EDT Y TAREAS'!AK31,151&lt;'EDT Y TAREAS'!AL31),'EDT Y TAREAS'!AF31/'EDT Y TAREAS'!M31,0),IF(AND(151&gt;='EDT Y TAREAS'!AK33,151&lt;'EDT Y TAREAS'!AL33),'EDT Y TAREAS'!AF33/'EDT Y TAREAS'!M33,0),IF(AND(151&gt;='EDT Y TAREAS'!AK34,151&lt;'EDT Y TAREAS'!AL34),'EDT Y TAREAS'!AF34/'EDT Y TAREAS'!M34,0),IF(AND(151&gt;='EDT Y TAREAS'!AK35,151&lt;'EDT Y TAREAS'!AL35),'EDT Y TAREAS'!AF35/'EDT Y TAREAS'!M35,0),IF(AND(151&gt;='EDT Y TAREAS'!AK37,151&lt;'EDT Y TAREAS'!AL37),'EDT Y TAREAS'!AF37/'EDT Y TAREAS'!M37,0),IF(AND(151&gt;='EDT Y TAREAS'!AK39,151&lt;'EDT Y TAREAS'!AL39),'EDT Y TAREAS'!AF39/'EDT Y TAREAS'!M39,0),IF(AND(151&gt;='EDT Y TAREAS'!AK40,151&lt;'EDT Y TAREAS'!AL40),'EDT Y TAREAS'!AF40/'EDT Y TAREAS'!M40,0),IF(AND(151&gt;='EDT Y TAREAS'!AK42,151&lt;'EDT Y TAREAS'!AL42),'EDT Y TAREAS'!AF42/'EDT Y TAREAS'!M42,0),IF(AND(151&gt;='EDT Y TAREAS'!AK45,151&lt;'EDT Y TAREAS'!AL45),'EDT Y TAREAS'!AF45/'EDT Y TAREAS'!M45,0),IF(AND(151&gt;='EDT Y TAREAS'!AK49,151&lt;'EDT Y TAREAS'!AL49),'EDT Y TAREAS'!AF49/'EDT Y TAREAS'!M49,0),IF(AND(151&gt;='EDT Y TAREAS'!AK52,151&lt;'EDT Y TAREAS'!AL52),'EDT Y TAREAS'!AF52/'EDT Y TAREAS'!M52,0))</x:f>
        <x:v>0.8</x:v>
      </x:c>
      <x:c r="E191" s="35" t="n">
        <x:f>SUM(IF(AND(151&gt;='EDT Y TAREAS'!AK29,151&lt;'EDT Y TAREAS'!AL29),'EDT Y TAREAS'!AG29/'EDT Y TAREAS'!M29,0),IF(AND(151&gt;='EDT Y TAREAS'!AK30,151&lt;'EDT Y TAREAS'!AL30),'EDT Y TAREAS'!AG30/'EDT Y TAREAS'!M30,0),IF(AND(151&gt;='EDT Y TAREAS'!AK31,151&lt;'EDT Y TAREAS'!AL31),'EDT Y TAREAS'!AG31/'EDT Y TAREAS'!M31,0),IF(AND(151&gt;='EDT Y TAREAS'!AK32,151&lt;'EDT Y TAREAS'!AL32),'EDT Y TAREAS'!AG32/'EDT Y TAREAS'!M32,0),IF(AND(151&gt;='EDT Y TAREAS'!AK41,151&lt;'EDT Y TAREAS'!AL41),'EDT Y TAREAS'!AG41/'EDT Y TAREAS'!M41,0),IF(AND(151&gt;='EDT Y TAREAS'!AK45,151&lt;'EDT Y TAREAS'!AL45),'EDT Y TAREAS'!AG45/'EDT Y TAREAS'!M45,0),IF(AND(151&gt;='EDT Y TAREAS'!AK48,151&lt;'EDT Y TAREAS'!AL48),'EDT Y TAREAS'!AG48/'EDT Y TAREAS'!M48,0))</x:f>
        <x:v>0</x:v>
      </x:c>
      <x:c r="F191" s="35" t="n">
        <x:f>SUM(IF(AND(151&gt;='EDT Y TAREAS'!AK10,151&lt;'EDT Y TAREAS'!AL10),'EDT Y TAREAS'!AH10/'EDT Y TAREAS'!M10,0),IF(AND(151&gt;='EDT Y TAREAS'!AK12,151&lt;'EDT Y TAREAS'!AL12),'EDT Y TAREAS'!AH12/'EDT Y TAREAS'!M12,0),IF(AND(151&gt;='EDT Y TAREAS'!AK22,151&lt;'EDT Y TAREAS'!AL22),'EDT Y TAREAS'!AH22/'EDT Y TAREAS'!M22,0),IF(AND(151&gt;='EDT Y TAREAS'!AK23,151&lt;'EDT Y TAREAS'!AL23),'EDT Y TAREAS'!AH23/'EDT Y TAREAS'!M23,0),IF(AND(151&gt;='EDT Y TAREAS'!AK29,151&lt;'EDT Y TAREAS'!AL29),'EDT Y TAREAS'!AH29/'EDT Y TAREAS'!M29,0),IF(AND(151&gt;='EDT Y TAREAS'!AK30,151&lt;'EDT Y TAREAS'!AL30),'EDT Y TAREAS'!AH30/'EDT Y TAREAS'!M30,0),IF(AND(151&gt;='EDT Y TAREAS'!AK32,151&lt;'EDT Y TAREAS'!AL32),'EDT Y TAREAS'!AH32/'EDT Y TAREAS'!M32,0),IF(AND(151&gt;='EDT Y TAREAS'!AK41,151&lt;'EDT Y TAREAS'!AL41),'EDT Y TAREAS'!AH41/'EDT Y TAREAS'!M41,0),IF(AND(151&gt;='EDT Y TAREAS'!AK44,151&lt;'EDT Y TAREAS'!AL44),'EDT Y TAREAS'!AH44/'EDT Y TAREAS'!M44,0),IF(AND(151&gt;='EDT Y TAREAS'!AK46,151&lt;'EDT Y TAREAS'!AL46),'EDT Y TAREAS'!AH46/'EDT Y TAREAS'!M46,0),IF(AND(151&gt;='EDT Y TAREAS'!AK48,151&lt;'EDT Y TAREAS'!AL48),'EDT Y TAREAS'!AH48/'EDT Y TAREAS'!M48,0))</x:f>
        <x:v>0</x:v>
      </x:c>
      <x:c r="G191" s="35" t="n">
        <x:f>SUM(IF(AND(151&gt;='EDT Y TAREAS'!AK20,151&lt;'EDT Y TAREAS'!AL20),'EDT Y TAREAS'!AI20/'EDT Y TAREAS'!M20,0),IF(AND(151&gt;='EDT Y TAREAS'!AK25,151&lt;'EDT Y TAREAS'!AL25),'EDT Y TAREAS'!AI25/'EDT Y TAREAS'!M25,0),IF(AND(151&gt;='EDT Y TAREAS'!AK33,151&lt;'EDT Y TAREAS'!AL33),'EDT Y TAREAS'!AI33/'EDT Y TAREAS'!M33,0),IF(AND(151&gt;='EDT Y TAREAS'!AK34,151&lt;'EDT Y TAREAS'!AL34),'EDT Y TAREAS'!AI34/'EDT Y TAREAS'!M34,0),IF(AND(151&gt;='EDT Y TAREAS'!AK36,151&lt;'EDT Y TAREAS'!AL36),'EDT Y TAREAS'!AI36/'EDT Y TAREAS'!M36,0),IF(AND(151&gt;='EDT Y TAREAS'!AK39,151&lt;'EDT Y TAREAS'!AL39),'EDT Y TAREAS'!AI39/'EDT Y TAREAS'!M39,0),IF(AND(151&gt;='EDT Y TAREAS'!AK40,151&lt;'EDT Y TAREAS'!AL40),'EDT Y TAREAS'!AI40/'EDT Y TAREAS'!M40,0),IF(AND(151&gt;='EDT Y TAREAS'!AK42,151&lt;'EDT Y TAREAS'!AL42),'EDT Y TAREAS'!AI42/'EDT Y TAREAS'!M42,0),IF(AND(151&gt;='EDT Y TAREAS'!AK43,151&lt;'EDT Y TAREAS'!AL43),'EDT Y TAREAS'!AI43/'EDT Y TAREAS'!M43,0),IF(AND(151&gt;='EDT Y TAREAS'!AK44,151&lt;'EDT Y TAREAS'!AL44),'EDT Y TAREAS'!AI44/'EDT Y TAREAS'!M44,0),IF(AND(151&gt;='EDT Y TAREAS'!AK45,151&lt;'EDT Y TAREAS'!AL45),'EDT Y TAREAS'!AI45/'EDT Y TAREAS'!M45,0),IF(AND(151&gt;='EDT Y TAREAS'!AK46,151&lt;'EDT Y TAREAS'!AL46),'EDT Y TAREAS'!AI46/'EDT Y TAREAS'!M46,0),IF(AND(151&gt;='EDT Y TAREAS'!AK48,151&lt;'EDT Y TAREAS'!AL48),'EDT Y TAREAS'!AI48/'EDT Y TAREAS'!M48,0),IF(AND(151&gt;='EDT Y TAREAS'!AK50,151&lt;'EDT Y TAREAS'!AL50),'EDT Y TAREAS'!AI50/'EDT Y TAREAS'!M50,0),IF(AND(151&gt;='EDT Y TAREAS'!AK52,151&lt;'EDT Y TAREAS'!AL52),'EDT Y TAREAS'!AI52/'EDT Y TAREAS'!M52,0))</x:f>
        <x:v>0.8</x:v>
      </x:c>
      <x:c r="H191" s="35" t="n">
        <x:f>SUM(IF(AND(151&gt;='EDT Y TAREAS'!AK11,151&lt;'EDT Y TAREAS'!AL11),'EDT Y TAREAS'!AJ11/'EDT Y TAREAS'!M11,0),IF(AND(151&gt;='EDT Y TAREAS'!AK24,151&lt;'EDT Y TAREAS'!AL24),'EDT Y TAREAS'!AJ24/'EDT Y TAREAS'!M24,0),IF(AND(151&gt;='EDT Y TAREAS'!AK27,151&lt;'EDT Y TAREAS'!AL27),'EDT Y TAREAS'!AJ27/'EDT Y TAREAS'!M27,0),IF(AND(151&gt;='EDT Y TAREAS'!AK28,151&lt;'EDT Y TAREAS'!AL28),'EDT Y TAREAS'!AJ28/'EDT Y TAREAS'!M28,0),IF(AND(151&gt;='EDT Y TAREAS'!AK33,151&lt;'EDT Y TAREAS'!AL33),'EDT Y TAREAS'!AJ33/'EDT Y TAREAS'!M33,0),IF(AND(151&gt;='EDT Y TAREAS'!AK35,151&lt;'EDT Y TAREAS'!AL35),'EDT Y TAREAS'!AJ35/'EDT Y TAREAS'!M35,0),IF(AND(151&gt;='EDT Y TAREAS'!AK36,151&lt;'EDT Y TAREAS'!AL36),'EDT Y TAREAS'!AJ36/'EDT Y TAREAS'!M36,0),IF(AND(151&gt;='EDT Y TAREAS'!AK37,151&lt;'EDT Y TAREAS'!AL37),'EDT Y TAREAS'!AJ37/'EDT Y TAREAS'!M37,0),IF(AND(151&gt;='EDT Y TAREAS'!AK40,151&lt;'EDT Y TAREAS'!AL40),'EDT Y TAREAS'!AJ40/'EDT Y TAREAS'!M40,0),IF(AND(151&gt;='EDT Y TAREAS'!AK42,151&lt;'EDT Y TAREAS'!AL42),'EDT Y TAREAS'!AJ42/'EDT Y TAREAS'!M42,0),IF(AND(151&gt;='EDT Y TAREAS'!AK49,151&lt;'EDT Y TAREAS'!AL49),'EDT Y TAREAS'!AJ49/'EDT Y TAREAS'!M49,0),IF(AND(151&gt;='EDT Y TAREAS'!AK50,151&lt;'EDT Y TAREAS'!AL50),'EDT Y TAREAS'!AJ50/'EDT Y TAREAS'!M50,0),IF(AND(151&gt;='EDT Y TAREAS'!AK51,151&lt;'EDT Y TAREAS'!AL51),'EDT Y TAREAS'!AJ51/'EDT Y TAREAS'!M51,0),IF(AND(151&gt;='EDT Y TAREAS'!AK52,151&lt;'EDT Y TAREAS'!AL52),'EDT Y TAREAS'!AJ52/'EDT Y TAREAS'!M52,0))</x:f>
        <x:v>1.6</x:v>
      </x:c>
      <x:c r="I191" s="10" t="n">
        <x:f>WORKDAY('RESUMEN'!$D$3-1,A191,'RESUMEN'!$J$6:$J$25)</x:f>
        <x:v>46539</x:v>
      </x:c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  <x:c r="AL191" s="3"/>
      <x:c r="AM191" s="3"/>
      <x:c r="AN191" s="3"/>
      <x:c r="AO191" s="3"/>
    </x:row>
    <x:row r="192" ht="24" customHeight="1">
      <x:c r="A192" s="3" t="n">
        <x:v>153</x:v>
      </x:c>
      <x:c r="B192" s="35" t="n">
        <x:f>SUM(IF(AND(152&gt;='EDT Y TAREAS'!AK6,152&lt;'EDT Y TAREAS'!AL6),'EDT Y TAREAS'!AD6/'EDT Y TAREAS'!M6,0),IF(AND(152&gt;='EDT Y TAREAS'!AK7,152&lt;'EDT Y TAREAS'!AL7),'EDT Y TAREAS'!AD7/'EDT Y TAREAS'!M7,0),IF(AND(152&gt;='EDT Y TAREAS'!AK8,152&lt;'EDT Y TAREAS'!AL8),'EDT Y TAREAS'!AD8/'EDT Y TAREAS'!M8,0),IF(AND(152&gt;='EDT Y TAREAS'!AK9,152&lt;'EDT Y TAREAS'!AL9),'EDT Y TAREAS'!AD9/'EDT Y TAREAS'!M9,0),IF(AND(152&gt;='EDT Y TAREAS'!AK10,152&lt;'EDT Y TAREAS'!AL10),'EDT Y TAREAS'!AD10/'EDT Y TAREAS'!M10,0),IF(AND(152&gt;='EDT Y TAREAS'!AK11,152&lt;'EDT Y TAREAS'!AL11),'EDT Y TAREAS'!AD11/'EDT Y TAREAS'!M11,0),IF(AND(152&gt;='EDT Y TAREAS'!AK12,152&lt;'EDT Y TAREAS'!AL12),'EDT Y TAREAS'!AD12/'EDT Y TAREAS'!M12,0),IF(AND(152&gt;='EDT Y TAREAS'!AK13,152&lt;'EDT Y TAREAS'!AL13),'EDT Y TAREAS'!AD13/'EDT Y TAREAS'!M13,0),IF(AND(152&gt;='EDT Y TAREAS'!AK14,152&lt;'EDT Y TAREAS'!AL14),'EDT Y TAREAS'!AD14/'EDT Y TAREAS'!M14,0),IF(AND(152&gt;='EDT Y TAREAS'!AK15,152&lt;'EDT Y TAREAS'!AL15),'EDT Y TAREAS'!AD15/'EDT Y TAREAS'!M15,0),IF(AND(152&gt;='EDT Y TAREAS'!AK16,152&lt;'EDT Y TAREAS'!AL16),'EDT Y TAREAS'!AD16/'EDT Y TAREAS'!M16,0),IF(AND(152&gt;='EDT Y TAREAS'!AK17,152&lt;'EDT Y TAREAS'!AL17),'EDT Y TAREAS'!AD17/'EDT Y TAREAS'!M17,0),IF(AND(152&gt;='EDT Y TAREAS'!AK18,152&lt;'EDT Y TAREAS'!AL18),'EDT Y TAREAS'!AD18/'EDT Y TAREAS'!M18,0),IF(AND(152&gt;='EDT Y TAREAS'!AK19,152&lt;'EDT Y TAREAS'!AL19),'EDT Y TAREAS'!AD19/'EDT Y TAREAS'!M19,0),IF(AND(152&gt;='EDT Y TAREAS'!AK20,152&lt;'EDT Y TAREAS'!AL20),'EDT Y TAREAS'!AD20/'EDT Y TAREAS'!M20,0),IF(AND(152&gt;='EDT Y TAREAS'!AK21,152&lt;'EDT Y TAREAS'!AL21),'EDT Y TAREAS'!AD21/'EDT Y TAREAS'!M21,0),IF(AND(152&gt;='EDT Y TAREAS'!AK22,152&lt;'EDT Y TAREAS'!AL22),'EDT Y TAREAS'!AD22/'EDT Y TAREAS'!M22,0),IF(AND(152&gt;='EDT Y TAREAS'!AK23,152&lt;'EDT Y TAREAS'!AL23),'EDT Y TAREAS'!AD23/'EDT Y TAREAS'!M23,0),IF(AND(152&gt;='EDT Y TAREAS'!AK26,152&lt;'EDT Y TAREAS'!AL26),'EDT Y TAREAS'!AD26/'EDT Y TAREAS'!M26,0),IF(AND(152&gt;='EDT Y TAREAS'!AK28,152&lt;'EDT Y TAREAS'!AL28),'EDT Y TAREAS'!AD28/'EDT Y TAREAS'!M28,0),IF(AND(152&gt;='EDT Y TAREAS'!AK30,152&lt;'EDT Y TAREAS'!AL30),'EDT Y TAREAS'!AD30/'EDT Y TAREAS'!M30,0),IF(AND(152&gt;='EDT Y TAREAS'!AK32,152&lt;'EDT Y TAREAS'!AL32),'EDT Y TAREAS'!AD32/'EDT Y TAREAS'!M32,0),IF(AND(152&gt;='EDT Y TAREAS'!AK34,152&lt;'EDT Y TAREAS'!AL34),'EDT Y TAREAS'!AD34/'EDT Y TAREAS'!M34,0),IF(AND(152&gt;='EDT Y TAREAS'!AK38,152&lt;'EDT Y TAREAS'!AL38),'EDT Y TAREAS'!AD38/'EDT Y TAREAS'!M38,0),IF(AND(152&gt;='EDT Y TAREAS'!AK39,152&lt;'EDT Y TAREAS'!AL39),'EDT Y TAREAS'!AD39/'EDT Y TAREAS'!M39,0),IF(AND(152&gt;='EDT Y TAREAS'!AK43,152&lt;'EDT Y TAREAS'!AL43),'EDT Y TAREAS'!AD43/'EDT Y TAREAS'!M43,0),IF(AND(152&gt;='EDT Y TAREAS'!AK44,152&lt;'EDT Y TAREAS'!AL44),'EDT Y TAREAS'!AD44/'EDT Y TAREAS'!M44,0),IF(AND(152&gt;='EDT Y TAREAS'!AK45,152&lt;'EDT Y TAREAS'!AL45),'EDT Y TAREAS'!AD45/'EDT Y TAREAS'!M45,0),IF(AND(152&gt;='EDT Y TAREAS'!AK46,152&lt;'EDT Y TAREAS'!AL46),'EDT Y TAREAS'!AD46/'EDT Y TAREAS'!M46,0),IF(AND(152&gt;='EDT Y TAREAS'!AK47,152&lt;'EDT Y TAREAS'!AL47),'EDT Y TAREAS'!AD47/'EDT Y TAREAS'!M47,0),IF(AND(152&gt;='EDT Y TAREAS'!AK49,152&lt;'EDT Y TAREAS'!AL49),'EDT Y TAREAS'!AD49/'EDT Y TAREAS'!M49,0),IF(AND(152&gt;='EDT Y TAREAS'!AK50,152&lt;'EDT Y TAREAS'!AL50),'EDT Y TAREAS'!AD50/'EDT Y TAREAS'!M50,0),IF(AND(152&gt;='EDT Y TAREAS'!AK51,152&lt;'EDT Y TAREAS'!AL51),'EDT Y TAREAS'!AD51/'EDT Y TAREAS'!M51,0),IF(AND(152&gt;='EDT Y TAREAS'!AK52,152&lt;'EDT Y TAREAS'!AL52),'EDT Y TAREAS'!AD52/'EDT Y TAREAS'!M52,0))</x:f>
        <x:v>1.6</x:v>
      </x:c>
      <x:c r="C192" s="35" t="n">
        <x:f>SUM(IF(AND(152&gt;='EDT Y TAREAS'!AK6,152&lt;'EDT Y TAREAS'!AL6),'EDT Y TAREAS'!AE6/'EDT Y TAREAS'!M6,0),IF(AND(152&gt;='EDT Y TAREAS'!AK8,152&lt;'EDT Y TAREAS'!AL8),'EDT Y TAREAS'!AE8/'EDT Y TAREAS'!M8,0),IF(AND(152&gt;='EDT Y TAREAS'!AK9,152&lt;'EDT Y TAREAS'!AL9),'EDT Y TAREAS'!AE9/'EDT Y TAREAS'!M9,0),IF(AND(152&gt;='EDT Y TAREAS'!AK10,152&lt;'EDT Y TAREAS'!AL10),'EDT Y TAREAS'!AE10/'EDT Y TAREAS'!M10,0),IF(AND(152&gt;='EDT Y TAREAS'!AK12,152&lt;'EDT Y TAREAS'!AL12),'EDT Y TAREAS'!AE12/'EDT Y TAREAS'!M12,0),IF(AND(152&gt;='EDT Y TAREAS'!AK16,152&lt;'EDT Y TAREAS'!AL16),'EDT Y TAREAS'!AE16/'EDT Y TAREAS'!M16,0),IF(AND(152&gt;='EDT Y TAREAS'!AK21,152&lt;'EDT Y TAREAS'!AL21),'EDT Y TAREAS'!AE21/'EDT Y TAREAS'!M21,0),IF(AND(152&gt;='EDT Y TAREAS'!AK23,152&lt;'EDT Y TAREAS'!AL23),'EDT Y TAREAS'!AE23/'EDT Y TAREAS'!M23,0),IF(AND(152&gt;='EDT Y TAREAS'!AK37,152&lt;'EDT Y TAREAS'!AL37),'EDT Y TAREAS'!AE37/'EDT Y TAREAS'!M37,0),IF(AND(152&gt;='EDT Y TAREAS'!AK38,152&lt;'EDT Y TAREAS'!AL38),'EDT Y TAREAS'!AE38/'EDT Y TAREAS'!M38,0),IF(AND(152&gt;='EDT Y TAREAS'!AK41,152&lt;'EDT Y TAREAS'!AL41),'EDT Y TAREAS'!AE41/'EDT Y TAREAS'!M41,0),IF(AND(152&gt;='EDT Y TAREAS'!AK43,152&lt;'EDT Y TAREAS'!AL43),'EDT Y TAREAS'!AE43/'EDT Y TAREAS'!M43,0),IF(AND(152&gt;='EDT Y TAREAS'!AK44,152&lt;'EDT Y TAREAS'!AL44),'EDT Y TAREAS'!AE44/'EDT Y TAREAS'!M44,0),IF(AND(152&gt;='EDT Y TAREAS'!AK46,152&lt;'EDT Y TAREAS'!AL46),'EDT Y TAREAS'!AE46/'EDT Y TAREAS'!M46,0),IF(AND(152&gt;='EDT Y TAREAS'!AK47,152&lt;'EDT Y TAREAS'!AL47),'EDT Y TAREAS'!AE47/'EDT Y TAREAS'!M47,0),IF(AND(152&gt;='EDT Y TAREAS'!AK51,152&lt;'EDT Y TAREAS'!AL51),'EDT Y TAREAS'!AE51/'EDT Y TAREAS'!M51,0),IF(AND(152&gt;='EDT Y TAREAS'!AK52,152&lt;'EDT Y TAREAS'!AL52),'EDT Y TAREAS'!AE52/'EDT Y TAREAS'!M52,0))</x:f>
        <x:v>0.4</x:v>
      </x:c>
      <x:c r="D192" s="35" t="n">
        <x:f>SUM(IF(AND(152&gt;='EDT Y TAREAS'!AK11,152&lt;'EDT Y TAREAS'!AL11),'EDT Y TAREAS'!AF11/'EDT Y TAREAS'!M11,0),IF(AND(152&gt;='EDT Y TAREAS'!AK24,152&lt;'EDT Y TAREAS'!AL24),'EDT Y TAREAS'!AF24/'EDT Y TAREAS'!M24,0),IF(AND(152&gt;='EDT Y TAREAS'!AK25,152&lt;'EDT Y TAREAS'!AL25),'EDT Y TAREAS'!AF25/'EDT Y TAREAS'!M25,0),IF(AND(152&gt;='EDT Y TAREAS'!AK26,152&lt;'EDT Y TAREAS'!AL26),'EDT Y TAREAS'!AF26/'EDT Y TAREAS'!M26,0),IF(AND(152&gt;='EDT Y TAREAS'!AK27,152&lt;'EDT Y TAREAS'!AL27),'EDT Y TAREAS'!AF27/'EDT Y TAREAS'!M27,0),IF(AND(152&gt;='EDT Y TAREAS'!AK28,152&lt;'EDT Y TAREAS'!AL28),'EDT Y TAREAS'!AF28/'EDT Y TAREAS'!M28,0),IF(AND(152&gt;='EDT Y TAREAS'!AK31,152&lt;'EDT Y TAREAS'!AL31),'EDT Y TAREAS'!AF31/'EDT Y TAREAS'!M31,0),IF(AND(152&gt;='EDT Y TAREAS'!AK33,152&lt;'EDT Y TAREAS'!AL33),'EDT Y TAREAS'!AF33/'EDT Y TAREAS'!M33,0),IF(AND(152&gt;='EDT Y TAREAS'!AK34,152&lt;'EDT Y TAREAS'!AL34),'EDT Y TAREAS'!AF34/'EDT Y TAREAS'!M34,0),IF(AND(152&gt;='EDT Y TAREAS'!AK35,152&lt;'EDT Y TAREAS'!AL35),'EDT Y TAREAS'!AF35/'EDT Y TAREAS'!M35,0),IF(AND(152&gt;='EDT Y TAREAS'!AK37,152&lt;'EDT Y TAREAS'!AL37),'EDT Y TAREAS'!AF37/'EDT Y TAREAS'!M37,0),IF(AND(152&gt;='EDT Y TAREAS'!AK39,152&lt;'EDT Y TAREAS'!AL39),'EDT Y TAREAS'!AF39/'EDT Y TAREAS'!M39,0),IF(AND(152&gt;='EDT Y TAREAS'!AK40,152&lt;'EDT Y TAREAS'!AL40),'EDT Y TAREAS'!AF40/'EDT Y TAREAS'!M40,0),IF(AND(152&gt;='EDT Y TAREAS'!AK42,152&lt;'EDT Y TAREAS'!AL42),'EDT Y TAREAS'!AF42/'EDT Y TAREAS'!M42,0),IF(AND(152&gt;='EDT Y TAREAS'!AK45,152&lt;'EDT Y TAREAS'!AL45),'EDT Y TAREAS'!AF45/'EDT Y TAREAS'!M45,0),IF(AND(152&gt;='EDT Y TAREAS'!AK49,152&lt;'EDT Y TAREAS'!AL49),'EDT Y TAREAS'!AF49/'EDT Y TAREAS'!M49,0),IF(AND(152&gt;='EDT Y TAREAS'!AK52,152&lt;'EDT Y TAREAS'!AL52),'EDT Y TAREAS'!AF52/'EDT Y TAREAS'!M52,0))</x:f>
        <x:v>0.8</x:v>
      </x:c>
      <x:c r="E192" s="35" t="n">
        <x:f>SUM(IF(AND(152&gt;='EDT Y TAREAS'!AK29,152&lt;'EDT Y TAREAS'!AL29),'EDT Y TAREAS'!AG29/'EDT Y TAREAS'!M29,0),IF(AND(152&gt;='EDT Y TAREAS'!AK30,152&lt;'EDT Y TAREAS'!AL30),'EDT Y TAREAS'!AG30/'EDT Y TAREAS'!M30,0),IF(AND(152&gt;='EDT Y TAREAS'!AK31,152&lt;'EDT Y TAREAS'!AL31),'EDT Y TAREAS'!AG31/'EDT Y TAREAS'!M31,0),IF(AND(152&gt;='EDT Y TAREAS'!AK32,152&lt;'EDT Y TAREAS'!AL32),'EDT Y TAREAS'!AG32/'EDT Y TAREAS'!M32,0),IF(AND(152&gt;='EDT Y TAREAS'!AK41,152&lt;'EDT Y TAREAS'!AL41),'EDT Y TAREAS'!AG41/'EDT Y TAREAS'!M41,0),IF(AND(152&gt;='EDT Y TAREAS'!AK45,152&lt;'EDT Y TAREAS'!AL45),'EDT Y TAREAS'!AG45/'EDT Y TAREAS'!M45,0),IF(AND(152&gt;='EDT Y TAREAS'!AK48,152&lt;'EDT Y TAREAS'!AL48),'EDT Y TAREAS'!AG48/'EDT Y TAREAS'!M48,0))</x:f>
        <x:v>0</x:v>
      </x:c>
      <x:c r="F192" s="35" t="n">
        <x:f>SUM(IF(AND(152&gt;='EDT Y TAREAS'!AK10,152&lt;'EDT Y TAREAS'!AL10),'EDT Y TAREAS'!AH10/'EDT Y TAREAS'!M10,0),IF(AND(152&gt;='EDT Y TAREAS'!AK12,152&lt;'EDT Y TAREAS'!AL12),'EDT Y TAREAS'!AH12/'EDT Y TAREAS'!M12,0),IF(AND(152&gt;='EDT Y TAREAS'!AK22,152&lt;'EDT Y TAREAS'!AL22),'EDT Y TAREAS'!AH22/'EDT Y TAREAS'!M22,0),IF(AND(152&gt;='EDT Y TAREAS'!AK23,152&lt;'EDT Y TAREAS'!AL23),'EDT Y TAREAS'!AH23/'EDT Y TAREAS'!M23,0),IF(AND(152&gt;='EDT Y TAREAS'!AK29,152&lt;'EDT Y TAREAS'!AL29),'EDT Y TAREAS'!AH29/'EDT Y TAREAS'!M29,0),IF(AND(152&gt;='EDT Y TAREAS'!AK30,152&lt;'EDT Y TAREAS'!AL30),'EDT Y TAREAS'!AH30/'EDT Y TAREAS'!M30,0),IF(AND(152&gt;='EDT Y TAREAS'!AK32,152&lt;'EDT Y TAREAS'!AL32),'EDT Y TAREAS'!AH32/'EDT Y TAREAS'!M32,0),IF(AND(152&gt;='EDT Y TAREAS'!AK41,152&lt;'EDT Y TAREAS'!AL41),'EDT Y TAREAS'!AH41/'EDT Y TAREAS'!M41,0),IF(AND(152&gt;='EDT Y TAREAS'!AK44,152&lt;'EDT Y TAREAS'!AL44),'EDT Y TAREAS'!AH44/'EDT Y TAREAS'!M44,0),IF(AND(152&gt;='EDT Y TAREAS'!AK46,152&lt;'EDT Y TAREAS'!AL46),'EDT Y TAREAS'!AH46/'EDT Y TAREAS'!M46,0),IF(AND(152&gt;='EDT Y TAREAS'!AK48,152&lt;'EDT Y TAREAS'!AL48),'EDT Y TAREAS'!AH48/'EDT Y TAREAS'!M48,0))</x:f>
        <x:v>0</x:v>
      </x:c>
      <x:c r="G192" s="35" t="n">
        <x:f>SUM(IF(AND(152&gt;='EDT Y TAREAS'!AK20,152&lt;'EDT Y TAREAS'!AL20),'EDT Y TAREAS'!AI20/'EDT Y TAREAS'!M20,0),IF(AND(152&gt;='EDT Y TAREAS'!AK25,152&lt;'EDT Y TAREAS'!AL25),'EDT Y TAREAS'!AI25/'EDT Y TAREAS'!M25,0),IF(AND(152&gt;='EDT Y TAREAS'!AK33,152&lt;'EDT Y TAREAS'!AL33),'EDT Y TAREAS'!AI33/'EDT Y TAREAS'!M33,0),IF(AND(152&gt;='EDT Y TAREAS'!AK34,152&lt;'EDT Y TAREAS'!AL34),'EDT Y TAREAS'!AI34/'EDT Y TAREAS'!M34,0),IF(AND(152&gt;='EDT Y TAREAS'!AK36,152&lt;'EDT Y TAREAS'!AL36),'EDT Y TAREAS'!AI36/'EDT Y TAREAS'!M36,0),IF(AND(152&gt;='EDT Y TAREAS'!AK39,152&lt;'EDT Y TAREAS'!AL39),'EDT Y TAREAS'!AI39/'EDT Y TAREAS'!M39,0),IF(AND(152&gt;='EDT Y TAREAS'!AK40,152&lt;'EDT Y TAREAS'!AL40),'EDT Y TAREAS'!AI40/'EDT Y TAREAS'!M40,0),IF(AND(152&gt;='EDT Y TAREAS'!AK42,152&lt;'EDT Y TAREAS'!AL42),'EDT Y TAREAS'!AI42/'EDT Y TAREAS'!M42,0),IF(AND(152&gt;='EDT Y TAREAS'!AK43,152&lt;'EDT Y TAREAS'!AL43),'EDT Y TAREAS'!AI43/'EDT Y TAREAS'!M43,0),IF(AND(152&gt;='EDT Y TAREAS'!AK44,152&lt;'EDT Y TAREAS'!AL44),'EDT Y TAREAS'!AI44/'EDT Y TAREAS'!M44,0),IF(AND(152&gt;='EDT Y TAREAS'!AK45,152&lt;'EDT Y TAREAS'!AL45),'EDT Y TAREAS'!AI45/'EDT Y TAREAS'!M45,0),IF(AND(152&gt;='EDT Y TAREAS'!AK46,152&lt;'EDT Y TAREAS'!AL46),'EDT Y TAREAS'!AI46/'EDT Y TAREAS'!M46,0),IF(AND(152&gt;='EDT Y TAREAS'!AK48,152&lt;'EDT Y TAREAS'!AL48),'EDT Y TAREAS'!AI48/'EDT Y TAREAS'!M48,0),IF(AND(152&gt;='EDT Y TAREAS'!AK50,152&lt;'EDT Y TAREAS'!AL50),'EDT Y TAREAS'!AI50/'EDT Y TAREAS'!M50,0),IF(AND(152&gt;='EDT Y TAREAS'!AK52,152&lt;'EDT Y TAREAS'!AL52),'EDT Y TAREAS'!AI52/'EDT Y TAREAS'!M52,0))</x:f>
        <x:v>0.8</x:v>
      </x:c>
      <x:c r="H192" s="35" t="n">
        <x:f>SUM(IF(AND(152&gt;='EDT Y TAREAS'!AK11,152&lt;'EDT Y TAREAS'!AL11),'EDT Y TAREAS'!AJ11/'EDT Y TAREAS'!M11,0),IF(AND(152&gt;='EDT Y TAREAS'!AK24,152&lt;'EDT Y TAREAS'!AL24),'EDT Y TAREAS'!AJ24/'EDT Y TAREAS'!M24,0),IF(AND(152&gt;='EDT Y TAREAS'!AK27,152&lt;'EDT Y TAREAS'!AL27),'EDT Y TAREAS'!AJ27/'EDT Y TAREAS'!M27,0),IF(AND(152&gt;='EDT Y TAREAS'!AK28,152&lt;'EDT Y TAREAS'!AL28),'EDT Y TAREAS'!AJ28/'EDT Y TAREAS'!M28,0),IF(AND(152&gt;='EDT Y TAREAS'!AK33,152&lt;'EDT Y TAREAS'!AL33),'EDT Y TAREAS'!AJ33/'EDT Y TAREAS'!M33,0),IF(AND(152&gt;='EDT Y TAREAS'!AK35,152&lt;'EDT Y TAREAS'!AL35),'EDT Y TAREAS'!AJ35/'EDT Y TAREAS'!M35,0),IF(AND(152&gt;='EDT Y TAREAS'!AK36,152&lt;'EDT Y TAREAS'!AL36),'EDT Y TAREAS'!AJ36/'EDT Y TAREAS'!M36,0),IF(AND(152&gt;='EDT Y TAREAS'!AK37,152&lt;'EDT Y TAREAS'!AL37),'EDT Y TAREAS'!AJ37/'EDT Y TAREAS'!M37,0),IF(AND(152&gt;='EDT Y TAREAS'!AK40,152&lt;'EDT Y TAREAS'!AL40),'EDT Y TAREAS'!AJ40/'EDT Y TAREAS'!M40,0),IF(AND(152&gt;='EDT Y TAREAS'!AK42,152&lt;'EDT Y TAREAS'!AL42),'EDT Y TAREAS'!AJ42/'EDT Y TAREAS'!M42,0),IF(AND(152&gt;='EDT Y TAREAS'!AK49,152&lt;'EDT Y TAREAS'!AL49),'EDT Y TAREAS'!AJ49/'EDT Y TAREAS'!M49,0),IF(AND(152&gt;='EDT Y TAREAS'!AK50,152&lt;'EDT Y TAREAS'!AL50),'EDT Y TAREAS'!AJ50/'EDT Y TAREAS'!M50,0),IF(AND(152&gt;='EDT Y TAREAS'!AK51,152&lt;'EDT Y TAREAS'!AL51),'EDT Y TAREAS'!AJ51/'EDT Y TAREAS'!M51,0),IF(AND(152&gt;='EDT Y TAREAS'!AK52,152&lt;'EDT Y TAREAS'!AL52),'EDT Y TAREAS'!AJ52/'EDT Y TAREAS'!M52,0))</x:f>
        <x:v>1.6</x:v>
      </x:c>
      <x:c r="I192" s="10" t="n">
        <x:f>WORKDAY('RESUMEN'!$D$3-1,A192,'RESUMEN'!$J$6:$J$25)</x:f>
        <x:v>46540</x:v>
      </x:c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  <x:c r="AL192" s="3"/>
      <x:c r="AM192" s="3"/>
      <x:c r="AN192" s="3"/>
      <x:c r="AO192" s="3"/>
    </x:row>
    <x:row r="193" ht="24" customHeight="1">
      <x:c r="A193" s="3" t="n">
        <x:v>154</x:v>
      </x:c>
      <x:c r="B193" s="35" t="n">
        <x:f>SUM(IF(AND(153&gt;='EDT Y TAREAS'!AK6,153&lt;'EDT Y TAREAS'!AL6),'EDT Y TAREAS'!AD6/'EDT Y TAREAS'!M6,0),IF(AND(153&gt;='EDT Y TAREAS'!AK7,153&lt;'EDT Y TAREAS'!AL7),'EDT Y TAREAS'!AD7/'EDT Y TAREAS'!M7,0),IF(AND(153&gt;='EDT Y TAREAS'!AK8,153&lt;'EDT Y TAREAS'!AL8),'EDT Y TAREAS'!AD8/'EDT Y TAREAS'!M8,0),IF(AND(153&gt;='EDT Y TAREAS'!AK9,153&lt;'EDT Y TAREAS'!AL9),'EDT Y TAREAS'!AD9/'EDT Y TAREAS'!M9,0),IF(AND(153&gt;='EDT Y TAREAS'!AK10,153&lt;'EDT Y TAREAS'!AL10),'EDT Y TAREAS'!AD10/'EDT Y TAREAS'!M10,0),IF(AND(153&gt;='EDT Y TAREAS'!AK11,153&lt;'EDT Y TAREAS'!AL11),'EDT Y TAREAS'!AD11/'EDT Y TAREAS'!M11,0),IF(AND(153&gt;='EDT Y TAREAS'!AK12,153&lt;'EDT Y TAREAS'!AL12),'EDT Y TAREAS'!AD12/'EDT Y TAREAS'!M12,0),IF(AND(153&gt;='EDT Y TAREAS'!AK13,153&lt;'EDT Y TAREAS'!AL13),'EDT Y TAREAS'!AD13/'EDT Y TAREAS'!M13,0),IF(AND(153&gt;='EDT Y TAREAS'!AK14,153&lt;'EDT Y TAREAS'!AL14),'EDT Y TAREAS'!AD14/'EDT Y TAREAS'!M14,0),IF(AND(153&gt;='EDT Y TAREAS'!AK15,153&lt;'EDT Y TAREAS'!AL15),'EDT Y TAREAS'!AD15/'EDT Y TAREAS'!M15,0),IF(AND(153&gt;='EDT Y TAREAS'!AK16,153&lt;'EDT Y TAREAS'!AL16),'EDT Y TAREAS'!AD16/'EDT Y TAREAS'!M16,0),IF(AND(153&gt;='EDT Y TAREAS'!AK17,153&lt;'EDT Y TAREAS'!AL17),'EDT Y TAREAS'!AD17/'EDT Y TAREAS'!M17,0),IF(AND(153&gt;='EDT Y TAREAS'!AK18,153&lt;'EDT Y TAREAS'!AL18),'EDT Y TAREAS'!AD18/'EDT Y TAREAS'!M18,0),IF(AND(153&gt;='EDT Y TAREAS'!AK19,153&lt;'EDT Y TAREAS'!AL19),'EDT Y TAREAS'!AD19/'EDT Y TAREAS'!M19,0),IF(AND(153&gt;='EDT Y TAREAS'!AK20,153&lt;'EDT Y TAREAS'!AL20),'EDT Y TAREAS'!AD20/'EDT Y TAREAS'!M20,0),IF(AND(153&gt;='EDT Y TAREAS'!AK21,153&lt;'EDT Y TAREAS'!AL21),'EDT Y TAREAS'!AD21/'EDT Y TAREAS'!M21,0),IF(AND(153&gt;='EDT Y TAREAS'!AK22,153&lt;'EDT Y TAREAS'!AL22),'EDT Y TAREAS'!AD22/'EDT Y TAREAS'!M22,0),IF(AND(153&gt;='EDT Y TAREAS'!AK23,153&lt;'EDT Y TAREAS'!AL23),'EDT Y TAREAS'!AD23/'EDT Y TAREAS'!M23,0),IF(AND(153&gt;='EDT Y TAREAS'!AK26,153&lt;'EDT Y TAREAS'!AL26),'EDT Y TAREAS'!AD26/'EDT Y TAREAS'!M26,0),IF(AND(153&gt;='EDT Y TAREAS'!AK28,153&lt;'EDT Y TAREAS'!AL28),'EDT Y TAREAS'!AD28/'EDT Y TAREAS'!M28,0),IF(AND(153&gt;='EDT Y TAREAS'!AK30,153&lt;'EDT Y TAREAS'!AL30),'EDT Y TAREAS'!AD30/'EDT Y TAREAS'!M30,0),IF(AND(153&gt;='EDT Y TAREAS'!AK32,153&lt;'EDT Y TAREAS'!AL32),'EDT Y TAREAS'!AD32/'EDT Y TAREAS'!M32,0),IF(AND(153&gt;='EDT Y TAREAS'!AK34,153&lt;'EDT Y TAREAS'!AL34),'EDT Y TAREAS'!AD34/'EDT Y TAREAS'!M34,0),IF(AND(153&gt;='EDT Y TAREAS'!AK38,153&lt;'EDT Y TAREAS'!AL38),'EDT Y TAREAS'!AD38/'EDT Y TAREAS'!M38,0),IF(AND(153&gt;='EDT Y TAREAS'!AK39,153&lt;'EDT Y TAREAS'!AL39),'EDT Y TAREAS'!AD39/'EDT Y TAREAS'!M39,0),IF(AND(153&gt;='EDT Y TAREAS'!AK43,153&lt;'EDT Y TAREAS'!AL43),'EDT Y TAREAS'!AD43/'EDT Y TAREAS'!M43,0),IF(AND(153&gt;='EDT Y TAREAS'!AK44,153&lt;'EDT Y TAREAS'!AL44),'EDT Y TAREAS'!AD44/'EDT Y TAREAS'!M44,0),IF(AND(153&gt;='EDT Y TAREAS'!AK45,153&lt;'EDT Y TAREAS'!AL45),'EDT Y TAREAS'!AD45/'EDT Y TAREAS'!M45,0),IF(AND(153&gt;='EDT Y TAREAS'!AK46,153&lt;'EDT Y TAREAS'!AL46),'EDT Y TAREAS'!AD46/'EDT Y TAREAS'!M46,0),IF(AND(153&gt;='EDT Y TAREAS'!AK47,153&lt;'EDT Y TAREAS'!AL47),'EDT Y TAREAS'!AD47/'EDT Y TAREAS'!M47,0),IF(AND(153&gt;='EDT Y TAREAS'!AK49,153&lt;'EDT Y TAREAS'!AL49),'EDT Y TAREAS'!AD49/'EDT Y TAREAS'!M49,0),IF(AND(153&gt;='EDT Y TAREAS'!AK50,153&lt;'EDT Y TAREAS'!AL50),'EDT Y TAREAS'!AD50/'EDT Y TAREAS'!M50,0),IF(AND(153&gt;='EDT Y TAREAS'!AK51,153&lt;'EDT Y TAREAS'!AL51),'EDT Y TAREAS'!AD51/'EDT Y TAREAS'!M51,0),IF(AND(153&gt;='EDT Y TAREAS'!AK52,153&lt;'EDT Y TAREAS'!AL52),'EDT Y TAREAS'!AD52/'EDT Y TAREAS'!M52,0))</x:f>
        <x:v>1.6</x:v>
      </x:c>
      <x:c r="C193" s="35" t="n">
        <x:f>SUM(IF(AND(153&gt;='EDT Y TAREAS'!AK6,153&lt;'EDT Y TAREAS'!AL6),'EDT Y TAREAS'!AE6/'EDT Y TAREAS'!M6,0),IF(AND(153&gt;='EDT Y TAREAS'!AK8,153&lt;'EDT Y TAREAS'!AL8),'EDT Y TAREAS'!AE8/'EDT Y TAREAS'!M8,0),IF(AND(153&gt;='EDT Y TAREAS'!AK9,153&lt;'EDT Y TAREAS'!AL9),'EDT Y TAREAS'!AE9/'EDT Y TAREAS'!M9,0),IF(AND(153&gt;='EDT Y TAREAS'!AK10,153&lt;'EDT Y TAREAS'!AL10),'EDT Y TAREAS'!AE10/'EDT Y TAREAS'!M10,0),IF(AND(153&gt;='EDT Y TAREAS'!AK12,153&lt;'EDT Y TAREAS'!AL12),'EDT Y TAREAS'!AE12/'EDT Y TAREAS'!M12,0),IF(AND(153&gt;='EDT Y TAREAS'!AK16,153&lt;'EDT Y TAREAS'!AL16),'EDT Y TAREAS'!AE16/'EDT Y TAREAS'!M16,0),IF(AND(153&gt;='EDT Y TAREAS'!AK21,153&lt;'EDT Y TAREAS'!AL21),'EDT Y TAREAS'!AE21/'EDT Y TAREAS'!M21,0),IF(AND(153&gt;='EDT Y TAREAS'!AK23,153&lt;'EDT Y TAREAS'!AL23),'EDT Y TAREAS'!AE23/'EDT Y TAREAS'!M23,0),IF(AND(153&gt;='EDT Y TAREAS'!AK37,153&lt;'EDT Y TAREAS'!AL37),'EDT Y TAREAS'!AE37/'EDT Y TAREAS'!M37,0),IF(AND(153&gt;='EDT Y TAREAS'!AK38,153&lt;'EDT Y TAREAS'!AL38),'EDT Y TAREAS'!AE38/'EDT Y TAREAS'!M38,0),IF(AND(153&gt;='EDT Y TAREAS'!AK41,153&lt;'EDT Y TAREAS'!AL41),'EDT Y TAREAS'!AE41/'EDT Y TAREAS'!M41,0),IF(AND(153&gt;='EDT Y TAREAS'!AK43,153&lt;'EDT Y TAREAS'!AL43),'EDT Y TAREAS'!AE43/'EDT Y TAREAS'!M43,0),IF(AND(153&gt;='EDT Y TAREAS'!AK44,153&lt;'EDT Y TAREAS'!AL44),'EDT Y TAREAS'!AE44/'EDT Y TAREAS'!M44,0),IF(AND(153&gt;='EDT Y TAREAS'!AK46,153&lt;'EDT Y TAREAS'!AL46),'EDT Y TAREAS'!AE46/'EDT Y TAREAS'!M46,0),IF(AND(153&gt;='EDT Y TAREAS'!AK47,153&lt;'EDT Y TAREAS'!AL47),'EDT Y TAREAS'!AE47/'EDT Y TAREAS'!M47,0),IF(AND(153&gt;='EDT Y TAREAS'!AK51,153&lt;'EDT Y TAREAS'!AL51),'EDT Y TAREAS'!AE51/'EDT Y TAREAS'!M51,0),IF(AND(153&gt;='EDT Y TAREAS'!AK52,153&lt;'EDT Y TAREAS'!AL52),'EDT Y TAREAS'!AE52/'EDT Y TAREAS'!M52,0))</x:f>
        <x:v>0.4</x:v>
      </x:c>
      <x:c r="D193" s="35" t="n">
        <x:f>SUM(IF(AND(153&gt;='EDT Y TAREAS'!AK11,153&lt;'EDT Y TAREAS'!AL11),'EDT Y TAREAS'!AF11/'EDT Y TAREAS'!M11,0),IF(AND(153&gt;='EDT Y TAREAS'!AK24,153&lt;'EDT Y TAREAS'!AL24),'EDT Y TAREAS'!AF24/'EDT Y TAREAS'!M24,0),IF(AND(153&gt;='EDT Y TAREAS'!AK25,153&lt;'EDT Y TAREAS'!AL25),'EDT Y TAREAS'!AF25/'EDT Y TAREAS'!M25,0),IF(AND(153&gt;='EDT Y TAREAS'!AK26,153&lt;'EDT Y TAREAS'!AL26),'EDT Y TAREAS'!AF26/'EDT Y TAREAS'!M26,0),IF(AND(153&gt;='EDT Y TAREAS'!AK27,153&lt;'EDT Y TAREAS'!AL27),'EDT Y TAREAS'!AF27/'EDT Y TAREAS'!M27,0),IF(AND(153&gt;='EDT Y TAREAS'!AK28,153&lt;'EDT Y TAREAS'!AL28),'EDT Y TAREAS'!AF28/'EDT Y TAREAS'!M28,0),IF(AND(153&gt;='EDT Y TAREAS'!AK31,153&lt;'EDT Y TAREAS'!AL31),'EDT Y TAREAS'!AF31/'EDT Y TAREAS'!M31,0),IF(AND(153&gt;='EDT Y TAREAS'!AK33,153&lt;'EDT Y TAREAS'!AL33),'EDT Y TAREAS'!AF33/'EDT Y TAREAS'!M33,0),IF(AND(153&gt;='EDT Y TAREAS'!AK34,153&lt;'EDT Y TAREAS'!AL34),'EDT Y TAREAS'!AF34/'EDT Y TAREAS'!M34,0),IF(AND(153&gt;='EDT Y TAREAS'!AK35,153&lt;'EDT Y TAREAS'!AL35),'EDT Y TAREAS'!AF35/'EDT Y TAREAS'!M35,0),IF(AND(153&gt;='EDT Y TAREAS'!AK37,153&lt;'EDT Y TAREAS'!AL37),'EDT Y TAREAS'!AF37/'EDT Y TAREAS'!M37,0),IF(AND(153&gt;='EDT Y TAREAS'!AK39,153&lt;'EDT Y TAREAS'!AL39),'EDT Y TAREAS'!AF39/'EDT Y TAREAS'!M39,0),IF(AND(153&gt;='EDT Y TAREAS'!AK40,153&lt;'EDT Y TAREAS'!AL40),'EDT Y TAREAS'!AF40/'EDT Y TAREAS'!M40,0),IF(AND(153&gt;='EDT Y TAREAS'!AK42,153&lt;'EDT Y TAREAS'!AL42),'EDT Y TAREAS'!AF42/'EDT Y TAREAS'!M42,0),IF(AND(153&gt;='EDT Y TAREAS'!AK45,153&lt;'EDT Y TAREAS'!AL45),'EDT Y TAREAS'!AF45/'EDT Y TAREAS'!M45,0),IF(AND(153&gt;='EDT Y TAREAS'!AK49,153&lt;'EDT Y TAREAS'!AL49),'EDT Y TAREAS'!AF49/'EDT Y TAREAS'!M49,0),IF(AND(153&gt;='EDT Y TAREAS'!AK52,153&lt;'EDT Y TAREAS'!AL52),'EDT Y TAREAS'!AF52/'EDT Y TAREAS'!M52,0))</x:f>
        <x:v>0.8</x:v>
      </x:c>
      <x:c r="E193" s="35" t="n">
        <x:f>SUM(IF(AND(153&gt;='EDT Y TAREAS'!AK29,153&lt;'EDT Y TAREAS'!AL29),'EDT Y TAREAS'!AG29/'EDT Y TAREAS'!M29,0),IF(AND(153&gt;='EDT Y TAREAS'!AK30,153&lt;'EDT Y TAREAS'!AL30),'EDT Y TAREAS'!AG30/'EDT Y TAREAS'!M30,0),IF(AND(153&gt;='EDT Y TAREAS'!AK31,153&lt;'EDT Y TAREAS'!AL31),'EDT Y TAREAS'!AG31/'EDT Y TAREAS'!M31,0),IF(AND(153&gt;='EDT Y TAREAS'!AK32,153&lt;'EDT Y TAREAS'!AL32),'EDT Y TAREAS'!AG32/'EDT Y TAREAS'!M32,0),IF(AND(153&gt;='EDT Y TAREAS'!AK41,153&lt;'EDT Y TAREAS'!AL41),'EDT Y TAREAS'!AG41/'EDT Y TAREAS'!M41,0),IF(AND(153&gt;='EDT Y TAREAS'!AK45,153&lt;'EDT Y TAREAS'!AL45),'EDT Y TAREAS'!AG45/'EDT Y TAREAS'!M45,0),IF(AND(153&gt;='EDT Y TAREAS'!AK48,153&lt;'EDT Y TAREAS'!AL48),'EDT Y TAREAS'!AG48/'EDT Y TAREAS'!M48,0))</x:f>
        <x:v>0</x:v>
      </x:c>
      <x:c r="F193" s="35" t="n">
        <x:f>SUM(IF(AND(153&gt;='EDT Y TAREAS'!AK10,153&lt;'EDT Y TAREAS'!AL10),'EDT Y TAREAS'!AH10/'EDT Y TAREAS'!M10,0),IF(AND(153&gt;='EDT Y TAREAS'!AK12,153&lt;'EDT Y TAREAS'!AL12),'EDT Y TAREAS'!AH12/'EDT Y TAREAS'!M12,0),IF(AND(153&gt;='EDT Y TAREAS'!AK22,153&lt;'EDT Y TAREAS'!AL22),'EDT Y TAREAS'!AH22/'EDT Y TAREAS'!M22,0),IF(AND(153&gt;='EDT Y TAREAS'!AK23,153&lt;'EDT Y TAREAS'!AL23),'EDT Y TAREAS'!AH23/'EDT Y TAREAS'!M23,0),IF(AND(153&gt;='EDT Y TAREAS'!AK29,153&lt;'EDT Y TAREAS'!AL29),'EDT Y TAREAS'!AH29/'EDT Y TAREAS'!M29,0),IF(AND(153&gt;='EDT Y TAREAS'!AK30,153&lt;'EDT Y TAREAS'!AL30),'EDT Y TAREAS'!AH30/'EDT Y TAREAS'!M30,0),IF(AND(153&gt;='EDT Y TAREAS'!AK32,153&lt;'EDT Y TAREAS'!AL32),'EDT Y TAREAS'!AH32/'EDT Y TAREAS'!M32,0),IF(AND(153&gt;='EDT Y TAREAS'!AK41,153&lt;'EDT Y TAREAS'!AL41),'EDT Y TAREAS'!AH41/'EDT Y TAREAS'!M41,0),IF(AND(153&gt;='EDT Y TAREAS'!AK44,153&lt;'EDT Y TAREAS'!AL44),'EDT Y TAREAS'!AH44/'EDT Y TAREAS'!M44,0),IF(AND(153&gt;='EDT Y TAREAS'!AK46,153&lt;'EDT Y TAREAS'!AL46),'EDT Y TAREAS'!AH46/'EDT Y TAREAS'!M46,0),IF(AND(153&gt;='EDT Y TAREAS'!AK48,153&lt;'EDT Y TAREAS'!AL48),'EDT Y TAREAS'!AH48/'EDT Y TAREAS'!M48,0))</x:f>
        <x:v>0</x:v>
      </x:c>
      <x:c r="G193" s="35" t="n">
        <x:f>SUM(IF(AND(153&gt;='EDT Y TAREAS'!AK20,153&lt;'EDT Y TAREAS'!AL20),'EDT Y TAREAS'!AI20/'EDT Y TAREAS'!M20,0),IF(AND(153&gt;='EDT Y TAREAS'!AK25,153&lt;'EDT Y TAREAS'!AL25),'EDT Y TAREAS'!AI25/'EDT Y TAREAS'!M25,0),IF(AND(153&gt;='EDT Y TAREAS'!AK33,153&lt;'EDT Y TAREAS'!AL33),'EDT Y TAREAS'!AI33/'EDT Y TAREAS'!M33,0),IF(AND(153&gt;='EDT Y TAREAS'!AK34,153&lt;'EDT Y TAREAS'!AL34),'EDT Y TAREAS'!AI34/'EDT Y TAREAS'!M34,0),IF(AND(153&gt;='EDT Y TAREAS'!AK36,153&lt;'EDT Y TAREAS'!AL36),'EDT Y TAREAS'!AI36/'EDT Y TAREAS'!M36,0),IF(AND(153&gt;='EDT Y TAREAS'!AK39,153&lt;'EDT Y TAREAS'!AL39),'EDT Y TAREAS'!AI39/'EDT Y TAREAS'!M39,0),IF(AND(153&gt;='EDT Y TAREAS'!AK40,153&lt;'EDT Y TAREAS'!AL40),'EDT Y TAREAS'!AI40/'EDT Y TAREAS'!M40,0),IF(AND(153&gt;='EDT Y TAREAS'!AK42,153&lt;'EDT Y TAREAS'!AL42),'EDT Y TAREAS'!AI42/'EDT Y TAREAS'!M42,0),IF(AND(153&gt;='EDT Y TAREAS'!AK43,153&lt;'EDT Y TAREAS'!AL43),'EDT Y TAREAS'!AI43/'EDT Y TAREAS'!M43,0),IF(AND(153&gt;='EDT Y TAREAS'!AK44,153&lt;'EDT Y TAREAS'!AL44),'EDT Y TAREAS'!AI44/'EDT Y TAREAS'!M44,0),IF(AND(153&gt;='EDT Y TAREAS'!AK45,153&lt;'EDT Y TAREAS'!AL45),'EDT Y TAREAS'!AI45/'EDT Y TAREAS'!M45,0),IF(AND(153&gt;='EDT Y TAREAS'!AK46,153&lt;'EDT Y TAREAS'!AL46),'EDT Y TAREAS'!AI46/'EDT Y TAREAS'!M46,0),IF(AND(153&gt;='EDT Y TAREAS'!AK48,153&lt;'EDT Y TAREAS'!AL48),'EDT Y TAREAS'!AI48/'EDT Y TAREAS'!M48,0),IF(AND(153&gt;='EDT Y TAREAS'!AK50,153&lt;'EDT Y TAREAS'!AL50),'EDT Y TAREAS'!AI50/'EDT Y TAREAS'!M50,0),IF(AND(153&gt;='EDT Y TAREAS'!AK52,153&lt;'EDT Y TAREAS'!AL52),'EDT Y TAREAS'!AI52/'EDT Y TAREAS'!M52,0))</x:f>
        <x:v>0.8</x:v>
      </x:c>
      <x:c r="H193" s="35" t="n">
        <x:f>SUM(IF(AND(153&gt;='EDT Y TAREAS'!AK11,153&lt;'EDT Y TAREAS'!AL11),'EDT Y TAREAS'!AJ11/'EDT Y TAREAS'!M11,0),IF(AND(153&gt;='EDT Y TAREAS'!AK24,153&lt;'EDT Y TAREAS'!AL24),'EDT Y TAREAS'!AJ24/'EDT Y TAREAS'!M24,0),IF(AND(153&gt;='EDT Y TAREAS'!AK27,153&lt;'EDT Y TAREAS'!AL27),'EDT Y TAREAS'!AJ27/'EDT Y TAREAS'!M27,0),IF(AND(153&gt;='EDT Y TAREAS'!AK28,153&lt;'EDT Y TAREAS'!AL28),'EDT Y TAREAS'!AJ28/'EDT Y TAREAS'!M28,0),IF(AND(153&gt;='EDT Y TAREAS'!AK33,153&lt;'EDT Y TAREAS'!AL33),'EDT Y TAREAS'!AJ33/'EDT Y TAREAS'!M33,0),IF(AND(153&gt;='EDT Y TAREAS'!AK35,153&lt;'EDT Y TAREAS'!AL35),'EDT Y TAREAS'!AJ35/'EDT Y TAREAS'!M35,0),IF(AND(153&gt;='EDT Y TAREAS'!AK36,153&lt;'EDT Y TAREAS'!AL36),'EDT Y TAREAS'!AJ36/'EDT Y TAREAS'!M36,0),IF(AND(153&gt;='EDT Y TAREAS'!AK37,153&lt;'EDT Y TAREAS'!AL37),'EDT Y TAREAS'!AJ37/'EDT Y TAREAS'!M37,0),IF(AND(153&gt;='EDT Y TAREAS'!AK40,153&lt;'EDT Y TAREAS'!AL40),'EDT Y TAREAS'!AJ40/'EDT Y TAREAS'!M40,0),IF(AND(153&gt;='EDT Y TAREAS'!AK42,153&lt;'EDT Y TAREAS'!AL42),'EDT Y TAREAS'!AJ42/'EDT Y TAREAS'!M42,0),IF(AND(153&gt;='EDT Y TAREAS'!AK49,153&lt;'EDT Y TAREAS'!AL49),'EDT Y TAREAS'!AJ49/'EDT Y TAREAS'!M49,0),IF(AND(153&gt;='EDT Y TAREAS'!AK50,153&lt;'EDT Y TAREAS'!AL50),'EDT Y TAREAS'!AJ50/'EDT Y TAREAS'!M50,0),IF(AND(153&gt;='EDT Y TAREAS'!AK51,153&lt;'EDT Y TAREAS'!AL51),'EDT Y TAREAS'!AJ51/'EDT Y TAREAS'!M51,0),IF(AND(153&gt;='EDT Y TAREAS'!AK52,153&lt;'EDT Y TAREAS'!AL52),'EDT Y TAREAS'!AJ52/'EDT Y TAREAS'!M52,0))</x:f>
        <x:v>1.6</x:v>
      </x:c>
      <x:c r="I193" s="10" t="n">
        <x:f>WORKDAY('RESUMEN'!$D$3-1,A193,'RESUMEN'!$J$6:$J$25)</x:f>
        <x:v>46541</x:v>
      </x:c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  <x:c r="AL193" s="3"/>
      <x:c r="AM193" s="3"/>
      <x:c r="AN193" s="3"/>
      <x:c r="AO193" s="3"/>
    </x:row>
    <x:row r="194" ht="24" customHeight="1">
      <x:c r="A194" s="3" t="n">
        <x:v>155</x:v>
      </x:c>
      <x:c r="B194" s="35" t="n">
        <x:f>SUM(IF(AND(154&gt;='EDT Y TAREAS'!AK6,154&lt;'EDT Y TAREAS'!AL6),'EDT Y TAREAS'!AD6/'EDT Y TAREAS'!M6,0),IF(AND(154&gt;='EDT Y TAREAS'!AK7,154&lt;'EDT Y TAREAS'!AL7),'EDT Y TAREAS'!AD7/'EDT Y TAREAS'!M7,0),IF(AND(154&gt;='EDT Y TAREAS'!AK8,154&lt;'EDT Y TAREAS'!AL8),'EDT Y TAREAS'!AD8/'EDT Y TAREAS'!M8,0),IF(AND(154&gt;='EDT Y TAREAS'!AK9,154&lt;'EDT Y TAREAS'!AL9),'EDT Y TAREAS'!AD9/'EDT Y TAREAS'!M9,0),IF(AND(154&gt;='EDT Y TAREAS'!AK10,154&lt;'EDT Y TAREAS'!AL10),'EDT Y TAREAS'!AD10/'EDT Y TAREAS'!M10,0),IF(AND(154&gt;='EDT Y TAREAS'!AK11,154&lt;'EDT Y TAREAS'!AL11),'EDT Y TAREAS'!AD11/'EDT Y TAREAS'!M11,0),IF(AND(154&gt;='EDT Y TAREAS'!AK12,154&lt;'EDT Y TAREAS'!AL12),'EDT Y TAREAS'!AD12/'EDT Y TAREAS'!M12,0),IF(AND(154&gt;='EDT Y TAREAS'!AK13,154&lt;'EDT Y TAREAS'!AL13),'EDT Y TAREAS'!AD13/'EDT Y TAREAS'!M13,0),IF(AND(154&gt;='EDT Y TAREAS'!AK14,154&lt;'EDT Y TAREAS'!AL14),'EDT Y TAREAS'!AD14/'EDT Y TAREAS'!M14,0),IF(AND(154&gt;='EDT Y TAREAS'!AK15,154&lt;'EDT Y TAREAS'!AL15),'EDT Y TAREAS'!AD15/'EDT Y TAREAS'!M15,0),IF(AND(154&gt;='EDT Y TAREAS'!AK16,154&lt;'EDT Y TAREAS'!AL16),'EDT Y TAREAS'!AD16/'EDT Y TAREAS'!M16,0),IF(AND(154&gt;='EDT Y TAREAS'!AK17,154&lt;'EDT Y TAREAS'!AL17),'EDT Y TAREAS'!AD17/'EDT Y TAREAS'!M17,0),IF(AND(154&gt;='EDT Y TAREAS'!AK18,154&lt;'EDT Y TAREAS'!AL18),'EDT Y TAREAS'!AD18/'EDT Y TAREAS'!M18,0),IF(AND(154&gt;='EDT Y TAREAS'!AK19,154&lt;'EDT Y TAREAS'!AL19),'EDT Y TAREAS'!AD19/'EDT Y TAREAS'!M19,0),IF(AND(154&gt;='EDT Y TAREAS'!AK20,154&lt;'EDT Y TAREAS'!AL20),'EDT Y TAREAS'!AD20/'EDT Y TAREAS'!M20,0),IF(AND(154&gt;='EDT Y TAREAS'!AK21,154&lt;'EDT Y TAREAS'!AL21),'EDT Y TAREAS'!AD21/'EDT Y TAREAS'!M21,0),IF(AND(154&gt;='EDT Y TAREAS'!AK22,154&lt;'EDT Y TAREAS'!AL22),'EDT Y TAREAS'!AD22/'EDT Y TAREAS'!M22,0),IF(AND(154&gt;='EDT Y TAREAS'!AK23,154&lt;'EDT Y TAREAS'!AL23),'EDT Y TAREAS'!AD23/'EDT Y TAREAS'!M23,0),IF(AND(154&gt;='EDT Y TAREAS'!AK26,154&lt;'EDT Y TAREAS'!AL26),'EDT Y TAREAS'!AD26/'EDT Y TAREAS'!M26,0),IF(AND(154&gt;='EDT Y TAREAS'!AK28,154&lt;'EDT Y TAREAS'!AL28),'EDT Y TAREAS'!AD28/'EDT Y TAREAS'!M28,0),IF(AND(154&gt;='EDT Y TAREAS'!AK30,154&lt;'EDT Y TAREAS'!AL30),'EDT Y TAREAS'!AD30/'EDT Y TAREAS'!M30,0),IF(AND(154&gt;='EDT Y TAREAS'!AK32,154&lt;'EDT Y TAREAS'!AL32),'EDT Y TAREAS'!AD32/'EDT Y TAREAS'!M32,0),IF(AND(154&gt;='EDT Y TAREAS'!AK34,154&lt;'EDT Y TAREAS'!AL34),'EDT Y TAREAS'!AD34/'EDT Y TAREAS'!M34,0),IF(AND(154&gt;='EDT Y TAREAS'!AK38,154&lt;'EDT Y TAREAS'!AL38),'EDT Y TAREAS'!AD38/'EDT Y TAREAS'!M38,0),IF(AND(154&gt;='EDT Y TAREAS'!AK39,154&lt;'EDT Y TAREAS'!AL39),'EDT Y TAREAS'!AD39/'EDT Y TAREAS'!M39,0),IF(AND(154&gt;='EDT Y TAREAS'!AK43,154&lt;'EDT Y TAREAS'!AL43),'EDT Y TAREAS'!AD43/'EDT Y TAREAS'!M43,0),IF(AND(154&gt;='EDT Y TAREAS'!AK44,154&lt;'EDT Y TAREAS'!AL44),'EDT Y TAREAS'!AD44/'EDT Y TAREAS'!M44,0),IF(AND(154&gt;='EDT Y TAREAS'!AK45,154&lt;'EDT Y TAREAS'!AL45),'EDT Y TAREAS'!AD45/'EDT Y TAREAS'!M45,0),IF(AND(154&gt;='EDT Y TAREAS'!AK46,154&lt;'EDT Y TAREAS'!AL46),'EDT Y TAREAS'!AD46/'EDT Y TAREAS'!M46,0),IF(AND(154&gt;='EDT Y TAREAS'!AK47,154&lt;'EDT Y TAREAS'!AL47),'EDT Y TAREAS'!AD47/'EDT Y TAREAS'!M47,0),IF(AND(154&gt;='EDT Y TAREAS'!AK49,154&lt;'EDT Y TAREAS'!AL49),'EDT Y TAREAS'!AD49/'EDT Y TAREAS'!M49,0),IF(AND(154&gt;='EDT Y TAREAS'!AK50,154&lt;'EDT Y TAREAS'!AL50),'EDT Y TAREAS'!AD50/'EDT Y TAREAS'!M50,0),IF(AND(154&gt;='EDT Y TAREAS'!AK51,154&lt;'EDT Y TAREAS'!AL51),'EDT Y TAREAS'!AD51/'EDT Y TAREAS'!M51,0),IF(AND(154&gt;='EDT Y TAREAS'!AK52,154&lt;'EDT Y TAREAS'!AL52),'EDT Y TAREAS'!AD52/'EDT Y TAREAS'!M52,0))</x:f>
        <x:v>1.6</x:v>
      </x:c>
      <x:c r="C194" s="35" t="n">
        <x:f>SUM(IF(AND(154&gt;='EDT Y TAREAS'!AK6,154&lt;'EDT Y TAREAS'!AL6),'EDT Y TAREAS'!AE6/'EDT Y TAREAS'!M6,0),IF(AND(154&gt;='EDT Y TAREAS'!AK8,154&lt;'EDT Y TAREAS'!AL8),'EDT Y TAREAS'!AE8/'EDT Y TAREAS'!M8,0),IF(AND(154&gt;='EDT Y TAREAS'!AK9,154&lt;'EDT Y TAREAS'!AL9),'EDT Y TAREAS'!AE9/'EDT Y TAREAS'!M9,0),IF(AND(154&gt;='EDT Y TAREAS'!AK10,154&lt;'EDT Y TAREAS'!AL10),'EDT Y TAREAS'!AE10/'EDT Y TAREAS'!M10,0),IF(AND(154&gt;='EDT Y TAREAS'!AK12,154&lt;'EDT Y TAREAS'!AL12),'EDT Y TAREAS'!AE12/'EDT Y TAREAS'!M12,0),IF(AND(154&gt;='EDT Y TAREAS'!AK16,154&lt;'EDT Y TAREAS'!AL16),'EDT Y TAREAS'!AE16/'EDT Y TAREAS'!M16,0),IF(AND(154&gt;='EDT Y TAREAS'!AK21,154&lt;'EDT Y TAREAS'!AL21),'EDT Y TAREAS'!AE21/'EDT Y TAREAS'!M21,0),IF(AND(154&gt;='EDT Y TAREAS'!AK23,154&lt;'EDT Y TAREAS'!AL23),'EDT Y TAREAS'!AE23/'EDT Y TAREAS'!M23,0),IF(AND(154&gt;='EDT Y TAREAS'!AK37,154&lt;'EDT Y TAREAS'!AL37),'EDT Y TAREAS'!AE37/'EDT Y TAREAS'!M37,0),IF(AND(154&gt;='EDT Y TAREAS'!AK38,154&lt;'EDT Y TAREAS'!AL38),'EDT Y TAREAS'!AE38/'EDT Y TAREAS'!M38,0),IF(AND(154&gt;='EDT Y TAREAS'!AK41,154&lt;'EDT Y TAREAS'!AL41),'EDT Y TAREAS'!AE41/'EDT Y TAREAS'!M41,0),IF(AND(154&gt;='EDT Y TAREAS'!AK43,154&lt;'EDT Y TAREAS'!AL43),'EDT Y TAREAS'!AE43/'EDT Y TAREAS'!M43,0),IF(AND(154&gt;='EDT Y TAREAS'!AK44,154&lt;'EDT Y TAREAS'!AL44),'EDT Y TAREAS'!AE44/'EDT Y TAREAS'!M44,0),IF(AND(154&gt;='EDT Y TAREAS'!AK46,154&lt;'EDT Y TAREAS'!AL46),'EDT Y TAREAS'!AE46/'EDT Y TAREAS'!M46,0),IF(AND(154&gt;='EDT Y TAREAS'!AK47,154&lt;'EDT Y TAREAS'!AL47),'EDT Y TAREAS'!AE47/'EDT Y TAREAS'!M47,0),IF(AND(154&gt;='EDT Y TAREAS'!AK51,154&lt;'EDT Y TAREAS'!AL51),'EDT Y TAREAS'!AE51/'EDT Y TAREAS'!M51,0),IF(AND(154&gt;='EDT Y TAREAS'!AK52,154&lt;'EDT Y TAREAS'!AL52),'EDT Y TAREAS'!AE52/'EDT Y TAREAS'!M52,0))</x:f>
        <x:v>0.4</x:v>
      </x:c>
      <x:c r="D194" s="35" t="n">
        <x:f>SUM(IF(AND(154&gt;='EDT Y TAREAS'!AK11,154&lt;'EDT Y TAREAS'!AL11),'EDT Y TAREAS'!AF11/'EDT Y TAREAS'!M11,0),IF(AND(154&gt;='EDT Y TAREAS'!AK24,154&lt;'EDT Y TAREAS'!AL24),'EDT Y TAREAS'!AF24/'EDT Y TAREAS'!M24,0),IF(AND(154&gt;='EDT Y TAREAS'!AK25,154&lt;'EDT Y TAREAS'!AL25),'EDT Y TAREAS'!AF25/'EDT Y TAREAS'!M25,0),IF(AND(154&gt;='EDT Y TAREAS'!AK26,154&lt;'EDT Y TAREAS'!AL26),'EDT Y TAREAS'!AF26/'EDT Y TAREAS'!M26,0),IF(AND(154&gt;='EDT Y TAREAS'!AK27,154&lt;'EDT Y TAREAS'!AL27),'EDT Y TAREAS'!AF27/'EDT Y TAREAS'!M27,0),IF(AND(154&gt;='EDT Y TAREAS'!AK28,154&lt;'EDT Y TAREAS'!AL28),'EDT Y TAREAS'!AF28/'EDT Y TAREAS'!M28,0),IF(AND(154&gt;='EDT Y TAREAS'!AK31,154&lt;'EDT Y TAREAS'!AL31),'EDT Y TAREAS'!AF31/'EDT Y TAREAS'!M31,0),IF(AND(154&gt;='EDT Y TAREAS'!AK33,154&lt;'EDT Y TAREAS'!AL33),'EDT Y TAREAS'!AF33/'EDT Y TAREAS'!M33,0),IF(AND(154&gt;='EDT Y TAREAS'!AK34,154&lt;'EDT Y TAREAS'!AL34),'EDT Y TAREAS'!AF34/'EDT Y TAREAS'!M34,0),IF(AND(154&gt;='EDT Y TAREAS'!AK35,154&lt;'EDT Y TAREAS'!AL35),'EDT Y TAREAS'!AF35/'EDT Y TAREAS'!M35,0),IF(AND(154&gt;='EDT Y TAREAS'!AK37,154&lt;'EDT Y TAREAS'!AL37),'EDT Y TAREAS'!AF37/'EDT Y TAREAS'!M37,0),IF(AND(154&gt;='EDT Y TAREAS'!AK39,154&lt;'EDT Y TAREAS'!AL39),'EDT Y TAREAS'!AF39/'EDT Y TAREAS'!M39,0),IF(AND(154&gt;='EDT Y TAREAS'!AK40,154&lt;'EDT Y TAREAS'!AL40),'EDT Y TAREAS'!AF40/'EDT Y TAREAS'!M40,0),IF(AND(154&gt;='EDT Y TAREAS'!AK42,154&lt;'EDT Y TAREAS'!AL42),'EDT Y TAREAS'!AF42/'EDT Y TAREAS'!M42,0),IF(AND(154&gt;='EDT Y TAREAS'!AK45,154&lt;'EDT Y TAREAS'!AL45),'EDT Y TAREAS'!AF45/'EDT Y TAREAS'!M45,0),IF(AND(154&gt;='EDT Y TAREAS'!AK49,154&lt;'EDT Y TAREAS'!AL49),'EDT Y TAREAS'!AF49/'EDT Y TAREAS'!M49,0),IF(AND(154&gt;='EDT Y TAREAS'!AK52,154&lt;'EDT Y TAREAS'!AL52),'EDT Y TAREAS'!AF52/'EDT Y TAREAS'!M52,0))</x:f>
        <x:v>0.8</x:v>
      </x:c>
      <x:c r="E194" s="35" t="n">
        <x:f>SUM(IF(AND(154&gt;='EDT Y TAREAS'!AK29,154&lt;'EDT Y TAREAS'!AL29),'EDT Y TAREAS'!AG29/'EDT Y TAREAS'!M29,0),IF(AND(154&gt;='EDT Y TAREAS'!AK30,154&lt;'EDT Y TAREAS'!AL30),'EDT Y TAREAS'!AG30/'EDT Y TAREAS'!M30,0),IF(AND(154&gt;='EDT Y TAREAS'!AK31,154&lt;'EDT Y TAREAS'!AL31),'EDT Y TAREAS'!AG31/'EDT Y TAREAS'!M31,0),IF(AND(154&gt;='EDT Y TAREAS'!AK32,154&lt;'EDT Y TAREAS'!AL32),'EDT Y TAREAS'!AG32/'EDT Y TAREAS'!M32,0),IF(AND(154&gt;='EDT Y TAREAS'!AK41,154&lt;'EDT Y TAREAS'!AL41),'EDT Y TAREAS'!AG41/'EDT Y TAREAS'!M41,0),IF(AND(154&gt;='EDT Y TAREAS'!AK45,154&lt;'EDT Y TAREAS'!AL45),'EDT Y TAREAS'!AG45/'EDT Y TAREAS'!M45,0),IF(AND(154&gt;='EDT Y TAREAS'!AK48,154&lt;'EDT Y TAREAS'!AL48),'EDT Y TAREAS'!AG48/'EDT Y TAREAS'!M48,0))</x:f>
        <x:v>0</x:v>
      </x:c>
      <x:c r="F194" s="35" t="n">
        <x:f>SUM(IF(AND(154&gt;='EDT Y TAREAS'!AK10,154&lt;'EDT Y TAREAS'!AL10),'EDT Y TAREAS'!AH10/'EDT Y TAREAS'!M10,0),IF(AND(154&gt;='EDT Y TAREAS'!AK12,154&lt;'EDT Y TAREAS'!AL12),'EDT Y TAREAS'!AH12/'EDT Y TAREAS'!M12,0),IF(AND(154&gt;='EDT Y TAREAS'!AK22,154&lt;'EDT Y TAREAS'!AL22),'EDT Y TAREAS'!AH22/'EDT Y TAREAS'!M22,0),IF(AND(154&gt;='EDT Y TAREAS'!AK23,154&lt;'EDT Y TAREAS'!AL23),'EDT Y TAREAS'!AH23/'EDT Y TAREAS'!M23,0),IF(AND(154&gt;='EDT Y TAREAS'!AK29,154&lt;'EDT Y TAREAS'!AL29),'EDT Y TAREAS'!AH29/'EDT Y TAREAS'!M29,0),IF(AND(154&gt;='EDT Y TAREAS'!AK30,154&lt;'EDT Y TAREAS'!AL30),'EDT Y TAREAS'!AH30/'EDT Y TAREAS'!M30,0),IF(AND(154&gt;='EDT Y TAREAS'!AK32,154&lt;'EDT Y TAREAS'!AL32),'EDT Y TAREAS'!AH32/'EDT Y TAREAS'!M32,0),IF(AND(154&gt;='EDT Y TAREAS'!AK41,154&lt;'EDT Y TAREAS'!AL41),'EDT Y TAREAS'!AH41/'EDT Y TAREAS'!M41,0),IF(AND(154&gt;='EDT Y TAREAS'!AK44,154&lt;'EDT Y TAREAS'!AL44),'EDT Y TAREAS'!AH44/'EDT Y TAREAS'!M44,0),IF(AND(154&gt;='EDT Y TAREAS'!AK46,154&lt;'EDT Y TAREAS'!AL46),'EDT Y TAREAS'!AH46/'EDT Y TAREAS'!M46,0),IF(AND(154&gt;='EDT Y TAREAS'!AK48,154&lt;'EDT Y TAREAS'!AL48),'EDT Y TAREAS'!AH48/'EDT Y TAREAS'!M48,0))</x:f>
        <x:v>0</x:v>
      </x:c>
      <x:c r="G194" s="35" t="n">
        <x:f>SUM(IF(AND(154&gt;='EDT Y TAREAS'!AK20,154&lt;'EDT Y TAREAS'!AL20),'EDT Y TAREAS'!AI20/'EDT Y TAREAS'!M20,0),IF(AND(154&gt;='EDT Y TAREAS'!AK25,154&lt;'EDT Y TAREAS'!AL25),'EDT Y TAREAS'!AI25/'EDT Y TAREAS'!M25,0),IF(AND(154&gt;='EDT Y TAREAS'!AK33,154&lt;'EDT Y TAREAS'!AL33),'EDT Y TAREAS'!AI33/'EDT Y TAREAS'!M33,0),IF(AND(154&gt;='EDT Y TAREAS'!AK34,154&lt;'EDT Y TAREAS'!AL34),'EDT Y TAREAS'!AI34/'EDT Y TAREAS'!M34,0),IF(AND(154&gt;='EDT Y TAREAS'!AK36,154&lt;'EDT Y TAREAS'!AL36),'EDT Y TAREAS'!AI36/'EDT Y TAREAS'!M36,0),IF(AND(154&gt;='EDT Y TAREAS'!AK39,154&lt;'EDT Y TAREAS'!AL39),'EDT Y TAREAS'!AI39/'EDT Y TAREAS'!M39,0),IF(AND(154&gt;='EDT Y TAREAS'!AK40,154&lt;'EDT Y TAREAS'!AL40),'EDT Y TAREAS'!AI40/'EDT Y TAREAS'!M40,0),IF(AND(154&gt;='EDT Y TAREAS'!AK42,154&lt;'EDT Y TAREAS'!AL42),'EDT Y TAREAS'!AI42/'EDT Y TAREAS'!M42,0),IF(AND(154&gt;='EDT Y TAREAS'!AK43,154&lt;'EDT Y TAREAS'!AL43),'EDT Y TAREAS'!AI43/'EDT Y TAREAS'!M43,0),IF(AND(154&gt;='EDT Y TAREAS'!AK44,154&lt;'EDT Y TAREAS'!AL44),'EDT Y TAREAS'!AI44/'EDT Y TAREAS'!M44,0),IF(AND(154&gt;='EDT Y TAREAS'!AK45,154&lt;'EDT Y TAREAS'!AL45),'EDT Y TAREAS'!AI45/'EDT Y TAREAS'!M45,0),IF(AND(154&gt;='EDT Y TAREAS'!AK46,154&lt;'EDT Y TAREAS'!AL46),'EDT Y TAREAS'!AI46/'EDT Y TAREAS'!M46,0),IF(AND(154&gt;='EDT Y TAREAS'!AK48,154&lt;'EDT Y TAREAS'!AL48),'EDT Y TAREAS'!AI48/'EDT Y TAREAS'!M48,0),IF(AND(154&gt;='EDT Y TAREAS'!AK50,154&lt;'EDT Y TAREAS'!AL50),'EDT Y TAREAS'!AI50/'EDT Y TAREAS'!M50,0),IF(AND(154&gt;='EDT Y TAREAS'!AK52,154&lt;'EDT Y TAREAS'!AL52),'EDT Y TAREAS'!AI52/'EDT Y TAREAS'!M52,0))</x:f>
        <x:v>0.8</x:v>
      </x:c>
      <x:c r="H194" s="35" t="n">
        <x:f>SUM(IF(AND(154&gt;='EDT Y TAREAS'!AK11,154&lt;'EDT Y TAREAS'!AL11),'EDT Y TAREAS'!AJ11/'EDT Y TAREAS'!M11,0),IF(AND(154&gt;='EDT Y TAREAS'!AK24,154&lt;'EDT Y TAREAS'!AL24),'EDT Y TAREAS'!AJ24/'EDT Y TAREAS'!M24,0),IF(AND(154&gt;='EDT Y TAREAS'!AK27,154&lt;'EDT Y TAREAS'!AL27),'EDT Y TAREAS'!AJ27/'EDT Y TAREAS'!M27,0),IF(AND(154&gt;='EDT Y TAREAS'!AK28,154&lt;'EDT Y TAREAS'!AL28),'EDT Y TAREAS'!AJ28/'EDT Y TAREAS'!M28,0),IF(AND(154&gt;='EDT Y TAREAS'!AK33,154&lt;'EDT Y TAREAS'!AL33),'EDT Y TAREAS'!AJ33/'EDT Y TAREAS'!M33,0),IF(AND(154&gt;='EDT Y TAREAS'!AK35,154&lt;'EDT Y TAREAS'!AL35),'EDT Y TAREAS'!AJ35/'EDT Y TAREAS'!M35,0),IF(AND(154&gt;='EDT Y TAREAS'!AK36,154&lt;'EDT Y TAREAS'!AL36),'EDT Y TAREAS'!AJ36/'EDT Y TAREAS'!M36,0),IF(AND(154&gt;='EDT Y TAREAS'!AK37,154&lt;'EDT Y TAREAS'!AL37),'EDT Y TAREAS'!AJ37/'EDT Y TAREAS'!M37,0),IF(AND(154&gt;='EDT Y TAREAS'!AK40,154&lt;'EDT Y TAREAS'!AL40),'EDT Y TAREAS'!AJ40/'EDT Y TAREAS'!M40,0),IF(AND(154&gt;='EDT Y TAREAS'!AK42,154&lt;'EDT Y TAREAS'!AL42),'EDT Y TAREAS'!AJ42/'EDT Y TAREAS'!M42,0),IF(AND(154&gt;='EDT Y TAREAS'!AK49,154&lt;'EDT Y TAREAS'!AL49),'EDT Y TAREAS'!AJ49/'EDT Y TAREAS'!M49,0),IF(AND(154&gt;='EDT Y TAREAS'!AK50,154&lt;'EDT Y TAREAS'!AL50),'EDT Y TAREAS'!AJ50/'EDT Y TAREAS'!M50,0),IF(AND(154&gt;='EDT Y TAREAS'!AK51,154&lt;'EDT Y TAREAS'!AL51),'EDT Y TAREAS'!AJ51/'EDT Y TAREAS'!M51,0),IF(AND(154&gt;='EDT Y TAREAS'!AK52,154&lt;'EDT Y TAREAS'!AL52),'EDT Y TAREAS'!AJ52/'EDT Y TAREAS'!M52,0))</x:f>
        <x:v>1.6</x:v>
      </x:c>
      <x:c r="I194" s="10" t="n">
        <x:f>WORKDAY('RESUMEN'!$D$3-1,A194,'RESUMEN'!$J$6:$J$25)</x:f>
        <x:v>46542</x:v>
      </x:c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  <x:c r="AM194" s="3"/>
      <x:c r="AN194" s="3"/>
      <x:c r="AO194" s="3"/>
    </x:row>
    <x:row r="195" ht="24" customHeight="1">
      <x:c r="A195" s="3" t="n">
        <x:v>156</x:v>
      </x:c>
      <x:c r="B195" s="35" t="n">
        <x:f>SUM(IF(AND(155&gt;='EDT Y TAREAS'!AK6,155&lt;'EDT Y TAREAS'!AL6),'EDT Y TAREAS'!AD6/'EDT Y TAREAS'!M6,0),IF(AND(155&gt;='EDT Y TAREAS'!AK7,155&lt;'EDT Y TAREAS'!AL7),'EDT Y TAREAS'!AD7/'EDT Y TAREAS'!M7,0),IF(AND(155&gt;='EDT Y TAREAS'!AK8,155&lt;'EDT Y TAREAS'!AL8),'EDT Y TAREAS'!AD8/'EDT Y TAREAS'!M8,0),IF(AND(155&gt;='EDT Y TAREAS'!AK9,155&lt;'EDT Y TAREAS'!AL9),'EDT Y TAREAS'!AD9/'EDT Y TAREAS'!M9,0),IF(AND(155&gt;='EDT Y TAREAS'!AK10,155&lt;'EDT Y TAREAS'!AL10),'EDT Y TAREAS'!AD10/'EDT Y TAREAS'!M10,0),IF(AND(155&gt;='EDT Y TAREAS'!AK11,155&lt;'EDT Y TAREAS'!AL11),'EDT Y TAREAS'!AD11/'EDT Y TAREAS'!M11,0),IF(AND(155&gt;='EDT Y TAREAS'!AK12,155&lt;'EDT Y TAREAS'!AL12),'EDT Y TAREAS'!AD12/'EDT Y TAREAS'!M12,0),IF(AND(155&gt;='EDT Y TAREAS'!AK13,155&lt;'EDT Y TAREAS'!AL13),'EDT Y TAREAS'!AD13/'EDT Y TAREAS'!M13,0),IF(AND(155&gt;='EDT Y TAREAS'!AK14,155&lt;'EDT Y TAREAS'!AL14),'EDT Y TAREAS'!AD14/'EDT Y TAREAS'!M14,0),IF(AND(155&gt;='EDT Y TAREAS'!AK15,155&lt;'EDT Y TAREAS'!AL15),'EDT Y TAREAS'!AD15/'EDT Y TAREAS'!M15,0),IF(AND(155&gt;='EDT Y TAREAS'!AK16,155&lt;'EDT Y TAREAS'!AL16),'EDT Y TAREAS'!AD16/'EDT Y TAREAS'!M16,0),IF(AND(155&gt;='EDT Y TAREAS'!AK17,155&lt;'EDT Y TAREAS'!AL17),'EDT Y TAREAS'!AD17/'EDT Y TAREAS'!M17,0),IF(AND(155&gt;='EDT Y TAREAS'!AK18,155&lt;'EDT Y TAREAS'!AL18),'EDT Y TAREAS'!AD18/'EDT Y TAREAS'!M18,0),IF(AND(155&gt;='EDT Y TAREAS'!AK19,155&lt;'EDT Y TAREAS'!AL19),'EDT Y TAREAS'!AD19/'EDT Y TAREAS'!M19,0),IF(AND(155&gt;='EDT Y TAREAS'!AK20,155&lt;'EDT Y TAREAS'!AL20),'EDT Y TAREAS'!AD20/'EDT Y TAREAS'!M20,0),IF(AND(155&gt;='EDT Y TAREAS'!AK21,155&lt;'EDT Y TAREAS'!AL21),'EDT Y TAREAS'!AD21/'EDT Y TAREAS'!M21,0),IF(AND(155&gt;='EDT Y TAREAS'!AK22,155&lt;'EDT Y TAREAS'!AL22),'EDT Y TAREAS'!AD22/'EDT Y TAREAS'!M22,0),IF(AND(155&gt;='EDT Y TAREAS'!AK23,155&lt;'EDT Y TAREAS'!AL23),'EDT Y TAREAS'!AD23/'EDT Y TAREAS'!M23,0),IF(AND(155&gt;='EDT Y TAREAS'!AK26,155&lt;'EDT Y TAREAS'!AL26),'EDT Y TAREAS'!AD26/'EDT Y TAREAS'!M26,0),IF(AND(155&gt;='EDT Y TAREAS'!AK28,155&lt;'EDT Y TAREAS'!AL28),'EDT Y TAREAS'!AD28/'EDT Y TAREAS'!M28,0),IF(AND(155&gt;='EDT Y TAREAS'!AK30,155&lt;'EDT Y TAREAS'!AL30),'EDT Y TAREAS'!AD30/'EDT Y TAREAS'!M30,0),IF(AND(155&gt;='EDT Y TAREAS'!AK32,155&lt;'EDT Y TAREAS'!AL32),'EDT Y TAREAS'!AD32/'EDT Y TAREAS'!M32,0),IF(AND(155&gt;='EDT Y TAREAS'!AK34,155&lt;'EDT Y TAREAS'!AL34),'EDT Y TAREAS'!AD34/'EDT Y TAREAS'!M34,0),IF(AND(155&gt;='EDT Y TAREAS'!AK38,155&lt;'EDT Y TAREAS'!AL38),'EDT Y TAREAS'!AD38/'EDT Y TAREAS'!M38,0),IF(AND(155&gt;='EDT Y TAREAS'!AK39,155&lt;'EDT Y TAREAS'!AL39),'EDT Y TAREAS'!AD39/'EDT Y TAREAS'!M39,0),IF(AND(155&gt;='EDT Y TAREAS'!AK43,155&lt;'EDT Y TAREAS'!AL43),'EDT Y TAREAS'!AD43/'EDT Y TAREAS'!M43,0),IF(AND(155&gt;='EDT Y TAREAS'!AK44,155&lt;'EDT Y TAREAS'!AL44),'EDT Y TAREAS'!AD44/'EDT Y TAREAS'!M44,0),IF(AND(155&gt;='EDT Y TAREAS'!AK45,155&lt;'EDT Y TAREAS'!AL45),'EDT Y TAREAS'!AD45/'EDT Y TAREAS'!M45,0),IF(AND(155&gt;='EDT Y TAREAS'!AK46,155&lt;'EDT Y TAREAS'!AL46),'EDT Y TAREAS'!AD46/'EDT Y TAREAS'!M46,0),IF(AND(155&gt;='EDT Y TAREAS'!AK47,155&lt;'EDT Y TAREAS'!AL47),'EDT Y TAREAS'!AD47/'EDT Y TAREAS'!M47,0),IF(AND(155&gt;='EDT Y TAREAS'!AK49,155&lt;'EDT Y TAREAS'!AL49),'EDT Y TAREAS'!AD49/'EDT Y TAREAS'!M49,0),IF(AND(155&gt;='EDT Y TAREAS'!AK50,155&lt;'EDT Y TAREAS'!AL50),'EDT Y TAREAS'!AD50/'EDT Y TAREAS'!M50,0),IF(AND(155&gt;='EDT Y TAREAS'!AK51,155&lt;'EDT Y TAREAS'!AL51),'EDT Y TAREAS'!AD51/'EDT Y TAREAS'!M51,0),IF(AND(155&gt;='EDT Y TAREAS'!AK52,155&lt;'EDT Y TAREAS'!AL52),'EDT Y TAREAS'!AD52/'EDT Y TAREAS'!M52,0))</x:f>
        <x:v>1.6</x:v>
      </x:c>
      <x:c r="C195" s="35" t="n">
        <x:f>SUM(IF(AND(155&gt;='EDT Y TAREAS'!AK6,155&lt;'EDT Y TAREAS'!AL6),'EDT Y TAREAS'!AE6/'EDT Y TAREAS'!M6,0),IF(AND(155&gt;='EDT Y TAREAS'!AK8,155&lt;'EDT Y TAREAS'!AL8),'EDT Y TAREAS'!AE8/'EDT Y TAREAS'!M8,0),IF(AND(155&gt;='EDT Y TAREAS'!AK9,155&lt;'EDT Y TAREAS'!AL9),'EDT Y TAREAS'!AE9/'EDT Y TAREAS'!M9,0),IF(AND(155&gt;='EDT Y TAREAS'!AK10,155&lt;'EDT Y TAREAS'!AL10),'EDT Y TAREAS'!AE10/'EDT Y TAREAS'!M10,0),IF(AND(155&gt;='EDT Y TAREAS'!AK12,155&lt;'EDT Y TAREAS'!AL12),'EDT Y TAREAS'!AE12/'EDT Y TAREAS'!M12,0),IF(AND(155&gt;='EDT Y TAREAS'!AK16,155&lt;'EDT Y TAREAS'!AL16),'EDT Y TAREAS'!AE16/'EDT Y TAREAS'!M16,0),IF(AND(155&gt;='EDT Y TAREAS'!AK21,155&lt;'EDT Y TAREAS'!AL21),'EDT Y TAREAS'!AE21/'EDT Y TAREAS'!M21,0),IF(AND(155&gt;='EDT Y TAREAS'!AK23,155&lt;'EDT Y TAREAS'!AL23),'EDT Y TAREAS'!AE23/'EDT Y TAREAS'!M23,0),IF(AND(155&gt;='EDT Y TAREAS'!AK37,155&lt;'EDT Y TAREAS'!AL37),'EDT Y TAREAS'!AE37/'EDT Y TAREAS'!M37,0),IF(AND(155&gt;='EDT Y TAREAS'!AK38,155&lt;'EDT Y TAREAS'!AL38),'EDT Y TAREAS'!AE38/'EDT Y TAREAS'!M38,0),IF(AND(155&gt;='EDT Y TAREAS'!AK41,155&lt;'EDT Y TAREAS'!AL41),'EDT Y TAREAS'!AE41/'EDT Y TAREAS'!M41,0),IF(AND(155&gt;='EDT Y TAREAS'!AK43,155&lt;'EDT Y TAREAS'!AL43),'EDT Y TAREAS'!AE43/'EDT Y TAREAS'!M43,0),IF(AND(155&gt;='EDT Y TAREAS'!AK44,155&lt;'EDT Y TAREAS'!AL44),'EDT Y TAREAS'!AE44/'EDT Y TAREAS'!M44,0),IF(AND(155&gt;='EDT Y TAREAS'!AK46,155&lt;'EDT Y TAREAS'!AL46),'EDT Y TAREAS'!AE46/'EDT Y TAREAS'!M46,0),IF(AND(155&gt;='EDT Y TAREAS'!AK47,155&lt;'EDT Y TAREAS'!AL47),'EDT Y TAREAS'!AE47/'EDT Y TAREAS'!M47,0),IF(AND(155&gt;='EDT Y TAREAS'!AK51,155&lt;'EDT Y TAREAS'!AL51),'EDT Y TAREAS'!AE51/'EDT Y TAREAS'!M51,0),IF(AND(155&gt;='EDT Y TAREAS'!AK52,155&lt;'EDT Y TAREAS'!AL52),'EDT Y TAREAS'!AE52/'EDT Y TAREAS'!M52,0))</x:f>
        <x:v>0.4</x:v>
      </x:c>
      <x:c r="D195" s="35" t="n">
        <x:f>SUM(IF(AND(155&gt;='EDT Y TAREAS'!AK11,155&lt;'EDT Y TAREAS'!AL11),'EDT Y TAREAS'!AF11/'EDT Y TAREAS'!M11,0),IF(AND(155&gt;='EDT Y TAREAS'!AK24,155&lt;'EDT Y TAREAS'!AL24),'EDT Y TAREAS'!AF24/'EDT Y TAREAS'!M24,0),IF(AND(155&gt;='EDT Y TAREAS'!AK25,155&lt;'EDT Y TAREAS'!AL25),'EDT Y TAREAS'!AF25/'EDT Y TAREAS'!M25,0),IF(AND(155&gt;='EDT Y TAREAS'!AK26,155&lt;'EDT Y TAREAS'!AL26),'EDT Y TAREAS'!AF26/'EDT Y TAREAS'!M26,0),IF(AND(155&gt;='EDT Y TAREAS'!AK27,155&lt;'EDT Y TAREAS'!AL27),'EDT Y TAREAS'!AF27/'EDT Y TAREAS'!M27,0),IF(AND(155&gt;='EDT Y TAREAS'!AK28,155&lt;'EDT Y TAREAS'!AL28),'EDT Y TAREAS'!AF28/'EDT Y TAREAS'!M28,0),IF(AND(155&gt;='EDT Y TAREAS'!AK31,155&lt;'EDT Y TAREAS'!AL31),'EDT Y TAREAS'!AF31/'EDT Y TAREAS'!M31,0),IF(AND(155&gt;='EDT Y TAREAS'!AK33,155&lt;'EDT Y TAREAS'!AL33),'EDT Y TAREAS'!AF33/'EDT Y TAREAS'!M33,0),IF(AND(155&gt;='EDT Y TAREAS'!AK34,155&lt;'EDT Y TAREAS'!AL34),'EDT Y TAREAS'!AF34/'EDT Y TAREAS'!M34,0),IF(AND(155&gt;='EDT Y TAREAS'!AK35,155&lt;'EDT Y TAREAS'!AL35),'EDT Y TAREAS'!AF35/'EDT Y TAREAS'!M35,0),IF(AND(155&gt;='EDT Y TAREAS'!AK37,155&lt;'EDT Y TAREAS'!AL37),'EDT Y TAREAS'!AF37/'EDT Y TAREAS'!M37,0),IF(AND(155&gt;='EDT Y TAREAS'!AK39,155&lt;'EDT Y TAREAS'!AL39),'EDT Y TAREAS'!AF39/'EDT Y TAREAS'!M39,0),IF(AND(155&gt;='EDT Y TAREAS'!AK40,155&lt;'EDT Y TAREAS'!AL40),'EDT Y TAREAS'!AF40/'EDT Y TAREAS'!M40,0),IF(AND(155&gt;='EDT Y TAREAS'!AK42,155&lt;'EDT Y TAREAS'!AL42),'EDT Y TAREAS'!AF42/'EDT Y TAREAS'!M42,0),IF(AND(155&gt;='EDT Y TAREAS'!AK45,155&lt;'EDT Y TAREAS'!AL45),'EDT Y TAREAS'!AF45/'EDT Y TAREAS'!M45,0),IF(AND(155&gt;='EDT Y TAREAS'!AK49,155&lt;'EDT Y TAREAS'!AL49),'EDT Y TAREAS'!AF49/'EDT Y TAREAS'!M49,0),IF(AND(155&gt;='EDT Y TAREAS'!AK52,155&lt;'EDT Y TAREAS'!AL52),'EDT Y TAREAS'!AF52/'EDT Y TAREAS'!M52,0))</x:f>
        <x:v>0.8</x:v>
      </x:c>
      <x:c r="E195" s="35" t="n">
        <x:f>SUM(IF(AND(155&gt;='EDT Y TAREAS'!AK29,155&lt;'EDT Y TAREAS'!AL29),'EDT Y TAREAS'!AG29/'EDT Y TAREAS'!M29,0),IF(AND(155&gt;='EDT Y TAREAS'!AK30,155&lt;'EDT Y TAREAS'!AL30),'EDT Y TAREAS'!AG30/'EDT Y TAREAS'!M30,0),IF(AND(155&gt;='EDT Y TAREAS'!AK31,155&lt;'EDT Y TAREAS'!AL31),'EDT Y TAREAS'!AG31/'EDT Y TAREAS'!M31,0),IF(AND(155&gt;='EDT Y TAREAS'!AK32,155&lt;'EDT Y TAREAS'!AL32),'EDT Y TAREAS'!AG32/'EDT Y TAREAS'!M32,0),IF(AND(155&gt;='EDT Y TAREAS'!AK41,155&lt;'EDT Y TAREAS'!AL41),'EDT Y TAREAS'!AG41/'EDT Y TAREAS'!M41,0),IF(AND(155&gt;='EDT Y TAREAS'!AK45,155&lt;'EDT Y TAREAS'!AL45),'EDT Y TAREAS'!AG45/'EDT Y TAREAS'!M45,0),IF(AND(155&gt;='EDT Y TAREAS'!AK48,155&lt;'EDT Y TAREAS'!AL48),'EDT Y TAREAS'!AG48/'EDT Y TAREAS'!M48,0))</x:f>
        <x:v>0</x:v>
      </x:c>
      <x:c r="F195" s="35" t="n">
        <x:f>SUM(IF(AND(155&gt;='EDT Y TAREAS'!AK10,155&lt;'EDT Y TAREAS'!AL10),'EDT Y TAREAS'!AH10/'EDT Y TAREAS'!M10,0),IF(AND(155&gt;='EDT Y TAREAS'!AK12,155&lt;'EDT Y TAREAS'!AL12),'EDT Y TAREAS'!AH12/'EDT Y TAREAS'!M12,0),IF(AND(155&gt;='EDT Y TAREAS'!AK22,155&lt;'EDT Y TAREAS'!AL22),'EDT Y TAREAS'!AH22/'EDT Y TAREAS'!M22,0),IF(AND(155&gt;='EDT Y TAREAS'!AK23,155&lt;'EDT Y TAREAS'!AL23),'EDT Y TAREAS'!AH23/'EDT Y TAREAS'!M23,0),IF(AND(155&gt;='EDT Y TAREAS'!AK29,155&lt;'EDT Y TAREAS'!AL29),'EDT Y TAREAS'!AH29/'EDT Y TAREAS'!M29,0),IF(AND(155&gt;='EDT Y TAREAS'!AK30,155&lt;'EDT Y TAREAS'!AL30),'EDT Y TAREAS'!AH30/'EDT Y TAREAS'!M30,0),IF(AND(155&gt;='EDT Y TAREAS'!AK32,155&lt;'EDT Y TAREAS'!AL32),'EDT Y TAREAS'!AH32/'EDT Y TAREAS'!M32,0),IF(AND(155&gt;='EDT Y TAREAS'!AK41,155&lt;'EDT Y TAREAS'!AL41),'EDT Y TAREAS'!AH41/'EDT Y TAREAS'!M41,0),IF(AND(155&gt;='EDT Y TAREAS'!AK44,155&lt;'EDT Y TAREAS'!AL44),'EDT Y TAREAS'!AH44/'EDT Y TAREAS'!M44,0),IF(AND(155&gt;='EDT Y TAREAS'!AK46,155&lt;'EDT Y TAREAS'!AL46),'EDT Y TAREAS'!AH46/'EDT Y TAREAS'!M46,0),IF(AND(155&gt;='EDT Y TAREAS'!AK48,155&lt;'EDT Y TAREAS'!AL48),'EDT Y TAREAS'!AH48/'EDT Y TAREAS'!M48,0))</x:f>
        <x:v>0</x:v>
      </x:c>
      <x:c r="G195" s="35" t="n">
        <x:f>SUM(IF(AND(155&gt;='EDT Y TAREAS'!AK20,155&lt;'EDT Y TAREAS'!AL20),'EDT Y TAREAS'!AI20/'EDT Y TAREAS'!M20,0),IF(AND(155&gt;='EDT Y TAREAS'!AK25,155&lt;'EDT Y TAREAS'!AL25),'EDT Y TAREAS'!AI25/'EDT Y TAREAS'!M25,0),IF(AND(155&gt;='EDT Y TAREAS'!AK33,155&lt;'EDT Y TAREAS'!AL33),'EDT Y TAREAS'!AI33/'EDT Y TAREAS'!M33,0),IF(AND(155&gt;='EDT Y TAREAS'!AK34,155&lt;'EDT Y TAREAS'!AL34),'EDT Y TAREAS'!AI34/'EDT Y TAREAS'!M34,0),IF(AND(155&gt;='EDT Y TAREAS'!AK36,155&lt;'EDT Y TAREAS'!AL36),'EDT Y TAREAS'!AI36/'EDT Y TAREAS'!M36,0),IF(AND(155&gt;='EDT Y TAREAS'!AK39,155&lt;'EDT Y TAREAS'!AL39),'EDT Y TAREAS'!AI39/'EDT Y TAREAS'!M39,0),IF(AND(155&gt;='EDT Y TAREAS'!AK40,155&lt;'EDT Y TAREAS'!AL40),'EDT Y TAREAS'!AI40/'EDT Y TAREAS'!M40,0),IF(AND(155&gt;='EDT Y TAREAS'!AK42,155&lt;'EDT Y TAREAS'!AL42),'EDT Y TAREAS'!AI42/'EDT Y TAREAS'!M42,0),IF(AND(155&gt;='EDT Y TAREAS'!AK43,155&lt;'EDT Y TAREAS'!AL43),'EDT Y TAREAS'!AI43/'EDT Y TAREAS'!M43,0),IF(AND(155&gt;='EDT Y TAREAS'!AK44,155&lt;'EDT Y TAREAS'!AL44),'EDT Y TAREAS'!AI44/'EDT Y TAREAS'!M44,0),IF(AND(155&gt;='EDT Y TAREAS'!AK45,155&lt;'EDT Y TAREAS'!AL45),'EDT Y TAREAS'!AI45/'EDT Y TAREAS'!M45,0),IF(AND(155&gt;='EDT Y TAREAS'!AK46,155&lt;'EDT Y TAREAS'!AL46),'EDT Y TAREAS'!AI46/'EDT Y TAREAS'!M46,0),IF(AND(155&gt;='EDT Y TAREAS'!AK48,155&lt;'EDT Y TAREAS'!AL48),'EDT Y TAREAS'!AI48/'EDT Y TAREAS'!M48,0),IF(AND(155&gt;='EDT Y TAREAS'!AK50,155&lt;'EDT Y TAREAS'!AL50),'EDT Y TAREAS'!AI50/'EDT Y TAREAS'!M50,0),IF(AND(155&gt;='EDT Y TAREAS'!AK52,155&lt;'EDT Y TAREAS'!AL52),'EDT Y TAREAS'!AI52/'EDT Y TAREAS'!M52,0))</x:f>
        <x:v>0.8</x:v>
      </x:c>
      <x:c r="H195" s="35" t="n">
        <x:f>SUM(IF(AND(155&gt;='EDT Y TAREAS'!AK11,155&lt;'EDT Y TAREAS'!AL11),'EDT Y TAREAS'!AJ11/'EDT Y TAREAS'!M11,0),IF(AND(155&gt;='EDT Y TAREAS'!AK24,155&lt;'EDT Y TAREAS'!AL24),'EDT Y TAREAS'!AJ24/'EDT Y TAREAS'!M24,0),IF(AND(155&gt;='EDT Y TAREAS'!AK27,155&lt;'EDT Y TAREAS'!AL27),'EDT Y TAREAS'!AJ27/'EDT Y TAREAS'!M27,0),IF(AND(155&gt;='EDT Y TAREAS'!AK28,155&lt;'EDT Y TAREAS'!AL28),'EDT Y TAREAS'!AJ28/'EDT Y TAREAS'!M28,0),IF(AND(155&gt;='EDT Y TAREAS'!AK33,155&lt;'EDT Y TAREAS'!AL33),'EDT Y TAREAS'!AJ33/'EDT Y TAREAS'!M33,0),IF(AND(155&gt;='EDT Y TAREAS'!AK35,155&lt;'EDT Y TAREAS'!AL35),'EDT Y TAREAS'!AJ35/'EDT Y TAREAS'!M35,0),IF(AND(155&gt;='EDT Y TAREAS'!AK36,155&lt;'EDT Y TAREAS'!AL36),'EDT Y TAREAS'!AJ36/'EDT Y TAREAS'!M36,0),IF(AND(155&gt;='EDT Y TAREAS'!AK37,155&lt;'EDT Y TAREAS'!AL37),'EDT Y TAREAS'!AJ37/'EDT Y TAREAS'!M37,0),IF(AND(155&gt;='EDT Y TAREAS'!AK40,155&lt;'EDT Y TAREAS'!AL40),'EDT Y TAREAS'!AJ40/'EDT Y TAREAS'!M40,0),IF(AND(155&gt;='EDT Y TAREAS'!AK42,155&lt;'EDT Y TAREAS'!AL42),'EDT Y TAREAS'!AJ42/'EDT Y TAREAS'!M42,0),IF(AND(155&gt;='EDT Y TAREAS'!AK49,155&lt;'EDT Y TAREAS'!AL49),'EDT Y TAREAS'!AJ49/'EDT Y TAREAS'!M49,0),IF(AND(155&gt;='EDT Y TAREAS'!AK50,155&lt;'EDT Y TAREAS'!AL50),'EDT Y TAREAS'!AJ50/'EDT Y TAREAS'!M50,0),IF(AND(155&gt;='EDT Y TAREAS'!AK51,155&lt;'EDT Y TAREAS'!AL51),'EDT Y TAREAS'!AJ51/'EDT Y TAREAS'!M51,0),IF(AND(155&gt;='EDT Y TAREAS'!AK52,155&lt;'EDT Y TAREAS'!AL52),'EDT Y TAREAS'!AJ52/'EDT Y TAREAS'!M52,0))</x:f>
        <x:v>1.6</x:v>
      </x:c>
      <x:c r="I195" s="10" t="n">
        <x:f>WORKDAY('RESUMEN'!$D$3-1,A195,'RESUMEN'!$J$6:$J$25)</x:f>
        <x:v>46545</x:v>
      </x:c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  <x:c r="AM195" s="3"/>
      <x:c r="AN195" s="3"/>
      <x:c r="AO195" s="3"/>
    </x:row>
    <x:row r="196" ht="24" customHeight="1">
      <x:c r="A196" s="3" t="n">
        <x:v>157</x:v>
      </x:c>
      <x:c r="B196" s="35" t="n">
        <x:f>SUM(IF(AND(156&gt;='EDT Y TAREAS'!AK6,156&lt;'EDT Y TAREAS'!AL6),'EDT Y TAREAS'!AD6/'EDT Y TAREAS'!M6,0),IF(AND(156&gt;='EDT Y TAREAS'!AK7,156&lt;'EDT Y TAREAS'!AL7),'EDT Y TAREAS'!AD7/'EDT Y TAREAS'!M7,0),IF(AND(156&gt;='EDT Y TAREAS'!AK8,156&lt;'EDT Y TAREAS'!AL8),'EDT Y TAREAS'!AD8/'EDT Y TAREAS'!M8,0),IF(AND(156&gt;='EDT Y TAREAS'!AK9,156&lt;'EDT Y TAREAS'!AL9),'EDT Y TAREAS'!AD9/'EDT Y TAREAS'!M9,0),IF(AND(156&gt;='EDT Y TAREAS'!AK10,156&lt;'EDT Y TAREAS'!AL10),'EDT Y TAREAS'!AD10/'EDT Y TAREAS'!M10,0),IF(AND(156&gt;='EDT Y TAREAS'!AK11,156&lt;'EDT Y TAREAS'!AL11),'EDT Y TAREAS'!AD11/'EDT Y TAREAS'!M11,0),IF(AND(156&gt;='EDT Y TAREAS'!AK12,156&lt;'EDT Y TAREAS'!AL12),'EDT Y TAREAS'!AD12/'EDT Y TAREAS'!M12,0),IF(AND(156&gt;='EDT Y TAREAS'!AK13,156&lt;'EDT Y TAREAS'!AL13),'EDT Y TAREAS'!AD13/'EDT Y TAREAS'!M13,0),IF(AND(156&gt;='EDT Y TAREAS'!AK14,156&lt;'EDT Y TAREAS'!AL14),'EDT Y TAREAS'!AD14/'EDT Y TAREAS'!M14,0),IF(AND(156&gt;='EDT Y TAREAS'!AK15,156&lt;'EDT Y TAREAS'!AL15),'EDT Y TAREAS'!AD15/'EDT Y TAREAS'!M15,0),IF(AND(156&gt;='EDT Y TAREAS'!AK16,156&lt;'EDT Y TAREAS'!AL16),'EDT Y TAREAS'!AD16/'EDT Y TAREAS'!M16,0),IF(AND(156&gt;='EDT Y TAREAS'!AK17,156&lt;'EDT Y TAREAS'!AL17),'EDT Y TAREAS'!AD17/'EDT Y TAREAS'!M17,0),IF(AND(156&gt;='EDT Y TAREAS'!AK18,156&lt;'EDT Y TAREAS'!AL18),'EDT Y TAREAS'!AD18/'EDT Y TAREAS'!M18,0),IF(AND(156&gt;='EDT Y TAREAS'!AK19,156&lt;'EDT Y TAREAS'!AL19),'EDT Y TAREAS'!AD19/'EDT Y TAREAS'!M19,0),IF(AND(156&gt;='EDT Y TAREAS'!AK20,156&lt;'EDT Y TAREAS'!AL20),'EDT Y TAREAS'!AD20/'EDT Y TAREAS'!M20,0),IF(AND(156&gt;='EDT Y TAREAS'!AK21,156&lt;'EDT Y TAREAS'!AL21),'EDT Y TAREAS'!AD21/'EDT Y TAREAS'!M21,0),IF(AND(156&gt;='EDT Y TAREAS'!AK22,156&lt;'EDT Y TAREAS'!AL22),'EDT Y TAREAS'!AD22/'EDT Y TAREAS'!M22,0),IF(AND(156&gt;='EDT Y TAREAS'!AK23,156&lt;'EDT Y TAREAS'!AL23),'EDT Y TAREAS'!AD23/'EDT Y TAREAS'!M23,0),IF(AND(156&gt;='EDT Y TAREAS'!AK26,156&lt;'EDT Y TAREAS'!AL26),'EDT Y TAREAS'!AD26/'EDT Y TAREAS'!M26,0),IF(AND(156&gt;='EDT Y TAREAS'!AK28,156&lt;'EDT Y TAREAS'!AL28),'EDT Y TAREAS'!AD28/'EDT Y TAREAS'!M28,0),IF(AND(156&gt;='EDT Y TAREAS'!AK30,156&lt;'EDT Y TAREAS'!AL30),'EDT Y TAREAS'!AD30/'EDT Y TAREAS'!M30,0),IF(AND(156&gt;='EDT Y TAREAS'!AK32,156&lt;'EDT Y TAREAS'!AL32),'EDT Y TAREAS'!AD32/'EDT Y TAREAS'!M32,0),IF(AND(156&gt;='EDT Y TAREAS'!AK34,156&lt;'EDT Y TAREAS'!AL34),'EDT Y TAREAS'!AD34/'EDT Y TAREAS'!M34,0),IF(AND(156&gt;='EDT Y TAREAS'!AK38,156&lt;'EDT Y TAREAS'!AL38),'EDT Y TAREAS'!AD38/'EDT Y TAREAS'!M38,0),IF(AND(156&gt;='EDT Y TAREAS'!AK39,156&lt;'EDT Y TAREAS'!AL39),'EDT Y TAREAS'!AD39/'EDT Y TAREAS'!M39,0),IF(AND(156&gt;='EDT Y TAREAS'!AK43,156&lt;'EDT Y TAREAS'!AL43),'EDT Y TAREAS'!AD43/'EDT Y TAREAS'!M43,0),IF(AND(156&gt;='EDT Y TAREAS'!AK44,156&lt;'EDT Y TAREAS'!AL44),'EDT Y TAREAS'!AD44/'EDT Y TAREAS'!M44,0),IF(AND(156&gt;='EDT Y TAREAS'!AK45,156&lt;'EDT Y TAREAS'!AL45),'EDT Y TAREAS'!AD45/'EDT Y TAREAS'!M45,0),IF(AND(156&gt;='EDT Y TAREAS'!AK46,156&lt;'EDT Y TAREAS'!AL46),'EDT Y TAREAS'!AD46/'EDT Y TAREAS'!M46,0),IF(AND(156&gt;='EDT Y TAREAS'!AK47,156&lt;'EDT Y TAREAS'!AL47),'EDT Y TAREAS'!AD47/'EDT Y TAREAS'!M47,0),IF(AND(156&gt;='EDT Y TAREAS'!AK49,156&lt;'EDT Y TAREAS'!AL49),'EDT Y TAREAS'!AD49/'EDT Y TAREAS'!M49,0),IF(AND(156&gt;='EDT Y TAREAS'!AK50,156&lt;'EDT Y TAREAS'!AL50),'EDT Y TAREAS'!AD50/'EDT Y TAREAS'!M50,0),IF(AND(156&gt;='EDT Y TAREAS'!AK51,156&lt;'EDT Y TAREAS'!AL51),'EDT Y TAREAS'!AD51/'EDT Y TAREAS'!M51,0),IF(AND(156&gt;='EDT Y TAREAS'!AK52,156&lt;'EDT Y TAREAS'!AL52),'EDT Y TAREAS'!AD52/'EDT Y TAREAS'!M52,0))</x:f>
        <x:v>1.6</x:v>
      </x:c>
      <x:c r="C196" s="35" t="n">
        <x:f>SUM(IF(AND(156&gt;='EDT Y TAREAS'!AK6,156&lt;'EDT Y TAREAS'!AL6),'EDT Y TAREAS'!AE6/'EDT Y TAREAS'!M6,0),IF(AND(156&gt;='EDT Y TAREAS'!AK8,156&lt;'EDT Y TAREAS'!AL8),'EDT Y TAREAS'!AE8/'EDT Y TAREAS'!M8,0),IF(AND(156&gt;='EDT Y TAREAS'!AK9,156&lt;'EDT Y TAREAS'!AL9),'EDT Y TAREAS'!AE9/'EDT Y TAREAS'!M9,0),IF(AND(156&gt;='EDT Y TAREAS'!AK10,156&lt;'EDT Y TAREAS'!AL10),'EDT Y TAREAS'!AE10/'EDT Y TAREAS'!M10,0),IF(AND(156&gt;='EDT Y TAREAS'!AK12,156&lt;'EDT Y TAREAS'!AL12),'EDT Y TAREAS'!AE12/'EDT Y TAREAS'!M12,0),IF(AND(156&gt;='EDT Y TAREAS'!AK16,156&lt;'EDT Y TAREAS'!AL16),'EDT Y TAREAS'!AE16/'EDT Y TAREAS'!M16,0),IF(AND(156&gt;='EDT Y TAREAS'!AK21,156&lt;'EDT Y TAREAS'!AL21),'EDT Y TAREAS'!AE21/'EDT Y TAREAS'!M21,0),IF(AND(156&gt;='EDT Y TAREAS'!AK23,156&lt;'EDT Y TAREAS'!AL23),'EDT Y TAREAS'!AE23/'EDT Y TAREAS'!M23,0),IF(AND(156&gt;='EDT Y TAREAS'!AK37,156&lt;'EDT Y TAREAS'!AL37),'EDT Y TAREAS'!AE37/'EDT Y TAREAS'!M37,0),IF(AND(156&gt;='EDT Y TAREAS'!AK38,156&lt;'EDT Y TAREAS'!AL38),'EDT Y TAREAS'!AE38/'EDT Y TAREAS'!M38,0),IF(AND(156&gt;='EDT Y TAREAS'!AK41,156&lt;'EDT Y TAREAS'!AL41),'EDT Y TAREAS'!AE41/'EDT Y TAREAS'!M41,0),IF(AND(156&gt;='EDT Y TAREAS'!AK43,156&lt;'EDT Y TAREAS'!AL43),'EDT Y TAREAS'!AE43/'EDT Y TAREAS'!M43,0),IF(AND(156&gt;='EDT Y TAREAS'!AK44,156&lt;'EDT Y TAREAS'!AL44),'EDT Y TAREAS'!AE44/'EDT Y TAREAS'!M44,0),IF(AND(156&gt;='EDT Y TAREAS'!AK46,156&lt;'EDT Y TAREAS'!AL46),'EDT Y TAREAS'!AE46/'EDT Y TAREAS'!M46,0),IF(AND(156&gt;='EDT Y TAREAS'!AK47,156&lt;'EDT Y TAREAS'!AL47),'EDT Y TAREAS'!AE47/'EDT Y TAREAS'!M47,0),IF(AND(156&gt;='EDT Y TAREAS'!AK51,156&lt;'EDT Y TAREAS'!AL51),'EDT Y TAREAS'!AE51/'EDT Y TAREAS'!M51,0),IF(AND(156&gt;='EDT Y TAREAS'!AK52,156&lt;'EDT Y TAREAS'!AL52),'EDT Y TAREAS'!AE52/'EDT Y TAREAS'!M52,0))</x:f>
        <x:v>0.4</x:v>
      </x:c>
      <x:c r="D196" s="35" t="n">
        <x:f>SUM(IF(AND(156&gt;='EDT Y TAREAS'!AK11,156&lt;'EDT Y TAREAS'!AL11),'EDT Y TAREAS'!AF11/'EDT Y TAREAS'!M11,0),IF(AND(156&gt;='EDT Y TAREAS'!AK24,156&lt;'EDT Y TAREAS'!AL24),'EDT Y TAREAS'!AF24/'EDT Y TAREAS'!M24,0),IF(AND(156&gt;='EDT Y TAREAS'!AK25,156&lt;'EDT Y TAREAS'!AL25),'EDT Y TAREAS'!AF25/'EDT Y TAREAS'!M25,0),IF(AND(156&gt;='EDT Y TAREAS'!AK26,156&lt;'EDT Y TAREAS'!AL26),'EDT Y TAREAS'!AF26/'EDT Y TAREAS'!M26,0),IF(AND(156&gt;='EDT Y TAREAS'!AK27,156&lt;'EDT Y TAREAS'!AL27),'EDT Y TAREAS'!AF27/'EDT Y TAREAS'!M27,0),IF(AND(156&gt;='EDT Y TAREAS'!AK28,156&lt;'EDT Y TAREAS'!AL28),'EDT Y TAREAS'!AF28/'EDT Y TAREAS'!M28,0),IF(AND(156&gt;='EDT Y TAREAS'!AK31,156&lt;'EDT Y TAREAS'!AL31),'EDT Y TAREAS'!AF31/'EDT Y TAREAS'!M31,0),IF(AND(156&gt;='EDT Y TAREAS'!AK33,156&lt;'EDT Y TAREAS'!AL33),'EDT Y TAREAS'!AF33/'EDT Y TAREAS'!M33,0),IF(AND(156&gt;='EDT Y TAREAS'!AK34,156&lt;'EDT Y TAREAS'!AL34),'EDT Y TAREAS'!AF34/'EDT Y TAREAS'!M34,0),IF(AND(156&gt;='EDT Y TAREAS'!AK35,156&lt;'EDT Y TAREAS'!AL35),'EDT Y TAREAS'!AF35/'EDT Y TAREAS'!M35,0),IF(AND(156&gt;='EDT Y TAREAS'!AK37,156&lt;'EDT Y TAREAS'!AL37),'EDT Y TAREAS'!AF37/'EDT Y TAREAS'!M37,0),IF(AND(156&gt;='EDT Y TAREAS'!AK39,156&lt;'EDT Y TAREAS'!AL39),'EDT Y TAREAS'!AF39/'EDT Y TAREAS'!M39,0),IF(AND(156&gt;='EDT Y TAREAS'!AK40,156&lt;'EDT Y TAREAS'!AL40),'EDT Y TAREAS'!AF40/'EDT Y TAREAS'!M40,0),IF(AND(156&gt;='EDT Y TAREAS'!AK42,156&lt;'EDT Y TAREAS'!AL42),'EDT Y TAREAS'!AF42/'EDT Y TAREAS'!M42,0),IF(AND(156&gt;='EDT Y TAREAS'!AK45,156&lt;'EDT Y TAREAS'!AL45),'EDT Y TAREAS'!AF45/'EDT Y TAREAS'!M45,0),IF(AND(156&gt;='EDT Y TAREAS'!AK49,156&lt;'EDT Y TAREAS'!AL49),'EDT Y TAREAS'!AF49/'EDT Y TAREAS'!M49,0),IF(AND(156&gt;='EDT Y TAREAS'!AK52,156&lt;'EDT Y TAREAS'!AL52),'EDT Y TAREAS'!AF52/'EDT Y TAREAS'!M52,0))</x:f>
        <x:v>0.8</x:v>
      </x:c>
      <x:c r="E196" s="35" t="n">
        <x:f>SUM(IF(AND(156&gt;='EDT Y TAREAS'!AK29,156&lt;'EDT Y TAREAS'!AL29),'EDT Y TAREAS'!AG29/'EDT Y TAREAS'!M29,0),IF(AND(156&gt;='EDT Y TAREAS'!AK30,156&lt;'EDT Y TAREAS'!AL30),'EDT Y TAREAS'!AG30/'EDT Y TAREAS'!M30,0),IF(AND(156&gt;='EDT Y TAREAS'!AK31,156&lt;'EDT Y TAREAS'!AL31),'EDT Y TAREAS'!AG31/'EDT Y TAREAS'!M31,0),IF(AND(156&gt;='EDT Y TAREAS'!AK32,156&lt;'EDT Y TAREAS'!AL32),'EDT Y TAREAS'!AG32/'EDT Y TAREAS'!M32,0),IF(AND(156&gt;='EDT Y TAREAS'!AK41,156&lt;'EDT Y TAREAS'!AL41),'EDT Y TAREAS'!AG41/'EDT Y TAREAS'!M41,0),IF(AND(156&gt;='EDT Y TAREAS'!AK45,156&lt;'EDT Y TAREAS'!AL45),'EDT Y TAREAS'!AG45/'EDT Y TAREAS'!M45,0),IF(AND(156&gt;='EDT Y TAREAS'!AK48,156&lt;'EDT Y TAREAS'!AL48),'EDT Y TAREAS'!AG48/'EDT Y TAREAS'!M48,0))</x:f>
        <x:v>0</x:v>
      </x:c>
      <x:c r="F196" s="35" t="n">
        <x:f>SUM(IF(AND(156&gt;='EDT Y TAREAS'!AK10,156&lt;'EDT Y TAREAS'!AL10),'EDT Y TAREAS'!AH10/'EDT Y TAREAS'!M10,0),IF(AND(156&gt;='EDT Y TAREAS'!AK12,156&lt;'EDT Y TAREAS'!AL12),'EDT Y TAREAS'!AH12/'EDT Y TAREAS'!M12,0),IF(AND(156&gt;='EDT Y TAREAS'!AK22,156&lt;'EDT Y TAREAS'!AL22),'EDT Y TAREAS'!AH22/'EDT Y TAREAS'!M22,0),IF(AND(156&gt;='EDT Y TAREAS'!AK23,156&lt;'EDT Y TAREAS'!AL23),'EDT Y TAREAS'!AH23/'EDT Y TAREAS'!M23,0),IF(AND(156&gt;='EDT Y TAREAS'!AK29,156&lt;'EDT Y TAREAS'!AL29),'EDT Y TAREAS'!AH29/'EDT Y TAREAS'!M29,0),IF(AND(156&gt;='EDT Y TAREAS'!AK30,156&lt;'EDT Y TAREAS'!AL30),'EDT Y TAREAS'!AH30/'EDT Y TAREAS'!M30,0),IF(AND(156&gt;='EDT Y TAREAS'!AK32,156&lt;'EDT Y TAREAS'!AL32),'EDT Y TAREAS'!AH32/'EDT Y TAREAS'!M32,0),IF(AND(156&gt;='EDT Y TAREAS'!AK41,156&lt;'EDT Y TAREAS'!AL41),'EDT Y TAREAS'!AH41/'EDT Y TAREAS'!M41,0),IF(AND(156&gt;='EDT Y TAREAS'!AK44,156&lt;'EDT Y TAREAS'!AL44),'EDT Y TAREAS'!AH44/'EDT Y TAREAS'!M44,0),IF(AND(156&gt;='EDT Y TAREAS'!AK46,156&lt;'EDT Y TAREAS'!AL46),'EDT Y TAREAS'!AH46/'EDT Y TAREAS'!M46,0),IF(AND(156&gt;='EDT Y TAREAS'!AK48,156&lt;'EDT Y TAREAS'!AL48),'EDT Y TAREAS'!AH48/'EDT Y TAREAS'!M48,0))</x:f>
        <x:v>0</x:v>
      </x:c>
      <x:c r="G196" s="35" t="n">
        <x:f>SUM(IF(AND(156&gt;='EDT Y TAREAS'!AK20,156&lt;'EDT Y TAREAS'!AL20),'EDT Y TAREAS'!AI20/'EDT Y TAREAS'!M20,0),IF(AND(156&gt;='EDT Y TAREAS'!AK25,156&lt;'EDT Y TAREAS'!AL25),'EDT Y TAREAS'!AI25/'EDT Y TAREAS'!M25,0),IF(AND(156&gt;='EDT Y TAREAS'!AK33,156&lt;'EDT Y TAREAS'!AL33),'EDT Y TAREAS'!AI33/'EDT Y TAREAS'!M33,0),IF(AND(156&gt;='EDT Y TAREAS'!AK34,156&lt;'EDT Y TAREAS'!AL34),'EDT Y TAREAS'!AI34/'EDT Y TAREAS'!M34,0),IF(AND(156&gt;='EDT Y TAREAS'!AK36,156&lt;'EDT Y TAREAS'!AL36),'EDT Y TAREAS'!AI36/'EDT Y TAREAS'!M36,0),IF(AND(156&gt;='EDT Y TAREAS'!AK39,156&lt;'EDT Y TAREAS'!AL39),'EDT Y TAREAS'!AI39/'EDT Y TAREAS'!M39,0),IF(AND(156&gt;='EDT Y TAREAS'!AK40,156&lt;'EDT Y TAREAS'!AL40),'EDT Y TAREAS'!AI40/'EDT Y TAREAS'!M40,0),IF(AND(156&gt;='EDT Y TAREAS'!AK42,156&lt;'EDT Y TAREAS'!AL42),'EDT Y TAREAS'!AI42/'EDT Y TAREAS'!M42,0),IF(AND(156&gt;='EDT Y TAREAS'!AK43,156&lt;'EDT Y TAREAS'!AL43),'EDT Y TAREAS'!AI43/'EDT Y TAREAS'!M43,0),IF(AND(156&gt;='EDT Y TAREAS'!AK44,156&lt;'EDT Y TAREAS'!AL44),'EDT Y TAREAS'!AI44/'EDT Y TAREAS'!M44,0),IF(AND(156&gt;='EDT Y TAREAS'!AK45,156&lt;'EDT Y TAREAS'!AL45),'EDT Y TAREAS'!AI45/'EDT Y TAREAS'!M45,0),IF(AND(156&gt;='EDT Y TAREAS'!AK46,156&lt;'EDT Y TAREAS'!AL46),'EDT Y TAREAS'!AI46/'EDT Y TAREAS'!M46,0),IF(AND(156&gt;='EDT Y TAREAS'!AK48,156&lt;'EDT Y TAREAS'!AL48),'EDT Y TAREAS'!AI48/'EDT Y TAREAS'!M48,0),IF(AND(156&gt;='EDT Y TAREAS'!AK50,156&lt;'EDT Y TAREAS'!AL50),'EDT Y TAREAS'!AI50/'EDT Y TAREAS'!M50,0),IF(AND(156&gt;='EDT Y TAREAS'!AK52,156&lt;'EDT Y TAREAS'!AL52),'EDT Y TAREAS'!AI52/'EDT Y TAREAS'!M52,0))</x:f>
        <x:v>0.8</x:v>
      </x:c>
      <x:c r="H196" s="35" t="n">
        <x:f>SUM(IF(AND(156&gt;='EDT Y TAREAS'!AK11,156&lt;'EDT Y TAREAS'!AL11),'EDT Y TAREAS'!AJ11/'EDT Y TAREAS'!M11,0),IF(AND(156&gt;='EDT Y TAREAS'!AK24,156&lt;'EDT Y TAREAS'!AL24),'EDT Y TAREAS'!AJ24/'EDT Y TAREAS'!M24,0),IF(AND(156&gt;='EDT Y TAREAS'!AK27,156&lt;'EDT Y TAREAS'!AL27),'EDT Y TAREAS'!AJ27/'EDT Y TAREAS'!M27,0),IF(AND(156&gt;='EDT Y TAREAS'!AK28,156&lt;'EDT Y TAREAS'!AL28),'EDT Y TAREAS'!AJ28/'EDT Y TAREAS'!M28,0),IF(AND(156&gt;='EDT Y TAREAS'!AK33,156&lt;'EDT Y TAREAS'!AL33),'EDT Y TAREAS'!AJ33/'EDT Y TAREAS'!M33,0),IF(AND(156&gt;='EDT Y TAREAS'!AK35,156&lt;'EDT Y TAREAS'!AL35),'EDT Y TAREAS'!AJ35/'EDT Y TAREAS'!M35,0),IF(AND(156&gt;='EDT Y TAREAS'!AK36,156&lt;'EDT Y TAREAS'!AL36),'EDT Y TAREAS'!AJ36/'EDT Y TAREAS'!M36,0),IF(AND(156&gt;='EDT Y TAREAS'!AK37,156&lt;'EDT Y TAREAS'!AL37),'EDT Y TAREAS'!AJ37/'EDT Y TAREAS'!M37,0),IF(AND(156&gt;='EDT Y TAREAS'!AK40,156&lt;'EDT Y TAREAS'!AL40),'EDT Y TAREAS'!AJ40/'EDT Y TAREAS'!M40,0),IF(AND(156&gt;='EDT Y TAREAS'!AK42,156&lt;'EDT Y TAREAS'!AL42),'EDT Y TAREAS'!AJ42/'EDT Y TAREAS'!M42,0),IF(AND(156&gt;='EDT Y TAREAS'!AK49,156&lt;'EDT Y TAREAS'!AL49),'EDT Y TAREAS'!AJ49/'EDT Y TAREAS'!M49,0),IF(AND(156&gt;='EDT Y TAREAS'!AK50,156&lt;'EDT Y TAREAS'!AL50),'EDT Y TAREAS'!AJ50/'EDT Y TAREAS'!M50,0),IF(AND(156&gt;='EDT Y TAREAS'!AK51,156&lt;'EDT Y TAREAS'!AL51),'EDT Y TAREAS'!AJ51/'EDT Y TAREAS'!M51,0),IF(AND(156&gt;='EDT Y TAREAS'!AK52,156&lt;'EDT Y TAREAS'!AL52),'EDT Y TAREAS'!AJ52/'EDT Y TAREAS'!M52,0))</x:f>
        <x:v>1.6</x:v>
      </x:c>
      <x:c r="I196" s="10" t="n">
        <x:f>WORKDAY('RESUMEN'!$D$3-1,A196,'RESUMEN'!$J$6:$J$25)</x:f>
        <x:v>46546</x:v>
      </x:c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  <x:c r="AL196" s="3"/>
      <x:c r="AM196" s="3"/>
      <x:c r="AN196" s="3"/>
      <x:c r="AO196" s="3"/>
    </x:row>
    <x:row r="197" ht="24" customHeight="1">
      <x:c r="A197" s="3" t="n">
        <x:v>158</x:v>
      </x:c>
      <x:c r="B197" s="35" t="n">
        <x:f>SUM(IF(AND(157&gt;='EDT Y TAREAS'!AK6,157&lt;'EDT Y TAREAS'!AL6),'EDT Y TAREAS'!AD6/'EDT Y TAREAS'!M6,0),IF(AND(157&gt;='EDT Y TAREAS'!AK7,157&lt;'EDT Y TAREAS'!AL7),'EDT Y TAREAS'!AD7/'EDT Y TAREAS'!M7,0),IF(AND(157&gt;='EDT Y TAREAS'!AK8,157&lt;'EDT Y TAREAS'!AL8),'EDT Y TAREAS'!AD8/'EDT Y TAREAS'!M8,0),IF(AND(157&gt;='EDT Y TAREAS'!AK9,157&lt;'EDT Y TAREAS'!AL9),'EDT Y TAREAS'!AD9/'EDT Y TAREAS'!M9,0),IF(AND(157&gt;='EDT Y TAREAS'!AK10,157&lt;'EDT Y TAREAS'!AL10),'EDT Y TAREAS'!AD10/'EDT Y TAREAS'!M10,0),IF(AND(157&gt;='EDT Y TAREAS'!AK11,157&lt;'EDT Y TAREAS'!AL11),'EDT Y TAREAS'!AD11/'EDT Y TAREAS'!M11,0),IF(AND(157&gt;='EDT Y TAREAS'!AK12,157&lt;'EDT Y TAREAS'!AL12),'EDT Y TAREAS'!AD12/'EDT Y TAREAS'!M12,0),IF(AND(157&gt;='EDT Y TAREAS'!AK13,157&lt;'EDT Y TAREAS'!AL13),'EDT Y TAREAS'!AD13/'EDT Y TAREAS'!M13,0),IF(AND(157&gt;='EDT Y TAREAS'!AK14,157&lt;'EDT Y TAREAS'!AL14),'EDT Y TAREAS'!AD14/'EDT Y TAREAS'!M14,0),IF(AND(157&gt;='EDT Y TAREAS'!AK15,157&lt;'EDT Y TAREAS'!AL15),'EDT Y TAREAS'!AD15/'EDT Y TAREAS'!M15,0),IF(AND(157&gt;='EDT Y TAREAS'!AK16,157&lt;'EDT Y TAREAS'!AL16),'EDT Y TAREAS'!AD16/'EDT Y TAREAS'!M16,0),IF(AND(157&gt;='EDT Y TAREAS'!AK17,157&lt;'EDT Y TAREAS'!AL17),'EDT Y TAREAS'!AD17/'EDT Y TAREAS'!M17,0),IF(AND(157&gt;='EDT Y TAREAS'!AK18,157&lt;'EDT Y TAREAS'!AL18),'EDT Y TAREAS'!AD18/'EDT Y TAREAS'!M18,0),IF(AND(157&gt;='EDT Y TAREAS'!AK19,157&lt;'EDT Y TAREAS'!AL19),'EDT Y TAREAS'!AD19/'EDT Y TAREAS'!M19,0),IF(AND(157&gt;='EDT Y TAREAS'!AK20,157&lt;'EDT Y TAREAS'!AL20),'EDT Y TAREAS'!AD20/'EDT Y TAREAS'!M20,0),IF(AND(157&gt;='EDT Y TAREAS'!AK21,157&lt;'EDT Y TAREAS'!AL21),'EDT Y TAREAS'!AD21/'EDT Y TAREAS'!M21,0),IF(AND(157&gt;='EDT Y TAREAS'!AK22,157&lt;'EDT Y TAREAS'!AL22),'EDT Y TAREAS'!AD22/'EDT Y TAREAS'!M22,0),IF(AND(157&gt;='EDT Y TAREAS'!AK23,157&lt;'EDT Y TAREAS'!AL23),'EDT Y TAREAS'!AD23/'EDT Y TAREAS'!M23,0),IF(AND(157&gt;='EDT Y TAREAS'!AK26,157&lt;'EDT Y TAREAS'!AL26),'EDT Y TAREAS'!AD26/'EDT Y TAREAS'!M26,0),IF(AND(157&gt;='EDT Y TAREAS'!AK28,157&lt;'EDT Y TAREAS'!AL28),'EDT Y TAREAS'!AD28/'EDT Y TAREAS'!M28,0),IF(AND(157&gt;='EDT Y TAREAS'!AK30,157&lt;'EDT Y TAREAS'!AL30),'EDT Y TAREAS'!AD30/'EDT Y TAREAS'!M30,0),IF(AND(157&gt;='EDT Y TAREAS'!AK32,157&lt;'EDT Y TAREAS'!AL32),'EDT Y TAREAS'!AD32/'EDT Y TAREAS'!M32,0),IF(AND(157&gt;='EDT Y TAREAS'!AK34,157&lt;'EDT Y TAREAS'!AL34),'EDT Y TAREAS'!AD34/'EDT Y TAREAS'!M34,0),IF(AND(157&gt;='EDT Y TAREAS'!AK38,157&lt;'EDT Y TAREAS'!AL38),'EDT Y TAREAS'!AD38/'EDT Y TAREAS'!M38,0),IF(AND(157&gt;='EDT Y TAREAS'!AK39,157&lt;'EDT Y TAREAS'!AL39),'EDT Y TAREAS'!AD39/'EDT Y TAREAS'!M39,0),IF(AND(157&gt;='EDT Y TAREAS'!AK43,157&lt;'EDT Y TAREAS'!AL43),'EDT Y TAREAS'!AD43/'EDT Y TAREAS'!M43,0),IF(AND(157&gt;='EDT Y TAREAS'!AK44,157&lt;'EDT Y TAREAS'!AL44),'EDT Y TAREAS'!AD44/'EDT Y TAREAS'!M44,0),IF(AND(157&gt;='EDT Y TAREAS'!AK45,157&lt;'EDT Y TAREAS'!AL45),'EDT Y TAREAS'!AD45/'EDT Y TAREAS'!M45,0),IF(AND(157&gt;='EDT Y TAREAS'!AK46,157&lt;'EDT Y TAREAS'!AL46),'EDT Y TAREAS'!AD46/'EDT Y TAREAS'!M46,0),IF(AND(157&gt;='EDT Y TAREAS'!AK47,157&lt;'EDT Y TAREAS'!AL47),'EDT Y TAREAS'!AD47/'EDT Y TAREAS'!M47,0),IF(AND(157&gt;='EDT Y TAREAS'!AK49,157&lt;'EDT Y TAREAS'!AL49),'EDT Y TAREAS'!AD49/'EDT Y TAREAS'!M49,0),IF(AND(157&gt;='EDT Y TAREAS'!AK50,157&lt;'EDT Y TAREAS'!AL50),'EDT Y TAREAS'!AD50/'EDT Y TAREAS'!M50,0),IF(AND(157&gt;='EDT Y TAREAS'!AK51,157&lt;'EDT Y TAREAS'!AL51),'EDT Y TAREAS'!AD51/'EDT Y TAREAS'!M51,0),IF(AND(157&gt;='EDT Y TAREAS'!AK52,157&lt;'EDT Y TAREAS'!AL52),'EDT Y TAREAS'!AD52/'EDT Y TAREAS'!M52,0))</x:f>
        <x:v>1.6</x:v>
      </x:c>
      <x:c r="C197" s="35" t="n">
        <x:f>SUM(IF(AND(157&gt;='EDT Y TAREAS'!AK6,157&lt;'EDT Y TAREAS'!AL6),'EDT Y TAREAS'!AE6/'EDT Y TAREAS'!M6,0),IF(AND(157&gt;='EDT Y TAREAS'!AK8,157&lt;'EDT Y TAREAS'!AL8),'EDT Y TAREAS'!AE8/'EDT Y TAREAS'!M8,0),IF(AND(157&gt;='EDT Y TAREAS'!AK9,157&lt;'EDT Y TAREAS'!AL9),'EDT Y TAREAS'!AE9/'EDT Y TAREAS'!M9,0),IF(AND(157&gt;='EDT Y TAREAS'!AK10,157&lt;'EDT Y TAREAS'!AL10),'EDT Y TAREAS'!AE10/'EDT Y TAREAS'!M10,0),IF(AND(157&gt;='EDT Y TAREAS'!AK12,157&lt;'EDT Y TAREAS'!AL12),'EDT Y TAREAS'!AE12/'EDT Y TAREAS'!M12,0),IF(AND(157&gt;='EDT Y TAREAS'!AK16,157&lt;'EDT Y TAREAS'!AL16),'EDT Y TAREAS'!AE16/'EDT Y TAREAS'!M16,0),IF(AND(157&gt;='EDT Y TAREAS'!AK21,157&lt;'EDT Y TAREAS'!AL21),'EDT Y TAREAS'!AE21/'EDT Y TAREAS'!M21,0),IF(AND(157&gt;='EDT Y TAREAS'!AK23,157&lt;'EDT Y TAREAS'!AL23),'EDT Y TAREAS'!AE23/'EDT Y TAREAS'!M23,0),IF(AND(157&gt;='EDT Y TAREAS'!AK37,157&lt;'EDT Y TAREAS'!AL37),'EDT Y TAREAS'!AE37/'EDT Y TAREAS'!M37,0),IF(AND(157&gt;='EDT Y TAREAS'!AK38,157&lt;'EDT Y TAREAS'!AL38),'EDT Y TAREAS'!AE38/'EDT Y TAREAS'!M38,0),IF(AND(157&gt;='EDT Y TAREAS'!AK41,157&lt;'EDT Y TAREAS'!AL41),'EDT Y TAREAS'!AE41/'EDT Y TAREAS'!M41,0),IF(AND(157&gt;='EDT Y TAREAS'!AK43,157&lt;'EDT Y TAREAS'!AL43),'EDT Y TAREAS'!AE43/'EDT Y TAREAS'!M43,0),IF(AND(157&gt;='EDT Y TAREAS'!AK44,157&lt;'EDT Y TAREAS'!AL44),'EDT Y TAREAS'!AE44/'EDT Y TAREAS'!M44,0),IF(AND(157&gt;='EDT Y TAREAS'!AK46,157&lt;'EDT Y TAREAS'!AL46),'EDT Y TAREAS'!AE46/'EDT Y TAREAS'!M46,0),IF(AND(157&gt;='EDT Y TAREAS'!AK47,157&lt;'EDT Y TAREAS'!AL47),'EDT Y TAREAS'!AE47/'EDT Y TAREAS'!M47,0),IF(AND(157&gt;='EDT Y TAREAS'!AK51,157&lt;'EDT Y TAREAS'!AL51),'EDT Y TAREAS'!AE51/'EDT Y TAREAS'!M51,0),IF(AND(157&gt;='EDT Y TAREAS'!AK52,157&lt;'EDT Y TAREAS'!AL52),'EDT Y TAREAS'!AE52/'EDT Y TAREAS'!M52,0))</x:f>
        <x:v>0.4</x:v>
      </x:c>
      <x:c r="D197" s="35" t="n">
        <x:f>SUM(IF(AND(157&gt;='EDT Y TAREAS'!AK11,157&lt;'EDT Y TAREAS'!AL11),'EDT Y TAREAS'!AF11/'EDT Y TAREAS'!M11,0),IF(AND(157&gt;='EDT Y TAREAS'!AK24,157&lt;'EDT Y TAREAS'!AL24),'EDT Y TAREAS'!AF24/'EDT Y TAREAS'!M24,0),IF(AND(157&gt;='EDT Y TAREAS'!AK25,157&lt;'EDT Y TAREAS'!AL25),'EDT Y TAREAS'!AF25/'EDT Y TAREAS'!M25,0),IF(AND(157&gt;='EDT Y TAREAS'!AK26,157&lt;'EDT Y TAREAS'!AL26),'EDT Y TAREAS'!AF26/'EDT Y TAREAS'!M26,0),IF(AND(157&gt;='EDT Y TAREAS'!AK27,157&lt;'EDT Y TAREAS'!AL27),'EDT Y TAREAS'!AF27/'EDT Y TAREAS'!M27,0),IF(AND(157&gt;='EDT Y TAREAS'!AK28,157&lt;'EDT Y TAREAS'!AL28),'EDT Y TAREAS'!AF28/'EDT Y TAREAS'!M28,0),IF(AND(157&gt;='EDT Y TAREAS'!AK31,157&lt;'EDT Y TAREAS'!AL31),'EDT Y TAREAS'!AF31/'EDT Y TAREAS'!M31,0),IF(AND(157&gt;='EDT Y TAREAS'!AK33,157&lt;'EDT Y TAREAS'!AL33),'EDT Y TAREAS'!AF33/'EDT Y TAREAS'!M33,0),IF(AND(157&gt;='EDT Y TAREAS'!AK34,157&lt;'EDT Y TAREAS'!AL34),'EDT Y TAREAS'!AF34/'EDT Y TAREAS'!M34,0),IF(AND(157&gt;='EDT Y TAREAS'!AK35,157&lt;'EDT Y TAREAS'!AL35),'EDT Y TAREAS'!AF35/'EDT Y TAREAS'!M35,0),IF(AND(157&gt;='EDT Y TAREAS'!AK37,157&lt;'EDT Y TAREAS'!AL37),'EDT Y TAREAS'!AF37/'EDT Y TAREAS'!M37,0),IF(AND(157&gt;='EDT Y TAREAS'!AK39,157&lt;'EDT Y TAREAS'!AL39),'EDT Y TAREAS'!AF39/'EDT Y TAREAS'!M39,0),IF(AND(157&gt;='EDT Y TAREAS'!AK40,157&lt;'EDT Y TAREAS'!AL40),'EDT Y TAREAS'!AF40/'EDT Y TAREAS'!M40,0),IF(AND(157&gt;='EDT Y TAREAS'!AK42,157&lt;'EDT Y TAREAS'!AL42),'EDT Y TAREAS'!AF42/'EDT Y TAREAS'!M42,0),IF(AND(157&gt;='EDT Y TAREAS'!AK45,157&lt;'EDT Y TAREAS'!AL45),'EDT Y TAREAS'!AF45/'EDT Y TAREAS'!M45,0),IF(AND(157&gt;='EDT Y TAREAS'!AK49,157&lt;'EDT Y TAREAS'!AL49),'EDT Y TAREAS'!AF49/'EDT Y TAREAS'!M49,0),IF(AND(157&gt;='EDT Y TAREAS'!AK52,157&lt;'EDT Y TAREAS'!AL52),'EDT Y TAREAS'!AF52/'EDT Y TAREAS'!M52,0))</x:f>
        <x:v>0.8</x:v>
      </x:c>
      <x:c r="E197" s="35" t="n">
        <x:f>SUM(IF(AND(157&gt;='EDT Y TAREAS'!AK29,157&lt;'EDT Y TAREAS'!AL29),'EDT Y TAREAS'!AG29/'EDT Y TAREAS'!M29,0),IF(AND(157&gt;='EDT Y TAREAS'!AK30,157&lt;'EDT Y TAREAS'!AL30),'EDT Y TAREAS'!AG30/'EDT Y TAREAS'!M30,0),IF(AND(157&gt;='EDT Y TAREAS'!AK31,157&lt;'EDT Y TAREAS'!AL31),'EDT Y TAREAS'!AG31/'EDT Y TAREAS'!M31,0),IF(AND(157&gt;='EDT Y TAREAS'!AK32,157&lt;'EDT Y TAREAS'!AL32),'EDT Y TAREAS'!AG32/'EDT Y TAREAS'!M32,0),IF(AND(157&gt;='EDT Y TAREAS'!AK41,157&lt;'EDT Y TAREAS'!AL41),'EDT Y TAREAS'!AG41/'EDT Y TAREAS'!M41,0),IF(AND(157&gt;='EDT Y TAREAS'!AK45,157&lt;'EDT Y TAREAS'!AL45),'EDT Y TAREAS'!AG45/'EDT Y TAREAS'!M45,0),IF(AND(157&gt;='EDT Y TAREAS'!AK48,157&lt;'EDT Y TAREAS'!AL48),'EDT Y TAREAS'!AG48/'EDT Y TAREAS'!M48,0))</x:f>
        <x:v>0</x:v>
      </x:c>
      <x:c r="F197" s="35" t="n">
        <x:f>SUM(IF(AND(157&gt;='EDT Y TAREAS'!AK10,157&lt;'EDT Y TAREAS'!AL10),'EDT Y TAREAS'!AH10/'EDT Y TAREAS'!M10,0),IF(AND(157&gt;='EDT Y TAREAS'!AK12,157&lt;'EDT Y TAREAS'!AL12),'EDT Y TAREAS'!AH12/'EDT Y TAREAS'!M12,0),IF(AND(157&gt;='EDT Y TAREAS'!AK22,157&lt;'EDT Y TAREAS'!AL22),'EDT Y TAREAS'!AH22/'EDT Y TAREAS'!M22,0),IF(AND(157&gt;='EDT Y TAREAS'!AK23,157&lt;'EDT Y TAREAS'!AL23),'EDT Y TAREAS'!AH23/'EDT Y TAREAS'!M23,0),IF(AND(157&gt;='EDT Y TAREAS'!AK29,157&lt;'EDT Y TAREAS'!AL29),'EDT Y TAREAS'!AH29/'EDT Y TAREAS'!M29,0),IF(AND(157&gt;='EDT Y TAREAS'!AK30,157&lt;'EDT Y TAREAS'!AL30),'EDT Y TAREAS'!AH30/'EDT Y TAREAS'!M30,0),IF(AND(157&gt;='EDT Y TAREAS'!AK32,157&lt;'EDT Y TAREAS'!AL32),'EDT Y TAREAS'!AH32/'EDT Y TAREAS'!M32,0),IF(AND(157&gt;='EDT Y TAREAS'!AK41,157&lt;'EDT Y TAREAS'!AL41),'EDT Y TAREAS'!AH41/'EDT Y TAREAS'!M41,0),IF(AND(157&gt;='EDT Y TAREAS'!AK44,157&lt;'EDT Y TAREAS'!AL44),'EDT Y TAREAS'!AH44/'EDT Y TAREAS'!M44,0),IF(AND(157&gt;='EDT Y TAREAS'!AK46,157&lt;'EDT Y TAREAS'!AL46),'EDT Y TAREAS'!AH46/'EDT Y TAREAS'!M46,0),IF(AND(157&gt;='EDT Y TAREAS'!AK48,157&lt;'EDT Y TAREAS'!AL48),'EDT Y TAREAS'!AH48/'EDT Y TAREAS'!M48,0))</x:f>
        <x:v>0</x:v>
      </x:c>
      <x:c r="G197" s="35" t="n">
        <x:f>SUM(IF(AND(157&gt;='EDT Y TAREAS'!AK20,157&lt;'EDT Y TAREAS'!AL20),'EDT Y TAREAS'!AI20/'EDT Y TAREAS'!M20,0),IF(AND(157&gt;='EDT Y TAREAS'!AK25,157&lt;'EDT Y TAREAS'!AL25),'EDT Y TAREAS'!AI25/'EDT Y TAREAS'!M25,0),IF(AND(157&gt;='EDT Y TAREAS'!AK33,157&lt;'EDT Y TAREAS'!AL33),'EDT Y TAREAS'!AI33/'EDT Y TAREAS'!M33,0),IF(AND(157&gt;='EDT Y TAREAS'!AK34,157&lt;'EDT Y TAREAS'!AL34),'EDT Y TAREAS'!AI34/'EDT Y TAREAS'!M34,0),IF(AND(157&gt;='EDT Y TAREAS'!AK36,157&lt;'EDT Y TAREAS'!AL36),'EDT Y TAREAS'!AI36/'EDT Y TAREAS'!M36,0),IF(AND(157&gt;='EDT Y TAREAS'!AK39,157&lt;'EDT Y TAREAS'!AL39),'EDT Y TAREAS'!AI39/'EDT Y TAREAS'!M39,0),IF(AND(157&gt;='EDT Y TAREAS'!AK40,157&lt;'EDT Y TAREAS'!AL40),'EDT Y TAREAS'!AI40/'EDT Y TAREAS'!M40,0),IF(AND(157&gt;='EDT Y TAREAS'!AK42,157&lt;'EDT Y TAREAS'!AL42),'EDT Y TAREAS'!AI42/'EDT Y TAREAS'!M42,0),IF(AND(157&gt;='EDT Y TAREAS'!AK43,157&lt;'EDT Y TAREAS'!AL43),'EDT Y TAREAS'!AI43/'EDT Y TAREAS'!M43,0),IF(AND(157&gt;='EDT Y TAREAS'!AK44,157&lt;'EDT Y TAREAS'!AL44),'EDT Y TAREAS'!AI44/'EDT Y TAREAS'!M44,0),IF(AND(157&gt;='EDT Y TAREAS'!AK45,157&lt;'EDT Y TAREAS'!AL45),'EDT Y TAREAS'!AI45/'EDT Y TAREAS'!M45,0),IF(AND(157&gt;='EDT Y TAREAS'!AK46,157&lt;'EDT Y TAREAS'!AL46),'EDT Y TAREAS'!AI46/'EDT Y TAREAS'!M46,0),IF(AND(157&gt;='EDT Y TAREAS'!AK48,157&lt;'EDT Y TAREAS'!AL48),'EDT Y TAREAS'!AI48/'EDT Y TAREAS'!M48,0),IF(AND(157&gt;='EDT Y TAREAS'!AK50,157&lt;'EDT Y TAREAS'!AL50),'EDT Y TAREAS'!AI50/'EDT Y TAREAS'!M50,0),IF(AND(157&gt;='EDT Y TAREAS'!AK52,157&lt;'EDT Y TAREAS'!AL52),'EDT Y TAREAS'!AI52/'EDT Y TAREAS'!M52,0))</x:f>
        <x:v>0.8</x:v>
      </x:c>
      <x:c r="H197" s="35" t="n">
        <x:f>SUM(IF(AND(157&gt;='EDT Y TAREAS'!AK11,157&lt;'EDT Y TAREAS'!AL11),'EDT Y TAREAS'!AJ11/'EDT Y TAREAS'!M11,0),IF(AND(157&gt;='EDT Y TAREAS'!AK24,157&lt;'EDT Y TAREAS'!AL24),'EDT Y TAREAS'!AJ24/'EDT Y TAREAS'!M24,0),IF(AND(157&gt;='EDT Y TAREAS'!AK27,157&lt;'EDT Y TAREAS'!AL27),'EDT Y TAREAS'!AJ27/'EDT Y TAREAS'!M27,0),IF(AND(157&gt;='EDT Y TAREAS'!AK28,157&lt;'EDT Y TAREAS'!AL28),'EDT Y TAREAS'!AJ28/'EDT Y TAREAS'!M28,0),IF(AND(157&gt;='EDT Y TAREAS'!AK33,157&lt;'EDT Y TAREAS'!AL33),'EDT Y TAREAS'!AJ33/'EDT Y TAREAS'!M33,0),IF(AND(157&gt;='EDT Y TAREAS'!AK35,157&lt;'EDT Y TAREAS'!AL35),'EDT Y TAREAS'!AJ35/'EDT Y TAREAS'!M35,0),IF(AND(157&gt;='EDT Y TAREAS'!AK36,157&lt;'EDT Y TAREAS'!AL36),'EDT Y TAREAS'!AJ36/'EDT Y TAREAS'!M36,0),IF(AND(157&gt;='EDT Y TAREAS'!AK37,157&lt;'EDT Y TAREAS'!AL37),'EDT Y TAREAS'!AJ37/'EDT Y TAREAS'!M37,0),IF(AND(157&gt;='EDT Y TAREAS'!AK40,157&lt;'EDT Y TAREAS'!AL40),'EDT Y TAREAS'!AJ40/'EDT Y TAREAS'!M40,0),IF(AND(157&gt;='EDT Y TAREAS'!AK42,157&lt;'EDT Y TAREAS'!AL42),'EDT Y TAREAS'!AJ42/'EDT Y TAREAS'!M42,0),IF(AND(157&gt;='EDT Y TAREAS'!AK49,157&lt;'EDT Y TAREAS'!AL49),'EDT Y TAREAS'!AJ49/'EDT Y TAREAS'!M49,0),IF(AND(157&gt;='EDT Y TAREAS'!AK50,157&lt;'EDT Y TAREAS'!AL50),'EDT Y TAREAS'!AJ50/'EDT Y TAREAS'!M50,0),IF(AND(157&gt;='EDT Y TAREAS'!AK51,157&lt;'EDT Y TAREAS'!AL51),'EDT Y TAREAS'!AJ51/'EDT Y TAREAS'!M51,0),IF(AND(157&gt;='EDT Y TAREAS'!AK52,157&lt;'EDT Y TAREAS'!AL52),'EDT Y TAREAS'!AJ52/'EDT Y TAREAS'!M52,0))</x:f>
        <x:v>1.6</x:v>
      </x:c>
      <x:c r="I197" s="10" t="n">
        <x:f>WORKDAY('RESUMEN'!$D$3-1,A197,'RESUMEN'!$J$6:$J$25)</x:f>
        <x:v>46547</x:v>
      </x:c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  <x:c r="AL197" s="3"/>
      <x:c r="AM197" s="3"/>
      <x:c r="AN197" s="3"/>
      <x:c r="AO197" s="3"/>
    </x:row>
    <x:row r="198" ht="24" customHeight="1">
      <x:c r="A198" s="3" t="n">
        <x:v>159</x:v>
      </x:c>
      <x:c r="B198" s="35" t="n">
        <x:f>SUM(IF(AND(158&gt;='EDT Y TAREAS'!AK6,158&lt;'EDT Y TAREAS'!AL6),'EDT Y TAREAS'!AD6/'EDT Y TAREAS'!M6,0),IF(AND(158&gt;='EDT Y TAREAS'!AK7,158&lt;'EDT Y TAREAS'!AL7),'EDT Y TAREAS'!AD7/'EDT Y TAREAS'!M7,0),IF(AND(158&gt;='EDT Y TAREAS'!AK8,158&lt;'EDT Y TAREAS'!AL8),'EDT Y TAREAS'!AD8/'EDT Y TAREAS'!M8,0),IF(AND(158&gt;='EDT Y TAREAS'!AK9,158&lt;'EDT Y TAREAS'!AL9),'EDT Y TAREAS'!AD9/'EDT Y TAREAS'!M9,0),IF(AND(158&gt;='EDT Y TAREAS'!AK10,158&lt;'EDT Y TAREAS'!AL10),'EDT Y TAREAS'!AD10/'EDT Y TAREAS'!M10,0),IF(AND(158&gt;='EDT Y TAREAS'!AK11,158&lt;'EDT Y TAREAS'!AL11),'EDT Y TAREAS'!AD11/'EDT Y TAREAS'!M11,0),IF(AND(158&gt;='EDT Y TAREAS'!AK12,158&lt;'EDT Y TAREAS'!AL12),'EDT Y TAREAS'!AD12/'EDT Y TAREAS'!M12,0),IF(AND(158&gt;='EDT Y TAREAS'!AK13,158&lt;'EDT Y TAREAS'!AL13),'EDT Y TAREAS'!AD13/'EDT Y TAREAS'!M13,0),IF(AND(158&gt;='EDT Y TAREAS'!AK14,158&lt;'EDT Y TAREAS'!AL14),'EDT Y TAREAS'!AD14/'EDT Y TAREAS'!M14,0),IF(AND(158&gt;='EDT Y TAREAS'!AK15,158&lt;'EDT Y TAREAS'!AL15),'EDT Y TAREAS'!AD15/'EDT Y TAREAS'!M15,0),IF(AND(158&gt;='EDT Y TAREAS'!AK16,158&lt;'EDT Y TAREAS'!AL16),'EDT Y TAREAS'!AD16/'EDT Y TAREAS'!M16,0),IF(AND(158&gt;='EDT Y TAREAS'!AK17,158&lt;'EDT Y TAREAS'!AL17),'EDT Y TAREAS'!AD17/'EDT Y TAREAS'!M17,0),IF(AND(158&gt;='EDT Y TAREAS'!AK18,158&lt;'EDT Y TAREAS'!AL18),'EDT Y TAREAS'!AD18/'EDT Y TAREAS'!M18,0),IF(AND(158&gt;='EDT Y TAREAS'!AK19,158&lt;'EDT Y TAREAS'!AL19),'EDT Y TAREAS'!AD19/'EDT Y TAREAS'!M19,0),IF(AND(158&gt;='EDT Y TAREAS'!AK20,158&lt;'EDT Y TAREAS'!AL20),'EDT Y TAREAS'!AD20/'EDT Y TAREAS'!M20,0),IF(AND(158&gt;='EDT Y TAREAS'!AK21,158&lt;'EDT Y TAREAS'!AL21),'EDT Y TAREAS'!AD21/'EDT Y TAREAS'!M21,0),IF(AND(158&gt;='EDT Y TAREAS'!AK22,158&lt;'EDT Y TAREAS'!AL22),'EDT Y TAREAS'!AD22/'EDT Y TAREAS'!M22,0),IF(AND(158&gt;='EDT Y TAREAS'!AK23,158&lt;'EDT Y TAREAS'!AL23),'EDT Y TAREAS'!AD23/'EDT Y TAREAS'!M23,0),IF(AND(158&gt;='EDT Y TAREAS'!AK26,158&lt;'EDT Y TAREAS'!AL26),'EDT Y TAREAS'!AD26/'EDT Y TAREAS'!M26,0),IF(AND(158&gt;='EDT Y TAREAS'!AK28,158&lt;'EDT Y TAREAS'!AL28),'EDT Y TAREAS'!AD28/'EDT Y TAREAS'!M28,0),IF(AND(158&gt;='EDT Y TAREAS'!AK30,158&lt;'EDT Y TAREAS'!AL30),'EDT Y TAREAS'!AD30/'EDT Y TAREAS'!M30,0),IF(AND(158&gt;='EDT Y TAREAS'!AK32,158&lt;'EDT Y TAREAS'!AL32),'EDT Y TAREAS'!AD32/'EDT Y TAREAS'!M32,0),IF(AND(158&gt;='EDT Y TAREAS'!AK34,158&lt;'EDT Y TAREAS'!AL34),'EDT Y TAREAS'!AD34/'EDT Y TAREAS'!M34,0),IF(AND(158&gt;='EDT Y TAREAS'!AK38,158&lt;'EDT Y TAREAS'!AL38),'EDT Y TAREAS'!AD38/'EDT Y TAREAS'!M38,0),IF(AND(158&gt;='EDT Y TAREAS'!AK39,158&lt;'EDT Y TAREAS'!AL39),'EDT Y TAREAS'!AD39/'EDT Y TAREAS'!M39,0),IF(AND(158&gt;='EDT Y TAREAS'!AK43,158&lt;'EDT Y TAREAS'!AL43),'EDT Y TAREAS'!AD43/'EDT Y TAREAS'!M43,0),IF(AND(158&gt;='EDT Y TAREAS'!AK44,158&lt;'EDT Y TAREAS'!AL44),'EDT Y TAREAS'!AD44/'EDT Y TAREAS'!M44,0),IF(AND(158&gt;='EDT Y TAREAS'!AK45,158&lt;'EDT Y TAREAS'!AL45),'EDT Y TAREAS'!AD45/'EDT Y TAREAS'!M45,0),IF(AND(158&gt;='EDT Y TAREAS'!AK46,158&lt;'EDT Y TAREAS'!AL46),'EDT Y TAREAS'!AD46/'EDT Y TAREAS'!M46,0),IF(AND(158&gt;='EDT Y TAREAS'!AK47,158&lt;'EDT Y TAREAS'!AL47),'EDT Y TAREAS'!AD47/'EDT Y TAREAS'!M47,0),IF(AND(158&gt;='EDT Y TAREAS'!AK49,158&lt;'EDT Y TAREAS'!AL49),'EDT Y TAREAS'!AD49/'EDT Y TAREAS'!M49,0),IF(AND(158&gt;='EDT Y TAREAS'!AK50,158&lt;'EDT Y TAREAS'!AL50),'EDT Y TAREAS'!AD50/'EDT Y TAREAS'!M50,0),IF(AND(158&gt;='EDT Y TAREAS'!AK51,158&lt;'EDT Y TAREAS'!AL51),'EDT Y TAREAS'!AD51/'EDT Y TAREAS'!M51,0),IF(AND(158&gt;='EDT Y TAREAS'!AK52,158&lt;'EDT Y TAREAS'!AL52),'EDT Y TAREAS'!AD52/'EDT Y TAREAS'!M52,0))</x:f>
        <x:v>1.6</x:v>
      </x:c>
      <x:c r="C198" s="35" t="n">
        <x:f>SUM(IF(AND(158&gt;='EDT Y TAREAS'!AK6,158&lt;'EDT Y TAREAS'!AL6),'EDT Y TAREAS'!AE6/'EDT Y TAREAS'!M6,0),IF(AND(158&gt;='EDT Y TAREAS'!AK8,158&lt;'EDT Y TAREAS'!AL8),'EDT Y TAREAS'!AE8/'EDT Y TAREAS'!M8,0),IF(AND(158&gt;='EDT Y TAREAS'!AK9,158&lt;'EDT Y TAREAS'!AL9),'EDT Y TAREAS'!AE9/'EDT Y TAREAS'!M9,0),IF(AND(158&gt;='EDT Y TAREAS'!AK10,158&lt;'EDT Y TAREAS'!AL10),'EDT Y TAREAS'!AE10/'EDT Y TAREAS'!M10,0),IF(AND(158&gt;='EDT Y TAREAS'!AK12,158&lt;'EDT Y TAREAS'!AL12),'EDT Y TAREAS'!AE12/'EDT Y TAREAS'!M12,0),IF(AND(158&gt;='EDT Y TAREAS'!AK16,158&lt;'EDT Y TAREAS'!AL16),'EDT Y TAREAS'!AE16/'EDT Y TAREAS'!M16,0),IF(AND(158&gt;='EDT Y TAREAS'!AK21,158&lt;'EDT Y TAREAS'!AL21),'EDT Y TAREAS'!AE21/'EDT Y TAREAS'!M21,0),IF(AND(158&gt;='EDT Y TAREAS'!AK23,158&lt;'EDT Y TAREAS'!AL23),'EDT Y TAREAS'!AE23/'EDT Y TAREAS'!M23,0),IF(AND(158&gt;='EDT Y TAREAS'!AK37,158&lt;'EDT Y TAREAS'!AL37),'EDT Y TAREAS'!AE37/'EDT Y TAREAS'!M37,0),IF(AND(158&gt;='EDT Y TAREAS'!AK38,158&lt;'EDT Y TAREAS'!AL38),'EDT Y TAREAS'!AE38/'EDT Y TAREAS'!M38,0),IF(AND(158&gt;='EDT Y TAREAS'!AK41,158&lt;'EDT Y TAREAS'!AL41),'EDT Y TAREAS'!AE41/'EDT Y TAREAS'!M41,0),IF(AND(158&gt;='EDT Y TAREAS'!AK43,158&lt;'EDT Y TAREAS'!AL43),'EDT Y TAREAS'!AE43/'EDT Y TAREAS'!M43,0),IF(AND(158&gt;='EDT Y TAREAS'!AK44,158&lt;'EDT Y TAREAS'!AL44),'EDT Y TAREAS'!AE44/'EDT Y TAREAS'!M44,0),IF(AND(158&gt;='EDT Y TAREAS'!AK46,158&lt;'EDT Y TAREAS'!AL46),'EDT Y TAREAS'!AE46/'EDT Y TAREAS'!M46,0),IF(AND(158&gt;='EDT Y TAREAS'!AK47,158&lt;'EDT Y TAREAS'!AL47),'EDT Y TAREAS'!AE47/'EDT Y TAREAS'!M47,0),IF(AND(158&gt;='EDT Y TAREAS'!AK51,158&lt;'EDT Y TAREAS'!AL51),'EDT Y TAREAS'!AE51/'EDT Y TAREAS'!M51,0),IF(AND(158&gt;='EDT Y TAREAS'!AK52,158&lt;'EDT Y TAREAS'!AL52),'EDT Y TAREAS'!AE52/'EDT Y TAREAS'!M52,0))</x:f>
        <x:v>0.4</x:v>
      </x:c>
      <x:c r="D198" s="35" t="n">
        <x:f>SUM(IF(AND(158&gt;='EDT Y TAREAS'!AK11,158&lt;'EDT Y TAREAS'!AL11),'EDT Y TAREAS'!AF11/'EDT Y TAREAS'!M11,0),IF(AND(158&gt;='EDT Y TAREAS'!AK24,158&lt;'EDT Y TAREAS'!AL24),'EDT Y TAREAS'!AF24/'EDT Y TAREAS'!M24,0),IF(AND(158&gt;='EDT Y TAREAS'!AK25,158&lt;'EDT Y TAREAS'!AL25),'EDT Y TAREAS'!AF25/'EDT Y TAREAS'!M25,0),IF(AND(158&gt;='EDT Y TAREAS'!AK26,158&lt;'EDT Y TAREAS'!AL26),'EDT Y TAREAS'!AF26/'EDT Y TAREAS'!M26,0),IF(AND(158&gt;='EDT Y TAREAS'!AK27,158&lt;'EDT Y TAREAS'!AL27),'EDT Y TAREAS'!AF27/'EDT Y TAREAS'!M27,0),IF(AND(158&gt;='EDT Y TAREAS'!AK28,158&lt;'EDT Y TAREAS'!AL28),'EDT Y TAREAS'!AF28/'EDT Y TAREAS'!M28,0),IF(AND(158&gt;='EDT Y TAREAS'!AK31,158&lt;'EDT Y TAREAS'!AL31),'EDT Y TAREAS'!AF31/'EDT Y TAREAS'!M31,0),IF(AND(158&gt;='EDT Y TAREAS'!AK33,158&lt;'EDT Y TAREAS'!AL33),'EDT Y TAREAS'!AF33/'EDT Y TAREAS'!M33,0),IF(AND(158&gt;='EDT Y TAREAS'!AK34,158&lt;'EDT Y TAREAS'!AL34),'EDT Y TAREAS'!AF34/'EDT Y TAREAS'!M34,0),IF(AND(158&gt;='EDT Y TAREAS'!AK35,158&lt;'EDT Y TAREAS'!AL35),'EDT Y TAREAS'!AF35/'EDT Y TAREAS'!M35,0),IF(AND(158&gt;='EDT Y TAREAS'!AK37,158&lt;'EDT Y TAREAS'!AL37),'EDT Y TAREAS'!AF37/'EDT Y TAREAS'!M37,0),IF(AND(158&gt;='EDT Y TAREAS'!AK39,158&lt;'EDT Y TAREAS'!AL39),'EDT Y TAREAS'!AF39/'EDT Y TAREAS'!M39,0),IF(AND(158&gt;='EDT Y TAREAS'!AK40,158&lt;'EDT Y TAREAS'!AL40),'EDT Y TAREAS'!AF40/'EDT Y TAREAS'!M40,0),IF(AND(158&gt;='EDT Y TAREAS'!AK42,158&lt;'EDT Y TAREAS'!AL42),'EDT Y TAREAS'!AF42/'EDT Y TAREAS'!M42,0),IF(AND(158&gt;='EDT Y TAREAS'!AK45,158&lt;'EDT Y TAREAS'!AL45),'EDT Y TAREAS'!AF45/'EDT Y TAREAS'!M45,0),IF(AND(158&gt;='EDT Y TAREAS'!AK49,158&lt;'EDT Y TAREAS'!AL49),'EDT Y TAREAS'!AF49/'EDT Y TAREAS'!M49,0),IF(AND(158&gt;='EDT Y TAREAS'!AK52,158&lt;'EDT Y TAREAS'!AL52),'EDT Y TAREAS'!AF52/'EDT Y TAREAS'!M52,0))</x:f>
        <x:v>0.8</x:v>
      </x:c>
      <x:c r="E198" s="35" t="n">
        <x:f>SUM(IF(AND(158&gt;='EDT Y TAREAS'!AK29,158&lt;'EDT Y TAREAS'!AL29),'EDT Y TAREAS'!AG29/'EDT Y TAREAS'!M29,0),IF(AND(158&gt;='EDT Y TAREAS'!AK30,158&lt;'EDT Y TAREAS'!AL30),'EDT Y TAREAS'!AG30/'EDT Y TAREAS'!M30,0),IF(AND(158&gt;='EDT Y TAREAS'!AK31,158&lt;'EDT Y TAREAS'!AL31),'EDT Y TAREAS'!AG31/'EDT Y TAREAS'!M31,0),IF(AND(158&gt;='EDT Y TAREAS'!AK32,158&lt;'EDT Y TAREAS'!AL32),'EDT Y TAREAS'!AG32/'EDT Y TAREAS'!M32,0),IF(AND(158&gt;='EDT Y TAREAS'!AK41,158&lt;'EDT Y TAREAS'!AL41),'EDT Y TAREAS'!AG41/'EDT Y TAREAS'!M41,0),IF(AND(158&gt;='EDT Y TAREAS'!AK45,158&lt;'EDT Y TAREAS'!AL45),'EDT Y TAREAS'!AG45/'EDT Y TAREAS'!M45,0),IF(AND(158&gt;='EDT Y TAREAS'!AK48,158&lt;'EDT Y TAREAS'!AL48),'EDT Y TAREAS'!AG48/'EDT Y TAREAS'!M48,0))</x:f>
        <x:v>0</x:v>
      </x:c>
      <x:c r="F198" s="35" t="n">
        <x:f>SUM(IF(AND(158&gt;='EDT Y TAREAS'!AK10,158&lt;'EDT Y TAREAS'!AL10),'EDT Y TAREAS'!AH10/'EDT Y TAREAS'!M10,0),IF(AND(158&gt;='EDT Y TAREAS'!AK12,158&lt;'EDT Y TAREAS'!AL12),'EDT Y TAREAS'!AH12/'EDT Y TAREAS'!M12,0),IF(AND(158&gt;='EDT Y TAREAS'!AK22,158&lt;'EDT Y TAREAS'!AL22),'EDT Y TAREAS'!AH22/'EDT Y TAREAS'!M22,0),IF(AND(158&gt;='EDT Y TAREAS'!AK23,158&lt;'EDT Y TAREAS'!AL23),'EDT Y TAREAS'!AH23/'EDT Y TAREAS'!M23,0),IF(AND(158&gt;='EDT Y TAREAS'!AK29,158&lt;'EDT Y TAREAS'!AL29),'EDT Y TAREAS'!AH29/'EDT Y TAREAS'!M29,0),IF(AND(158&gt;='EDT Y TAREAS'!AK30,158&lt;'EDT Y TAREAS'!AL30),'EDT Y TAREAS'!AH30/'EDT Y TAREAS'!M30,0),IF(AND(158&gt;='EDT Y TAREAS'!AK32,158&lt;'EDT Y TAREAS'!AL32),'EDT Y TAREAS'!AH32/'EDT Y TAREAS'!M32,0),IF(AND(158&gt;='EDT Y TAREAS'!AK41,158&lt;'EDT Y TAREAS'!AL41),'EDT Y TAREAS'!AH41/'EDT Y TAREAS'!M41,0),IF(AND(158&gt;='EDT Y TAREAS'!AK44,158&lt;'EDT Y TAREAS'!AL44),'EDT Y TAREAS'!AH44/'EDT Y TAREAS'!M44,0),IF(AND(158&gt;='EDT Y TAREAS'!AK46,158&lt;'EDT Y TAREAS'!AL46),'EDT Y TAREAS'!AH46/'EDT Y TAREAS'!M46,0),IF(AND(158&gt;='EDT Y TAREAS'!AK48,158&lt;'EDT Y TAREAS'!AL48),'EDT Y TAREAS'!AH48/'EDT Y TAREAS'!M48,0))</x:f>
        <x:v>0</x:v>
      </x:c>
      <x:c r="G198" s="35" t="n">
        <x:f>SUM(IF(AND(158&gt;='EDT Y TAREAS'!AK20,158&lt;'EDT Y TAREAS'!AL20),'EDT Y TAREAS'!AI20/'EDT Y TAREAS'!M20,0),IF(AND(158&gt;='EDT Y TAREAS'!AK25,158&lt;'EDT Y TAREAS'!AL25),'EDT Y TAREAS'!AI25/'EDT Y TAREAS'!M25,0),IF(AND(158&gt;='EDT Y TAREAS'!AK33,158&lt;'EDT Y TAREAS'!AL33),'EDT Y TAREAS'!AI33/'EDT Y TAREAS'!M33,0),IF(AND(158&gt;='EDT Y TAREAS'!AK34,158&lt;'EDT Y TAREAS'!AL34),'EDT Y TAREAS'!AI34/'EDT Y TAREAS'!M34,0),IF(AND(158&gt;='EDT Y TAREAS'!AK36,158&lt;'EDT Y TAREAS'!AL36),'EDT Y TAREAS'!AI36/'EDT Y TAREAS'!M36,0),IF(AND(158&gt;='EDT Y TAREAS'!AK39,158&lt;'EDT Y TAREAS'!AL39),'EDT Y TAREAS'!AI39/'EDT Y TAREAS'!M39,0),IF(AND(158&gt;='EDT Y TAREAS'!AK40,158&lt;'EDT Y TAREAS'!AL40),'EDT Y TAREAS'!AI40/'EDT Y TAREAS'!M40,0),IF(AND(158&gt;='EDT Y TAREAS'!AK42,158&lt;'EDT Y TAREAS'!AL42),'EDT Y TAREAS'!AI42/'EDT Y TAREAS'!M42,0),IF(AND(158&gt;='EDT Y TAREAS'!AK43,158&lt;'EDT Y TAREAS'!AL43),'EDT Y TAREAS'!AI43/'EDT Y TAREAS'!M43,0),IF(AND(158&gt;='EDT Y TAREAS'!AK44,158&lt;'EDT Y TAREAS'!AL44),'EDT Y TAREAS'!AI44/'EDT Y TAREAS'!M44,0),IF(AND(158&gt;='EDT Y TAREAS'!AK45,158&lt;'EDT Y TAREAS'!AL45),'EDT Y TAREAS'!AI45/'EDT Y TAREAS'!M45,0),IF(AND(158&gt;='EDT Y TAREAS'!AK46,158&lt;'EDT Y TAREAS'!AL46),'EDT Y TAREAS'!AI46/'EDT Y TAREAS'!M46,0),IF(AND(158&gt;='EDT Y TAREAS'!AK48,158&lt;'EDT Y TAREAS'!AL48),'EDT Y TAREAS'!AI48/'EDT Y TAREAS'!M48,0),IF(AND(158&gt;='EDT Y TAREAS'!AK50,158&lt;'EDT Y TAREAS'!AL50),'EDT Y TAREAS'!AI50/'EDT Y TAREAS'!M50,0),IF(AND(158&gt;='EDT Y TAREAS'!AK52,158&lt;'EDT Y TAREAS'!AL52),'EDT Y TAREAS'!AI52/'EDT Y TAREAS'!M52,0))</x:f>
        <x:v>0.8</x:v>
      </x:c>
      <x:c r="H198" s="35" t="n">
        <x:f>SUM(IF(AND(158&gt;='EDT Y TAREAS'!AK11,158&lt;'EDT Y TAREAS'!AL11),'EDT Y TAREAS'!AJ11/'EDT Y TAREAS'!M11,0),IF(AND(158&gt;='EDT Y TAREAS'!AK24,158&lt;'EDT Y TAREAS'!AL24),'EDT Y TAREAS'!AJ24/'EDT Y TAREAS'!M24,0),IF(AND(158&gt;='EDT Y TAREAS'!AK27,158&lt;'EDT Y TAREAS'!AL27),'EDT Y TAREAS'!AJ27/'EDT Y TAREAS'!M27,0),IF(AND(158&gt;='EDT Y TAREAS'!AK28,158&lt;'EDT Y TAREAS'!AL28),'EDT Y TAREAS'!AJ28/'EDT Y TAREAS'!M28,0),IF(AND(158&gt;='EDT Y TAREAS'!AK33,158&lt;'EDT Y TAREAS'!AL33),'EDT Y TAREAS'!AJ33/'EDT Y TAREAS'!M33,0),IF(AND(158&gt;='EDT Y TAREAS'!AK35,158&lt;'EDT Y TAREAS'!AL35),'EDT Y TAREAS'!AJ35/'EDT Y TAREAS'!M35,0),IF(AND(158&gt;='EDT Y TAREAS'!AK36,158&lt;'EDT Y TAREAS'!AL36),'EDT Y TAREAS'!AJ36/'EDT Y TAREAS'!M36,0),IF(AND(158&gt;='EDT Y TAREAS'!AK37,158&lt;'EDT Y TAREAS'!AL37),'EDT Y TAREAS'!AJ37/'EDT Y TAREAS'!M37,0),IF(AND(158&gt;='EDT Y TAREAS'!AK40,158&lt;'EDT Y TAREAS'!AL40),'EDT Y TAREAS'!AJ40/'EDT Y TAREAS'!M40,0),IF(AND(158&gt;='EDT Y TAREAS'!AK42,158&lt;'EDT Y TAREAS'!AL42),'EDT Y TAREAS'!AJ42/'EDT Y TAREAS'!M42,0),IF(AND(158&gt;='EDT Y TAREAS'!AK49,158&lt;'EDT Y TAREAS'!AL49),'EDT Y TAREAS'!AJ49/'EDT Y TAREAS'!M49,0),IF(AND(158&gt;='EDT Y TAREAS'!AK50,158&lt;'EDT Y TAREAS'!AL50),'EDT Y TAREAS'!AJ50/'EDT Y TAREAS'!M50,0),IF(AND(158&gt;='EDT Y TAREAS'!AK51,158&lt;'EDT Y TAREAS'!AL51),'EDT Y TAREAS'!AJ51/'EDT Y TAREAS'!M51,0),IF(AND(158&gt;='EDT Y TAREAS'!AK52,158&lt;'EDT Y TAREAS'!AL52),'EDT Y TAREAS'!AJ52/'EDT Y TAREAS'!M52,0))</x:f>
        <x:v>1.6</x:v>
      </x:c>
      <x:c r="I198" s="10" t="n">
        <x:f>WORKDAY('RESUMEN'!$D$3-1,A198,'RESUMEN'!$J$6:$J$25)</x:f>
        <x:v>46548</x:v>
      </x:c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  <x:c r="AL198" s="3"/>
      <x:c r="AM198" s="3"/>
      <x:c r="AN198" s="3"/>
      <x:c r="AO198" s="3"/>
    </x:row>
    <x:row r="199" ht="24" customHeight="1">
      <x:c r="A199" s="3" t="n">
        <x:v>160</x:v>
      </x:c>
      <x:c r="B199" s="35" t="n">
        <x:f>SUM(IF(AND(159&gt;='EDT Y TAREAS'!AK6,159&lt;'EDT Y TAREAS'!AL6),'EDT Y TAREAS'!AD6/'EDT Y TAREAS'!M6,0),IF(AND(159&gt;='EDT Y TAREAS'!AK7,159&lt;'EDT Y TAREAS'!AL7),'EDT Y TAREAS'!AD7/'EDT Y TAREAS'!M7,0),IF(AND(159&gt;='EDT Y TAREAS'!AK8,159&lt;'EDT Y TAREAS'!AL8),'EDT Y TAREAS'!AD8/'EDT Y TAREAS'!M8,0),IF(AND(159&gt;='EDT Y TAREAS'!AK9,159&lt;'EDT Y TAREAS'!AL9),'EDT Y TAREAS'!AD9/'EDT Y TAREAS'!M9,0),IF(AND(159&gt;='EDT Y TAREAS'!AK10,159&lt;'EDT Y TAREAS'!AL10),'EDT Y TAREAS'!AD10/'EDT Y TAREAS'!M10,0),IF(AND(159&gt;='EDT Y TAREAS'!AK11,159&lt;'EDT Y TAREAS'!AL11),'EDT Y TAREAS'!AD11/'EDT Y TAREAS'!M11,0),IF(AND(159&gt;='EDT Y TAREAS'!AK12,159&lt;'EDT Y TAREAS'!AL12),'EDT Y TAREAS'!AD12/'EDT Y TAREAS'!M12,0),IF(AND(159&gt;='EDT Y TAREAS'!AK13,159&lt;'EDT Y TAREAS'!AL13),'EDT Y TAREAS'!AD13/'EDT Y TAREAS'!M13,0),IF(AND(159&gt;='EDT Y TAREAS'!AK14,159&lt;'EDT Y TAREAS'!AL14),'EDT Y TAREAS'!AD14/'EDT Y TAREAS'!M14,0),IF(AND(159&gt;='EDT Y TAREAS'!AK15,159&lt;'EDT Y TAREAS'!AL15),'EDT Y TAREAS'!AD15/'EDT Y TAREAS'!M15,0),IF(AND(159&gt;='EDT Y TAREAS'!AK16,159&lt;'EDT Y TAREAS'!AL16),'EDT Y TAREAS'!AD16/'EDT Y TAREAS'!M16,0),IF(AND(159&gt;='EDT Y TAREAS'!AK17,159&lt;'EDT Y TAREAS'!AL17),'EDT Y TAREAS'!AD17/'EDT Y TAREAS'!M17,0),IF(AND(159&gt;='EDT Y TAREAS'!AK18,159&lt;'EDT Y TAREAS'!AL18),'EDT Y TAREAS'!AD18/'EDT Y TAREAS'!M18,0),IF(AND(159&gt;='EDT Y TAREAS'!AK19,159&lt;'EDT Y TAREAS'!AL19),'EDT Y TAREAS'!AD19/'EDT Y TAREAS'!M19,0),IF(AND(159&gt;='EDT Y TAREAS'!AK20,159&lt;'EDT Y TAREAS'!AL20),'EDT Y TAREAS'!AD20/'EDT Y TAREAS'!M20,0),IF(AND(159&gt;='EDT Y TAREAS'!AK21,159&lt;'EDT Y TAREAS'!AL21),'EDT Y TAREAS'!AD21/'EDT Y TAREAS'!M21,0),IF(AND(159&gt;='EDT Y TAREAS'!AK22,159&lt;'EDT Y TAREAS'!AL22),'EDT Y TAREAS'!AD22/'EDT Y TAREAS'!M22,0),IF(AND(159&gt;='EDT Y TAREAS'!AK23,159&lt;'EDT Y TAREAS'!AL23),'EDT Y TAREAS'!AD23/'EDT Y TAREAS'!M23,0),IF(AND(159&gt;='EDT Y TAREAS'!AK26,159&lt;'EDT Y TAREAS'!AL26),'EDT Y TAREAS'!AD26/'EDT Y TAREAS'!M26,0),IF(AND(159&gt;='EDT Y TAREAS'!AK28,159&lt;'EDT Y TAREAS'!AL28),'EDT Y TAREAS'!AD28/'EDT Y TAREAS'!M28,0),IF(AND(159&gt;='EDT Y TAREAS'!AK30,159&lt;'EDT Y TAREAS'!AL30),'EDT Y TAREAS'!AD30/'EDT Y TAREAS'!M30,0),IF(AND(159&gt;='EDT Y TAREAS'!AK32,159&lt;'EDT Y TAREAS'!AL32),'EDT Y TAREAS'!AD32/'EDT Y TAREAS'!M32,0),IF(AND(159&gt;='EDT Y TAREAS'!AK34,159&lt;'EDT Y TAREAS'!AL34),'EDT Y TAREAS'!AD34/'EDT Y TAREAS'!M34,0),IF(AND(159&gt;='EDT Y TAREAS'!AK38,159&lt;'EDT Y TAREAS'!AL38),'EDT Y TAREAS'!AD38/'EDT Y TAREAS'!M38,0),IF(AND(159&gt;='EDT Y TAREAS'!AK39,159&lt;'EDT Y TAREAS'!AL39),'EDT Y TAREAS'!AD39/'EDT Y TAREAS'!M39,0),IF(AND(159&gt;='EDT Y TAREAS'!AK43,159&lt;'EDT Y TAREAS'!AL43),'EDT Y TAREAS'!AD43/'EDT Y TAREAS'!M43,0),IF(AND(159&gt;='EDT Y TAREAS'!AK44,159&lt;'EDT Y TAREAS'!AL44),'EDT Y TAREAS'!AD44/'EDT Y TAREAS'!M44,0),IF(AND(159&gt;='EDT Y TAREAS'!AK45,159&lt;'EDT Y TAREAS'!AL45),'EDT Y TAREAS'!AD45/'EDT Y TAREAS'!M45,0),IF(AND(159&gt;='EDT Y TAREAS'!AK46,159&lt;'EDT Y TAREAS'!AL46),'EDT Y TAREAS'!AD46/'EDT Y TAREAS'!M46,0),IF(AND(159&gt;='EDT Y TAREAS'!AK47,159&lt;'EDT Y TAREAS'!AL47),'EDT Y TAREAS'!AD47/'EDT Y TAREAS'!M47,0),IF(AND(159&gt;='EDT Y TAREAS'!AK49,159&lt;'EDT Y TAREAS'!AL49),'EDT Y TAREAS'!AD49/'EDT Y TAREAS'!M49,0),IF(AND(159&gt;='EDT Y TAREAS'!AK50,159&lt;'EDT Y TAREAS'!AL50),'EDT Y TAREAS'!AD50/'EDT Y TAREAS'!M50,0),IF(AND(159&gt;='EDT Y TAREAS'!AK51,159&lt;'EDT Y TAREAS'!AL51),'EDT Y TAREAS'!AD51/'EDT Y TAREAS'!M51,0),IF(AND(159&gt;='EDT Y TAREAS'!AK52,159&lt;'EDT Y TAREAS'!AL52),'EDT Y TAREAS'!AD52/'EDT Y TAREAS'!M52,0))</x:f>
        <x:v>0</x:v>
      </x:c>
      <x:c r="C199" s="35" t="n">
        <x:f>SUM(IF(AND(159&gt;='EDT Y TAREAS'!AK6,159&lt;'EDT Y TAREAS'!AL6),'EDT Y TAREAS'!AE6/'EDT Y TAREAS'!M6,0),IF(AND(159&gt;='EDT Y TAREAS'!AK8,159&lt;'EDT Y TAREAS'!AL8),'EDT Y TAREAS'!AE8/'EDT Y TAREAS'!M8,0),IF(AND(159&gt;='EDT Y TAREAS'!AK9,159&lt;'EDT Y TAREAS'!AL9),'EDT Y TAREAS'!AE9/'EDT Y TAREAS'!M9,0),IF(AND(159&gt;='EDT Y TAREAS'!AK10,159&lt;'EDT Y TAREAS'!AL10),'EDT Y TAREAS'!AE10/'EDT Y TAREAS'!M10,0),IF(AND(159&gt;='EDT Y TAREAS'!AK12,159&lt;'EDT Y TAREAS'!AL12),'EDT Y TAREAS'!AE12/'EDT Y TAREAS'!M12,0),IF(AND(159&gt;='EDT Y TAREAS'!AK16,159&lt;'EDT Y TAREAS'!AL16),'EDT Y TAREAS'!AE16/'EDT Y TAREAS'!M16,0),IF(AND(159&gt;='EDT Y TAREAS'!AK21,159&lt;'EDT Y TAREAS'!AL21),'EDT Y TAREAS'!AE21/'EDT Y TAREAS'!M21,0),IF(AND(159&gt;='EDT Y TAREAS'!AK23,159&lt;'EDT Y TAREAS'!AL23),'EDT Y TAREAS'!AE23/'EDT Y TAREAS'!M23,0),IF(AND(159&gt;='EDT Y TAREAS'!AK37,159&lt;'EDT Y TAREAS'!AL37),'EDT Y TAREAS'!AE37/'EDT Y TAREAS'!M37,0),IF(AND(159&gt;='EDT Y TAREAS'!AK38,159&lt;'EDT Y TAREAS'!AL38),'EDT Y TAREAS'!AE38/'EDT Y TAREAS'!M38,0),IF(AND(159&gt;='EDT Y TAREAS'!AK41,159&lt;'EDT Y TAREAS'!AL41),'EDT Y TAREAS'!AE41/'EDT Y TAREAS'!M41,0),IF(AND(159&gt;='EDT Y TAREAS'!AK43,159&lt;'EDT Y TAREAS'!AL43),'EDT Y TAREAS'!AE43/'EDT Y TAREAS'!M43,0),IF(AND(159&gt;='EDT Y TAREAS'!AK44,159&lt;'EDT Y TAREAS'!AL44),'EDT Y TAREAS'!AE44/'EDT Y TAREAS'!M44,0),IF(AND(159&gt;='EDT Y TAREAS'!AK46,159&lt;'EDT Y TAREAS'!AL46),'EDT Y TAREAS'!AE46/'EDT Y TAREAS'!M46,0),IF(AND(159&gt;='EDT Y TAREAS'!AK47,159&lt;'EDT Y TAREAS'!AL47),'EDT Y TAREAS'!AE47/'EDT Y TAREAS'!M47,0),IF(AND(159&gt;='EDT Y TAREAS'!AK51,159&lt;'EDT Y TAREAS'!AL51),'EDT Y TAREAS'!AE51/'EDT Y TAREAS'!M51,0),IF(AND(159&gt;='EDT Y TAREAS'!AK52,159&lt;'EDT Y TAREAS'!AL52),'EDT Y TAREAS'!AE52/'EDT Y TAREAS'!M52,0))</x:f>
        <x:v>0</x:v>
      </x:c>
      <x:c r="D199" s="35" t="n">
        <x:f>SUM(IF(AND(159&gt;='EDT Y TAREAS'!AK11,159&lt;'EDT Y TAREAS'!AL11),'EDT Y TAREAS'!AF11/'EDT Y TAREAS'!M11,0),IF(AND(159&gt;='EDT Y TAREAS'!AK24,159&lt;'EDT Y TAREAS'!AL24),'EDT Y TAREAS'!AF24/'EDT Y TAREAS'!M24,0),IF(AND(159&gt;='EDT Y TAREAS'!AK25,159&lt;'EDT Y TAREAS'!AL25),'EDT Y TAREAS'!AF25/'EDT Y TAREAS'!M25,0),IF(AND(159&gt;='EDT Y TAREAS'!AK26,159&lt;'EDT Y TAREAS'!AL26),'EDT Y TAREAS'!AF26/'EDT Y TAREAS'!M26,0),IF(AND(159&gt;='EDT Y TAREAS'!AK27,159&lt;'EDT Y TAREAS'!AL27),'EDT Y TAREAS'!AF27/'EDT Y TAREAS'!M27,0),IF(AND(159&gt;='EDT Y TAREAS'!AK28,159&lt;'EDT Y TAREAS'!AL28),'EDT Y TAREAS'!AF28/'EDT Y TAREAS'!M28,0),IF(AND(159&gt;='EDT Y TAREAS'!AK31,159&lt;'EDT Y TAREAS'!AL31),'EDT Y TAREAS'!AF31/'EDT Y TAREAS'!M31,0),IF(AND(159&gt;='EDT Y TAREAS'!AK33,159&lt;'EDT Y TAREAS'!AL33),'EDT Y TAREAS'!AF33/'EDT Y TAREAS'!M33,0),IF(AND(159&gt;='EDT Y TAREAS'!AK34,159&lt;'EDT Y TAREAS'!AL34),'EDT Y TAREAS'!AF34/'EDT Y TAREAS'!M34,0),IF(AND(159&gt;='EDT Y TAREAS'!AK35,159&lt;'EDT Y TAREAS'!AL35),'EDT Y TAREAS'!AF35/'EDT Y TAREAS'!M35,0),IF(AND(159&gt;='EDT Y TAREAS'!AK37,159&lt;'EDT Y TAREAS'!AL37),'EDT Y TAREAS'!AF37/'EDT Y TAREAS'!M37,0),IF(AND(159&gt;='EDT Y TAREAS'!AK39,159&lt;'EDT Y TAREAS'!AL39),'EDT Y TAREAS'!AF39/'EDT Y TAREAS'!M39,0),IF(AND(159&gt;='EDT Y TAREAS'!AK40,159&lt;'EDT Y TAREAS'!AL40),'EDT Y TAREAS'!AF40/'EDT Y TAREAS'!M40,0),IF(AND(159&gt;='EDT Y TAREAS'!AK42,159&lt;'EDT Y TAREAS'!AL42),'EDT Y TAREAS'!AF42/'EDT Y TAREAS'!M42,0),IF(AND(159&gt;='EDT Y TAREAS'!AK45,159&lt;'EDT Y TAREAS'!AL45),'EDT Y TAREAS'!AF45/'EDT Y TAREAS'!M45,0),IF(AND(159&gt;='EDT Y TAREAS'!AK49,159&lt;'EDT Y TAREAS'!AL49),'EDT Y TAREAS'!AF49/'EDT Y TAREAS'!M49,0),IF(AND(159&gt;='EDT Y TAREAS'!AK52,159&lt;'EDT Y TAREAS'!AL52),'EDT Y TAREAS'!AF52/'EDT Y TAREAS'!M52,0))</x:f>
        <x:v>0</x:v>
      </x:c>
      <x:c r="E199" s="35" t="n">
        <x:f>SUM(IF(AND(159&gt;='EDT Y TAREAS'!AK29,159&lt;'EDT Y TAREAS'!AL29),'EDT Y TAREAS'!AG29/'EDT Y TAREAS'!M29,0),IF(AND(159&gt;='EDT Y TAREAS'!AK30,159&lt;'EDT Y TAREAS'!AL30),'EDT Y TAREAS'!AG30/'EDT Y TAREAS'!M30,0),IF(AND(159&gt;='EDT Y TAREAS'!AK31,159&lt;'EDT Y TAREAS'!AL31),'EDT Y TAREAS'!AG31/'EDT Y TAREAS'!M31,0),IF(AND(159&gt;='EDT Y TAREAS'!AK32,159&lt;'EDT Y TAREAS'!AL32),'EDT Y TAREAS'!AG32/'EDT Y TAREAS'!M32,0),IF(AND(159&gt;='EDT Y TAREAS'!AK41,159&lt;'EDT Y TAREAS'!AL41),'EDT Y TAREAS'!AG41/'EDT Y TAREAS'!M41,0),IF(AND(159&gt;='EDT Y TAREAS'!AK45,159&lt;'EDT Y TAREAS'!AL45),'EDT Y TAREAS'!AG45/'EDT Y TAREAS'!M45,0),IF(AND(159&gt;='EDT Y TAREAS'!AK48,159&lt;'EDT Y TAREAS'!AL48),'EDT Y TAREAS'!AG48/'EDT Y TAREAS'!M48,0))</x:f>
        <x:v>0</x:v>
      </x:c>
      <x:c r="F199" s="35" t="n">
        <x:f>SUM(IF(AND(159&gt;='EDT Y TAREAS'!AK10,159&lt;'EDT Y TAREAS'!AL10),'EDT Y TAREAS'!AH10/'EDT Y TAREAS'!M10,0),IF(AND(159&gt;='EDT Y TAREAS'!AK12,159&lt;'EDT Y TAREAS'!AL12),'EDT Y TAREAS'!AH12/'EDT Y TAREAS'!M12,0),IF(AND(159&gt;='EDT Y TAREAS'!AK22,159&lt;'EDT Y TAREAS'!AL22),'EDT Y TAREAS'!AH22/'EDT Y TAREAS'!M22,0),IF(AND(159&gt;='EDT Y TAREAS'!AK23,159&lt;'EDT Y TAREAS'!AL23),'EDT Y TAREAS'!AH23/'EDT Y TAREAS'!M23,0),IF(AND(159&gt;='EDT Y TAREAS'!AK29,159&lt;'EDT Y TAREAS'!AL29),'EDT Y TAREAS'!AH29/'EDT Y TAREAS'!M29,0),IF(AND(159&gt;='EDT Y TAREAS'!AK30,159&lt;'EDT Y TAREAS'!AL30),'EDT Y TAREAS'!AH30/'EDT Y TAREAS'!M30,0),IF(AND(159&gt;='EDT Y TAREAS'!AK32,159&lt;'EDT Y TAREAS'!AL32),'EDT Y TAREAS'!AH32/'EDT Y TAREAS'!M32,0),IF(AND(159&gt;='EDT Y TAREAS'!AK41,159&lt;'EDT Y TAREAS'!AL41),'EDT Y TAREAS'!AH41/'EDT Y TAREAS'!M41,0),IF(AND(159&gt;='EDT Y TAREAS'!AK44,159&lt;'EDT Y TAREAS'!AL44),'EDT Y TAREAS'!AH44/'EDT Y TAREAS'!M44,0),IF(AND(159&gt;='EDT Y TAREAS'!AK46,159&lt;'EDT Y TAREAS'!AL46),'EDT Y TAREAS'!AH46/'EDT Y TAREAS'!M46,0),IF(AND(159&gt;='EDT Y TAREAS'!AK48,159&lt;'EDT Y TAREAS'!AL48),'EDT Y TAREAS'!AH48/'EDT Y TAREAS'!M48,0))</x:f>
        <x:v>0</x:v>
      </x:c>
      <x:c r="G199" s="35" t="n">
        <x:f>SUM(IF(AND(159&gt;='EDT Y TAREAS'!AK20,159&lt;'EDT Y TAREAS'!AL20),'EDT Y TAREAS'!AI20/'EDT Y TAREAS'!M20,0),IF(AND(159&gt;='EDT Y TAREAS'!AK25,159&lt;'EDT Y TAREAS'!AL25),'EDT Y TAREAS'!AI25/'EDT Y TAREAS'!M25,0),IF(AND(159&gt;='EDT Y TAREAS'!AK33,159&lt;'EDT Y TAREAS'!AL33),'EDT Y TAREAS'!AI33/'EDT Y TAREAS'!M33,0),IF(AND(159&gt;='EDT Y TAREAS'!AK34,159&lt;'EDT Y TAREAS'!AL34),'EDT Y TAREAS'!AI34/'EDT Y TAREAS'!M34,0),IF(AND(159&gt;='EDT Y TAREAS'!AK36,159&lt;'EDT Y TAREAS'!AL36),'EDT Y TAREAS'!AI36/'EDT Y TAREAS'!M36,0),IF(AND(159&gt;='EDT Y TAREAS'!AK39,159&lt;'EDT Y TAREAS'!AL39),'EDT Y TAREAS'!AI39/'EDT Y TAREAS'!M39,0),IF(AND(159&gt;='EDT Y TAREAS'!AK40,159&lt;'EDT Y TAREAS'!AL40),'EDT Y TAREAS'!AI40/'EDT Y TAREAS'!M40,0),IF(AND(159&gt;='EDT Y TAREAS'!AK42,159&lt;'EDT Y TAREAS'!AL42),'EDT Y TAREAS'!AI42/'EDT Y TAREAS'!M42,0),IF(AND(159&gt;='EDT Y TAREAS'!AK43,159&lt;'EDT Y TAREAS'!AL43),'EDT Y TAREAS'!AI43/'EDT Y TAREAS'!M43,0),IF(AND(159&gt;='EDT Y TAREAS'!AK44,159&lt;'EDT Y TAREAS'!AL44),'EDT Y TAREAS'!AI44/'EDT Y TAREAS'!M44,0),IF(AND(159&gt;='EDT Y TAREAS'!AK45,159&lt;'EDT Y TAREAS'!AL45),'EDT Y TAREAS'!AI45/'EDT Y TAREAS'!M45,0),IF(AND(159&gt;='EDT Y TAREAS'!AK46,159&lt;'EDT Y TAREAS'!AL46),'EDT Y TAREAS'!AI46/'EDT Y TAREAS'!M46,0),IF(AND(159&gt;='EDT Y TAREAS'!AK48,159&lt;'EDT Y TAREAS'!AL48),'EDT Y TAREAS'!AI48/'EDT Y TAREAS'!M48,0),IF(AND(159&gt;='EDT Y TAREAS'!AK50,159&lt;'EDT Y TAREAS'!AL50),'EDT Y TAREAS'!AI50/'EDT Y TAREAS'!M50,0),IF(AND(159&gt;='EDT Y TAREAS'!AK52,159&lt;'EDT Y TAREAS'!AL52),'EDT Y TAREAS'!AI52/'EDT Y TAREAS'!M52,0))</x:f>
        <x:v>0</x:v>
      </x:c>
      <x:c r="H199" s="35" t="n">
        <x:f>SUM(IF(AND(159&gt;='EDT Y TAREAS'!AK11,159&lt;'EDT Y TAREAS'!AL11),'EDT Y TAREAS'!AJ11/'EDT Y TAREAS'!M11,0),IF(AND(159&gt;='EDT Y TAREAS'!AK24,159&lt;'EDT Y TAREAS'!AL24),'EDT Y TAREAS'!AJ24/'EDT Y TAREAS'!M24,0),IF(AND(159&gt;='EDT Y TAREAS'!AK27,159&lt;'EDT Y TAREAS'!AL27),'EDT Y TAREAS'!AJ27/'EDT Y TAREAS'!M27,0),IF(AND(159&gt;='EDT Y TAREAS'!AK28,159&lt;'EDT Y TAREAS'!AL28),'EDT Y TAREAS'!AJ28/'EDT Y TAREAS'!M28,0),IF(AND(159&gt;='EDT Y TAREAS'!AK33,159&lt;'EDT Y TAREAS'!AL33),'EDT Y TAREAS'!AJ33/'EDT Y TAREAS'!M33,0),IF(AND(159&gt;='EDT Y TAREAS'!AK35,159&lt;'EDT Y TAREAS'!AL35),'EDT Y TAREAS'!AJ35/'EDT Y TAREAS'!M35,0),IF(AND(159&gt;='EDT Y TAREAS'!AK36,159&lt;'EDT Y TAREAS'!AL36),'EDT Y TAREAS'!AJ36/'EDT Y TAREAS'!M36,0),IF(AND(159&gt;='EDT Y TAREAS'!AK37,159&lt;'EDT Y TAREAS'!AL37),'EDT Y TAREAS'!AJ37/'EDT Y TAREAS'!M37,0),IF(AND(159&gt;='EDT Y TAREAS'!AK40,159&lt;'EDT Y TAREAS'!AL40),'EDT Y TAREAS'!AJ40/'EDT Y TAREAS'!M40,0),IF(AND(159&gt;='EDT Y TAREAS'!AK42,159&lt;'EDT Y TAREAS'!AL42),'EDT Y TAREAS'!AJ42/'EDT Y TAREAS'!M42,0),IF(AND(159&gt;='EDT Y TAREAS'!AK49,159&lt;'EDT Y TAREAS'!AL49),'EDT Y TAREAS'!AJ49/'EDT Y TAREAS'!M49,0),IF(AND(159&gt;='EDT Y TAREAS'!AK50,159&lt;'EDT Y TAREAS'!AL50),'EDT Y TAREAS'!AJ50/'EDT Y TAREAS'!M50,0),IF(AND(159&gt;='EDT Y TAREAS'!AK51,159&lt;'EDT Y TAREAS'!AL51),'EDT Y TAREAS'!AJ51/'EDT Y TAREAS'!M51,0),IF(AND(159&gt;='EDT Y TAREAS'!AK52,159&lt;'EDT Y TAREAS'!AL52),'EDT Y TAREAS'!AJ52/'EDT Y TAREAS'!M52,0))</x:f>
        <x:v>0</x:v>
      </x:c>
      <x:c r="I199" s="10" t="n">
        <x:f>WORKDAY('RESUMEN'!$D$3-1,A199,'RESUMEN'!$J$6:$J$25)</x:f>
        <x:v>46549</x:v>
      </x:c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  <x:c r="AL199" s="3"/>
      <x:c r="AM199" s="3"/>
      <x:c r="AN199" s="3"/>
      <x:c r="AO199" s="3"/>
    </x:row>
    <x:row r="200" ht="24" customHeight="1">
      <x:c r="A200" s="3" t="n">
        <x:v>161</x:v>
      </x:c>
      <x:c r="B200" s="35" t="n">
        <x:f>SUM(IF(AND(160&gt;='EDT Y TAREAS'!AK6,160&lt;'EDT Y TAREAS'!AL6),'EDT Y TAREAS'!AD6/'EDT Y TAREAS'!M6,0),IF(AND(160&gt;='EDT Y TAREAS'!AK7,160&lt;'EDT Y TAREAS'!AL7),'EDT Y TAREAS'!AD7/'EDT Y TAREAS'!M7,0),IF(AND(160&gt;='EDT Y TAREAS'!AK8,160&lt;'EDT Y TAREAS'!AL8),'EDT Y TAREAS'!AD8/'EDT Y TAREAS'!M8,0),IF(AND(160&gt;='EDT Y TAREAS'!AK9,160&lt;'EDT Y TAREAS'!AL9),'EDT Y TAREAS'!AD9/'EDT Y TAREAS'!M9,0),IF(AND(160&gt;='EDT Y TAREAS'!AK10,160&lt;'EDT Y TAREAS'!AL10),'EDT Y TAREAS'!AD10/'EDT Y TAREAS'!M10,0),IF(AND(160&gt;='EDT Y TAREAS'!AK11,160&lt;'EDT Y TAREAS'!AL11),'EDT Y TAREAS'!AD11/'EDT Y TAREAS'!M11,0),IF(AND(160&gt;='EDT Y TAREAS'!AK12,160&lt;'EDT Y TAREAS'!AL12),'EDT Y TAREAS'!AD12/'EDT Y TAREAS'!M12,0),IF(AND(160&gt;='EDT Y TAREAS'!AK13,160&lt;'EDT Y TAREAS'!AL13),'EDT Y TAREAS'!AD13/'EDT Y TAREAS'!M13,0),IF(AND(160&gt;='EDT Y TAREAS'!AK14,160&lt;'EDT Y TAREAS'!AL14),'EDT Y TAREAS'!AD14/'EDT Y TAREAS'!M14,0),IF(AND(160&gt;='EDT Y TAREAS'!AK15,160&lt;'EDT Y TAREAS'!AL15),'EDT Y TAREAS'!AD15/'EDT Y TAREAS'!M15,0),IF(AND(160&gt;='EDT Y TAREAS'!AK16,160&lt;'EDT Y TAREAS'!AL16),'EDT Y TAREAS'!AD16/'EDT Y TAREAS'!M16,0),IF(AND(160&gt;='EDT Y TAREAS'!AK17,160&lt;'EDT Y TAREAS'!AL17),'EDT Y TAREAS'!AD17/'EDT Y TAREAS'!M17,0),IF(AND(160&gt;='EDT Y TAREAS'!AK18,160&lt;'EDT Y TAREAS'!AL18),'EDT Y TAREAS'!AD18/'EDT Y TAREAS'!M18,0),IF(AND(160&gt;='EDT Y TAREAS'!AK19,160&lt;'EDT Y TAREAS'!AL19),'EDT Y TAREAS'!AD19/'EDT Y TAREAS'!M19,0),IF(AND(160&gt;='EDT Y TAREAS'!AK20,160&lt;'EDT Y TAREAS'!AL20),'EDT Y TAREAS'!AD20/'EDT Y TAREAS'!M20,0),IF(AND(160&gt;='EDT Y TAREAS'!AK21,160&lt;'EDT Y TAREAS'!AL21),'EDT Y TAREAS'!AD21/'EDT Y TAREAS'!M21,0),IF(AND(160&gt;='EDT Y TAREAS'!AK22,160&lt;'EDT Y TAREAS'!AL22),'EDT Y TAREAS'!AD22/'EDT Y TAREAS'!M22,0),IF(AND(160&gt;='EDT Y TAREAS'!AK23,160&lt;'EDT Y TAREAS'!AL23),'EDT Y TAREAS'!AD23/'EDT Y TAREAS'!M23,0),IF(AND(160&gt;='EDT Y TAREAS'!AK26,160&lt;'EDT Y TAREAS'!AL26),'EDT Y TAREAS'!AD26/'EDT Y TAREAS'!M26,0),IF(AND(160&gt;='EDT Y TAREAS'!AK28,160&lt;'EDT Y TAREAS'!AL28),'EDT Y TAREAS'!AD28/'EDT Y TAREAS'!M28,0),IF(AND(160&gt;='EDT Y TAREAS'!AK30,160&lt;'EDT Y TAREAS'!AL30),'EDT Y TAREAS'!AD30/'EDT Y TAREAS'!M30,0),IF(AND(160&gt;='EDT Y TAREAS'!AK32,160&lt;'EDT Y TAREAS'!AL32),'EDT Y TAREAS'!AD32/'EDT Y TAREAS'!M32,0),IF(AND(160&gt;='EDT Y TAREAS'!AK34,160&lt;'EDT Y TAREAS'!AL34),'EDT Y TAREAS'!AD34/'EDT Y TAREAS'!M34,0),IF(AND(160&gt;='EDT Y TAREAS'!AK38,160&lt;'EDT Y TAREAS'!AL38),'EDT Y TAREAS'!AD38/'EDT Y TAREAS'!M38,0),IF(AND(160&gt;='EDT Y TAREAS'!AK39,160&lt;'EDT Y TAREAS'!AL39),'EDT Y TAREAS'!AD39/'EDT Y TAREAS'!M39,0),IF(AND(160&gt;='EDT Y TAREAS'!AK43,160&lt;'EDT Y TAREAS'!AL43),'EDT Y TAREAS'!AD43/'EDT Y TAREAS'!M43,0),IF(AND(160&gt;='EDT Y TAREAS'!AK44,160&lt;'EDT Y TAREAS'!AL44),'EDT Y TAREAS'!AD44/'EDT Y TAREAS'!M44,0),IF(AND(160&gt;='EDT Y TAREAS'!AK45,160&lt;'EDT Y TAREAS'!AL45),'EDT Y TAREAS'!AD45/'EDT Y TAREAS'!M45,0),IF(AND(160&gt;='EDT Y TAREAS'!AK46,160&lt;'EDT Y TAREAS'!AL46),'EDT Y TAREAS'!AD46/'EDT Y TAREAS'!M46,0),IF(AND(160&gt;='EDT Y TAREAS'!AK47,160&lt;'EDT Y TAREAS'!AL47),'EDT Y TAREAS'!AD47/'EDT Y TAREAS'!M47,0),IF(AND(160&gt;='EDT Y TAREAS'!AK49,160&lt;'EDT Y TAREAS'!AL49),'EDT Y TAREAS'!AD49/'EDT Y TAREAS'!M49,0),IF(AND(160&gt;='EDT Y TAREAS'!AK50,160&lt;'EDT Y TAREAS'!AL50),'EDT Y TAREAS'!AD50/'EDT Y TAREAS'!M50,0),IF(AND(160&gt;='EDT Y TAREAS'!AK51,160&lt;'EDT Y TAREAS'!AL51),'EDT Y TAREAS'!AD51/'EDT Y TAREAS'!M51,0),IF(AND(160&gt;='EDT Y TAREAS'!AK52,160&lt;'EDT Y TAREAS'!AL52),'EDT Y TAREAS'!AD52/'EDT Y TAREAS'!M52,0))</x:f>
        <x:v>0</x:v>
      </x:c>
      <x:c r="C200" s="35" t="n">
        <x:f>SUM(IF(AND(160&gt;='EDT Y TAREAS'!AK6,160&lt;'EDT Y TAREAS'!AL6),'EDT Y TAREAS'!AE6/'EDT Y TAREAS'!M6,0),IF(AND(160&gt;='EDT Y TAREAS'!AK8,160&lt;'EDT Y TAREAS'!AL8),'EDT Y TAREAS'!AE8/'EDT Y TAREAS'!M8,0),IF(AND(160&gt;='EDT Y TAREAS'!AK9,160&lt;'EDT Y TAREAS'!AL9),'EDT Y TAREAS'!AE9/'EDT Y TAREAS'!M9,0),IF(AND(160&gt;='EDT Y TAREAS'!AK10,160&lt;'EDT Y TAREAS'!AL10),'EDT Y TAREAS'!AE10/'EDT Y TAREAS'!M10,0),IF(AND(160&gt;='EDT Y TAREAS'!AK12,160&lt;'EDT Y TAREAS'!AL12),'EDT Y TAREAS'!AE12/'EDT Y TAREAS'!M12,0),IF(AND(160&gt;='EDT Y TAREAS'!AK16,160&lt;'EDT Y TAREAS'!AL16),'EDT Y TAREAS'!AE16/'EDT Y TAREAS'!M16,0),IF(AND(160&gt;='EDT Y TAREAS'!AK21,160&lt;'EDT Y TAREAS'!AL21),'EDT Y TAREAS'!AE21/'EDT Y TAREAS'!M21,0),IF(AND(160&gt;='EDT Y TAREAS'!AK23,160&lt;'EDT Y TAREAS'!AL23),'EDT Y TAREAS'!AE23/'EDT Y TAREAS'!M23,0),IF(AND(160&gt;='EDT Y TAREAS'!AK37,160&lt;'EDT Y TAREAS'!AL37),'EDT Y TAREAS'!AE37/'EDT Y TAREAS'!M37,0),IF(AND(160&gt;='EDT Y TAREAS'!AK38,160&lt;'EDT Y TAREAS'!AL38),'EDT Y TAREAS'!AE38/'EDT Y TAREAS'!M38,0),IF(AND(160&gt;='EDT Y TAREAS'!AK41,160&lt;'EDT Y TAREAS'!AL41),'EDT Y TAREAS'!AE41/'EDT Y TAREAS'!M41,0),IF(AND(160&gt;='EDT Y TAREAS'!AK43,160&lt;'EDT Y TAREAS'!AL43),'EDT Y TAREAS'!AE43/'EDT Y TAREAS'!M43,0),IF(AND(160&gt;='EDT Y TAREAS'!AK44,160&lt;'EDT Y TAREAS'!AL44),'EDT Y TAREAS'!AE44/'EDT Y TAREAS'!M44,0),IF(AND(160&gt;='EDT Y TAREAS'!AK46,160&lt;'EDT Y TAREAS'!AL46),'EDT Y TAREAS'!AE46/'EDT Y TAREAS'!M46,0),IF(AND(160&gt;='EDT Y TAREAS'!AK47,160&lt;'EDT Y TAREAS'!AL47),'EDT Y TAREAS'!AE47/'EDT Y TAREAS'!M47,0),IF(AND(160&gt;='EDT Y TAREAS'!AK51,160&lt;'EDT Y TAREAS'!AL51),'EDT Y TAREAS'!AE51/'EDT Y TAREAS'!M51,0),IF(AND(160&gt;='EDT Y TAREAS'!AK52,160&lt;'EDT Y TAREAS'!AL52),'EDT Y TAREAS'!AE52/'EDT Y TAREAS'!M52,0))</x:f>
        <x:v>0</x:v>
      </x:c>
      <x:c r="D200" s="35" t="n">
        <x:f>SUM(IF(AND(160&gt;='EDT Y TAREAS'!AK11,160&lt;'EDT Y TAREAS'!AL11),'EDT Y TAREAS'!AF11/'EDT Y TAREAS'!M11,0),IF(AND(160&gt;='EDT Y TAREAS'!AK24,160&lt;'EDT Y TAREAS'!AL24),'EDT Y TAREAS'!AF24/'EDT Y TAREAS'!M24,0),IF(AND(160&gt;='EDT Y TAREAS'!AK25,160&lt;'EDT Y TAREAS'!AL25),'EDT Y TAREAS'!AF25/'EDT Y TAREAS'!M25,0),IF(AND(160&gt;='EDT Y TAREAS'!AK26,160&lt;'EDT Y TAREAS'!AL26),'EDT Y TAREAS'!AF26/'EDT Y TAREAS'!M26,0),IF(AND(160&gt;='EDT Y TAREAS'!AK27,160&lt;'EDT Y TAREAS'!AL27),'EDT Y TAREAS'!AF27/'EDT Y TAREAS'!M27,0),IF(AND(160&gt;='EDT Y TAREAS'!AK28,160&lt;'EDT Y TAREAS'!AL28),'EDT Y TAREAS'!AF28/'EDT Y TAREAS'!M28,0),IF(AND(160&gt;='EDT Y TAREAS'!AK31,160&lt;'EDT Y TAREAS'!AL31),'EDT Y TAREAS'!AF31/'EDT Y TAREAS'!M31,0),IF(AND(160&gt;='EDT Y TAREAS'!AK33,160&lt;'EDT Y TAREAS'!AL33),'EDT Y TAREAS'!AF33/'EDT Y TAREAS'!M33,0),IF(AND(160&gt;='EDT Y TAREAS'!AK34,160&lt;'EDT Y TAREAS'!AL34),'EDT Y TAREAS'!AF34/'EDT Y TAREAS'!M34,0),IF(AND(160&gt;='EDT Y TAREAS'!AK35,160&lt;'EDT Y TAREAS'!AL35),'EDT Y TAREAS'!AF35/'EDT Y TAREAS'!M35,0),IF(AND(160&gt;='EDT Y TAREAS'!AK37,160&lt;'EDT Y TAREAS'!AL37),'EDT Y TAREAS'!AF37/'EDT Y TAREAS'!M37,0),IF(AND(160&gt;='EDT Y TAREAS'!AK39,160&lt;'EDT Y TAREAS'!AL39),'EDT Y TAREAS'!AF39/'EDT Y TAREAS'!M39,0),IF(AND(160&gt;='EDT Y TAREAS'!AK40,160&lt;'EDT Y TAREAS'!AL40),'EDT Y TAREAS'!AF40/'EDT Y TAREAS'!M40,0),IF(AND(160&gt;='EDT Y TAREAS'!AK42,160&lt;'EDT Y TAREAS'!AL42),'EDT Y TAREAS'!AF42/'EDT Y TAREAS'!M42,0),IF(AND(160&gt;='EDT Y TAREAS'!AK45,160&lt;'EDT Y TAREAS'!AL45),'EDT Y TAREAS'!AF45/'EDT Y TAREAS'!M45,0),IF(AND(160&gt;='EDT Y TAREAS'!AK49,160&lt;'EDT Y TAREAS'!AL49),'EDT Y TAREAS'!AF49/'EDT Y TAREAS'!M49,0),IF(AND(160&gt;='EDT Y TAREAS'!AK52,160&lt;'EDT Y TAREAS'!AL52),'EDT Y TAREAS'!AF52/'EDT Y TAREAS'!M52,0))</x:f>
        <x:v>0</x:v>
      </x:c>
      <x:c r="E200" s="35" t="n">
        <x:f>SUM(IF(AND(160&gt;='EDT Y TAREAS'!AK29,160&lt;'EDT Y TAREAS'!AL29),'EDT Y TAREAS'!AG29/'EDT Y TAREAS'!M29,0),IF(AND(160&gt;='EDT Y TAREAS'!AK30,160&lt;'EDT Y TAREAS'!AL30),'EDT Y TAREAS'!AG30/'EDT Y TAREAS'!M30,0),IF(AND(160&gt;='EDT Y TAREAS'!AK31,160&lt;'EDT Y TAREAS'!AL31),'EDT Y TAREAS'!AG31/'EDT Y TAREAS'!M31,0),IF(AND(160&gt;='EDT Y TAREAS'!AK32,160&lt;'EDT Y TAREAS'!AL32),'EDT Y TAREAS'!AG32/'EDT Y TAREAS'!M32,0),IF(AND(160&gt;='EDT Y TAREAS'!AK41,160&lt;'EDT Y TAREAS'!AL41),'EDT Y TAREAS'!AG41/'EDT Y TAREAS'!M41,0),IF(AND(160&gt;='EDT Y TAREAS'!AK45,160&lt;'EDT Y TAREAS'!AL45),'EDT Y TAREAS'!AG45/'EDT Y TAREAS'!M45,0),IF(AND(160&gt;='EDT Y TAREAS'!AK48,160&lt;'EDT Y TAREAS'!AL48),'EDT Y TAREAS'!AG48/'EDT Y TAREAS'!M48,0))</x:f>
        <x:v>0</x:v>
      </x:c>
      <x:c r="F200" s="35" t="n">
        <x:f>SUM(IF(AND(160&gt;='EDT Y TAREAS'!AK10,160&lt;'EDT Y TAREAS'!AL10),'EDT Y TAREAS'!AH10/'EDT Y TAREAS'!M10,0),IF(AND(160&gt;='EDT Y TAREAS'!AK12,160&lt;'EDT Y TAREAS'!AL12),'EDT Y TAREAS'!AH12/'EDT Y TAREAS'!M12,0),IF(AND(160&gt;='EDT Y TAREAS'!AK22,160&lt;'EDT Y TAREAS'!AL22),'EDT Y TAREAS'!AH22/'EDT Y TAREAS'!M22,0),IF(AND(160&gt;='EDT Y TAREAS'!AK23,160&lt;'EDT Y TAREAS'!AL23),'EDT Y TAREAS'!AH23/'EDT Y TAREAS'!M23,0),IF(AND(160&gt;='EDT Y TAREAS'!AK29,160&lt;'EDT Y TAREAS'!AL29),'EDT Y TAREAS'!AH29/'EDT Y TAREAS'!M29,0),IF(AND(160&gt;='EDT Y TAREAS'!AK30,160&lt;'EDT Y TAREAS'!AL30),'EDT Y TAREAS'!AH30/'EDT Y TAREAS'!M30,0),IF(AND(160&gt;='EDT Y TAREAS'!AK32,160&lt;'EDT Y TAREAS'!AL32),'EDT Y TAREAS'!AH32/'EDT Y TAREAS'!M32,0),IF(AND(160&gt;='EDT Y TAREAS'!AK41,160&lt;'EDT Y TAREAS'!AL41),'EDT Y TAREAS'!AH41/'EDT Y TAREAS'!M41,0),IF(AND(160&gt;='EDT Y TAREAS'!AK44,160&lt;'EDT Y TAREAS'!AL44),'EDT Y TAREAS'!AH44/'EDT Y TAREAS'!M44,0),IF(AND(160&gt;='EDT Y TAREAS'!AK46,160&lt;'EDT Y TAREAS'!AL46),'EDT Y TAREAS'!AH46/'EDT Y TAREAS'!M46,0),IF(AND(160&gt;='EDT Y TAREAS'!AK48,160&lt;'EDT Y TAREAS'!AL48),'EDT Y TAREAS'!AH48/'EDT Y TAREAS'!M48,0))</x:f>
        <x:v>0</x:v>
      </x:c>
      <x:c r="G200" s="35" t="n">
        <x:f>SUM(IF(AND(160&gt;='EDT Y TAREAS'!AK20,160&lt;'EDT Y TAREAS'!AL20),'EDT Y TAREAS'!AI20/'EDT Y TAREAS'!M20,0),IF(AND(160&gt;='EDT Y TAREAS'!AK25,160&lt;'EDT Y TAREAS'!AL25),'EDT Y TAREAS'!AI25/'EDT Y TAREAS'!M25,0),IF(AND(160&gt;='EDT Y TAREAS'!AK33,160&lt;'EDT Y TAREAS'!AL33),'EDT Y TAREAS'!AI33/'EDT Y TAREAS'!M33,0),IF(AND(160&gt;='EDT Y TAREAS'!AK34,160&lt;'EDT Y TAREAS'!AL34),'EDT Y TAREAS'!AI34/'EDT Y TAREAS'!M34,0),IF(AND(160&gt;='EDT Y TAREAS'!AK36,160&lt;'EDT Y TAREAS'!AL36),'EDT Y TAREAS'!AI36/'EDT Y TAREAS'!M36,0),IF(AND(160&gt;='EDT Y TAREAS'!AK39,160&lt;'EDT Y TAREAS'!AL39),'EDT Y TAREAS'!AI39/'EDT Y TAREAS'!M39,0),IF(AND(160&gt;='EDT Y TAREAS'!AK40,160&lt;'EDT Y TAREAS'!AL40),'EDT Y TAREAS'!AI40/'EDT Y TAREAS'!M40,0),IF(AND(160&gt;='EDT Y TAREAS'!AK42,160&lt;'EDT Y TAREAS'!AL42),'EDT Y TAREAS'!AI42/'EDT Y TAREAS'!M42,0),IF(AND(160&gt;='EDT Y TAREAS'!AK43,160&lt;'EDT Y TAREAS'!AL43),'EDT Y TAREAS'!AI43/'EDT Y TAREAS'!M43,0),IF(AND(160&gt;='EDT Y TAREAS'!AK44,160&lt;'EDT Y TAREAS'!AL44),'EDT Y TAREAS'!AI44/'EDT Y TAREAS'!M44,0),IF(AND(160&gt;='EDT Y TAREAS'!AK45,160&lt;'EDT Y TAREAS'!AL45),'EDT Y TAREAS'!AI45/'EDT Y TAREAS'!M45,0),IF(AND(160&gt;='EDT Y TAREAS'!AK46,160&lt;'EDT Y TAREAS'!AL46),'EDT Y TAREAS'!AI46/'EDT Y TAREAS'!M46,0),IF(AND(160&gt;='EDT Y TAREAS'!AK48,160&lt;'EDT Y TAREAS'!AL48),'EDT Y TAREAS'!AI48/'EDT Y TAREAS'!M48,0),IF(AND(160&gt;='EDT Y TAREAS'!AK50,160&lt;'EDT Y TAREAS'!AL50),'EDT Y TAREAS'!AI50/'EDT Y TAREAS'!M50,0),IF(AND(160&gt;='EDT Y TAREAS'!AK52,160&lt;'EDT Y TAREAS'!AL52),'EDT Y TAREAS'!AI52/'EDT Y TAREAS'!M52,0))</x:f>
        <x:v>0</x:v>
      </x:c>
      <x:c r="H200" s="35" t="n">
        <x:f>SUM(IF(AND(160&gt;='EDT Y TAREAS'!AK11,160&lt;'EDT Y TAREAS'!AL11),'EDT Y TAREAS'!AJ11/'EDT Y TAREAS'!M11,0),IF(AND(160&gt;='EDT Y TAREAS'!AK24,160&lt;'EDT Y TAREAS'!AL24),'EDT Y TAREAS'!AJ24/'EDT Y TAREAS'!M24,0),IF(AND(160&gt;='EDT Y TAREAS'!AK27,160&lt;'EDT Y TAREAS'!AL27),'EDT Y TAREAS'!AJ27/'EDT Y TAREAS'!M27,0),IF(AND(160&gt;='EDT Y TAREAS'!AK28,160&lt;'EDT Y TAREAS'!AL28),'EDT Y TAREAS'!AJ28/'EDT Y TAREAS'!M28,0),IF(AND(160&gt;='EDT Y TAREAS'!AK33,160&lt;'EDT Y TAREAS'!AL33),'EDT Y TAREAS'!AJ33/'EDT Y TAREAS'!M33,0),IF(AND(160&gt;='EDT Y TAREAS'!AK35,160&lt;'EDT Y TAREAS'!AL35),'EDT Y TAREAS'!AJ35/'EDT Y TAREAS'!M35,0),IF(AND(160&gt;='EDT Y TAREAS'!AK36,160&lt;'EDT Y TAREAS'!AL36),'EDT Y TAREAS'!AJ36/'EDT Y TAREAS'!M36,0),IF(AND(160&gt;='EDT Y TAREAS'!AK37,160&lt;'EDT Y TAREAS'!AL37),'EDT Y TAREAS'!AJ37/'EDT Y TAREAS'!M37,0),IF(AND(160&gt;='EDT Y TAREAS'!AK40,160&lt;'EDT Y TAREAS'!AL40),'EDT Y TAREAS'!AJ40/'EDT Y TAREAS'!M40,0),IF(AND(160&gt;='EDT Y TAREAS'!AK42,160&lt;'EDT Y TAREAS'!AL42),'EDT Y TAREAS'!AJ42/'EDT Y TAREAS'!M42,0),IF(AND(160&gt;='EDT Y TAREAS'!AK49,160&lt;'EDT Y TAREAS'!AL49),'EDT Y TAREAS'!AJ49/'EDT Y TAREAS'!M49,0),IF(AND(160&gt;='EDT Y TAREAS'!AK50,160&lt;'EDT Y TAREAS'!AL50),'EDT Y TAREAS'!AJ50/'EDT Y TAREAS'!M50,0),IF(AND(160&gt;='EDT Y TAREAS'!AK51,160&lt;'EDT Y TAREAS'!AL51),'EDT Y TAREAS'!AJ51/'EDT Y TAREAS'!M51,0),IF(AND(160&gt;='EDT Y TAREAS'!AK52,160&lt;'EDT Y TAREAS'!AL52),'EDT Y TAREAS'!AJ52/'EDT Y TAREAS'!M52,0))</x:f>
        <x:v>0</x:v>
      </x:c>
      <x:c r="I200" s="10" t="n">
        <x:f>WORKDAY('RESUMEN'!$D$3-1,A200,'RESUMEN'!$J$6:$J$25)</x:f>
        <x:v>46552</x:v>
      </x:c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  <x:c r="AL200" s="3"/>
      <x:c r="AM200" s="3"/>
      <x:c r="AN200" s="3"/>
      <x:c r="AO200" s="3"/>
    </x:row>
    <x:row r="201" ht="24" customHeight="1">
      <x:c r="A201" s="3" t="n">
        <x:v>162</x:v>
      </x:c>
      <x:c r="B201" s="35" t="n">
        <x:f>SUM(IF(AND(161&gt;='EDT Y TAREAS'!AK6,161&lt;'EDT Y TAREAS'!AL6),'EDT Y TAREAS'!AD6/'EDT Y TAREAS'!M6,0),IF(AND(161&gt;='EDT Y TAREAS'!AK7,161&lt;'EDT Y TAREAS'!AL7),'EDT Y TAREAS'!AD7/'EDT Y TAREAS'!M7,0),IF(AND(161&gt;='EDT Y TAREAS'!AK8,161&lt;'EDT Y TAREAS'!AL8),'EDT Y TAREAS'!AD8/'EDT Y TAREAS'!M8,0),IF(AND(161&gt;='EDT Y TAREAS'!AK9,161&lt;'EDT Y TAREAS'!AL9),'EDT Y TAREAS'!AD9/'EDT Y TAREAS'!M9,0),IF(AND(161&gt;='EDT Y TAREAS'!AK10,161&lt;'EDT Y TAREAS'!AL10),'EDT Y TAREAS'!AD10/'EDT Y TAREAS'!M10,0),IF(AND(161&gt;='EDT Y TAREAS'!AK11,161&lt;'EDT Y TAREAS'!AL11),'EDT Y TAREAS'!AD11/'EDT Y TAREAS'!M11,0),IF(AND(161&gt;='EDT Y TAREAS'!AK12,161&lt;'EDT Y TAREAS'!AL12),'EDT Y TAREAS'!AD12/'EDT Y TAREAS'!M12,0),IF(AND(161&gt;='EDT Y TAREAS'!AK13,161&lt;'EDT Y TAREAS'!AL13),'EDT Y TAREAS'!AD13/'EDT Y TAREAS'!M13,0),IF(AND(161&gt;='EDT Y TAREAS'!AK14,161&lt;'EDT Y TAREAS'!AL14),'EDT Y TAREAS'!AD14/'EDT Y TAREAS'!M14,0),IF(AND(161&gt;='EDT Y TAREAS'!AK15,161&lt;'EDT Y TAREAS'!AL15),'EDT Y TAREAS'!AD15/'EDT Y TAREAS'!M15,0),IF(AND(161&gt;='EDT Y TAREAS'!AK16,161&lt;'EDT Y TAREAS'!AL16),'EDT Y TAREAS'!AD16/'EDT Y TAREAS'!M16,0),IF(AND(161&gt;='EDT Y TAREAS'!AK17,161&lt;'EDT Y TAREAS'!AL17),'EDT Y TAREAS'!AD17/'EDT Y TAREAS'!M17,0),IF(AND(161&gt;='EDT Y TAREAS'!AK18,161&lt;'EDT Y TAREAS'!AL18),'EDT Y TAREAS'!AD18/'EDT Y TAREAS'!M18,0),IF(AND(161&gt;='EDT Y TAREAS'!AK19,161&lt;'EDT Y TAREAS'!AL19),'EDT Y TAREAS'!AD19/'EDT Y TAREAS'!M19,0),IF(AND(161&gt;='EDT Y TAREAS'!AK20,161&lt;'EDT Y TAREAS'!AL20),'EDT Y TAREAS'!AD20/'EDT Y TAREAS'!M20,0),IF(AND(161&gt;='EDT Y TAREAS'!AK21,161&lt;'EDT Y TAREAS'!AL21),'EDT Y TAREAS'!AD21/'EDT Y TAREAS'!M21,0),IF(AND(161&gt;='EDT Y TAREAS'!AK22,161&lt;'EDT Y TAREAS'!AL22),'EDT Y TAREAS'!AD22/'EDT Y TAREAS'!M22,0),IF(AND(161&gt;='EDT Y TAREAS'!AK23,161&lt;'EDT Y TAREAS'!AL23),'EDT Y TAREAS'!AD23/'EDT Y TAREAS'!M23,0),IF(AND(161&gt;='EDT Y TAREAS'!AK26,161&lt;'EDT Y TAREAS'!AL26),'EDT Y TAREAS'!AD26/'EDT Y TAREAS'!M26,0),IF(AND(161&gt;='EDT Y TAREAS'!AK28,161&lt;'EDT Y TAREAS'!AL28),'EDT Y TAREAS'!AD28/'EDT Y TAREAS'!M28,0),IF(AND(161&gt;='EDT Y TAREAS'!AK30,161&lt;'EDT Y TAREAS'!AL30),'EDT Y TAREAS'!AD30/'EDT Y TAREAS'!M30,0),IF(AND(161&gt;='EDT Y TAREAS'!AK32,161&lt;'EDT Y TAREAS'!AL32),'EDT Y TAREAS'!AD32/'EDT Y TAREAS'!M32,0),IF(AND(161&gt;='EDT Y TAREAS'!AK34,161&lt;'EDT Y TAREAS'!AL34),'EDT Y TAREAS'!AD34/'EDT Y TAREAS'!M34,0),IF(AND(161&gt;='EDT Y TAREAS'!AK38,161&lt;'EDT Y TAREAS'!AL38),'EDT Y TAREAS'!AD38/'EDT Y TAREAS'!M38,0),IF(AND(161&gt;='EDT Y TAREAS'!AK39,161&lt;'EDT Y TAREAS'!AL39),'EDT Y TAREAS'!AD39/'EDT Y TAREAS'!M39,0),IF(AND(161&gt;='EDT Y TAREAS'!AK43,161&lt;'EDT Y TAREAS'!AL43),'EDT Y TAREAS'!AD43/'EDT Y TAREAS'!M43,0),IF(AND(161&gt;='EDT Y TAREAS'!AK44,161&lt;'EDT Y TAREAS'!AL44),'EDT Y TAREAS'!AD44/'EDT Y TAREAS'!M44,0),IF(AND(161&gt;='EDT Y TAREAS'!AK45,161&lt;'EDT Y TAREAS'!AL45),'EDT Y TAREAS'!AD45/'EDT Y TAREAS'!M45,0),IF(AND(161&gt;='EDT Y TAREAS'!AK46,161&lt;'EDT Y TAREAS'!AL46),'EDT Y TAREAS'!AD46/'EDT Y TAREAS'!M46,0),IF(AND(161&gt;='EDT Y TAREAS'!AK47,161&lt;'EDT Y TAREAS'!AL47),'EDT Y TAREAS'!AD47/'EDT Y TAREAS'!M47,0),IF(AND(161&gt;='EDT Y TAREAS'!AK49,161&lt;'EDT Y TAREAS'!AL49),'EDT Y TAREAS'!AD49/'EDT Y TAREAS'!M49,0),IF(AND(161&gt;='EDT Y TAREAS'!AK50,161&lt;'EDT Y TAREAS'!AL50),'EDT Y TAREAS'!AD50/'EDT Y TAREAS'!M50,0),IF(AND(161&gt;='EDT Y TAREAS'!AK51,161&lt;'EDT Y TAREAS'!AL51),'EDT Y TAREAS'!AD51/'EDT Y TAREAS'!M51,0),IF(AND(161&gt;='EDT Y TAREAS'!AK52,161&lt;'EDT Y TAREAS'!AL52),'EDT Y TAREAS'!AD52/'EDT Y TAREAS'!M52,0))</x:f>
        <x:v>0</x:v>
      </x:c>
      <x:c r="C201" s="35" t="n">
        <x:f>SUM(IF(AND(161&gt;='EDT Y TAREAS'!AK6,161&lt;'EDT Y TAREAS'!AL6),'EDT Y TAREAS'!AE6/'EDT Y TAREAS'!M6,0),IF(AND(161&gt;='EDT Y TAREAS'!AK8,161&lt;'EDT Y TAREAS'!AL8),'EDT Y TAREAS'!AE8/'EDT Y TAREAS'!M8,0),IF(AND(161&gt;='EDT Y TAREAS'!AK9,161&lt;'EDT Y TAREAS'!AL9),'EDT Y TAREAS'!AE9/'EDT Y TAREAS'!M9,0),IF(AND(161&gt;='EDT Y TAREAS'!AK10,161&lt;'EDT Y TAREAS'!AL10),'EDT Y TAREAS'!AE10/'EDT Y TAREAS'!M10,0),IF(AND(161&gt;='EDT Y TAREAS'!AK12,161&lt;'EDT Y TAREAS'!AL12),'EDT Y TAREAS'!AE12/'EDT Y TAREAS'!M12,0),IF(AND(161&gt;='EDT Y TAREAS'!AK16,161&lt;'EDT Y TAREAS'!AL16),'EDT Y TAREAS'!AE16/'EDT Y TAREAS'!M16,0),IF(AND(161&gt;='EDT Y TAREAS'!AK21,161&lt;'EDT Y TAREAS'!AL21),'EDT Y TAREAS'!AE21/'EDT Y TAREAS'!M21,0),IF(AND(161&gt;='EDT Y TAREAS'!AK23,161&lt;'EDT Y TAREAS'!AL23),'EDT Y TAREAS'!AE23/'EDT Y TAREAS'!M23,0),IF(AND(161&gt;='EDT Y TAREAS'!AK37,161&lt;'EDT Y TAREAS'!AL37),'EDT Y TAREAS'!AE37/'EDT Y TAREAS'!M37,0),IF(AND(161&gt;='EDT Y TAREAS'!AK38,161&lt;'EDT Y TAREAS'!AL38),'EDT Y TAREAS'!AE38/'EDT Y TAREAS'!M38,0),IF(AND(161&gt;='EDT Y TAREAS'!AK41,161&lt;'EDT Y TAREAS'!AL41),'EDT Y TAREAS'!AE41/'EDT Y TAREAS'!M41,0),IF(AND(161&gt;='EDT Y TAREAS'!AK43,161&lt;'EDT Y TAREAS'!AL43),'EDT Y TAREAS'!AE43/'EDT Y TAREAS'!M43,0),IF(AND(161&gt;='EDT Y TAREAS'!AK44,161&lt;'EDT Y TAREAS'!AL44),'EDT Y TAREAS'!AE44/'EDT Y TAREAS'!M44,0),IF(AND(161&gt;='EDT Y TAREAS'!AK46,161&lt;'EDT Y TAREAS'!AL46),'EDT Y TAREAS'!AE46/'EDT Y TAREAS'!M46,0),IF(AND(161&gt;='EDT Y TAREAS'!AK47,161&lt;'EDT Y TAREAS'!AL47),'EDT Y TAREAS'!AE47/'EDT Y TAREAS'!M47,0),IF(AND(161&gt;='EDT Y TAREAS'!AK51,161&lt;'EDT Y TAREAS'!AL51),'EDT Y TAREAS'!AE51/'EDT Y TAREAS'!M51,0),IF(AND(161&gt;='EDT Y TAREAS'!AK52,161&lt;'EDT Y TAREAS'!AL52),'EDT Y TAREAS'!AE52/'EDT Y TAREAS'!M52,0))</x:f>
        <x:v>0</x:v>
      </x:c>
      <x:c r="D201" s="35" t="n">
        <x:f>SUM(IF(AND(161&gt;='EDT Y TAREAS'!AK11,161&lt;'EDT Y TAREAS'!AL11),'EDT Y TAREAS'!AF11/'EDT Y TAREAS'!M11,0),IF(AND(161&gt;='EDT Y TAREAS'!AK24,161&lt;'EDT Y TAREAS'!AL24),'EDT Y TAREAS'!AF24/'EDT Y TAREAS'!M24,0),IF(AND(161&gt;='EDT Y TAREAS'!AK25,161&lt;'EDT Y TAREAS'!AL25),'EDT Y TAREAS'!AF25/'EDT Y TAREAS'!M25,0),IF(AND(161&gt;='EDT Y TAREAS'!AK26,161&lt;'EDT Y TAREAS'!AL26),'EDT Y TAREAS'!AF26/'EDT Y TAREAS'!M26,0),IF(AND(161&gt;='EDT Y TAREAS'!AK27,161&lt;'EDT Y TAREAS'!AL27),'EDT Y TAREAS'!AF27/'EDT Y TAREAS'!M27,0),IF(AND(161&gt;='EDT Y TAREAS'!AK28,161&lt;'EDT Y TAREAS'!AL28),'EDT Y TAREAS'!AF28/'EDT Y TAREAS'!M28,0),IF(AND(161&gt;='EDT Y TAREAS'!AK31,161&lt;'EDT Y TAREAS'!AL31),'EDT Y TAREAS'!AF31/'EDT Y TAREAS'!M31,0),IF(AND(161&gt;='EDT Y TAREAS'!AK33,161&lt;'EDT Y TAREAS'!AL33),'EDT Y TAREAS'!AF33/'EDT Y TAREAS'!M33,0),IF(AND(161&gt;='EDT Y TAREAS'!AK34,161&lt;'EDT Y TAREAS'!AL34),'EDT Y TAREAS'!AF34/'EDT Y TAREAS'!M34,0),IF(AND(161&gt;='EDT Y TAREAS'!AK35,161&lt;'EDT Y TAREAS'!AL35),'EDT Y TAREAS'!AF35/'EDT Y TAREAS'!M35,0),IF(AND(161&gt;='EDT Y TAREAS'!AK37,161&lt;'EDT Y TAREAS'!AL37),'EDT Y TAREAS'!AF37/'EDT Y TAREAS'!M37,0),IF(AND(161&gt;='EDT Y TAREAS'!AK39,161&lt;'EDT Y TAREAS'!AL39),'EDT Y TAREAS'!AF39/'EDT Y TAREAS'!M39,0),IF(AND(161&gt;='EDT Y TAREAS'!AK40,161&lt;'EDT Y TAREAS'!AL40),'EDT Y TAREAS'!AF40/'EDT Y TAREAS'!M40,0),IF(AND(161&gt;='EDT Y TAREAS'!AK42,161&lt;'EDT Y TAREAS'!AL42),'EDT Y TAREAS'!AF42/'EDT Y TAREAS'!M42,0),IF(AND(161&gt;='EDT Y TAREAS'!AK45,161&lt;'EDT Y TAREAS'!AL45),'EDT Y TAREAS'!AF45/'EDT Y TAREAS'!M45,0),IF(AND(161&gt;='EDT Y TAREAS'!AK49,161&lt;'EDT Y TAREAS'!AL49),'EDT Y TAREAS'!AF49/'EDT Y TAREAS'!M49,0),IF(AND(161&gt;='EDT Y TAREAS'!AK52,161&lt;'EDT Y TAREAS'!AL52),'EDT Y TAREAS'!AF52/'EDT Y TAREAS'!M52,0))</x:f>
        <x:v>0</x:v>
      </x:c>
      <x:c r="E201" s="35" t="n">
        <x:f>SUM(IF(AND(161&gt;='EDT Y TAREAS'!AK29,161&lt;'EDT Y TAREAS'!AL29),'EDT Y TAREAS'!AG29/'EDT Y TAREAS'!M29,0),IF(AND(161&gt;='EDT Y TAREAS'!AK30,161&lt;'EDT Y TAREAS'!AL30),'EDT Y TAREAS'!AG30/'EDT Y TAREAS'!M30,0),IF(AND(161&gt;='EDT Y TAREAS'!AK31,161&lt;'EDT Y TAREAS'!AL31),'EDT Y TAREAS'!AG31/'EDT Y TAREAS'!M31,0),IF(AND(161&gt;='EDT Y TAREAS'!AK32,161&lt;'EDT Y TAREAS'!AL32),'EDT Y TAREAS'!AG32/'EDT Y TAREAS'!M32,0),IF(AND(161&gt;='EDT Y TAREAS'!AK41,161&lt;'EDT Y TAREAS'!AL41),'EDT Y TAREAS'!AG41/'EDT Y TAREAS'!M41,0),IF(AND(161&gt;='EDT Y TAREAS'!AK45,161&lt;'EDT Y TAREAS'!AL45),'EDT Y TAREAS'!AG45/'EDT Y TAREAS'!M45,0),IF(AND(161&gt;='EDT Y TAREAS'!AK48,161&lt;'EDT Y TAREAS'!AL48),'EDT Y TAREAS'!AG48/'EDT Y TAREAS'!M48,0))</x:f>
        <x:v>0</x:v>
      </x:c>
      <x:c r="F201" s="35" t="n">
        <x:f>SUM(IF(AND(161&gt;='EDT Y TAREAS'!AK10,161&lt;'EDT Y TAREAS'!AL10),'EDT Y TAREAS'!AH10/'EDT Y TAREAS'!M10,0),IF(AND(161&gt;='EDT Y TAREAS'!AK12,161&lt;'EDT Y TAREAS'!AL12),'EDT Y TAREAS'!AH12/'EDT Y TAREAS'!M12,0),IF(AND(161&gt;='EDT Y TAREAS'!AK22,161&lt;'EDT Y TAREAS'!AL22),'EDT Y TAREAS'!AH22/'EDT Y TAREAS'!M22,0),IF(AND(161&gt;='EDT Y TAREAS'!AK23,161&lt;'EDT Y TAREAS'!AL23),'EDT Y TAREAS'!AH23/'EDT Y TAREAS'!M23,0),IF(AND(161&gt;='EDT Y TAREAS'!AK29,161&lt;'EDT Y TAREAS'!AL29),'EDT Y TAREAS'!AH29/'EDT Y TAREAS'!M29,0),IF(AND(161&gt;='EDT Y TAREAS'!AK30,161&lt;'EDT Y TAREAS'!AL30),'EDT Y TAREAS'!AH30/'EDT Y TAREAS'!M30,0),IF(AND(161&gt;='EDT Y TAREAS'!AK32,161&lt;'EDT Y TAREAS'!AL32),'EDT Y TAREAS'!AH32/'EDT Y TAREAS'!M32,0),IF(AND(161&gt;='EDT Y TAREAS'!AK41,161&lt;'EDT Y TAREAS'!AL41),'EDT Y TAREAS'!AH41/'EDT Y TAREAS'!M41,0),IF(AND(161&gt;='EDT Y TAREAS'!AK44,161&lt;'EDT Y TAREAS'!AL44),'EDT Y TAREAS'!AH44/'EDT Y TAREAS'!M44,0),IF(AND(161&gt;='EDT Y TAREAS'!AK46,161&lt;'EDT Y TAREAS'!AL46),'EDT Y TAREAS'!AH46/'EDT Y TAREAS'!M46,0),IF(AND(161&gt;='EDT Y TAREAS'!AK48,161&lt;'EDT Y TAREAS'!AL48),'EDT Y TAREAS'!AH48/'EDT Y TAREAS'!M48,0))</x:f>
        <x:v>0</x:v>
      </x:c>
      <x:c r="G201" s="35" t="n">
        <x:f>SUM(IF(AND(161&gt;='EDT Y TAREAS'!AK20,161&lt;'EDT Y TAREAS'!AL20),'EDT Y TAREAS'!AI20/'EDT Y TAREAS'!M20,0),IF(AND(161&gt;='EDT Y TAREAS'!AK25,161&lt;'EDT Y TAREAS'!AL25),'EDT Y TAREAS'!AI25/'EDT Y TAREAS'!M25,0),IF(AND(161&gt;='EDT Y TAREAS'!AK33,161&lt;'EDT Y TAREAS'!AL33),'EDT Y TAREAS'!AI33/'EDT Y TAREAS'!M33,0),IF(AND(161&gt;='EDT Y TAREAS'!AK34,161&lt;'EDT Y TAREAS'!AL34),'EDT Y TAREAS'!AI34/'EDT Y TAREAS'!M34,0),IF(AND(161&gt;='EDT Y TAREAS'!AK36,161&lt;'EDT Y TAREAS'!AL36),'EDT Y TAREAS'!AI36/'EDT Y TAREAS'!M36,0),IF(AND(161&gt;='EDT Y TAREAS'!AK39,161&lt;'EDT Y TAREAS'!AL39),'EDT Y TAREAS'!AI39/'EDT Y TAREAS'!M39,0),IF(AND(161&gt;='EDT Y TAREAS'!AK40,161&lt;'EDT Y TAREAS'!AL40),'EDT Y TAREAS'!AI40/'EDT Y TAREAS'!M40,0),IF(AND(161&gt;='EDT Y TAREAS'!AK42,161&lt;'EDT Y TAREAS'!AL42),'EDT Y TAREAS'!AI42/'EDT Y TAREAS'!M42,0),IF(AND(161&gt;='EDT Y TAREAS'!AK43,161&lt;'EDT Y TAREAS'!AL43),'EDT Y TAREAS'!AI43/'EDT Y TAREAS'!M43,0),IF(AND(161&gt;='EDT Y TAREAS'!AK44,161&lt;'EDT Y TAREAS'!AL44),'EDT Y TAREAS'!AI44/'EDT Y TAREAS'!M44,0),IF(AND(161&gt;='EDT Y TAREAS'!AK45,161&lt;'EDT Y TAREAS'!AL45),'EDT Y TAREAS'!AI45/'EDT Y TAREAS'!M45,0),IF(AND(161&gt;='EDT Y TAREAS'!AK46,161&lt;'EDT Y TAREAS'!AL46),'EDT Y TAREAS'!AI46/'EDT Y TAREAS'!M46,0),IF(AND(161&gt;='EDT Y TAREAS'!AK48,161&lt;'EDT Y TAREAS'!AL48),'EDT Y TAREAS'!AI48/'EDT Y TAREAS'!M48,0),IF(AND(161&gt;='EDT Y TAREAS'!AK50,161&lt;'EDT Y TAREAS'!AL50),'EDT Y TAREAS'!AI50/'EDT Y TAREAS'!M50,0),IF(AND(161&gt;='EDT Y TAREAS'!AK52,161&lt;'EDT Y TAREAS'!AL52),'EDT Y TAREAS'!AI52/'EDT Y TAREAS'!M52,0))</x:f>
        <x:v>0</x:v>
      </x:c>
      <x:c r="H201" s="35" t="n">
        <x:f>SUM(IF(AND(161&gt;='EDT Y TAREAS'!AK11,161&lt;'EDT Y TAREAS'!AL11),'EDT Y TAREAS'!AJ11/'EDT Y TAREAS'!M11,0),IF(AND(161&gt;='EDT Y TAREAS'!AK24,161&lt;'EDT Y TAREAS'!AL24),'EDT Y TAREAS'!AJ24/'EDT Y TAREAS'!M24,0),IF(AND(161&gt;='EDT Y TAREAS'!AK27,161&lt;'EDT Y TAREAS'!AL27),'EDT Y TAREAS'!AJ27/'EDT Y TAREAS'!M27,0),IF(AND(161&gt;='EDT Y TAREAS'!AK28,161&lt;'EDT Y TAREAS'!AL28),'EDT Y TAREAS'!AJ28/'EDT Y TAREAS'!M28,0),IF(AND(161&gt;='EDT Y TAREAS'!AK33,161&lt;'EDT Y TAREAS'!AL33),'EDT Y TAREAS'!AJ33/'EDT Y TAREAS'!M33,0),IF(AND(161&gt;='EDT Y TAREAS'!AK35,161&lt;'EDT Y TAREAS'!AL35),'EDT Y TAREAS'!AJ35/'EDT Y TAREAS'!M35,0),IF(AND(161&gt;='EDT Y TAREAS'!AK36,161&lt;'EDT Y TAREAS'!AL36),'EDT Y TAREAS'!AJ36/'EDT Y TAREAS'!M36,0),IF(AND(161&gt;='EDT Y TAREAS'!AK37,161&lt;'EDT Y TAREAS'!AL37),'EDT Y TAREAS'!AJ37/'EDT Y TAREAS'!M37,0),IF(AND(161&gt;='EDT Y TAREAS'!AK40,161&lt;'EDT Y TAREAS'!AL40),'EDT Y TAREAS'!AJ40/'EDT Y TAREAS'!M40,0),IF(AND(161&gt;='EDT Y TAREAS'!AK42,161&lt;'EDT Y TAREAS'!AL42),'EDT Y TAREAS'!AJ42/'EDT Y TAREAS'!M42,0),IF(AND(161&gt;='EDT Y TAREAS'!AK49,161&lt;'EDT Y TAREAS'!AL49),'EDT Y TAREAS'!AJ49/'EDT Y TAREAS'!M49,0),IF(AND(161&gt;='EDT Y TAREAS'!AK50,161&lt;'EDT Y TAREAS'!AL50),'EDT Y TAREAS'!AJ50/'EDT Y TAREAS'!M50,0),IF(AND(161&gt;='EDT Y TAREAS'!AK51,161&lt;'EDT Y TAREAS'!AL51),'EDT Y TAREAS'!AJ51/'EDT Y TAREAS'!M51,0),IF(AND(161&gt;='EDT Y TAREAS'!AK52,161&lt;'EDT Y TAREAS'!AL52),'EDT Y TAREAS'!AJ52/'EDT Y TAREAS'!M52,0))</x:f>
        <x:v>0</x:v>
      </x:c>
      <x:c r="I201" s="10" t="n">
        <x:f>WORKDAY('RESUMEN'!$D$3-1,A201,'RESUMEN'!$J$6:$J$25)</x:f>
        <x:v>46553</x:v>
      </x:c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  <x:c r="AL201" s="3"/>
      <x:c r="AM201" s="3"/>
      <x:c r="AN201" s="3"/>
      <x:c r="AO201" s="3"/>
    </x:row>
    <x:row r="202" ht="24" customHeight="1">
      <x:c r="A202" s="3" t="n">
        <x:v>163</x:v>
      </x:c>
      <x:c r="B202" s="35" t="n">
        <x:f>SUM(IF(AND(162&gt;='EDT Y TAREAS'!AK6,162&lt;'EDT Y TAREAS'!AL6),'EDT Y TAREAS'!AD6/'EDT Y TAREAS'!M6,0),IF(AND(162&gt;='EDT Y TAREAS'!AK7,162&lt;'EDT Y TAREAS'!AL7),'EDT Y TAREAS'!AD7/'EDT Y TAREAS'!M7,0),IF(AND(162&gt;='EDT Y TAREAS'!AK8,162&lt;'EDT Y TAREAS'!AL8),'EDT Y TAREAS'!AD8/'EDT Y TAREAS'!M8,0),IF(AND(162&gt;='EDT Y TAREAS'!AK9,162&lt;'EDT Y TAREAS'!AL9),'EDT Y TAREAS'!AD9/'EDT Y TAREAS'!M9,0),IF(AND(162&gt;='EDT Y TAREAS'!AK10,162&lt;'EDT Y TAREAS'!AL10),'EDT Y TAREAS'!AD10/'EDT Y TAREAS'!M10,0),IF(AND(162&gt;='EDT Y TAREAS'!AK11,162&lt;'EDT Y TAREAS'!AL11),'EDT Y TAREAS'!AD11/'EDT Y TAREAS'!M11,0),IF(AND(162&gt;='EDT Y TAREAS'!AK12,162&lt;'EDT Y TAREAS'!AL12),'EDT Y TAREAS'!AD12/'EDT Y TAREAS'!M12,0),IF(AND(162&gt;='EDT Y TAREAS'!AK13,162&lt;'EDT Y TAREAS'!AL13),'EDT Y TAREAS'!AD13/'EDT Y TAREAS'!M13,0),IF(AND(162&gt;='EDT Y TAREAS'!AK14,162&lt;'EDT Y TAREAS'!AL14),'EDT Y TAREAS'!AD14/'EDT Y TAREAS'!M14,0),IF(AND(162&gt;='EDT Y TAREAS'!AK15,162&lt;'EDT Y TAREAS'!AL15),'EDT Y TAREAS'!AD15/'EDT Y TAREAS'!M15,0),IF(AND(162&gt;='EDT Y TAREAS'!AK16,162&lt;'EDT Y TAREAS'!AL16),'EDT Y TAREAS'!AD16/'EDT Y TAREAS'!M16,0),IF(AND(162&gt;='EDT Y TAREAS'!AK17,162&lt;'EDT Y TAREAS'!AL17),'EDT Y TAREAS'!AD17/'EDT Y TAREAS'!M17,0),IF(AND(162&gt;='EDT Y TAREAS'!AK18,162&lt;'EDT Y TAREAS'!AL18),'EDT Y TAREAS'!AD18/'EDT Y TAREAS'!M18,0),IF(AND(162&gt;='EDT Y TAREAS'!AK19,162&lt;'EDT Y TAREAS'!AL19),'EDT Y TAREAS'!AD19/'EDT Y TAREAS'!M19,0),IF(AND(162&gt;='EDT Y TAREAS'!AK20,162&lt;'EDT Y TAREAS'!AL20),'EDT Y TAREAS'!AD20/'EDT Y TAREAS'!M20,0),IF(AND(162&gt;='EDT Y TAREAS'!AK21,162&lt;'EDT Y TAREAS'!AL21),'EDT Y TAREAS'!AD21/'EDT Y TAREAS'!M21,0),IF(AND(162&gt;='EDT Y TAREAS'!AK22,162&lt;'EDT Y TAREAS'!AL22),'EDT Y TAREAS'!AD22/'EDT Y TAREAS'!M22,0),IF(AND(162&gt;='EDT Y TAREAS'!AK23,162&lt;'EDT Y TAREAS'!AL23),'EDT Y TAREAS'!AD23/'EDT Y TAREAS'!M23,0),IF(AND(162&gt;='EDT Y TAREAS'!AK26,162&lt;'EDT Y TAREAS'!AL26),'EDT Y TAREAS'!AD26/'EDT Y TAREAS'!M26,0),IF(AND(162&gt;='EDT Y TAREAS'!AK28,162&lt;'EDT Y TAREAS'!AL28),'EDT Y TAREAS'!AD28/'EDT Y TAREAS'!M28,0),IF(AND(162&gt;='EDT Y TAREAS'!AK30,162&lt;'EDT Y TAREAS'!AL30),'EDT Y TAREAS'!AD30/'EDT Y TAREAS'!M30,0),IF(AND(162&gt;='EDT Y TAREAS'!AK32,162&lt;'EDT Y TAREAS'!AL32),'EDT Y TAREAS'!AD32/'EDT Y TAREAS'!M32,0),IF(AND(162&gt;='EDT Y TAREAS'!AK34,162&lt;'EDT Y TAREAS'!AL34),'EDT Y TAREAS'!AD34/'EDT Y TAREAS'!M34,0),IF(AND(162&gt;='EDT Y TAREAS'!AK38,162&lt;'EDT Y TAREAS'!AL38),'EDT Y TAREAS'!AD38/'EDT Y TAREAS'!M38,0),IF(AND(162&gt;='EDT Y TAREAS'!AK39,162&lt;'EDT Y TAREAS'!AL39),'EDT Y TAREAS'!AD39/'EDT Y TAREAS'!M39,0),IF(AND(162&gt;='EDT Y TAREAS'!AK43,162&lt;'EDT Y TAREAS'!AL43),'EDT Y TAREAS'!AD43/'EDT Y TAREAS'!M43,0),IF(AND(162&gt;='EDT Y TAREAS'!AK44,162&lt;'EDT Y TAREAS'!AL44),'EDT Y TAREAS'!AD44/'EDT Y TAREAS'!M44,0),IF(AND(162&gt;='EDT Y TAREAS'!AK45,162&lt;'EDT Y TAREAS'!AL45),'EDT Y TAREAS'!AD45/'EDT Y TAREAS'!M45,0),IF(AND(162&gt;='EDT Y TAREAS'!AK46,162&lt;'EDT Y TAREAS'!AL46),'EDT Y TAREAS'!AD46/'EDT Y TAREAS'!M46,0),IF(AND(162&gt;='EDT Y TAREAS'!AK47,162&lt;'EDT Y TAREAS'!AL47),'EDT Y TAREAS'!AD47/'EDT Y TAREAS'!M47,0),IF(AND(162&gt;='EDT Y TAREAS'!AK49,162&lt;'EDT Y TAREAS'!AL49),'EDT Y TAREAS'!AD49/'EDT Y TAREAS'!M49,0),IF(AND(162&gt;='EDT Y TAREAS'!AK50,162&lt;'EDT Y TAREAS'!AL50),'EDT Y TAREAS'!AD50/'EDT Y TAREAS'!M50,0),IF(AND(162&gt;='EDT Y TAREAS'!AK51,162&lt;'EDT Y TAREAS'!AL51),'EDT Y TAREAS'!AD51/'EDT Y TAREAS'!M51,0),IF(AND(162&gt;='EDT Y TAREAS'!AK52,162&lt;'EDT Y TAREAS'!AL52),'EDT Y TAREAS'!AD52/'EDT Y TAREAS'!M52,0))</x:f>
        <x:v>0</x:v>
      </x:c>
      <x:c r="C202" s="35" t="n">
        <x:f>SUM(IF(AND(162&gt;='EDT Y TAREAS'!AK6,162&lt;'EDT Y TAREAS'!AL6),'EDT Y TAREAS'!AE6/'EDT Y TAREAS'!M6,0),IF(AND(162&gt;='EDT Y TAREAS'!AK8,162&lt;'EDT Y TAREAS'!AL8),'EDT Y TAREAS'!AE8/'EDT Y TAREAS'!M8,0),IF(AND(162&gt;='EDT Y TAREAS'!AK9,162&lt;'EDT Y TAREAS'!AL9),'EDT Y TAREAS'!AE9/'EDT Y TAREAS'!M9,0),IF(AND(162&gt;='EDT Y TAREAS'!AK10,162&lt;'EDT Y TAREAS'!AL10),'EDT Y TAREAS'!AE10/'EDT Y TAREAS'!M10,0),IF(AND(162&gt;='EDT Y TAREAS'!AK12,162&lt;'EDT Y TAREAS'!AL12),'EDT Y TAREAS'!AE12/'EDT Y TAREAS'!M12,0),IF(AND(162&gt;='EDT Y TAREAS'!AK16,162&lt;'EDT Y TAREAS'!AL16),'EDT Y TAREAS'!AE16/'EDT Y TAREAS'!M16,0),IF(AND(162&gt;='EDT Y TAREAS'!AK21,162&lt;'EDT Y TAREAS'!AL21),'EDT Y TAREAS'!AE21/'EDT Y TAREAS'!M21,0),IF(AND(162&gt;='EDT Y TAREAS'!AK23,162&lt;'EDT Y TAREAS'!AL23),'EDT Y TAREAS'!AE23/'EDT Y TAREAS'!M23,0),IF(AND(162&gt;='EDT Y TAREAS'!AK37,162&lt;'EDT Y TAREAS'!AL37),'EDT Y TAREAS'!AE37/'EDT Y TAREAS'!M37,0),IF(AND(162&gt;='EDT Y TAREAS'!AK38,162&lt;'EDT Y TAREAS'!AL38),'EDT Y TAREAS'!AE38/'EDT Y TAREAS'!M38,0),IF(AND(162&gt;='EDT Y TAREAS'!AK41,162&lt;'EDT Y TAREAS'!AL41),'EDT Y TAREAS'!AE41/'EDT Y TAREAS'!M41,0),IF(AND(162&gt;='EDT Y TAREAS'!AK43,162&lt;'EDT Y TAREAS'!AL43),'EDT Y TAREAS'!AE43/'EDT Y TAREAS'!M43,0),IF(AND(162&gt;='EDT Y TAREAS'!AK44,162&lt;'EDT Y TAREAS'!AL44),'EDT Y TAREAS'!AE44/'EDT Y TAREAS'!M44,0),IF(AND(162&gt;='EDT Y TAREAS'!AK46,162&lt;'EDT Y TAREAS'!AL46),'EDT Y TAREAS'!AE46/'EDT Y TAREAS'!M46,0),IF(AND(162&gt;='EDT Y TAREAS'!AK47,162&lt;'EDT Y TAREAS'!AL47),'EDT Y TAREAS'!AE47/'EDT Y TAREAS'!M47,0),IF(AND(162&gt;='EDT Y TAREAS'!AK51,162&lt;'EDT Y TAREAS'!AL51),'EDT Y TAREAS'!AE51/'EDT Y TAREAS'!M51,0),IF(AND(162&gt;='EDT Y TAREAS'!AK52,162&lt;'EDT Y TAREAS'!AL52),'EDT Y TAREAS'!AE52/'EDT Y TAREAS'!M52,0))</x:f>
        <x:v>0</x:v>
      </x:c>
      <x:c r="D202" s="35" t="n">
        <x:f>SUM(IF(AND(162&gt;='EDT Y TAREAS'!AK11,162&lt;'EDT Y TAREAS'!AL11),'EDT Y TAREAS'!AF11/'EDT Y TAREAS'!M11,0),IF(AND(162&gt;='EDT Y TAREAS'!AK24,162&lt;'EDT Y TAREAS'!AL24),'EDT Y TAREAS'!AF24/'EDT Y TAREAS'!M24,0),IF(AND(162&gt;='EDT Y TAREAS'!AK25,162&lt;'EDT Y TAREAS'!AL25),'EDT Y TAREAS'!AF25/'EDT Y TAREAS'!M25,0),IF(AND(162&gt;='EDT Y TAREAS'!AK26,162&lt;'EDT Y TAREAS'!AL26),'EDT Y TAREAS'!AF26/'EDT Y TAREAS'!M26,0),IF(AND(162&gt;='EDT Y TAREAS'!AK27,162&lt;'EDT Y TAREAS'!AL27),'EDT Y TAREAS'!AF27/'EDT Y TAREAS'!M27,0),IF(AND(162&gt;='EDT Y TAREAS'!AK28,162&lt;'EDT Y TAREAS'!AL28),'EDT Y TAREAS'!AF28/'EDT Y TAREAS'!M28,0),IF(AND(162&gt;='EDT Y TAREAS'!AK31,162&lt;'EDT Y TAREAS'!AL31),'EDT Y TAREAS'!AF31/'EDT Y TAREAS'!M31,0),IF(AND(162&gt;='EDT Y TAREAS'!AK33,162&lt;'EDT Y TAREAS'!AL33),'EDT Y TAREAS'!AF33/'EDT Y TAREAS'!M33,0),IF(AND(162&gt;='EDT Y TAREAS'!AK34,162&lt;'EDT Y TAREAS'!AL34),'EDT Y TAREAS'!AF34/'EDT Y TAREAS'!M34,0),IF(AND(162&gt;='EDT Y TAREAS'!AK35,162&lt;'EDT Y TAREAS'!AL35),'EDT Y TAREAS'!AF35/'EDT Y TAREAS'!M35,0),IF(AND(162&gt;='EDT Y TAREAS'!AK37,162&lt;'EDT Y TAREAS'!AL37),'EDT Y TAREAS'!AF37/'EDT Y TAREAS'!M37,0),IF(AND(162&gt;='EDT Y TAREAS'!AK39,162&lt;'EDT Y TAREAS'!AL39),'EDT Y TAREAS'!AF39/'EDT Y TAREAS'!M39,0),IF(AND(162&gt;='EDT Y TAREAS'!AK40,162&lt;'EDT Y TAREAS'!AL40),'EDT Y TAREAS'!AF40/'EDT Y TAREAS'!M40,0),IF(AND(162&gt;='EDT Y TAREAS'!AK42,162&lt;'EDT Y TAREAS'!AL42),'EDT Y TAREAS'!AF42/'EDT Y TAREAS'!M42,0),IF(AND(162&gt;='EDT Y TAREAS'!AK45,162&lt;'EDT Y TAREAS'!AL45),'EDT Y TAREAS'!AF45/'EDT Y TAREAS'!M45,0),IF(AND(162&gt;='EDT Y TAREAS'!AK49,162&lt;'EDT Y TAREAS'!AL49),'EDT Y TAREAS'!AF49/'EDT Y TAREAS'!M49,0),IF(AND(162&gt;='EDT Y TAREAS'!AK52,162&lt;'EDT Y TAREAS'!AL52),'EDT Y TAREAS'!AF52/'EDT Y TAREAS'!M52,0))</x:f>
        <x:v>0</x:v>
      </x:c>
      <x:c r="E202" s="35" t="n">
        <x:f>SUM(IF(AND(162&gt;='EDT Y TAREAS'!AK29,162&lt;'EDT Y TAREAS'!AL29),'EDT Y TAREAS'!AG29/'EDT Y TAREAS'!M29,0),IF(AND(162&gt;='EDT Y TAREAS'!AK30,162&lt;'EDT Y TAREAS'!AL30),'EDT Y TAREAS'!AG30/'EDT Y TAREAS'!M30,0),IF(AND(162&gt;='EDT Y TAREAS'!AK31,162&lt;'EDT Y TAREAS'!AL31),'EDT Y TAREAS'!AG31/'EDT Y TAREAS'!M31,0),IF(AND(162&gt;='EDT Y TAREAS'!AK32,162&lt;'EDT Y TAREAS'!AL32),'EDT Y TAREAS'!AG32/'EDT Y TAREAS'!M32,0),IF(AND(162&gt;='EDT Y TAREAS'!AK41,162&lt;'EDT Y TAREAS'!AL41),'EDT Y TAREAS'!AG41/'EDT Y TAREAS'!M41,0),IF(AND(162&gt;='EDT Y TAREAS'!AK45,162&lt;'EDT Y TAREAS'!AL45),'EDT Y TAREAS'!AG45/'EDT Y TAREAS'!M45,0),IF(AND(162&gt;='EDT Y TAREAS'!AK48,162&lt;'EDT Y TAREAS'!AL48),'EDT Y TAREAS'!AG48/'EDT Y TAREAS'!M48,0))</x:f>
        <x:v>0</x:v>
      </x:c>
      <x:c r="F202" s="35" t="n">
        <x:f>SUM(IF(AND(162&gt;='EDT Y TAREAS'!AK10,162&lt;'EDT Y TAREAS'!AL10),'EDT Y TAREAS'!AH10/'EDT Y TAREAS'!M10,0),IF(AND(162&gt;='EDT Y TAREAS'!AK12,162&lt;'EDT Y TAREAS'!AL12),'EDT Y TAREAS'!AH12/'EDT Y TAREAS'!M12,0),IF(AND(162&gt;='EDT Y TAREAS'!AK22,162&lt;'EDT Y TAREAS'!AL22),'EDT Y TAREAS'!AH22/'EDT Y TAREAS'!M22,0),IF(AND(162&gt;='EDT Y TAREAS'!AK23,162&lt;'EDT Y TAREAS'!AL23),'EDT Y TAREAS'!AH23/'EDT Y TAREAS'!M23,0),IF(AND(162&gt;='EDT Y TAREAS'!AK29,162&lt;'EDT Y TAREAS'!AL29),'EDT Y TAREAS'!AH29/'EDT Y TAREAS'!M29,0),IF(AND(162&gt;='EDT Y TAREAS'!AK30,162&lt;'EDT Y TAREAS'!AL30),'EDT Y TAREAS'!AH30/'EDT Y TAREAS'!M30,0),IF(AND(162&gt;='EDT Y TAREAS'!AK32,162&lt;'EDT Y TAREAS'!AL32),'EDT Y TAREAS'!AH32/'EDT Y TAREAS'!M32,0),IF(AND(162&gt;='EDT Y TAREAS'!AK41,162&lt;'EDT Y TAREAS'!AL41),'EDT Y TAREAS'!AH41/'EDT Y TAREAS'!M41,0),IF(AND(162&gt;='EDT Y TAREAS'!AK44,162&lt;'EDT Y TAREAS'!AL44),'EDT Y TAREAS'!AH44/'EDT Y TAREAS'!M44,0),IF(AND(162&gt;='EDT Y TAREAS'!AK46,162&lt;'EDT Y TAREAS'!AL46),'EDT Y TAREAS'!AH46/'EDT Y TAREAS'!M46,0),IF(AND(162&gt;='EDT Y TAREAS'!AK48,162&lt;'EDT Y TAREAS'!AL48),'EDT Y TAREAS'!AH48/'EDT Y TAREAS'!M48,0))</x:f>
        <x:v>0</x:v>
      </x:c>
      <x:c r="G202" s="35" t="n">
        <x:f>SUM(IF(AND(162&gt;='EDT Y TAREAS'!AK20,162&lt;'EDT Y TAREAS'!AL20),'EDT Y TAREAS'!AI20/'EDT Y TAREAS'!M20,0),IF(AND(162&gt;='EDT Y TAREAS'!AK25,162&lt;'EDT Y TAREAS'!AL25),'EDT Y TAREAS'!AI25/'EDT Y TAREAS'!M25,0),IF(AND(162&gt;='EDT Y TAREAS'!AK33,162&lt;'EDT Y TAREAS'!AL33),'EDT Y TAREAS'!AI33/'EDT Y TAREAS'!M33,0),IF(AND(162&gt;='EDT Y TAREAS'!AK34,162&lt;'EDT Y TAREAS'!AL34),'EDT Y TAREAS'!AI34/'EDT Y TAREAS'!M34,0),IF(AND(162&gt;='EDT Y TAREAS'!AK36,162&lt;'EDT Y TAREAS'!AL36),'EDT Y TAREAS'!AI36/'EDT Y TAREAS'!M36,0),IF(AND(162&gt;='EDT Y TAREAS'!AK39,162&lt;'EDT Y TAREAS'!AL39),'EDT Y TAREAS'!AI39/'EDT Y TAREAS'!M39,0),IF(AND(162&gt;='EDT Y TAREAS'!AK40,162&lt;'EDT Y TAREAS'!AL40),'EDT Y TAREAS'!AI40/'EDT Y TAREAS'!M40,0),IF(AND(162&gt;='EDT Y TAREAS'!AK42,162&lt;'EDT Y TAREAS'!AL42),'EDT Y TAREAS'!AI42/'EDT Y TAREAS'!M42,0),IF(AND(162&gt;='EDT Y TAREAS'!AK43,162&lt;'EDT Y TAREAS'!AL43),'EDT Y TAREAS'!AI43/'EDT Y TAREAS'!M43,0),IF(AND(162&gt;='EDT Y TAREAS'!AK44,162&lt;'EDT Y TAREAS'!AL44),'EDT Y TAREAS'!AI44/'EDT Y TAREAS'!M44,0),IF(AND(162&gt;='EDT Y TAREAS'!AK45,162&lt;'EDT Y TAREAS'!AL45),'EDT Y TAREAS'!AI45/'EDT Y TAREAS'!M45,0),IF(AND(162&gt;='EDT Y TAREAS'!AK46,162&lt;'EDT Y TAREAS'!AL46),'EDT Y TAREAS'!AI46/'EDT Y TAREAS'!M46,0),IF(AND(162&gt;='EDT Y TAREAS'!AK48,162&lt;'EDT Y TAREAS'!AL48),'EDT Y TAREAS'!AI48/'EDT Y TAREAS'!M48,0),IF(AND(162&gt;='EDT Y TAREAS'!AK50,162&lt;'EDT Y TAREAS'!AL50),'EDT Y TAREAS'!AI50/'EDT Y TAREAS'!M50,0),IF(AND(162&gt;='EDT Y TAREAS'!AK52,162&lt;'EDT Y TAREAS'!AL52),'EDT Y TAREAS'!AI52/'EDT Y TAREAS'!M52,0))</x:f>
        <x:v>0</x:v>
      </x:c>
      <x:c r="H202" s="35" t="n">
        <x:f>SUM(IF(AND(162&gt;='EDT Y TAREAS'!AK11,162&lt;'EDT Y TAREAS'!AL11),'EDT Y TAREAS'!AJ11/'EDT Y TAREAS'!M11,0),IF(AND(162&gt;='EDT Y TAREAS'!AK24,162&lt;'EDT Y TAREAS'!AL24),'EDT Y TAREAS'!AJ24/'EDT Y TAREAS'!M24,0),IF(AND(162&gt;='EDT Y TAREAS'!AK27,162&lt;'EDT Y TAREAS'!AL27),'EDT Y TAREAS'!AJ27/'EDT Y TAREAS'!M27,0),IF(AND(162&gt;='EDT Y TAREAS'!AK28,162&lt;'EDT Y TAREAS'!AL28),'EDT Y TAREAS'!AJ28/'EDT Y TAREAS'!M28,0),IF(AND(162&gt;='EDT Y TAREAS'!AK33,162&lt;'EDT Y TAREAS'!AL33),'EDT Y TAREAS'!AJ33/'EDT Y TAREAS'!M33,0),IF(AND(162&gt;='EDT Y TAREAS'!AK35,162&lt;'EDT Y TAREAS'!AL35),'EDT Y TAREAS'!AJ35/'EDT Y TAREAS'!M35,0),IF(AND(162&gt;='EDT Y TAREAS'!AK36,162&lt;'EDT Y TAREAS'!AL36),'EDT Y TAREAS'!AJ36/'EDT Y TAREAS'!M36,0),IF(AND(162&gt;='EDT Y TAREAS'!AK37,162&lt;'EDT Y TAREAS'!AL37),'EDT Y TAREAS'!AJ37/'EDT Y TAREAS'!M37,0),IF(AND(162&gt;='EDT Y TAREAS'!AK40,162&lt;'EDT Y TAREAS'!AL40),'EDT Y TAREAS'!AJ40/'EDT Y TAREAS'!M40,0),IF(AND(162&gt;='EDT Y TAREAS'!AK42,162&lt;'EDT Y TAREAS'!AL42),'EDT Y TAREAS'!AJ42/'EDT Y TAREAS'!M42,0),IF(AND(162&gt;='EDT Y TAREAS'!AK49,162&lt;'EDT Y TAREAS'!AL49),'EDT Y TAREAS'!AJ49/'EDT Y TAREAS'!M49,0),IF(AND(162&gt;='EDT Y TAREAS'!AK50,162&lt;'EDT Y TAREAS'!AL50),'EDT Y TAREAS'!AJ50/'EDT Y TAREAS'!M50,0),IF(AND(162&gt;='EDT Y TAREAS'!AK51,162&lt;'EDT Y TAREAS'!AL51),'EDT Y TAREAS'!AJ51/'EDT Y TAREAS'!M51,0),IF(AND(162&gt;='EDT Y TAREAS'!AK52,162&lt;'EDT Y TAREAS'!AL52),'EDT Y TAREAS'!AJ52/'EDT Y TAREAS'!M52,0))</x:f>
        <x:v>0</x:v>
      </x:c>
      <x:c r="I202" s="10" t="n">
        <x:f>WORKDAY('RESUMEN'!$D$3-1,A202,'RESUMEN'!$J$6:$J$25)</x:f>
        <x:v>46554</x:v>
      </x:c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  <x:c r="AM202" s="3"/>
      <x:c r="AN202" s="3"/>
      <x:c r="AO202" s="3"/>
    </x:row>
    <x:row r="203" ht="24" customHeight="1">
      <x:c r="A203" s="3" t="n">
        <x:v>164</x:v>
      </x:c>
      <x:c r="B203" s="35" t="n">
        <x:f>SUM(IF(AND(163&gt;='EDT Y TAREAS'!AK6,163&lt;'EDT Y TAREAS'!AL6),'EDT Y TAREAS'!AD6/'EDT Y TAREAS'!M6,0),IF(AND(163&gt;='EDT Y TAREAS'!AK7,163&lt;'EDT Y TAREAS'!AL7),'EDT Y TAREAS'!AD7/'EDT Y TAREAS'!M7,0),IF(AND(163&gt;='EDT Y TAREAS'!AK8,163&lt;'EDT Y TAREAS'!AL8),'EDT Y TAREAS'!AD8/'EDT Y TAREAS'!M8,0),IF(AND(163&gt;='EDT Y TAREAS'!AK9,163&lt;'EDT Y TAREAS'!AL9),'EDT Y TAREAS'!AD9/'EDT Y TAREAS'!M9,0),IF(AND(163&gt;='EDT Y TAREAS'!AK10,163&lt;'EDT Y TAREAS'!AL10),'EDT Y TAREAS'!AD10/'EDT Y TAREAS'!M10,0),IF(AND(163&gt;='EDT Y TAREAS'!AK11,163&lt;'EDT Y TAREAS'!AL11),'EDT Y TAREAS'!AD11/'EDT Y TAREAS'!M11,0),IF(AND(163&gt;='EDT Y TAREAS'!AK12,163&lt;'EDT Y TAREAS'!AL12),'EDT Y TAREAS'!AD12/'EDT Y TAREAS'!M12,0),IF(AND(163&gt;='EDT Y TAREAS'!AK13,163&lt;'EDT Y TAREAS'!AL13),'EDT Y TAREAS'!AD13/'EDT Y TAREAS'!M13,0),IF(AND(163&gt;='EDT Y TAREAS'!AK14,163&lt;'EDT Y TAREAS'!AL14),'EDT Y TAREAS'!AD14/'EDT Y TAREAS'!M14,0),IF(AND(163&gt;='EDT Y TAREAS'!AK15,163&lt;'EDT Y TAREAS'!AL15),'EDT Y TAREAS'!AD15/'EDT Y TAREAS'!M15,0),IF(AND(163&gt;='EDT Y TAREAS'!AK16,163&lt;'EDT Y TAREAS'!AL16),'EDT Y TAREAS'!AD16/'EDT Y TAREAS'!M16,0),IF(AND(163&gt;='EDT Y TAREAS'!AK17,163&lt;'EDT Y TAREAS'!AL17),'EDT Y TAREAS'!AD17/'EDT Y TAREAS'!M17,0),IF(AND(163&gt;='EDT Y TAREAS'!AK18,163&lt;'EDT Y TAREAS'!AL18),'EDT Y TAREAS'!AD18/'EDT Y TAREAS'!M18,0),IF(AND(163&gt;='EDT Y TAREAS'!AK19,163&lt;'EDT Y TAREAS'!AL19),'EDT Y TAREAS'!AD19/'EDT Y TAREAS'!M19,0),IF(AND(163&gt;='EDT Y TAREAS'!AK20,163&lt;'EDT Y TAREAS'!AL20),'EDT Y TAREAS'!AD20/'EDT Y TAREAS'!M20,0),IF(AND(163&gt;='EDT Y TAREAS'!AK21,163&lt;'EDT Y TAREAS'!AL21),'EDT Y TAREAS'!AD21/'EDT Y TAREAS'!M21,0),IF(AND(163&gt;='EDT Y TAREAS'!AK22,163&lt;'EDT Y TAREAS'!AL22),'EDT Y TAREAS'!AD22/'EDT Y TAREAS'!M22,0),IF(AND(163&gt;='EDT Y TAREAS'!AK23,163&lt;'EDT Y TAREAS'!AL23),'EDT Y TAREAS'!AD23/'EDT Y TAREAS'!M23,0),IF(AND(163&gt;='EDT Y TAREAS'!AK26,163&lt;'EDT Y TAREAS'!AL26),'EDT Y TAREAS'!AD26/'EDT Y TAREAS'!M26,0),IF(AND(163&gt;='EDT Y TAREAS'!AK28,163&lt;'EDT Y TAREAS'!AL28),'EDT Y TAREAS'!AD28/'EDT Y TAREAS'!M28,0),IF(AND(163&gt;='EDT Y TAREAS'!AK30,163&lt;'EDT Y TAREAS'!AL30),'EDT Y TAREAS'!AD30/'EDT Y TAREAS'!M30,0),IF(AND(163&gt;='EDT Y TAREAS'!AK32,163&lt;'EDT Y TAREAS'!AL32),'EDT Y TAREAS'!AD32/'EDT Y TAREAS'!M32,0),IF(AND(163&gt;='EDT Y TAREAS'!AK34,163&lt;'EDT Y TAREAS'!AL34),'EDT Y TAREAS'!AD34/'EDT Y TAREAS'!M34,0),IF(AND(163&gt;='EDT Y TAREAS'!AK38,163&lt;'EDT Y TAREAS'!AL38),'EDT Y TAREAS'!AD38/'EDT Y TAREAS'!M38,0),IF(AND(163&gt;='EDT Y TAREAS'!AK39,163&lt;'EDT Y TAREAS'!AL39),'EDT Y TAREAS'!AD39/'EDT Y TAREAS'!M39,0),IF(AND(163&gt;='EDT Y TAREAS'!AK43,163&lt;'EDT Y TAREAS'!AL43),'EDT Y TAREAS'!AD43/'EDT Y TAREAS'!M43,0),IF(AND(163&gt;='EDT Y TAREAS'!AK44,163&lt;'EDT Y TAREAS'!AL44),'EDT Y TAREAS'!AD44/'EDT Y TAREAS'!M44,0),IF(AND(163&gt;='EDT Y TAREAS'!AK45,163&lt;'EDT Y TAREAS'!AL45),'EDT Y TAREAS'!AD45/'EDT Y TAREAS'!M45,0),IF(AND(163&gt;='EDT Y TAREAS'!AK46,163&lt;'EDT Y TAREAS'!AL46),'EDT Y TAREAS'!AD46/'EDT Y TAREAS'!M46,0),IF(AND(163&gt;='EDT Y TAREAS'!AK47,163&lt;'EDT Y TAREAS'!AL47),'EDT Y TAREAS'!AD47/'EDT Y TAREAS'!M47,0),IF(AND(163&gt;='EDT Y TAREAS'!AK49,163&lt;'EDT Y TAREAS'!AL49),'EDT Y TAREAS'!AD49/'EDT Y TAREAS'!M49,0),IF(AND(163&gt;='EDT Y TAREAS'!AK50,163&lt;'EDT Y TAREAS'!AL50),'EDT Y TAREAS'!AD50/'EDT Y TAREAS'!M50,0),IF(AND(163&gt;='EDT Y TAREAS'!AK51,163&lt;'EDT Y TAREAS'!AL51),'EDT Y TAREAS'!AD51/'EDT Y TAREAS'!M51,0),IF(AND(163&gt;='EDT Y TAREAS'!AK52,163&lt;'EDT Y TAREAS'!AL52),'EDT Y TAREAS'!AD52/'EDT Y TAREAS'!M52,0))</x:f>
        <x:v>0</x:v>
      </x:c>
      <x:c r="C203" s="35" t="n">
        <x:f>SUM(IF(AND(163&gt;='EDT Y TAREAS'!AK6,163&lt;'EDT Y TAREAS'!AL6),'EDT Y TAREAS'!AE6/'EDT Y TAREAS'!M6,0),IF(AND(163&gt;='EDT Y TAREAS'!AK8,163&lt;'EDT Y TAREAS'!AL8),'EDT Y TAREAS'!AE8/'EDT Y TAREAS'!M8,0),IF(AND(163&gt;='EDT Y TAREAS'!AK9,163&lt;'EDT Y TAREAS'!AL9),'EDT Y TAREAS'!AE9/'EDT Y TAREAS'!M9,0),IF(AND(163&gt;='EDT Y TAREAS'!AK10,163&lt;'EDT Y TAREAS'!AL10),'EDT Y TAREAS'!AE10/'EDT Y TAREAS'!M10,0),IF(AND(163&gt;='EDT Y TAREAS'!AK12,163&lt;'EDT Y TAREAS'!AL12),'EDT Y TAREAS'!AE12/'EDT Y TAREAS'!M12,0),IF(AND(163&gt;='EDT Y TAREAS'!AK16,163&lt;'EDT Y TAREAS'!AL16),'EDT Y TAREAS'!AE16/'EDT Y TAREAS'!M16,0),IF(AND(163&gt;='EDT Y TAREAS'!AK21,163&lt;'EDT Y TAREAS'!AL21),'EDT Y TAREAS'!AE21/'EDT Y TAREAS'!M21,0),IF(AND(163&gt;='EDT Y TAREAS'!AK23,163&lt;'EDT Y TAREAS'!AL23),'EDT Y TAREAS'!AE23/'EDT Y TAREAS'!M23,0),IF(AND(163&gt;='EDT Y TAREAS'!AK37,163&lt;'EDT Y TAREAS'!AL37),'EDT Y TAREAS'!AE37/'EDT Y TAREAS'!M37,0),IF(AND(163&gt;='EDT Y TAREAS'!AK38,163&lt;'EDT Y TAREAS'!AL38),'EDT Y TAREAS'!AE38/'EDT Y TAREAS'!M38,0),IF(AND(163&gt;='EDT Y TAREAS'!AK41,163&lt;'EDT Y TAREAS'!AL41),'EDT Y TAREAS'!AE41/'EDT Y TAREAS'!M41,0),IF(AND(163&gt;='EDT Y TAREAS'!AK43,163&lt;'EDT Y TAREAS'!AL43),'EDT Y TAREAS'!AE43/'EDT Y TAREAS'!M43,0),IF(AND(163&gt;='EDT Y TAREAS'!AK44,163&lt;'EDT Y TAREAS'!AL44),'EDT Y TAREAS'!AE44/'EDT Y TAREAS'!M44,0),IF(AND(163&gt;='EDT Y TAREAS'!AK46,163&lt;'EDT Y TAREAS'!AL46),'EDT Y TAREAS'!AE46/'EDT Y TAREAS'!M46,0),IF(AND(163&gt;='EDT Y TAREAS'!AK47,163&lt;'EDT Y TAREAS'!AL47),'EDT Y TAREAS'!AE47/'EDT Y TAREAS'!M47,0),IF(AND(163&gt;='EDT Y TAREAS'!AK51,163&lt;'EDT Y TAREAS'!AL51),'EDT Y TAREAS'!AE51/'EDT Y TAREAS'!M51,0),IF(AND(163&gt;='EDT Y TAREAS'!AK52,163&lt;'EDT Y TAREAS'!AL52),'EDT Y TAREAS'!AE52/'EDT Y TAREAS'!M52,0))</x:f>
        <x:v>0</x:v>
      </x:c>
      <x:c r="D203" s="35" t="n">
        <x:f>SUM(IF(AND(163&gt;='EDT Y TAREAS'!AK11,163&lt;'EDT Y TAREAS'!AL11),'EDT Y TAREAS'!AF11/'EDT Y TAREAS'!M11,0),IF(AND(163&gt;='EDT Y TAREAS'!AK24,163&lt;'EDT Y TAREAS'!AL24),'EDT Y TAREAS'!AF24/'EDT Y TAREAS'!M24,0),IF(AND(163&gt;='EDT Y TAREAS'!AK25,163&lt;'EDT Y TAREAS'!AL25),'EDT Y TAREAS'!AF25/'EDT Y TAREAS'!M25,0),IF(AND(163&gt;='EDT Y TAREAS'!AK26,163&lt;'EDT Y TAREAS'!AL26),'EDT Y TAREAS'!AF26/'EDT Y TAREAS'!M26,0),IF(AND(163&gt;='EDT Y TAREAS'!AK27,163&lt;'EDT Y TAREAS'!AL27),'EDT Y TAREAS'!AF27/'EDT Y TAREAS'!M27,0),IF(AND(163&gt;='EDT Y TAREAS'!AK28,163&lt;'EDT Y TAREAS'!AL28),'EDT Y TAREAS'!AF28/'EDT Y TAREAS'!M28,0),IF(AND(163&gt;='EDT Y TAREAS'!AK31,163&lt;'EDT Y TAREAS'!AL31),'EDT Y TAREAS'!AF31/'EDT Y TAREAS'!M31,0),IF(AND(163&gt;='EDT Y TAREAS'!AK33,163&lt;'EDT Y TAREAS'!AL33),'EDT Y TAREAS'!AF33/'EDT Y TAREAS'!M33,0),IF(AND(163&gt;='EDT Y TAREAS'!AK34,163&lt;'EDT Y TAREAS'!AL34),'EDT Y TAREAS'!AF34/'EDT Y TAREAS'!M34,0),IF(AND(163&gt;='EDT Y TAREAS'!AK35,163&lt;'EDT Y TAREAS'!AL35),'EDT Y TAREAS'!AF35/'EDT Y TAREAS'!M35,0),IF(AND(163&gt;='EDT Y TAREAS'!AK37,163&lt;'EDT Y TAREAS'!AL37),'EDT Y TAREAS'!AF37/'EDT Y TAREAS'!M37,0),IF(AND(163&gt;='EDT Y TAREAS'!AK39,163&lt;'EDT Y TAREAS'!AL39),'EDT Y TAREAS'!AF39/'EDT Y TAREAS'!M39,0),IF(AND(163&gt;='EDT Y TAREAS'!AK40,163&lt;'EDT Y TAREAS'!AL40),'EDT Y TAREAS'!AF40/'EDT Y TAREAS'!M40,0),IF(AND(163&gt;='EDT Y TAREAS'!AK42,163&lt;'EDT Y TAREAS'!AL42),'EDT Y TAREAS'!AF42/'EDT Y TAREAS'!M42,0),IF(AND(163&gt;='EDT Y TAREAS'!AK45,163&lt;'EDT Y TAREAS'!AL45),'EDT Y TAREAS'!AF45/'EDT Y TAREAS'!M45,0),IF(AND(163&gt;='EDT Y TAREAS'!AK49,163&lt;'EDT Y TAREAS'!AL49),'EDT Y TAREAS'!AF49/'EDT Y TAREAS'!M49,0),IF(AND(163&gt;='EDT Y TAREAS'!AK52,163&lt;'EDT Y TAREAS'!AL52),'EDT Y TAREAS'!AF52/'EDT Y TAREAS'!M52,0))</x:f>
        <x:v>0</x:v>
      </x:c>
      <x:c r="E203" s="35" t="n">
        <x:f>SUM(IF(AND(163&gt;='EDT Y TAREAS'!AK29,163&lt;'EDT Y TAREAS'!AL29),'EDT Y TAREAS'!AG29/'EDT Y TAREAS'!M29,0),IF(AND(163&gt;='EDT Y TAREAS'!AK30,163&lt;'EDT Y TAREAS'!AL30),'EDT Y TAREAS'!AG30/'EDT Y TAREAS'!M30,0),IF(AND(163&gt;='EDT Y TAREAS'!AK31,163&lt;'EDT Y TAREAS'!AL31),'EDT Y TAREAS'!AG31/'EDT Y TAREAS'!M31,0),IF(AND(163&gt;='EDT Y TAREAS'!AK32,163&lt;'EDT Y TAREAS'!AL32),'EDT Y TAREAS'!AG32/'EDT Y TAREAS'!M32,0),IF(AND(163&gt;='EDT Y TAREAS'!AK41,163&lt;'EDT Y TAREAS'!AL41),'EDT Y TAREAS'!AG41/'EDT Y TAREAS'!M41,0),IF(AND(163&gt;='EDT Y TAREAS'!AK45,163&lt;'EDT Y TAREAS'!AL45),'EDT Y TAREAS'!AG45/'EDT Y TAREAS'!M45,0),IF(AND(163&gt;='EDT Y TAREAS'!AK48,163&lt;'EDT Y TAREAS'!AL48),'EDT Y TAREAS'!AG48/'EDT Y TAREAS'!M48,0))</x:f>
        <x:v>0</x:v>
      </x:c>
      <x:c r="F203" s="35" t="n">
        <x:f>SUM(IF(AND(163&gt;='EDT Y TAREAS'!AK10,163&lt;'EDT Y TAREAS'!AL10),'EDT Y TAREAS'!AH10/'EDT Y TAREAS'!M10,0),IF(AND(163&gt;='EDT Y TAREAS'!AK12,163&lt;'EDT Y TAREAS'!AL12),'EDT Y TAREAS'!AH12/'EDT Y TAREAS'!M12,0),IF(AND(163&gt;='EDT Y TAREAS'!AK22,163&lt;'EDT Y TAREAS'!AL22),'EDT Y TAREAS'!AH22/'EDT Y TAREAS'!M22,0),IF(AND(163&gt;='EDT Y TAREAS'!AK23,163&lt;'EDT Y TAREAS'!AL23),'EDT Y TAREAS'!AH23/'EDT Y TAREAS'!M23,0),IF(AND(163&gt;='EDT Y TAREAS'!AK29,163&lt;'EDT Y TAREAS'!AL29),'EDT Y TAREAS'!AH29/'EDT Y TAREAS'!M29,0),IF(AND(163&gt;='EDT Y TAREAS'!AK30,163&lt;'EDT Y TAREAS'!AL30),'EDT Y TAREAS'!AH30/'EDT Y TAREAS'!M30,0),IF(AND(163&gt;='EDT Y TAREAS'!AK32,163&lt;'EDT Y TAREAS'!AL32),'EDT Y TAREAS'!AH32/'EDT Y TAREAS'!M32,0),IF(AND(163&gt;='EDT Y TAREAS'!AK41,163&lt;'EDT Y TAREAS'!AL41),'EDT Y TAREAS'!AH41/'EDT Y TAREAS'!M41,0),IF(AND(163&gt;='EDT Y TAREAS'!AK44,163&lt;'EDT Y TAREAS'!AL44),'EDT Y TAREAS'!AH44/'EDT Y TAREAS'!M44,0),IF(AND(163&gt;='EDT Y TAREAS'!AK46,163&lt;'EDT Y TAREAS'!AL46),'EDT Y TAREAS'!AH46/'EDT Y TAREAS'!M46,0),IF(AND(163&gt;='EDT Y TAREAS'!AK48,163&lt;'EDT Y TAREAS'!AL48),'EDT Y TAREAS'!AH48/'EDT Y TAREAS'!M48,0))</x:f>
        <x:v>0</x:v>
      </x:c>
      <x:c r="G203" s="35" t="n">
        <x:f>SUM(IF(AND(163&gt;='EDT Y TAREAS'!AK20,163&lt;'EDT Y TAREAS'!AL20),'EDT Y TAREAS'!AI20/'EDT Y TAREAS'!M20,0),IF(AND(163&gt;='EDT Y TAREAS'!AK25,163&lt;'EDT Y TAREAS'!AL25),'EDT Y TAREAS'!AI25/'EDT Y TAREAS'!M25,0),IF(AND(163&gt;='EDT Y TAREAS'!AK33,163&lt;'EDT Y TAREAS'!AL33),'EDT Y TAREAS'!AI33/'EDT Y TAREAS'!M33,0),IF(AND(163&gt;='EDT Y TAREAS'!AK34,163&lt;'EDT Y TAREAS'!AL34),'EDT Y TAREAS'!AI34/'EDT Y TAREAS'!M34,0),IF(AND(163&gt;='EDT Y TAREAS'!AK36,163&lt;'EDT Y TAREAS'!AL36),'EDT Y TAREAS'!AI36/'EDT Y TAREAS'!M36,0),IF(AND(163&gt;='EDT Y TAREAS'!AK39,163&lt;'EDT Y TAREAS'!AL39),'EDT Y TAREAS'!AI39/'EDT Y TAREAS'!M39,0),IF(AND(163&gt;='EDT Y TAREAS'!AK40,163&lt;'EDT Y TAREAS'!AL40),'EDT Y TAREAS'!AI40/'EDT Y TAREAS'!M40,0),IF(AND(163&gt;='EDT Y TAREAS'!AK42,163&lt;'EDT Y TAREAS'!AL42),'EDT Y TAREAS'!AI42/'EDT Y TAREAS'!M42,0),IF(AND(163&gt;='EDT Y TAREAS'!AK43,163&lt;'EDT Y TAREAS'!AL43),'EDT Y TAREAS'!AI43/'EDT Y TAREAS'!M43,0),IF(AND(163&gt;='EDT Y TAREAS'!AK44,163&lt;'EDT Y TAREAS'!AL44),'EDT Y TAREAS'!AI44/'EDT Y TAREAS'!M44,0),IF(AND(163&gt;='EDT Y TAREAS'!AK45,163&lt;'EDT Y TAREAS'!AL45),'EDT Y TAREAS'!AI45/'EDT Y TAREAS'!M45,0),IF(AND(163&gt;='EDT Y TAREAS'!AK46,163&lt;'EDT Y TAREAS'!AL46),'EDT Y TAREAS'!AI46/'EDT Y TAREAS'!M46,0),IF(AND(163&gt;='EDT Y TAREAS'!AK48,163&lt;'EDT Y TAREAS'!AL48),'EDT Y TAREAS'!AI48/'EDT Y TAREAS'!M48,0),IF(AND(163&gt;='EDT Y TAREAS'!AK50,163&lt;'EDT Y TAREAS'!AL50),'EDT Y TAREAS'!AI50/'EDT Y TAREAS'!M50,0),IF(AND(163&gt;='EDT Y TAREAS'!AK52,163&lt;'EDT Y TAREAS'!AL52),'EDT Y TAREAS'!AI52/'EDT Y TAREAS'!M52,0))</x:f>
        <x:v>0</x:v>
      </x:c>
      <x:c r="H203" s="35" t="n">
        <x:f>SUM(IF(AND(163&gt;='EDT Y TAREAS'!AK11,163&lt;'EDT Y TAREAS'!AL11),'EDT Y TAREAS'!AJ11/'EDT Y TAREAS'!M11,0),IF(AND(163&gt;='EDT Y TAREAS'!AK24,163&lt;'EDT Y TAREAS'!AL24),'EDT Y TAREAS'!AJ24/'EDT Y TAREAS'!M24,0),IF(AND(163&gt;='EDT Y TAREAS'!AK27,163&lt;'EDT Y TAREAS'!AL27),'EDT Y TAREAS'!AJ27/'EDT Y TAREAS'!M27,0),IF(AND(163&gt;='EDT Y TAREAS'!AK28,163&lt;'EDT Y TAREAS'!AL28),'EDT Y TAREAS'!AJ28/'EDT Y TAREAS'!M28,0),IF(AND(163&gt;='EDT Y TAREAS'!AK33,163&lt;'EDT Y TAREAS'!AL33),'EDT Y TAREAS'!AJ33/'EDT Y TAREAS'!M33,0),IF(AND(163&gt;='EDT Y TAREAS'!AK35,163&lt;'EDT Y TAREAS'!AL35),'EDT Y TAREAS'!AJ35/'EDT Y TAREAS'!M35,0),IF(AND(163&gt;='EDT Y TAREAS'!AK36,163&lt;'EDT Y TAREAS'!AL36),'EDT Y TAREAS'!AJ36/'EDT Y TAREAS'!M36,0),IF(AND(163&gt;='EDT Y TAREAS'!AK37,163&lt;'EDT Y TAREAS'!AL37),'EDT Y TAREAS'!AJ37/'EDT Y TAREAS'!M37,0),IF(AND(163&gt;='EDT Y TAREAS'!AK40,163&lt;'EDT Y TAREAS'!AL40),'EDT Y TAREAS'!AJ40/'EDT Y TAREAS'!M40,0),IF(AND(163&gt;='EDT Y TAREAS'!AK42,163&lt;'EDT Y TAREAS'!AL42),'EDT Y TAREAS'!AJ42/'EDT Y TAREAS'!M42,0),IF(AND(163&gt;='EDT Y TAREAS'!AK49,163&lt;'EDT Y TAREAS'!AL49),'EDT Y TAREAS'!AJ49/'EDT Y TAREAS'!M49,0),IF(AND(163&gt;='EDT Y TAREAS'!AK50,163&lt;'EDT Y TAREAS'!AL50),'EDT Y TAREAS'!AJ50/'EDT Y TAREAS'!M50,0),IF(AND(163&gt;='EDT Y TAREAS'!AK51,163&lt;'EDT Y TAREAS'!AL51),'EDT Y TAREAS'!AJ51/'EDT Y TAREAS'!M51,0),IF(AND(163&gt;='EDT Y TAREAS'!AK52,163&lt;'EDT Y TAREAS'!AL52),'EDT Y TAREAS'!AJ52/'EDT Y TAREAS'!M52,0))</x:f>
        <x:v>0</x:v>
      </x:c>
      <x:c r="I203" s="10" t="n">
        <x:f>WORKDAY('RESUMEN'!$D$3-1,A203,'RESUMEN'!$J$6:$J$25)</x:f>
        <x:v>46555</x:v>
      </x:c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  <x:c r="AL203" s="3"/>
      <x:c r="AM203" s="3"/>
      <x:c r="AN203" s="3"/>
      <x:c r="AO203" s="3"/>
    </x:row>
    <x:row r="204" ht="24" customHeight="1">
      <x:c r="A204" s="3" t="n">
        <x:v>165</x:v>
      </x:c>
      <x:c r="B204" s="35" t="n">
        <x:f>SUM(IF(AND(164&gt;='EDT Y TAREAS'!AK6,164&lt;'EDT Y TAREAS'!AL6),'EDT Y TAREAS'!AD6/'EDT Y TAREAS'!M6,0),IF(AND(164&gt;='EDT Y TAREAS'!AK7,164&lt;'EDT Y TAREAS'!AL7),'EDT Y TAREAS'!AD7/'EDT Y TAREAS'!M7,0),IF(AND(164&gt;='EDT Y TAREAS'!AK8,164&lt;'EDT Y TAREAS'!AL8),'EDT Y TAREAS'!AD8/'EDT Y TAREAS'!M8,0),IF(AND(164&gt;='EDT Y TAREAS'!AK9,164&lt;'EDT Y TAREAS'!AL9),'EDT Y TAREAS'!AD9/'EDT Y TAREAS'!M9,0),IF(AND(164&gt;='EDT Y TAREAS'!AK10,164&lt;'EDT Y TAREAS'!AL10),'EDT Y TAREAS'!AD10/'EDT Y TAREAS'!M10,0),IF(AND(164&gt;='EDT Y TAREAS'!AK11,164&lt;'EDT Y TAREAS'!AL11),'EDT Y TAREAS'!AD11/'EDT Y TAREAS'!M11,0),IF(AND(164&gt;='EDT Y TAREAS'!AK12,164&lt;'EDT Y TAREAS'!AL12),'EDT Y TAREAS'!AD12/'EDT Y TAREAS'!M12,0),IF(AND(164&gt;='EDT Y TAREAS'!AK13,164&lt;'EDT Y TAREAS'!AL13),'EDT Y TAREAS'!AD13/'EDT Y TAREAS'!M13,0),IF(AND(164&gt;='EDT Y TAREAS'!AK14,164&lt;'EDT Y TAREAS'!AL14),'EDT Y TAREAS'!AD14/'EDT Y TAREAS'!M14,0),IF(AND(164&gt;='EDT Y TAREAS'!AK15,164&lt;'EDT Y TAREAS'!AL15),'EDT Y TAREAS'!AD15/'EDT Y TAREAS'!M15,0),IF(AND(164&gt;='EDT Y TAREAS'!AK16,164&lt;'EDT Y TAREAS'!AL16),'EDT Y TAREAS'!AD16/'EDT Y TAREAS'!M16,0),IF(AND(164&gt;='EDT Y TAREAS'!AK17,164&lt;'EDT Y TAREAS'!AL17),'EDT Y TAREAS'!AD17/'EDT Y TAREAS'!M17,0),IF(AND(164&gt;='EDT Y TAREAS'!AK18,164&lt;'EDT Y TAREAS'!AL18),'EDT Y TAREAS'!AD18/'EDT Y TAREAS'!M18,0),IF(AND(164&gt;='EDT Y TAREAS'!AK19,164&lt;'EDT Y TAREAS'!AL19),'EDT Y TAREAS'!AD19/'EDT Y TAREAS'!M19,0),IF(AND(164&gt;='EDT Y TAREAS'!AK20,164&lt;'EDT Y TAREAS'!AL20),'EDT Y TAREAS'!AD20/'EDT Y TAREAS'!M20,0),IF(AND(164&gt;='EDT Y TAREAS'!AK21,164&lt;'EDT Y TAREAS'!AL21),'EDT Y TAREAS'!AD21/'EDT Y TAREAS'!M21,0),IF(AND(164&gt;='EDT Y TAREAS'!AK22,164&lt;'EDT Y TAREAS'!AL22),'EDT Y TAREAS'!AD22/'EDT Y TAREAS'!M22,0),IF(AND(164&gt;='EDT Y TAREAS'!AK23,164&lt;'EDT Y TAREAS'!AL23),'EDT Y TAREAS'!AD23/'EDT Y TAREAS'!M23,0),IF(AND(164&gt;='EDT Y TAREAS'!AK26,164&lt;'EDT Y TAREAS'!AL26),'EDT Y TAREAS'!AD26/'EDT Y TAREAS'!M26,0),IF(AND(164&gt;='EDT Y TAREAS'!AK28,164&lt;'EDT Y TAREAS'!AL28),'EDT Y TAREAS'!AD28/'EDT Y TAREAS'!M28,0),IF(AND(164&gt;='EDT Y TAREAS'!AK30,164&lt;'EDT Y TAREAS'!AL30),'EDT Y TAREAS'!AD30/'EDT Y TAREAS'!M30,0),IF(AND(164&gt;='EDT Y TAREAS'!AK32,164&lt;'EDT Y TAREAS'!AL32),'EDT Y TAREAS'!AD32/'EDT Y TAREAS'!M32,0),IF(AND(164&gt;='EDT Y TAREAS'!AK34,164&lt;'EDT Y TAREAS'!AL34),'EDT Y TAREAS'!AD34/'EDT Y TAREAS'!M34,0),IF(AND(164&gt;='EDT Y TAREAS'!AK38,164&lt;'EDT Y TAREAS'!AL38),'EDT Y TAREAS'!AD38/'EDT Y TAREAS'!M38,0),IF(AND(164&gt;='EDT Y TAREAS'!AK39,164&lt;'EDT Y TAREAS'!AL39),'EDT Y TAREAS'!AD39/'EDT Y TAREAS'!M39,0),IF(AND(164&gt;='EDT Y TAREAS'!AK43,164&lt;'EDT Y TAREAS'!AL43),'EDT Y TAREAS'!AD43/'EDT Y TAREAS'!M43,0),IF(AND(164&gt;='EDT Y TAREAS'!AK44,164&lt;'EDT Y TAREAS'!AL44),'EDT Y TAREAS'!AD44/'EDT Y TAREAS'!M44,0),IF(AND(164&gt;='EDT Y TAREAS'!AK45,164&lt;'EDT Y TAREAS'!AL45),'EDT Y TAREAS'!AD45/'EDT Y TAREAS'!M45,0),IF(AND(164&gt;='EDT Y TAREAS'!AK46,164&lt;'EDT Y TAREAS'!AL46),'EDT Y TAREAS'!AD46/'EDT Y TAREAS'!M46,0),IF(AND(164&gt;='EDT Y TAREAS'!AK47,164&lt;'EDT Y TAREAS'!AL47),'EDT Y TAREAS'!AD47/'EDT Y TAREAS'!M47,0),IF(AND(164&gt;='EDT Y TAREAS'!AK49,164&lt;'EDT Y TAREAS'!AL49),'EDT Y TAREAS'!AD49/'EDT Y TAREAS'!M49,0),IF(AND(164&gt;='EDT Y TAREAS'!AK50,164&lt;'EDT Y TAREAS'!AL50),'EDT Y TAREAS'!AD50/'EDT Y TAREAS'!M50,0),IF(AND(164&gt;='EDT Y TAREAS'!AK51,164&lt;'EDT Y TAREAS'!AL51),'EDT Y TAREAS'!AD51/'EDT Y TAREAS'!M51,0),IF(AND(164&gt;='EDT Y TAREAS'!AK52,164&lt;'EDT Y TAREAS'!AL52),'EDT Y TAREAS'!AD52/'EDT Y TAREAS'!M52,0))</x:f>
        <x:v>0</x:v>
      </x:c>
      <x:c r="C204" s="35" t="n">
        <x:f>SUM(IF(AND(164&gt;='EDT Y TAREAS'!AK6,164&lt;'EDT Y TAREAS'!AL6),'EDT Y TAREAS'!AE6/'EDT Y TAREAS'!M6,0),IF(AND(164&gt;='EDT Y TAREAS'!AK8,164&lt;'EDT Y TAREAS'!AL8),'EDT Y TAREAS'!AE8/'EDT Y TAREAS'!M8,0),IF(AND(164&gt;='EDT Y TAREAS'!AK9,164&lt;'EDT Y TAREAS'!AL9),'EDT Y TAREAS'!AE9/'EDT Y TAREAS'!M9,0),IF(AND(164&gt;='EDT Y TAREAS'!AK10,164&lt;'EDT Y TAREAS'!AL10),'EDT Y TAREAS'!AE10/'EDT Y TAREAS'!M10,0),IF(AND(164&gt;='EDT Y TAREAS'!AK12,164&lt;'EDT Y TAREAS'!AL12),'EDT Y TAREAS'!AE12/'EDT Y TAREAS'!M12,0),IF(AND(164&gt;='EDT Y TAREAS'!AK16,164&lt;'EDT Y TAREAS'!AL16),'EDT Y TAREAS'!AE16/'EDT Y TAREAS'!M16,0),IF(AND(164&gt;='EDT Y TAREAS'!AK21,164&lt;'EDT Y TAREAS'!AL21),'EDT Y TAREAS'!AE21/'EDT Y TAREAS'!M21,0),IF(AND(164&gt;='EDT Y TAREAS'!AK23,164&lt;'EDT Y TAREAS'!AL23),'EDT Y TAREAS'!AE23/'EDT Y TAREAS'!M23,0),IF(AND(164&gt;='EDT Y TAREAS'!AK37,164&lt;'EDT Y TAREAS'!AL37),'EDT Y TAREAS'!AE37/'EDT Y TAREAS'!M37,0),IF(AND(164&gt;='EDT Y TAREAS'!AK38,164&lt;'EDT Y TAREAS'!AL38),'EDT Y TAREAS'!AE38/'EDT Y TAREAS'!M38,0),IF(AND(164&gt;='EDT Y TAREAS'!AK41,164&lt;'EDT Y TAREAS'!AL41),'EDT Y TAREAS'!AE41/'EDT Y TAREAS'!M41,0),IF(AND(164&gt;='EDT Y TAREAS'!AK43,164&lt;'EDT Y TAREAS'!AL43),'EDT Y TAREAS'!AE43/'EDT Y TAREAS'!M43,0),IF(AND(164&gt;='EDT Y TAREAS'!AK44,164&lt;'EDT Y TAREAS'!AL44),'EDT Y TAREAS'!AE44/'EDT Y TAREAS'!M44,0),IF(AND(164&gt;='EDT Y TAREAS'!AK46,164&lt;'EDT Y TAREAS'!AL46),'EDT Y TAREAS'!AE46/'EDT Y TAREAS'!M46,0),IF(AND(164&gt;='EDT Y TAREAS'!AK47,164&lt;'EDT Y TAREAS'!AL47),'EDT Y TAREAS'!AE47/'EDT Y TAREAS'!M47,0),IF(AND(164&gt;='EDT Y TAREAS'!AK51,164&lt;'EDT Y TAREAS'!AL51),'EDT Y TAREAS'!AE51/'EDT Y TAREAS'!M51,0),IF(AND(164&gt;='EDT Y TAREAS'!AK52,164&lt;'EDT Y TAREAS'!AL52),'EDT Y TAREAS'!AE52/'EDT Y TAREAS'!M52,0))</x:f>
        <x:v>0</x:v>
      </x:c>
      <x:c r="D204" s="35" t="n">
        <x:f>SUM(IF(AND(164&gt;='EDT Y TAREAS'!AK11,164&lt;'EDT Y TAREAS'!AL11),'EDT Y TAREAS'!AF11/'EDT Y TAREAS'!M11,0),IF(AND(164&gt;='EDT Y TAREAS'!AK24,164&lt;'EDT Y TAREAS'!AL24),'EDT Y TAREAS'!AF24/'EDT Y TAREAS'!M24,0),IF(AND(164&gt;='EDT Y TAREAS'!AK25,164&lt;'EDT Y TAREAS'!AL25),'EDT Y TAREAS'!AF25/'EDT Y TAREAS'!M25,0),IF(AND(164&gt;='EDT Y TAREAS'!AK26,164&lt;'EDT Y TAREAS'!AL26),'EDT Y TAREAS'!AF26/'EDT Y TAREAS'!M26,0),IF(AND(164&gt;='EDT Y TAREAS'!AK27,164&lt;'EDT Y TAREAS'!AL27),'EDT Y TAREAS'!AF27/'EDT Y TAREAS'!M27,0),IF(AND(164&gt;='EDT Y TAREAS'!AK28,164&lt;'EDT Y TAREAS'!AL28),'EDT Y TAREAS'!AF28/'EDT Y TAREAS'!M28,0),IF(AND(164&gt;='EDT Y TAREAS'!AK31,164&lt;'EDT Y TAREAS'!AL31),'EDT Y TAREAS'!AF31/'EDT Y TAREAS'!M31,0),IF(AND(164&gt;='EDT Y TAREAS'!AK33,164&lt;'EDT Y TAREAS'!AL33),'EDT Y TAREAS'!AF33/'EDT Y TAREAS'!M33,0),IF(AND(164&gt;='EDT Y TAREAS'!AK34,164&lt;'EDT Y TAREAS'!AL34),'EDT Y TAREAS'!AF34/'EDT Y TAREAS'!M34,0),IF(AND(164&gt;='EDT Y TAREAS'!AK35,164&lt;'EDT Y TAREAS'!AL35),'EDT Y TAREAS'!AF35/'EDT Y TAREAS'!M35,0),IF(AND(164&gt;='EDT Y TAREAS'!AK37,164&lt;'EDT Y TAREAS'!AL37),'EDT Y TAREAS'!AF37/'EDT Y TAREAS'!M37,0),IF(AND(164&gt;='EDT Y TAREAS'!AK39,164&lt;'EDT Y TAREAS'!AL39),'EDT Y TAREAS'!AF39/'EDT Y TAREAS'!M39,0),IF(AND(164&gt;='EDT Y TAREAS'!AK40,164&lt;'EDT Y TAREAS'!AL40),'EDT Y TAREAS'!AF40/'EDT Y TAREAS'!M40,0),IF(AND(164&gt;='EDT Y TAREAS'!AK42,164&lt;'EDT Y TAREAS'!AL42),'EDT Y TAREAS'!AF42/'EDT Y TAREAS'!M42,0),IF(AND(164&gt;='EDT Y TAREAS'!AK45,164&lt;'EDT Y TAREAS'!AL45),'EDT Y TAREAS'!AF45/'EDT Y TAREAS'!M45,0),IF(AND(164&gt;='EDT Y TAREAS'!AK49,164&lt;'EDT Y TAREAS'!AL49),'EDT Y TAREAS'!AF49/'EDT Y TAREAS'!M49,0),IF(AND(164&gt;='EDT Y TAREAS'!AK52,164&lt;'EDT Y TAREAS'!AL52),'EDT Y TAREAS'!AF52/'EDT Y TAREAS'!M52,0))</x:f>
        <x:v>0</x:v>
      </x:c>
      <x:c r="E204" s="35" t="n">
        <x:f>SUM(IF(AND(164&gt;='EDT Y TAREAS'!AK29,164&lt;'EDT Y TAREAS'!AL29),'EDT Y TAREAS'!AG29/'EDT Y TAREAS'!M29,0),IF(AND(164&gt;='EDT Y TAREAS'!AK30,164&lt;'EDT Y TAREAS'!AL30),'EDT Y TAREAS'!AG30/'EDT Y TAREAS'!M30,0),IF(AND(164&gt;='EDT Y TAREAS'!AK31,164&lt;'EDT Y TAREAS'!AL31),'EDT Y TAREAS'!AG31/'EDT Y TAREAS'!M31,0),IF(AND(164&gt;='EDT Y TAREAS'!AK32,164&lt;'EDT Y TAREAS'!AL32),'EDT Y TAREAS'!AG32/'EDT Y TAREAS'!M32,0),IF(AND(164&gt;='EDT Y TAREAS'!AK41,164&lt;'EDT Y TAREAS'!AL41),'EDT Y TAREAS'!AG41/'EDT Y TAREAS'!M41,0),IF(AND(164&gt;='EDT Y TAREAS'!AK45,164&lt;'EDT Y TAREAS'!AL45),'EDT Y TAREAS'!AG45/'EDT Y TAREAS'!M45,0),IF(AND(164&gt;='EDT Y TAREAS'!AK48,164&lt;'EDT Y TAREAS'!AL48),'EDT Y TAREAS'!AG48/'EDT Y TAREAS'!M48,0))</x:f>
        <x:v>0</x:v>
      </x:c>
      <x:c r="F204" s="35" t="n">
        <x:f>SUM(IF(AND(164&gt;='EDT Y TAREAS'!AK10,164&lt;'EDT Y TAREAS'!AL10),'EDT Y TAREAS'!AH10/'EDT Y TAREAS'!M10,0),IF(AND(164&gt;='EDT Y TAREAS'!AK12,164&lt;'EDT Y TAREAS'!AL12),'EDT Y TAREAS'!AH12/'EDT Y TAREAS'!M12,0),IF(AND(164&gt;='EDT Y TAREAS'!AK22,164&lt;'EDT Y TAREAS'!AL22),'EDT Y TAREAS'!AH22/'EDT Y TAREAS'!M22,0),IF(AND(164&gt;='EDT Y TAREAS'!AK23,164&lt;'EDT Y TAREAS'!AL23),'EDT Y TAREAS'!AH23/'EDT Y TAREAS'!M23,0),IF(AND(164&gt;='EDT Y TAREAS'!AK29,164&lt;'EDT Y TAREAS'!AL29),'EDT Y TAREAS'!AH29/'EDT Y TAREAS'!M29,0),IF(AND(164&gt;='EDT Y TAREAS'!AK30,164&lt;'EDT Y TAREAS'!AL30),'EDT Y TAREAS'!AH30/'EDT Y TAREAS'!M30,0),IF(AND(164&gt;='EDT Y TAREAS'!AK32,164&lt;'EDT Y TAREAS'!AL32),'EDT Y TAREAS'!AH32/'EDT Y TAREAS'!M32,0),IF(AND(164&gt;='EDT Y TAREAS'!AK41,164&lt;'EDT Y TAREAS'!AL41),'EDT Y TAREAS'!AH41/'EDT Y TAREAS'!M41,0),IF(AND(164&gt;='EDT Y TAREAS'!AK44,164&lt;'EDT Y TAREAS'!AL44),'EDT Y TAREAS'!AH44/'EDT Y TAREAS'!M44,0),IF(AND(164&gt;='EDT Y TAREAS'!AK46,164&lt;'EDT Y TAREAS'!AL46),'EDT Y TAREAS'!AH46/'EDT Y TAREAS'!M46,0),IF(AND(164&gt;='EDT Y TAREAS'!AK48,164&lt;'EDT Y TAREAS'!AL48),'EDT Y TAREAS'!AH48/'EDT Y TAREAS'!M48,0))</x:f>
        <x:v>0</x:v>
      </x:c>
      <x:c r="G204" s="35" t="n">
        <x:f>SUM(IF(AND(164&gt;='EDT Y TAREAS'!AK20,164&lt;'EDT Y TAREAS'!AL20),'EDT Y TAREAS'!AI20/'EDT Y TAREAS'!M20,0),IF(AND(164&gt;='EDT Y TAREAS'!AK25,164&lt;'EDT Y TAREAS'!AL25),'EDT Y TAREAS'!AI25/'EDT Y TAREAS'!M25,0),IF(AND(164&gt;='EDT Y TAREAS'!AK33,164&lt;'EDT Y TAREAS'!AL33),'EDT Y TAREAS'!AI33/'EDT Y TAREAS'!M33,0),IF(AND(164&gt;='EDT Y TAREAS'!AK34,164&lt;'EDT Y TAREAS'!AL34),'EDT Y TAREAS'!AI34/'EDT Y TAREAS'!M34,0),IF(AND(164&gt;='EDT Y TAREAS'!AK36,164&lt;'EDT Y TAREAS'!AL36),'EDT Y TAREAS'!AI36/'EDT Y TAREAS'!M36,0),IF(AND(164&gt;='EDT Y TAREAS'!AK39,164&lt;'EDT Y TAREAS'!AL39),'EDT Y TAREAS'!AI39/'EDT Y TAREAS'!M39,0),IF(AND(164&gt;='EDT Y TAREAS'!AK40,164&lt;'EDT Y TAREAS'!AL40),'EDT Y TAREAS'!AI40/'EDT Y TAREAS'!M40,0),IF(AND(164&gt;='EDT Y TAREAS'!AK42,164&lt;'EDT Y TAREAS'!AL42),'EDT Y TAREAS'!AI42/'EDT Y TAREAS'!M42,0),IF(AND(164&gt;='EDT Y TAREAS'!AK43,164&lt;'EDT Y TAREAS'!AL43),'EDT Y TAREAS'!AI43/'EDT Y TAREAS'!M43,0),IF(AND(164&gt;='EDT Y TAREAS'!AK44,164&lt;'EDT Y TAREAS'!AL44),'EDT Y TAREAS'!AI44/'EDT Y TAREAS'!M44,0),IF(AND(164&gt;='EDT Y TAREAS'!AK45,164&lt;'EDT Y TAREAS'!AL45),'EDT Y TAREAS'!AI45/'EDT Y TAREAS'!M45,0),IF(AND(164&gt;='EDT Y TAREAS'!AK46,164&lt;'EDT Y TAREAS'!AL46),'EDT Y TAREAS'!AI46/'EDT Y TAREAS'!M46,0),IF(AND(164&gt;='EDT Y TAREAS'!AK48,164&lt;'EDT Y TAREAS'!AL48),'EDT Y TAREAS'!AI48/'EDT Y TAREAS'!M48,0),IF(AND(164&gt;='EDT Y TAREAS'!AK50,164&lt;'EDT Y TAREAS'!AL50),'EDT Y TAREAS'!AI50/'EDT Y TAREAS'!M50,0),IF(AND(164&gt;='EDT Y TAREAS'!AK52,164&lt;'EDT Y TAREAS'!AL52),'EDT Y TAREAS'!AI52/'EDT Y TAREAS'!M52,0))</x:f>
        <x:v>0</x:v>
      </x:c>
      <x:c r="H204" s="35" t="n">
        <x:f>SUM(IF(AND(164&gt;='EDT Y TAREAS'!AK11,164&lt;'EDT Y TAREAS'!AL11),'EDT Y TAREAS'!AJ11/'EDT Y TAREAS'!M11,0),IF(AND(164&gt;='EDT Y TAREAS'!AK24,164&lt;'EDT Y TAREAS'!AL24),'EDT Y TAREAS'!AJ24/'EDT Y TAREAS'!M24,0),IF(AND(164&gt;='EDT Y TAREAS'!AK27,164&lt;'EDT Y TAREAS'!AL27),'EDT Y TAREAS'!AJ27/'EDT Y TAREAS'!M27,0),IF(AND(164&gt;='EDT Y TAREAS'!AK28,164&lt;'EDT Y TAREAS'!AL28),'EDT Y TAREAS'!AJ28/'EDT Y TAREAS'!M28,0),IF(AND(164&gt;='EDT Y TAREAS'!AK33,164&lt;'EDT Y TAREAS'!AL33),'EDT Y TAREAS'!AJ33/'EDT Y TAREAS'!M33,0),IF(AND(164&gt;='EDT Y TAREAS'!AK35,164&lt;'EDT Y TAREAS'!AL35),'EDT Y TAREAS'!AJ35/'EDT Y TAREAS'!M35,0),IF(AND(164&gt;='EDT Y TAREAS'!AK36,164&lt;'EDT Y TAREAS'!AL36),'EDT Y TAREAS'!AJ36/'EDT Y TAREAS'!M36,0),IF(AND(164&gt;='EDT Y TAREAS'!AK37,164&lt;'EDT Y TAREAS'!AL37),'EDT Y TAREAS'!AJ37/'EDT Y TAREAS'!M37,0),IF(AND(164&gt;='EDT Y TAREAS'!AK40,164&lt;'EDT Y TAREAS'!AL40),'EDT Y TAREAS'!AJ40/'EDT Y TAREAS'!M40,0),IF(AND(164&gt;='EDT Y TAREAS'!AK42,164&lt;'EDT Y TAREAS'!AL42),'EDT Y TAREAS'!AJ42/'EDT Y TAREAS'!M42,0),IF(AND(164&gt;='EDT Y TAREAS'!AK49,164&lt;'EDT Y TAREAS'!AL49),'EDT Y TAREAS'!AJ49/'EDT Y TAREAS'!M49,0),IF(AND(164&gt;='EDT Y TAREAS'!AK50,164&lt;'EDT Y TAREAS'!AL50),'EDT Y TAREAS'!AJ50/'EDT Y TAREAS'!M50,0),IF(AND(164&gt;='EDT Y TAREAS'!AK51,164&lt;'EDT Y TAREAS'!AL51),'EDT Y TAREAS'!AJ51/'EDT Y TAREAS'!M51,0),IF(AND(164&gt;='EDT Y TAREAS'!AK52,164&lt;'EDT Y TAREAS'!AL52),'EDT Y TAREAS'!AJ52/'EDT Y TAREAS'!M52,0))</x:f>
        <x:v>0</x:v>
      </x:c>
      <x:c r="I204" s="10" t="n">
        <x:f>WORKDAY('RESUMEN'!$D$3-1,A204,'RESUMEN'!$J$6:$J$25)</x:f>
        <x:v>46556</x:v>
      </x:c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  <x:c r="AL204" s="3"/>
      <x:c r="AM204" s="3"/>
      <x:c r="AN204" s="3"/>
      <x:c r="AO204" s="3"/>
    </x:row>
    <x:row r="205" ht="24" customHeight="1">
      <x:c r="A205" s="3" t="n">
        <x:v>166</x:v>
      </x:c>
      <x:c r="B205" s="35" t="n">
        <x:f>SUM(IF(AND(165&gt;='EDT Y TAREAS'!AK6,165&lt;'EDT Y TAREAS'!AL6),'EDT Y TAREAS'!AD6/'EDT Y TAREAS'!M6,0),IF(AND(165&gt;='EDT Y TAREAS'!AK7,165&lt;'EDT Y TAREAS'!AL7),'EDT Y TAREAS'!AD7/'EDT Y TAREAS'!M7,0),IF(AND(165&gt;='EDT Y TAREAS'!AK8,165&lt;'EDT Y TAREAS'!AL8),'EDT Y TAREAS'!AD8/'EDT Y TAREAS'!M8,0),IF(AND(165&gt;='EDT Y TAREAS'!AK9,165&lt;'EDT Y TAREAS'!AL9),'EDT Y TAREAS'!AD9/'EDT Y TAREAS'!M9,0),IF(AND(165&gt;='EDT Y TAREAS'!AK10,165&lt;'EDT Y TAREAS'!AL10),'EDT Y TAREAS'!AD10/'EDT Y TAREAS'!M10,0),IF(AND(165&gt;='EDT Y TAREAS'!AK11,165&lt;'EDT Y TAREAS'!AL11),'EDT Y TAREAS'!AD11/'EDT Y TAREAS'!M11,0),IF(AND(165&gt;='EDT Y TAREAS'!AK12,165&lt;'EDT Y TAREAS'!AL12),'EDT Y TAREAS'!AD12/'EDT Y TAREAS'!M12,0),IF(AND(165&gt;='EDT Y TAREAS'!AK13,165&lt;'EDT Y TAREAS'!AL13),'EDT Y TAREAS'!AD13/'EDT Y TAREAS'!M13,0),IF(AND(165&gt;='EDT Y TAREAS'!AK14,165&lt;'EDT Y TAREAS'!AL14),'EDT Y TAREAS'!AD14/'EDT Y TAREAS'!M14,0),IF(AND(165&gt;='EDT Y TAREAS'!AK15,165&lt;'EDT Y TAREAS'!AL15),'EDT Y TAREAS'!AD15/'EDT Y TAREAS'!M15,0),IF(AND(165&gt;='EDT Y TAREAS'!AK16,165&lt;'EDT Y TAREAS'!AL16),'EDT Y TAREAS'!AD16/'EDT Y TAREAS'!M16,0),IF(AND(165&gt;='EDT Y TAREAS'!AK17,165&lt;'EDT Y TAREAS'!AL17),'EDT Y TAREAS'!AD17/'EDT Y TAREAS'!M17,0),IF(AND(165&gt;='EDT Y TAREAS'!AK18,165&lt;'EDT Y TAREAS'!AL18),'EDT Y TAREAS'!AD18/'EDT Y TAREAS'!M18,0),IF(AND(165&gt;='EDT Y TAREAS'!AK19,165&lt;'EDT Y TAREAS'!AL19),'EDT Y TAREAS'!AD19/'EDT Y TAREAS'!M19,0),IF(AND(165&gt;='EDT Y TAREAS'!AK20,165&lt;'EDT Y TAREAS'!AL20),'EDT Y TAREAS'!AD20/'EDT Y TAREAS'!M20,0),IF(AND(165&gt;='EDT Y TAREAS'!AK21,165&lt;'EDT Y TAREAS'!AL21),'EDT Y TAREAS'!AD21/'EDT Y TAREAS'!M21,0),IF(AND(165&gt;='EDT Y TAREAS'!AK22,165&lt;'EDT Y TAREAS'!AL22),'EDT Y TAREAS'!AD22/'EDT Y TAREAS'!M22,0),IF(AND(165&gt;='EDT Y TAREAS'!AK23,165&lt;'EDT Y TAREAS'!AL23),'EDT Y TAREAS'!AD23/'EDT Y TAREAS'!M23,0),IF(AND(165&gt;='EDT Y TAREAS'!AK26,165&lt;'EDT Y TAREAS'!AL26),'EDT Y TAREAS'!AD26/'EDT Y TAREAS'!M26,0),IF(AND(165&gt;='EDT Y TAREAS'!AK28,165&lt;'EDT Y TAREAS'!AL28),'EDT Y TAREAS'!AD28/'EDT Y TAREAS'!M28,0),IF(AND(165&gt;='EDT Y TAREAS'!AK30,165&lt;'EDT Y TAREAS'!AL30),'EDT Y TAREAS'!AD30/'EDT Y TAREAS'!M30,0),IF(AND(165&gt;='EDT Y TAREAS'!AK32,165&lt;'EDT Y TAREAS'!AL32),'EDT Y TAREAS'!AD32/'EDT Y TAREAS'!M32,0),IF(AND(165&gt;='EDT Y TAREAS'!AK34,165&lt;'EDT Y TAREAS'!AL34),'EDT Y TAREAS'!AD34/'EDT Y TAREAS'!M34,0),IF(AND(165&gt;='EDT Y TAREAS'!AK38,165&lt;'EDT Y TAREAS'!AL38),'EDT Y TAREAS'!AD38/'EDT Y TAREAS'!M38,0),IF(AND(165&gt;='EDT Y TAREAS'!AK39,165&lt;'EDT Y TAREAS'!AL39),'EDT Y TAREAS'!AD39/'EDT Y TAREAS'!M39,0),IF(AND(165&gt;='EDT Y TAREAS'!AK43,165&lt;'EDT Y TAREAS'!AL43),'EDT Y TAREAS'!AD43/'EDT Y TAREAS'!M43,0),IF(AND(165&gt;='EDT Y TAREAS'!AK44,165&lt;'EDT Y TAREAS'!AL44),'EDT Y TAREAS'!AD44/'EDT Y TAREAS'!M44,0),IF(AND(165&gt;='EDT Y TAREAS'!AK45,165&lt;'EDT Y TAREAS'!AL45),'EDT Y TAREAS'!AD45/'EDT Y TAREAS'!M45,0),IF(AND(165&gt;='EDT Y TAREAS'!AK46,165&lt;'EDT Y TAREAS'!AL46),'EDT Y TAREAS'!AD46/'EDT Y TAREAS'!M46,0),IF(AND(165&gt;='EDT Y TAREAS'!AK47,165&lt;'EDT Y TAREAS'!AL47),'EDT Y TAREAS'!AD47/'EDT Y TAREAS'!M47,0),IF(AND(165&gt;='EDT Y TAREAS'!AK49,165&lt;'EDT Y TAREAS'!AL49),'EDT Y TAREAS'!AD49/'EDT Y TAREAS'!M49,0),IF(AND(165&gt;='EDT Y TAREAS'!AK50,165&lt;'EDT Y TAREAS'!AL50),'EDT Y TAREAS'!AD50/'EDT Y TAREAS'!M50,0),IF(AND(165&gt;='EDT Y TAREAS'!AK51,165&lt;'EDT Y TAREAS'!AL51),'EDT Y TAREAS'!AD51/'EDT Y TAREAS'!M51,0),IF(AND(165&gt;='EDT Y TAREAS'!AK52,165&lt;'EDT Y TAREAS'!AL52),'EDT Y TAREAS'!AD52/'EDT Y TAREAS'!M52,0))</x:f>
        <x:v>0</x:v>
      </x:c>
      <x:c r="C205" s="35" t="n">
        <x:f>SUM(IF(AND(165&gt;='EDT Y TAREAS'!AK6,165&lt;'EDT Y TAREAS'!AL6),'EDT Y TAREAS'!AE6/'EDT Y TAREAS'!M6,0),IF(AND(165&gt;='EDT Y TAREAS'!AK8,165&lt;'EDT Y TAREAS'!AL8),'EDT Y TAREAS'!AE8/'EDT Y TAREAS'!M8,0),IF(AND(165&gt;='EDT Y TAREAS'!AK9,165&lt;'EDT Y TAREAS'!AL9),'EDT Y TAREAS'!AE9/'EDT Y TAREAS'!M9,0),IF(AND(165&gt;='EDT Y TAREAS'!AK10,165&lt;'EDT Y TAREAS'!AL10),'EDT Y TAREAS'!AE10/'EDT Y TAREAS'!M10,0),IF(AND(165&gt;='EDT Y TAREAS'!AK12,165&lt;'EDT Y TAREAS'!AL12),'EDT Y TAREAS'!AE12/'EDT Y TAREAS'!M12,0),IF(AND(165&gt;='EDT Y TAREAS'!AK16,165&lt;'EDT Y TAREAS'!AL16),'EDT Y TAREAS'!AE16/'EDT Y TAREAS'!M16,0),IF(AND(165&gt;='EDT Y TAREAS'!AK21,165&lt;'EDT Y TAREAS'!AL21),'EDT Y TAREAS'!AE21/'EDT Y TAREAS'!M21,0),IF(AND(165&gt;='EDT Y TAREAS'!AK23,165&lt;'EDT Y TAREAS'!AL23),'EDT Y TAREAS'!AE23/'EDT Y TAREAS'!M23,0),IF(AND(165&gt;='EDT Y TAREAS'!AK37,165&lt;'EDT Y TAREAS'!AL37),'EDT Y TAREAS'!AE37/'EDT Y TAREAS'!M37,0),IF(AND(165&gt;='EDT Y TAREAS'!AK38,165&lt;'EDT Y TAREAS'!AL38),'EDT Y TAREAS'!AE38/'EDT Y TAREAS'!M38,0),IF(AND(165&gt;='EDT Y TAREAS'!AK41,165&lt;'EDT Y TAREAS'!AL41),'EDT Y TAREAS'!AE41/'EDT Y TAREAS'!M41,0),IF(AND(165&gt;='EDT Y TAREAS'!AK43,165&lt;'EDT Y TAREAS'!AL43),'EDT Y TAREAS'!AE43/'EDT Y TAREAS'!M43,0),IF(AND(165&gt;='EDT Y TAREAS'!AK44,165&lt;'EDT Y TAREAS'!AL44),'EDT Y TAREAS'!AE44/'EDT Y TAREAS'!M44,0),IF(AND(165&gt;='EDT Y TAREAS'!AK46,165&lt;'EDT Y TAREAS'!AL46),'EDT Y TAREAS'!AE46/'EDT Y TAREAS'!M46,0),IF(AND(165&gt;='EDT Y TAREAS'!AK47,165&lt;'EDT Y TAREAS'!AL47),'EDT Y TAREAS'!AE47/'EDT Y TAREAS'!M47,0),IF(AND(165&gt;='EDT Y TAREAS'!AK51,165&lt;'EDT Y TAREAS'!AL51),'EDT Y TAREAS'!AE51/'EDT Y TAREAS'!M51,0),IF(AND(165&gt;='EDT Y TAREAS'!AK52,165&lt;'EDT Y TAREAS'!AL52),'EDT Y TAREAS'!AE52/'EDT Y TAREAS'!M52,0))</x:f>
        <x:v>0</x:v>
      </x:c>
      <x:c r="D205" s="35" t="n">
        <x:f>SUM(IF(AND(165&gt;='EDT Y TAREAS'!AK11,165&lt;'EDT Y TAREAS'!AL11),'EDT Y TAREAS'!AF11/'EDT Y TAREAS'!M11,0),IF(AND(165&gt;='EDT Y TAREAS'!AK24,165&lt;'EDT Y TAREAS'!AL24),'EDT Y TAREAS'!AF24/'EDT Y TAREAS'!M24,0),IF(AND(165&gt;='EDT Y TAREAS'!AK25,165&lt;'EDT Y TAREAS'!AL25),'EDT Y TAREAS'!AF25/'EDT Y TAREAS'!M25,0),IF(AND(165&gt;='EDT Y TAREAS'!AK26,165&lt;'EDT Y TAREAS'!AL26),'EDT Y TAREAS'!AF26/'EDT Y TAREAS'!M26,0),IF(AND(165&gt;='EDT Y TAREAS'!AK27,165&lt;'EDT Y TAREAS'!AL27),'EDT Y TAREAS'!AF27/'EDT Y TAREAS'!M27,0),IF(AND(165&gt;='EDT Y TAREAS'!AK28,165&lt;'EDT Y TAREAS'!AL28),'EDT Y TAREAS'!AF28/'EDT Y TAREAS'!M28,0),IF(AND(165&gt;='EDT Y TAREAS'!AK31,165&lt;'EDT Y TAREAS'!AL31),'EDT Y TAREAS'!AF31/'EDT Y TAREAS'!M31,0),IF(AND(165&gt;='EDT Y TAREAS'!AK33,165&lt;'EDT Y TAREAS'!AL33),'EDT Y TAREAS'!AF33/'EDT Y TAREAS'!M33,0),IF(AND(165&gt;='EDT Y TAREAS'!AK34,165&lt;'EDT Y TAREAS'!AL34),'EDT Y TAREAS'!AF34/'EDT Y TAREAS'!M34,0),IF(AND(165&gt;='EDT Y TAREAS'!AK35,165&lt;'EDT Y TAREAS'!AL35),'EDT Y TAREAS'!AF35/'EDT Y TAREAS'!M35,0),IF(AND(165&gt;='EDT Y TAREAS'!AK37,165&lt;'EDT Y TAREAS'!AL37),'EDT Y TAREAS'!AF37/'EDT Y TAREAS'!M37,0),IF(AND(165&gt;='EDT Y TAREAS'!AK39,165&lt;'EDT Y TAREAS'!AL39),'EDT Y TAREAS'!AF39/'EDT Y TAREAS'!M39,0),IF(AND(165&gt;='EDT Y TAREAS'!AK40,165&lt;'EDT Y TAREAS'!AL40),'EDT Y TAREAS'!AF40/'EDT Y TAREAS'!M40,0),IF(AND(165&gt;='EDT Y TAREAS'!AK42,165&lt;'EDT Y TAREAS'!AL42),'EDT Y TAREAS'!AF42/'EDT Y TAREAS'!M42,0),IF(AND(165&gt;='EDT Y TAREAS'!AK45,165&lt;'EDT Y TAREAS'!AL45),'EDT Y TAREAS'!AF45/'EDT Y TAREAS'!M45,0),IF(AND(165&gt;='EDT Y TAREAS'!AK49,165&lt;'EDT Y TAREAS'!AL49),'EDT Y TAREAS'!AF49/'EDT Y TAREAS'!M49,0),IF(AND(165&gt;='EDT Y TAREAS'!AK52,165&lt;'EDT Y TAREAS'!AL52),'EDT Y TAREAS'!AF52/'EDT Y TAREAS'!M52,0))</x:f>
        <x:v>0</x:v>
      </x:c>
      <x:c r="E205" s="35" t="n">
        <x:f>SUM(IF(AND(165&gt;='EDT Y TAREAS'!AK29,165&lt;'EDT Y TAREAS'!AL29),'EDT Y TAREAS'!AG29/'EDT Y TAREAS'!M29,0),IF(AND(165&gt;='EDT Y TAREAS'!AK30,165&lt;'EDT Y TAREAS'!AL30),'EDT Y TAREAS'!AG30/'EDT Y TAREAS'!M30,0),IF(AND(165&gt;='EDT Y TAREAS'!AK31,165&lt;'EDT Y TAREAS'!AL31),'EDT Y TAREAS'!AG31/'EDT Y TAREAS'!M31,0),IF(AND(165&gt;='EDT Y TAREAS'!AK32,165&lt;'EDT Y TAREAS'!AL32),'EDT Y TAREAS'!AG32/'EDT Y TAREAS'!M32,0),IF(AND(165&gt;='EDT Y TAREAS'!AK41,165&lt;'EDT Y TAREAS'!AL41),'EDT Y TAREAS'!AG41/'EDT Y TAREAS'!M41,0),IF(AND(165&gt;='EDT Y TAREAS'!AK45,165&lt;'EDT Y TAREAS'!AL45),'EDT Y TAREAS'!AG45/'EDT Y TAREAS'!M45,0),IF(AND(165&gt;='EDT Y TAREAS'!AK48,165&lt;'EDT Y TAREAS'!AL48),'EDT Y TAREAS'!AG48/'EDT Y TAREAS'!M48,0))</x:f>
        <x:v>0</x:v>
      </x:c>
      <x:c r="F205" s="35" t="n">
        <x:f>SUM(IF(AND(165&gt;='EDT Y TAREAS'!AK10,165&lt;'EDT Y TAREAS'!AL10),'EDT Y TAREAS'!AH10/'EDT Y TAREAS'!M10,0),IF(AND(165&gt;='EDT Y TAREAS'!AK12,165&lt;'EDT Y TAREAS'!AL12),'EDT Y TAREAS'!AH12/'EDT Y TAREAS'!M12,0),IF(AND(165&gt;='EDT Y TAREAS'!AK22,165&lt;'EDT Y TAREAS'!AL22),'EDT Y TAREAS'!AH22/'EDT Y TAREAS'!M22,0),IF(AND(165&gt;='EDT Y TAREAS'!AK23,165&lt;'EDT Y TAREAS'!AL23),'EDT Y TAREAS'!AH23/'EDT Y TAREAS'!M23,0),IF(AND(165&gt;='EDT Y TAREAS'!AK29,165&lt;'EDT Y TAREAS'!AL29),'EDT Y TAREAS'!AH29/'EDT Y TAREAS'!M29,0),IF(AND(165&gt;='EDT Y TAREAS'!AK30,165&lt;'EDT Y TAREAS'!AL30),'EDT Y TAREAS'!AH30/'EDT Y TAREAS'!M30,0),IF(AND(165&gt;='EDT Y TAREAS'!AK32,165&lt;'EDT Y TAREAS'!AL32),'EDT Y TAREAS'!AH32/'EDT Y TAREAS'!M32,0),IF(AND(165&gt;='EDT Y TAREAS'!AK41,165&lt;'EDT Y TAREAS'!AL41),'EDT Y TAREAS'!AH41/'EDT Y TAREAS'!M41,0),IF(AND(165&gt;='EDT Y TAREAS'!AK44,165&lt;'EDT Y TAREAS'!AL44),'EDT Y TAREAS'!AH44/'EDT Y TAREAS'!M44,0),IF(AND(165&gt;='EDT Y TAREAS'!AK46,165&lt;'EDT Y TAREAS'!AL46),'EDT Y TAREAS'!AH46/'EDT Y TAREAS'!M46,0),IF(AND(165&gt;='EDT Y TAREAS'!AK48,165&lt;'EDT Y TAREAS'!AL48),'EDT Y TAREAS'!AH48/'EDT Y TAREAS'!M48,0))</x:f>
        <x:v>0</x:v>
      </x:c>
      <x:c r="G205" s="35" t="n">
        <x:f>SUM(IF(AND(165&gt;='EDT Y TAREAS'!AK20,165&lt;'EDT Y TAREAS'!AL20),'EDT Y TAREAS'!AI20/'EDT Y TAREAS'!M20,0),IF(AND(165&gt;='EDT Y TAREAS'!AK25,165&lt;'EDT Y TAREAS'!AL25),'EDT Y TAREAS'!AI25/'EDT Y TAREAS'!M25,0),IF(AND(165&gt;='EDT Y TAREAS'!AK33,165&lt;'EDT Y TAREAS'!AL33),'EDT Y TAREAS'!AI33/'EDT Y TAREAS'!M33,0),IF(AND(165&gt;='EDT Y TAREAS'!AK34,165&lt;'EDT Y TAREAS'!AL34),'EDT Y TAREAS'!AI34/'EDT Y TAREAS'!M34,0),IF(AND(165&gt;='EDT Y TAREAS'!AK36,165&lt;'EDT Y TAREAS'!AL36),'EDT Y TAREAS'!AI36/'EDT Y TAREAS'!M36,0),IF(AND(165&gt;='EDT Y TAREAS'!AK39,165&lt;'EDT Y TAREAS'!AL39),'EDT Y TAREAS'!AI39/'EDT Y TAREAS'!M39,0),IF(AND(165&gt;='EDT Y TAREAS'!AK40,165&lt;'EDT Y TAREAS'!AL40),'EDT Y TAREAS'!AI40/'EDT Y TAREAS'!M40,0),IF(AND(165&gt;='EDT Y TAREAS'!AK42,165&lt;'EDT Y TAREAS'!AL42),'EDT Y TAREAS'!AI42/'EDT Y TAREAS'!M42,0),IF(AND(165&gt;='EDT Y TAREAS'!AK43,165&lt;'EDT Y TAREAS'!AL43),'EDT Y TAREAS'!AI43/'EDT Y TAREAS'!M43,0),IF(AND(165&gt;='EDT Y TAREAS'!AK44,165&lt;'EDT Y TAREAS'!AL44),'EDT Y TAREAS'!AI44/'EDT Y TAREAS'!M44,0),IF(AND(165&gt;='EDT Y TAREAS'!AK45,165&lt;'EDT Y TAREAS'!AL45),'EDT Y TAREAS'!AI45/'EDT Y TAREAS'!M45,0),IF(AND(165&gt;='EDT Y TAREAS'!AK46,165&lt;'EDT Y TAREAS'!AL46),'EDT Y TAREAS'!AI46/'EDT Y TAREAS'!M46,0),IF(AND(165&gt;='EDT Y TAREAS'!AK48,165&lt;'EDT Y TAREAS'!AL48),'EDT Y TAREAS'!AI48/'EDT Y TAREAS'!M48,0),IF(AND(165&gt;='EDT Y TAREAS'!AK50,165&lt;'EDT Y TAREAS'!AL50),'EDT Y TAREAS'!AI50/'EDT Y TAREAS'!M50,0),IF(AND(165&gt;='EDT Y TAREAS'!AK52,165&lt;'EDT Y TAREAS'!AL52),'EDT Y TAREAS'!AI52/'EDT Y TAREAS'!M52,0))</x:f>
        <x:v>0</x:v>
      </x:c>
      <x:c r="H205" s="35" t="n">
        <x:f>SUM(IF(AND(165&gt;='EDT Y TAREAS'!AK11,165&lt;'EDT Y TAREAS'!AL11),'EDT Y TAREAS'!AJ11/'EDT Y TAREAS'!M11,0),IF(AND(165&gt;='EDT Y TAREAS'!AK24,165&lt;'EDT Y TAREAS'!AL24),'EDT Y TAREAS'!AJ24/'EDT Y TAREAS'!M24,0),IF(AND(165&gt;='EDT Y TAREAS'!AK27,165&lt;'EDT Y TAREAS'!AL27),'EDT Y TAREAS'!AJ27/'EDT Y TAREAS'!M27,0),IF(AND(165&gt;='EDT Y TAREAS'!AK28,165&lt;'EDT Y TAREAS'!AL28),'EDT Y TAREAS'!AJ28/'EDT Y TAREAS'!M28,0),IF(AND(165&gt;='EDT Y TAREAS'!AK33,165&lt;'EDT Y TAREAS'!AL33),'EDT Y TAREAS'!AJ33/'EDT Y TAREAS'!M33,0),IF(AND(165&gt;='EDT Y TAREAS'!AK35,165&lt;'EDT Y TAREAS'!AL35),'EDT Y TAREAS'!AJ35/'EDT Y TAREAS'!M35,0),IF(AND(165&gt;='EDT Y TAREAS'!AK36,165&lt;'EDT Y TAREAS'!AL36),'EDT Y TAREAS'!AJ36/'EDT Y TAREAS'!M36,0),IF(AND(165&gt;='EDT Y TAREAS'!AK37,165&lt;'EDT Y TAREAS'!AL37),'EDT Y TAREAS'!AJ37/'EDT Y TAREAS'!M37,0),IF(AND(165&gt;='EDT Y TAREAS'!AK40,165&lt;'EDT Y TAREAS'!AL40),'EDT Y TAREAS'!AJ40/'EDT Y TAREAS'!M40,0),IF(AND(165&gt;='EDT Y TAREAS'!AK42,165&lt;'EDT Y TAREAS'!AL42),'EDT Y TAREAS'!AJ42/'EDT Y TAREAS'!M42,0),IF(AND(165&gt;='EDT Y TAREAS'!AK49,165&lt;'EDT Y TAREAS'!AL49),'EDT Y TAREAS'!AJ49/'EDT Y TAREAS'!M49,0),IF(AND(165&gt;='EDT Y TAREAS'!AK50,165&lt;'EDT Y TAREAS'!AL50),'EDT Y TAREAS'!AJ50/'EDT Y TAREAS'!M50,0),IF(AND(165&gt;='EDT Y TAREAS'!AK51,165&lt;'EDT Y TAREAS'!AL51),'EDT Y TAREAS'!AJ51/'EDT Y TAREAS'!M51,0),IF(AND(165&gt;='EDT Y TAREAS'!AK52,165&lt;'EDT Y TAREAS'!AL52),'EDT Y TAREAS'!AJ52/'EDT Y TAREAS'!M52,0))</x:f>
        <x:v>0</x:v>
      </x:c>
      <x:c r="I205" s="10" t="n">
        <x:f>WORKDAY('RESUMEN'!$D$3-1,A205,'RESUMEN'!$J$6:$J$25)</x:f>
        <x:v>46559</x:v>
      </x:c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  <x:c r="AL205" s="3"/>
      <x:c r="AM205" s="3"/>
      <x:c r="AN205" s="3"/>
      <x:c r="AO205" s="3"/>
    </x:row>
    <x:row r="206" ht="24" customHeight="1">
      <x:c r="A206" s="3" t="n">
        <x:v>167</x:v>
      </x:c>
      <x:c r="B206" s="35" t="n">
        <x:f>SUM(IF(AND(166&gt;='EDT Y TAREAS'!AK6,166&lt;'EDT Y TAREAS'!AL6),'EDT Y TAREAS'!AD6/'EDT Y TAREAS'!M6,0),IF(AND(166&gt;='EDT Y TAREAS'!AK7,166&lt;'EDT Y TAREAS'!AL7),'EDT Y TAREAS'!AD7/'EDT Y TAREAS'!M7,0),IF(AND(166&gt;='EDT Y TAREAS'!AK8,166&lt;'EDT Y TAREAS'!AL8),'EDT Y TAREAS'!AD8/'EDT Y TAREAS'!M8,0),IF(AND(166&gt;='EDT Y TAREAS'!AK9,166&lt;'EDT Y TAREAS'!AL9),'EDT Y TAREAS'!AD9/'EDT Y TAREAS'!M9,0),IF(AND(166&gt;='EDT Y TAREAS'!AK10,166&lt;'EDT Y TAREAS'!AL10),'EDT Y TAREAS'!AD10/'EDT Y TAREAS'!M10,0),IF(AND(166&gt;='EDT Y TAREAS'!AK11,166&lt;'EDT Y TAREAS'!AL11),'EDT Y TAREAS'!AD11/'EDT Y TAREAS'!M11,0),IF(AND(166&gt;='EDT Y TAREAS'!AK12,166&lt;'EDT Y TAREAS'!AL12),'EDT Y TAREAS'!AD12/'EDT Y TAREAS'!M12,0),IF(AND(166&gt;='EDT Y TAREAS'!AK13,166&lt;'EDT Y TAREAS'!AL13),'EDT Y TAREAS'!AD13/'EDT Y TAREAS'!M13,0),IF(AND(166&gt;='EDT Y TAREAS'!AK14,166&lt;'EDT Y TAREAS'!AL14),'EDT Y TAREAS'!AD14/'EDT Y TAREAS'!M14,0),IF(AND(166&gt;='EDT Y TAREAS'!AK15,166&lt;'EDT Y TAREAS'!AL15),'EDT Y TAREAS'!AD15/'EDT Y TAREAS'!M15,0),IF(AND(166&gt;='EDT Y TAREAS'!AK16,166&lt;'EDT Y TAREAS'!AL16),'EDT Y TAREAS'!AD16/'EDT Y TAREAS'!M16,0),IF(AND(166&gt;='EDT Y TAREAS'!AK17,166&lt;'EDT Y TAREAS'!AL17),'EDT Y TAREAS'!AD17/'EDT Y TAREAS'!M17,0),IF(AND(166&gt;='EDT Y TAREAS'!AK18,166&lt;'EDT Y TAREAS'!AL18),'EDT Y TAREAS'!AD18/'EDT Y TAREAS'!M18,0),IF(AND(166&gt;='EDT Y TAREAS'!AK19,166&lt;'EDT Y TAREAS'!AL19),'EDT Y TAREAS'!AD19/'EDT Y TAREAS'!M19,0),IF(AND(166&gt;='EDT Y TAREAS'!AK20,166&lt;'EDT Y TAREAS'!AL20),'EDT Y TAREAS'!AD20/'EDT Y TAREAS'!M20,0),IF(AND(166&gt;='EDT Y TAREAS'!AK21,166&lt;'EDT Y TAREAS'!AL21),'EDT Y TAREAS'!AD21/'EDT Y TAREAS'!M21,0),IF(AND(166&gt;='EDT Y TAREAS'!AK22,166&lt;'EDT Y TAREAS'!AL22),'EDT Y TAREAS'!AD22/'EDT Y TAREAS'!M22,0),IF(AND(166&gt;='EDT Y TAREAS'!AK23,166&lt;'EDT Y TAREAS'!AL23),'EDT Y TAREAS'!AD23/'EDT Y TAREAS'!M23,0),IF(AND(166&gt;='EDT Y TAREAS'!AK26,166&lt;'EDT Y TAREAS'!AL26),'EDT Y TAREAS'!AD26/'EDT Y TAREAS'!M26,0),IF(AND(166&gt;='EDT Y TAREAS'!AK28,166&lt;'EDT Y TAREAS'!AL28),'EDT Y TAREAS'!AD28/'EDT Y TAREAS'!M28,0),IF(AND(166&gt;='EDT Y TAREAS'!AK30,166&lt;'EDT Y TAREAS'!AL30),'EDT Y TAREAS'!AD30/'EDT Y TAREAS'!M30,0),IF(AND(166&gt;='EDT Y TAREAS'!AK32,166&lt;'EDT Y TAREAS'!AL32),'EDT Y TAREAS'!AD32/'EDT Y TAREAS'!M32,0),IF(AND(166&gt;='EDT Y TAREAS'!AK34,166&lt;'EDT Y TAREAS'!AL34),'EDT Y TAREAS'!AD34/'EDT Y TAREAS'!M34,0),IF(AND(166&gt;='EDT Y TAREAS'!AK38,166&lt;'EDT Y TAREAS'!AL38),'EDT Y TAREAS'!AD38/'EDT Y TAREAS'!M38,0),IF(AND(166&gt;='EDT Y TAREAS'!AK39,166&lt;'EDT Y TAREAS'!AL39),'EDT Y TAREAS'!AD39/'EDT Y TAREAS'!M39,0),IF(AND(166&gt;='EDT Y TAREAS'!AK43,166&lt;'EDT Y TAREAS'!AL43),'EDT Y TAREAS'!AD43/'EDT Y TAREAS'!M43,0),IF(AND(166&gt;='EDT Y TAREAS'!AK44,166&lt;'EDT Y TAREAS'!AL44),'EDT Y TAREAS'!AD44/'EDT Y TAREAS'!M44,0),IF(AND(166&gt;='EDT Y TAREAS'!AK45,166&lt;'EDT Y TAREAS'!AL45),'EDT Y TAREAS'!AD45/'EDT Y TAREAS'!M45,0),IF(AND(166&gt;='EDT Y TAREAS'!AK46,166&lt;'EDT Y TAREAS'!AL46),'EDT Y TAREAS'!AD46/'EDT Y TAREAS'!M46,0),IF(AND(166&gt;='EDT Y TAREAS'!AK47,166&lt;'EDT Y TAREAS'!AL47),'EDT Y TAREAS'!AD47/'EDT Y TAREAS'!M47,0),IF(AND(166&gt;='EDT Y TAREAS'!AK49,166&lt;'EDT Y TAREAS'!AL49),'EDT Y TAREAS'!AD49/'EDT Y TAREAS'!M49,0),IF(AND(166&gt;='EDT Y TAREAS'!AK50,166&lt;'EDT Y TAREAS'!AL50),'EDT Y TAREAS'!AD50/'EDT Y TAREAS'!M50,0),IF(AND(166&gt;='EDT Y TAREAS'!AK51,166&lt;'EDT Y TAREAS'!AL51),'EDT Y TAREAS'!AD51/'EDT Y TAREAS'!M51,0),IF(AND(166&gt;='EDT Y TAREAS'!AK52,166&lt;'EDT Y TAREAS'!AL52),'EDT Y TAREAS'!AD52/'EDT Y TAREAS'!M52,0))</x:f>
        <x:v>0</x:v>
      </x:c>
      <x:c r="C206" s="35" t="n">
        <x:f>SUM(IF(AND(166&gt;='EDT Y TAREAS'!AK6,166&lt;'EDT Y TAREAS'!AL6),'EDT Y TAREAS'!AE6/'EDT Y TAREAS'!M6,0),IF(AND(166&gt;='EDT Y TAREAS'!AK8,166&lt;'EDT Y TAREAS'!AL8),'EDT Y TAREAS'!AE8/'EDT Y TAREAS'!M8,0),IF(AND(166&gt;='EDT Y TAREAS'!AK9,166&lt;'EDT Y TAREAS'!AL9),'EDT Y TAREAS'!AE9/'EDT Y TAREAS'!M9,0),IF(AND(166&gt;='EDT Y TAREAS'!AK10,166&lt;'EDT Y TAREAS'!AL10),'EDT Y TAREAS'!AE10/'EDT Y TAREAS'!M10,0),IF(AND(166&gt;='EDT Y TAREAS'!AK12,166&lt;'EDT Y TAREAS'!AL12),'EDT Y TAREAS'!AE12/'EDT Y TAREAS'!M12,0),IF(AND(166&gt;='EDT Y TAREAS'!AK16,166&lt;'EDT Y TAREAS'!AL16),'EDT Y TAREAS'!AE16/'EDT Y TAREAS'!M16,0),IF(AND(166&gt;='EDT Y TAREAS'!AK21,166&lt;'EDT Y TAREAS'!AL21),'EDT Y TAREAS'!AE21/'EDT Y TAREAS'!M21,0),IF(AND(166&gt;='EDT Y TAREAS'!AK23,166&lt;'EDT Y TAREAS'!AL23),'EDT Y TAREAS'!AE23/'EDT Y TAREAS'!M23,0),IF(AND(166&gt;='EDT Y TAREAS'!AK37,166&lt;'EDT Y TAREAS'!AL37),'EDT Y TAREAS'!AE37/'EDT Y TAREAS'!M37,0),IF(AND(166&gt;='EDT Y TAREAS'!AK38,166&lt;'EDT Y TAREAS'!AL38),'EDT Y TAREAS'!AE38/'EDT Y TAREAS'!M38,0),IF(AND(166&gt;='EDT Y TAREAS'!AK41,166&lt;'EDT Y TAREAS'!AL41),'EDT Y TAREAS'!AE41/'EDT Y TAREAS'!M41,0),IF(AND(166&gt;='EDT Y TAREAS'!AK43,166&lt;'EDT Y TAREAS'!AL43),'EDT Y TAREAS'!AE43/'EDT Y TAREAS'!M43,0),IF(AND(166&gt;='EDT Y TAREAS'!AK44,166&lt;'EDT Y TAREAS'!AL44),'EDT Y TAREAS'!AE44/'EDT Y TAREAS'!M44,0),IF(AND(166&gt;='EDT Y TAREAS'!AK46,166&lt;'EDT Y TAREAS'!AL46),'EDT Y TAREAS'!AE46/'EDT Y TAREAS'!M46,0),IF(AND(166&gt;='EDT Y TAREAS'!AK47,166&lt;'EDT Y TAREAS'!AL47),'EDT Y TAREAS'!AE47/'EDT Y TAREAS'!M47,0),IF(AND(166&gt;='EDT Y TAREAS'!AK51,166&lt;'EDT Y TAREAS'!AL51),'EDT Y TAREAS'!AE51/'EDT Y TAREAS'!M51,0),IF(AND(166&gt;='EDT Y TAREAS'!AK52,166&lt;'EDT Y TAREAS'!AL52),'EDT Y TAREAS'!AE52/'EDT Y TAREAS'!M52,0))</x:f>
        <x:v>0</x:v>
      </x:c>
      <x:c r="D206" s="35" t="n">
        <x:f>SUM(IF(AND(166&gt;='EDT Y TAREAS'!AK11,166&lt;'EDT Y TAREAS'!AL11),'EDT Y TAREAS'!AF11/'EDT Y TAREAS'!M11,0),IF(AND(166&gt;='EDT Y TAREAS'!AK24,166&lt;'EDT Y TAREAS'!AL24),'EDT Y TAREAS'!AF24/'EDT Y TAREAS'!M24,0),IF(AND(166&gt;='EDT Y TAREAS'!AK25,166&lt;'EDT Y TAREAS'!AL25),'EDT Y TAREAS'!AF25/'EDT Y TAREAS'!M25,0),IF(AND(166&gt;='EDT Y TAREAS'!AK26,166&lt;'EDT Y TAREAS'!AL26),'EDT Y TAREAS'!AF26/'EDT Y TAREAS'!M26,0),IF(AND(166&gt;='EDT Y TAREAS'!AK27,166&lt;'EDT Y TAREAS'!AL27),'EDT Y TAREAS'!AF27/'EDT Y TAREAS'!M27,0),IF(AND(166&gt;='EDT Y TAREAS'!AK28,166&lt;'EDT Y TAREAS'!AL28),'EDT Y TAREAS'!AF28/'EDT Y TAREAS'!M28,0),IF(AND(166&gt;='EDT Y TAREAS'!AK31,166&lt;'EDT Y TAREAS'!AL31),'EDT Y TAREAS'!AF31/'EDT Y TAREAS'!M31,0),IF(AND(166&gt;='EDT Y TAREAS'!AK33,166&lt;'EDT Y TAREAS'!AL33),'EDT Y TAREAS'!AF33/'EDT Y TAREAS'!M33,0),IF(AND(166&gt;='EDT Y TAREAS'!AK34,166&lt;'EDT Y TAREAS'!AL34),'EDT Y TAREAS'!AF34/'EDT Y TAREAS'!M34,0),IF(AND(166&gt;='EDT Y TAREAS'!AK35,166&lt;'EDT Y TAREAS'!AL35),'EDT Y TAREAS'!AF35/'EDT Y TAREAS'!M35,0),IF(AND(166&gt;='EDT Y TAREAS'!AK37,166&lt;'EDT Y TAREAS'!AL37),'EDT Y TAREAS'!AF37/'EDT Y TAREAS'!M37,0),IF(AND(166&gt;='EDT Y TAREAS'!AK39,166&lt;'EDT Y TAREAS'!AL39),'EDT Y TAREAS'!AF39/'EDT Y TAREAS'!M39,0),IF(AND(166&gt;='EDT Y TAREAS'!AK40,166&lt;'EDT Y TAREAS'!AL40),'EDT Y TAREAS'!AF40/'EDT Y TAREAS'!M40,0),IF(AND(166&gt;='EDT Y TAREAS'!AK42,166&lt;'EDT Y TAREAS'!AL42),'EDT Y TAREAS'!AF42/'EDT Y TAREAS'!M42,0),IF(AND(166&gt;='EDT Y TAREAS'!AK45,166&lt;'EDT Y TAREAS'!AL45),'EDT Y TAREAS'!AF45/'EDT Y TAREAS'!M45,0),IF(AND(166&gt;='EDT Y TAREAS'!AK49,166&lt;'EDT Y TAREAS'!AL49),'EDT Y TAREAS'!AF49/'EDT Y TAREAS'!M49,0),IF(AND(166&gt;='EDT Y TAREAS'!AK52,166&lt;'EDT Y TAREAS'!AL52),'EDT Y TAREAS'!AF52/'EDT Y TAREAS'!M52,0))</x:f>
        <x:v>0</x:v>
      </x:c>
      <x:c r="E206" s="35" t="n">
        <x:f>SUM(IF(AND(166&gt;='EDT Y TAREAS'!AK29,166&lt;'EDT Y TAREAS'!AL29),'EDT Y TAREAS'!AG29/'EDT Y TAREAS'!M29,0),IF(AND(166&gt;='EDT Y TAREAS'!AK30,166&lt;'EDT Y TAREAS'!AL30),'EDT Y TAREAS'!AG30/'EDT Y TAREAS'!M30,0),IF(AND(166&gt;='EDT Y TAREAS'!AK31,166&lt;'EDT Y TAREAS'!AL31),'EDT Y TAREAS'!AG31/'EDT Y TAREAS'!M31,0),IF(AND(166&gt;='EDT Y TAREAS'!AK32,166&lt;'EDT Y TAREAS'!AL32),'EDT Y TAREAS'!AG32/'EDT Y TAREAS'!M32,0),IF(AND(166&gt;='EDT Y TAREAS'!AK41,166&lt;'EDT Y TAREAS'!AL41),'EDT Y TAREAS'!AG41/'EDT Y TAREAS'!M41,0),IF(AND(166&gt;='EDT Y TAREAS'!AK45,166&lt;'EDT Y TAREAS'!AL45),'EDT Y TAREAS'!AG45/'EDT Y TAREAS'!M45,0),IF(AND(166&gt;='EDT Y TAREAS'!AK48,166&lt;'EDT Y TAREAS'!AL48),'EDT Y TAREAS'!AG48/'EDT Y TAREAS'!M48,0))</x:f>
        <x:v>0</x:v>
      </x:c>
      <x:c r="F206" s="35" t="n">
        <x:f>SUM(IF(AND(166&gt;='EDT Y TAREAS'!AK10,166&lt;'EDT Y TAREAS'!AL10),'EDT Y TAREAS'!AH10/'EDT Y TAREAS'!M10,0),IF(AND(166&gt;='EDT Y TAREAS'!AK12,166&lt;'EDT Y TAREAS'!AL12),'EDT Y TAREAS'!AH12/'EDT Y TAREAS'!M12,0),IF(AND(166&gt;='EDT Y TAREAS'!AK22,166&lt;'EDT Y TAREAS'!AL22),'EDT Y TAREAS'!AH22/'EDT Y TAREAS'!M22,0),IF(AND(166&gt;='EDT Y TAREAS'!AK23,166&lt;'EDT Y TAREAS'!AL23),'EDT Y TAREAS'!AH23/'EDT Y TAREAS'!M23,0),IF(AND(166&gt;='EDT Y TAREAS'!AK29,166&lt;'EDT Y TAREAS'!AL29),'EDT Y TAREAS'!AH29/'EDT Y TAREAS'!M29,0),IF(AND(166&gt;='EDT Y TAREAS'!AK30,166&lt;'EDT Y TAREAS'!AL30),'EDT Y TAREAS'!AH30/'EDT Y TAREAS'!M30,0),IF(AND(166&gt;='EDT Y TAREAS'!AK32,166&lt;'EDT Y TAREAS'!AL32),'EDT Y TAREAS'!AH32/'EDT Y TAREAS'!M32,0),IF(AND(166&gt;='EDT Y TAREAS'!AK41,166&lt;'EDT Y TAREAS'!AL41),'EDT Y TAREAS'!AH41/'EDT Y TAREAS'!M41,0),IF(AND(166&gt;='EDT Y TAREAS'!AK44,166&lt;'EDT Y TAREAS'!AL44),'EDT Y TAREAS'!AH44/'EDT Y TAREAS'!M44,0),IF(AND(166&gt;='EDT Y TAREAS'!AK46,166&lt;'EDT Y TAREAS'!AL46),'EDT Y TAREAS'!AH46/'EDT Y TAREAS'!M46,0),IF(AND(166&gt;='EDT Y TAREAS'!AK48,166&lt;'EDT Y TAREAS'!AL48),'EDT Y TAREAS'!AH48/'EDT Y TAREAS'!M48,0))</x:f>
        <x:v>0</x:v>
      </x:c>
      <x:c r="G206" s="35" t="n">
        <x:f>SUM(IF(AND(166&gt;='EDT Y TAREAS'!AK20,166&lt;'EDT Y TAREAS'!AL20),'EDT Y TAREAS'!AI20/'EDT Y TAREAS'!M20,0),IF(AND(166&gt;='EDT Y TAREAS'!AK25,166&lt;'EDT Y TAREAS'!AL25),'EDT Y TAREAS'!AI25/'EDT Y TAREAS'!M25,0),IF(AND(166&gt;='EDT Y TAREAS'!AK33,166&lt;'EDT Y TAREAS'!AL33),'EDT Y TAREAS'!AI33/'EDT Y TAREAS'!M33,0),IF(AND(166&gt;='EDT Y TAREAS'!AK34,166&lt;'EDT Y TAREAS'!AL34),'EDT Y TAREAS'!AI34/'EDT Y TAREAS'!M34,0),IF(AND(166&gt;='EDT Y TAREAS'!AK36,166&lt;'EDT Y TAREAS'!AL36),'EDT Y TAREAS'!AI36/'EDT Y TAREAS'!M36,0),IF(AND(166&gt;='EDT Y TAREAS'!AK39,166&lt;'EDT Y TAREAS'!AL39),'EDT Y TAREAS'!AI39/'EDT Y TAREAS'!M39,0),IF(AND(166&gt;='EDT Y TAREAS'!AK40,166&lt;'EDT Y TAREAS'!AL40),'EDT Y TAREAS'!AI40/'EDT Y TAREAS'!M40,0),IF(AND(166&gt;='EDT Y TAREAS'!AK42,166&lt;'EDT Y TAREAS'!AL42),'EDT Y TAREAS'!AI42/'EDT Y TAREAS'!M42,0),IF(AND(166&gt;='EDT Y TAREAS'!AK43,166&lt;'EDT Y TAREAS'!AL43),'EDT Y TAREAS'!AI43/'EDT Y TAREAS'!M43,0),IF(AND(166&gt;='EDT Y TAREAS'!AK44,166&lt;'EDT Y TAREAS'!AL44),'EDT Y TAREAS'!AI44/'EDT Y TAREAS'!M44,0),IF(AND(166&gt;='EDT Y TAREAS'!AK45,166&lt;'EDT Y TAREAS'!AL45),'EDT Y TAREAS'!AI45/'EDT Y TAREAS'!M45,0),IF(AND(166&gt;='EDT Y TAREAS'!AK46,166&lt;'EDT Y TAREAS'!AL46),'EDT Y TAREAS'!AI46/'EDT Y TAREAS'!M46,0),IF(AND(166&gt;='EDT Y TAREAS'!AK48,166&lt;'EDT Y TAREAS'!AL48),'EDT Y TAREAS'!AI48/'EDT Y TAREAS'!M48,0),IF(AND(166&gt;='EDT Y TAREAS'!AK50,166&lt;'EDT Y TAREAS'!AL50),'EDT Y TAREAS'!AI50/'EDT Y TAREAS'!M50,0),IF(AND(166&gt;='EDT Y TAREAS'!AK52,166&lt;'EDT Y TAREAS'!AL52),'EDT Y TAREAS'!AI52/'EDT Y TAREAS'!M52,0))</x:f>
        <x:v>0</x:v>
      </x:c>
      <x:c r="H206" s="35" t="n">
        <x:f>SUM(IF(AND(166&gt;='EDT Y TAREAS'!AK11,166&lt;'EDT Y TAREAS'!AL11),'EDT Y TAREAS'!AJ11/'EDT Y TAREAS'!M11,0),IF(AND(166&gt;='EDT Y TAREAS'!AK24,166&lt;'EDT Y TAREAS'!AL24),'EDT Y TAREAS'!AJ24/'EDT Y TAREAS'!M24,0),IF(AND(166&gt;='EDT Y TAREAS'!AK27,166&lt;'EDT Y TAREAS'!AL27),'EDT Y TAREAS'!AJ27/'EDT Y TAREAS'!M27,0),IF(AND(166&gt;='EDT Y TAREAS'!AK28,166&lt;'EDT Y TAREAS'!AL28),'EDT Y TAREAS'!AJ28/'EDT Y TAREAS'!M28,0),IF(AND(166&gt;='EDT Y TAREAS'!AK33,166&lt;'EDT Y TAREAS'!AL33),'EDT Y TAREAS'!AJ33/'EDT Y TAREAS'!M33,0),IF(AND(166&gt;='EDT Y TAREAS'!AK35,166&lt;'EDT Y TAREAS'!AL35),'EDT Y TAREAS'!AJ35/'EDT Y TAREAS'!M35,0),IF(AND(166&gt;='EDT Y TAREAS'!AK36,166&lt;'EDT Y TAREAS'!AL36),'EDT Y TAREAS'!AJ36/'EDT Y TAREAS'!M36,0),IF(AND(166&gt;='EDT Y TAREAS'!AK37,166&lt;'EDT Y TAREAS'!AL37),'EDT Y TAREAS'!AJ37/'EDT Y TAREAS'!M37,0),IF(AND(166&gt;='EDT Y TAREAS'!AK40,166&lt;'EDT Y TAREAS'!AL40),'EDT Y TAREAS'!AJ40/'EDT Y TAREAS'!M40,0),IF(AND(166&gt;='EDT Y TAREAS'!AK42,166&lt;'EDT Y TAREAS'!AL42),'EDT Y TAREAS'!AJ42/'EDT Y TAREAS'!M42,0),IF(AND(166&gt;='EDT Y TAREAS'!AK49,166&lt;'EDT Y TAREAS'!AL49),'EDT Y TAREAS'!AJ49/'EDT Y TAREAS'!M49,0),IF(AND(166&gt;='EDT Y TAREAS'!AK50,166&lt;'EDT Y TAREAS'!AL50),'EDT Y TAREAS'!AJ50/'EDT Y TAREAS'!M50,0),IF(AND(166&gt;='EDT Y TAREAS'!AK51,166&lt;'EDT Y TAREAS'!AL51),'EDT Y TAREAS'!AJ51/'EDT Y TAREAS'!M51,0),IF(AND(166&gt;='EDT Y TAREAS'!AK52,166&lt;'EDT Y TAREAS'!AL52),'EDT Y TAREAS'!AJ52/'EDT Y TAREAS'!M52,0))</x:f>
        <x:v>0</x:v>
      </x:c>
      <x:c r="I206" s="10" t="n">
        <x:f>WORKDAY('RESUMEN'!$D$3-1,A206,'RESUMEN'!$J$6:$J$25)</x:f>
        <x:v>46560</x:v>
      </x:c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  <x:c r="AL206" s="3"/>
      <x:c r="AM206" s="3"/>
      <x:c r="AN206" s="3"/>
      <x:c r="AO206" s="3"/>
    </x:row>
    <x:row r="207" ht="24" customHeight="1">
      <x:c r="A207" s="3" t="n">
        <x:v>168</x:v>
      </x:c>
      <x:c r="B207" s="35" t="n">
        <x:f>SUM(IF(AND(167&gt;='EDT Y TAREAS'!AK6,167&lt;'EDT Y TAREAS'!AL6),'EDT Y TAREAS'!AD6/'EDT Y TAREAS'!M6,0),IF(AND(167&gt;='EDT Y TAREAS'!AK7,167&lt;'EDT Y TAREAS'!AL7),'EDT Y TAREAS'!AD7/'EDT Y TAREAS'!M7,0),IF(AND(167&gt;='EDT Y TAREAS'!AK8,167&lt;'EDT Y TAREAS'!AL8),'EDT Y TAREAS'!AD8/'EDT Y TAREAS'!M8,0),IF(AND(167&gt;='EDT Y TAREAS'!AK9,167&lt;'EDT Y TAREAS'!AL9),'EDT Y TAREAS'!AD9/'EDT Y TAREAS'!M9,0),IF(AND(167&gt;='EDT Y TAREAS'!AK10,167&lt;'EDT Y TAREAS'!AL10),'EDT Y TAREAS'!AD10/'EDT Y TAREAS'!M10,0),IF(AND(167&gt;='EDT Y TAREAS'!AK11,167&lt;'EDT Y TAREAS'!AL11),'EDT Y TAREAS'!AD11/'EDT Y TAREAS'!M11,0),IF(AND(167&gt;='EDT Y TAREAS'!AK12,167&lt;'EDT Y TAREAS'!AL12),'EDT Y TAREAS'!AD12/'EDT Y TAREAS'!M12,0),IF(AND(167&gt;='EDT Y TAREAS'!AK13,167&lt;'EDT Y TAREAS'!AL13),'EDT Y TAREAS'!AD13/'EDT Y TAREAS'!M13,0),IF(AND(167&gt;='EDT Y TAREAS'!AK14,167&lt;'EDT Y TAREAS'!AL14),'EDT Y TAREAS'!AD14/'EDT Y TAREAS'!M14,0),IF(AND(167&gt;='EDT Y TAREAS'!AK15,167&lt;'EDT Y TAREAS'!AL15),'EDT Y TAREAS'!AD15/'EDT Y TAREAS'!M15,0),IF(AND(167&gt;='EDT Y TAREAS'!AK16,167&lt;'EDT Y TAREAS'!AL16),'EDT Y TAREAS'!AD16/'EDT Y TAREAS'!M16,0),IF(AND(167&gt;='EDT Y TAREAS'!AK17,167&lt;'EDT Y TAREAS'!AL17),'EDT Y TAREAS'!AD17/'EDT Y TAREAS'!M17,0),IF(AND(167&gt;='EDT Y TAREAS'!AK18,167&lt;'EDT Y TAREAS'!AL18),'EDT Y TAREAS'!AD18/'EDT Y TAREAS'!M18,0),IF(AND(167&gt;='EDT Y TAREAS'!AK19,167&lt;'EDT Y TAREAS'!AL19),'EDT Y TAREAS'!AD19/'EDT Y TAREAS'!M19,0),IF(AND(167&gt;='EDT Y TAREAS'!AK20,167&lt;'EDT Y TAREAS'!AL20),'EDT Y TAREAS'!AD20/'EDT Y TAREAS'!M20,0),IF(AND(167&gt;='EDT Y TAREAS'!AK21,167&lt;'EDT Y TAREAS'!AL21),'EDT Y TAREAS'!AD21/'EDT Y TAREAS'!M21,0),IF(AND(167&gt;='EDT Y TAREAS'!AK22,167&lt;'EDT Y TAREAS'!AL22),'EDT Y TAREAS'!AD22/'EDT Y TAREAS'!M22,0),IF(AND(167&gt;='EDT Y TAREAS'!AK23,167&lt;'EDT Y TAREAS'!AL23),'EDT Y TAREAS'!AD23/'EDT Y TAREAS'!M23,0),IF(AND(167&gt;='EDT Y TAREAS'!AK26,167&lt;'EDT Y TAREAS'!AL26),'EDT Y TAREAS'!AD26/'EDT Y TAREAS'!M26,0),IF(AND(167&gt;='EDT Y TAREAS'!AK28,167&lt;'EDT Y TAREAS'!AL28),'EDT Y TAREAS'!AD28/'EDT Y TAREAS'!M28,0),IF(AND(167&gt;='EDT Y TAREAS'!AK30,167&lt;'EDT Y TAREAS'!AL30),'EDT Y TAREAS'!AD30/'EDT Y TAREAS'!M30,0),IF(AND(167&gt;='EDT Y TAREAS'!AK32,167&lt;'EDT Y TAREAS'!AL32),'EDT Y TAREAS'!AD32/'EDT Y TAREAS'!M32,0),IF(AND(167&gt;='EDT Y TAREAS'!AK34,167&lt;'EDT Y TAREAS'!AL34),'EDT Y TAREAS'!AD34/'EDT Y TAREAS'!M34,0),IF(AND(167&gt;='EDT Y TAREAS'!AK38,167&lt;'EDT Y TAREAS'!AL38),'EDT Y TAREAS'!AD38/'EDT Y TAREAS'!M38,0),IF(AND(167&gt;='EDT Y TAREAS'!AK39,167&lt;'EDT Y TAREAS'!AL39),'EDT Y TAREAS'!AD39/'EDT Y TAREAS'!M39,0),IF(AND(167&gt;='EDT Y TAREAS'!AK43,167&lt;'EDT Y TAREAS'!AL43),'EDT Y TAREAS'!AD43/'EDT Y TAREAS'!M43,0),IF(AND(167&gt;='EDT Y TAREAS'!AK44,167&lt;'EDT Y TAREAS'!AL44),'EDT Y TAREAS'!AD44/'EDT Y TAREAS'!M44,0),IF(AND(167&gt;='EDT Y TAREAS'!AK45,167&lt;'EDT Y TAREAS'!AL45),'EDT Y TAREAS'!AD45/'EDT Y TAREAS'!M45,0),IF(AND(167&gt;='EDT Y TAREAS'!AK46,167&lt;'EDT Y TAREAS'!AL46),'EDT Y TAREAS'!AD46/'EDT Y TAREAS'!M46,0),IF(AND(167&gt;='EDT Y TAREAS'!AK47,167&lt;'EDT Y TAREAS'!AL47),'EDT Y TAREAS'!AD47/'EDT Y TAREAS'!M47,0),IF(AND(167&gt;='EDT Y TAREAS'!AK49,167&lt;'EDT Y TAREAS'!AL49),'EDT Y TAREAS'!AD49/'EDT Y TAREAS'!M49,0),IF(AND(167&gt;='EDT Y TAREAS'!AK50,167&lt;'EDT Y TAREAS'!AL50),'EDT Y TAREAS'!AD50/'EDT Y TAREAS'!M50,0),IF(AND(167&gt;='EDT Y TAREAS'!AK51,167&lt;'EDT Y TAREAS'!AL51),'EDT Y TAREAS'!AD51/'EDT Y TAREAS'!M51,0),IF(AND(167&gt;='EDT Y TAREAS'!AK52,167&lt;'EDT Y TAREAS'!AL52),'EDT Y TAREAS'!AD52/'EDT Y TAREAS'!M52,0))</x:f>
        <x:v>0</x:v>
      </x:c>
      <x:c r="C207" s="35" t="n">
        <x:f>SUM(IF(AND(167&gt;='EDT Y TAREAS'!AK6,167&lt;'EDT Y TAREAS'!AL6),'EDT Y TAREAS'!AE6/'EDT Y TAREAS'!M6,0),IF(AND(167&gt;='EDT Y TAREAS'!AK8,167&lt;'EDT Y TAREAS'!AL8),'EDT Y TAREAS'!AE8/'EDT Y TAREAS'!M8,0),IF(AND(167&gt;='EDT Y TAREAS'!AK9,167&lt;'EDT Y TAREAS'!AL9),'EDT Y TAREAS'!AE9/'EDT Y TAREAS'!M9,0),IF(AND(167&gt;='EDT Y TAREAS'!AK10,167&lt;'EDT Y TAREAS'!AL10),'EDT Y TAREAS'!AE10/'EDT Y TAREAS'!M10,0),IF(AND(167&gt;='EDT Y TAREAS'!AK12,167&lt;'EDT Y TAREAS'!AL12),'EDT Y TAREAS'!AE12/'EDT Y TAREAS'!M12,0),IF(AND(167&gt;='EDT Y TAREAS'!AK16,167&lt;'EDT Y TAREAS'!AL16),'EDT Y TAREAS'!AE16/'EDT Y TAREAS'!M16,0),IF(AND(167&gt;='EDT Y TAREAS'!AK21,167&lt;'EDT Y TAREAS'!AL21),'EDT Y TAREAS'!AE21/'EDT Y TAREAS'!M21,0),IF(AND(167&gt;='EDT Y TAREAS'!AK23,167&lt;'EDT Y TAREAS'!AL23),'EDT Y TAREAS'!AE23/'EDT Y TAREAS'!M23,0),IF(AND(167&gt;='EDT Y TAREAS'!AK37,167&lt;'EDT Y TAREAS'!AL37),'EDT Y TAREAS'!AE37/'EDT Y TAREAS'!M37,0),IF(AND(167&gt;='EDT Y TAREAS'!AK38,167&lt;'EDT Y TAREAS'!AL38),'EDT Y TAREAS'!AE38/'EDT Y TAREAS'!M38,0),IF(AND(167&gt;='EDT Y TAREAS'!AK41,167&lt;'EDT Y TAREAS'!AL41),'EDT Y TAREAS'!AE41/'EDT Y TAREAS'!M41,0),IF(AND(167&gt;='EDT Y TAREAS'!AK43,167&lt;'EDT Y TAREAS'!AL43),'EDT Y TAREAS'!AE43/'EDT Y TAREAS'!M43,0),IF(AND(167&gt;='EDT Y TAREAS'!AK44,167&lt;'EDT Y TAREAS'!AL44),'EDT Y TAREAS'!AE44/'EDT Y TAREAS'!M44,0),IF(AND(167&gt;='EDT Y TAREAS'!AK46,167&lt;'EDT Y TAREAS'!AL46),'EDT Y TAREAS'!AE46/'EDT Y TAREAS'!M46,0),IF(AND(167&gt;='EDT Y TAREAS'!AK47,167&lt;'EDT Y TAREAS'!AL47),'EDT Y TAREAS'!AE47/'EDT Y TAREAS'!M47,0),IF(AND(167&gt;='EDT Y TAREAS'!AK51,167&lt;'EDT Y TAREAS'!AL51),'EDT Y TAREAS'!AE51/'EDT Y TAREAS'!M51,0),IF(AND(167&gt;='EDT Y TAREAS'!AK52,167&lt;'EDT Y TAREAS'!AL52),'EDT Y TAREAS'!AE52/'EDT Y TAREAS'!M52,0))</x:f>
        <x:v>0</x:v>
      </x:c>
      <x:c r="D207" s="35" t="n">
        <x:f>SUM(IF(AND(167&gt;='EDT Y TAREAS'!AK11,167&lt;'EDT Y TAREAS'!AL11),'EDT Y TAREAS'!AF11/'EDT Y TAREAS'!M11,0),IF(AND(167&gt;='EDT Y TAREAS'!AK24,167&lt;'EDT Y TAREAS'!AL24),'EDT Y TAREAS'!AF24/'EDT Y TAREAS'!M24,0),IF(AND(167&gt;='EDT Y TAREAS'!AK25,167&lt;'EDT Y TAREAS'!AL25),'EDT Y TAREAS'!AF25/'EDT Y TAREAS'!M25,0),IF(AND(167&gt;='EDT Y TAREAS'!AK26,167&lt;'EDT Y TAREAS'!AL26),'EDT Y TAREAS'!AF26/'EDT Y TAREAS'!M26,0),IF(AND(167&gt;='EDT Y TAREAS'!AK27,167&lt;'EDT Y TAREAS'!AL27),'EDT Y TAREAS'!AF27/'EDT Y TAREAS'!M27,0),IF(AND(167&gt;='EDT Y TAREAS'!AK28,167&lt;'EDT Y TAREAS'!AL28),'EDT Y TAREAS'!AF28/'EDT Y TAREAS'!M28,0),IF(AND(167&gt;='EDT Y TAREAS'!AK31,167&lt;'EDT Y TAREAS'!AL31),'EDT Y TAREAS'!AF31/'EDT Y TAREAS'!M31,0),IF(AND(167&gt;='EDT Y TAREAS'!AK33,167&lt;'EDT Y TAREAS'!AL33),'EDT Y TAREAS'!AF33/'EDT Y TAREAS'!M33,0),IF(AND(167&gt;='EDT Y TAREAS'!AK34,167&lt;'EDT Y TAREAS'!AL34),'EDT Y TAREAS'!AF34/'EDT Y TAREAS'!M34,0),IF(AND(167&gt;='EDT Y TAREAS'!AK35,167&lt;'EDT Y TAREAS'!AL35),'EDT Y TAREAS'!AF35/'EDT Y TAREAS'!M35,0),IF(AND(167&gt;='EDT Y TAREAS'!AK37,167&lt;'EDT Y TAREAS'!AL37),'EDT Y TAREAS'!AF37/'EDT Y TAREAS'!M37,0),IF(AND(167&gt;='EDT Y TAREAS'!AK39,167&lt;'EDT Y TAREAS'!AL39),'EDT Y TAREAS'!AF39/'EDT Y TAREAS'!M39,0),IF(AND(167&gt;='EDT Y TAREAS'!AK40,167&lt;'EDT Y TAREAS'!AL40),'EDT Y TAREAS'!AF40/'EDT Y TAREAS'!M40,0),IF(AND(167&gt;='EDT Y TAREAS'!AK42,167&lt;'EDT Y TAREAS'!AL42),'EDT Y TAREAS'!AF42/'EDT Y TAREAS'!M42,0),IF(AND(167&gt;='EDT Y TAREAS'!AK45,167&lt;'EDT Y TAREAS'!AL45),'EDT Y TAREAS'!AF45/'EDT Y TAREAS'!M45,0),IF(AND(167&gt;='EDT Y TAREAS'!AK49,167&lt;'EDT Y TAREAS'!AL49),'EDT Y TAREAS'!AF49/'EDT Y TAREAS'!M49,0),IF(AND(167&gt;='EDT Y TAREAS'!AK52,167&lt;'EDT Y TAREAS'!AL52),'EDT Y TAREAS'!AF52/'EDT Y TAREAS'!M52,0))</x:f>
        <x:v>0</x:v>
      </x:c>
      <x:c r="E207" s="35" t="n">
        <x:f>SUM(IF(AND(167&gt;='EDT Y TAREAS'!AK29,167&lt;'EDT Y TAREAS'!AL29),'EDT Y TAREAS'!AG29/'EDT Y TAREAS'!M29,0),IF(AND(167&gt;='EDT Y TAREAS'!AK30,167&lt;'EDT Y TAREAS'!AL30),'EDT Y TAREAS'!AG30/'EDT Y TAREAS'!M30,0),IF(AND(167&gt;='EDT Y TAREAS'!AK31,167&lt;'EDT Y TAREAS'!AL31),'EDT Y TAREAS'!AG31/'EDT Y TAREAS'!M31,0),IF(AND(167&gt;='EDT Y TAREAS'!AK32,167&lt;'EDT Y TAREAS'!AL32),'EDT Y TAREAS'!AG32/'EDT Y TAREAS'!M32,0),IF(AND(167&gt;='EDT Y TAREAS'!AK41,167&lt;'EDT Y TAREAS'!AL41),'EDT Y TAREAS'!AG41/'EDT Y TAREAS'!M41,0),IF(AND(167&gt;='EDT Y TAREAS'!AK45,167&lt;'EDT Y TAREAS'!AL45),'EDT Y TAREAS'!AG45/'EDT Y TAREAS'!M45,0),IF(AND(167&gt;='EDT Y TAREAS'!AK48,167&lt;'EDT Y TAREAS'!AL48),'EDT Y TAREAS'!AG48/'EDT Y TAREAS'!M48,0))</x:f>
        <x:v>0</x:v>
      </x:c>
      <x:c r="F207" s="35" t="n">
        <x:f>SUM(IF(AND(167&gt;='EDT Y TAREAS'!AK10,167&lt;'EDT Y TAREAS'!AL10),'EDT Y TAREAS'!AH10/'EDT Y TAREAS'!M10,0),IF(AND(167&gt;='EDT Y TAREAS'!AK12,167&lt;'EDT Y TAREAS'!AL12),'EDT Y TAREAS'!AH12/'EDT Y TAREAS'!M12,0),IF(AND(167&gt;='EDT Y TAREAS'!AK22,167&lt;'EDT Y TAREAS'!AL22),'EDT Y TAREAS'!AH22/'EDT Y TAREAS'!M22,0),IF(AND(167&gt;='EDT Y TAREAS'!AK23,167&lt;'EDT Y TAREAS'!AL23),'EDT Y TAREAS'!AH23/'EDT Y TAREAS'!M23,0),IF(AND(167&gt;='EDT Y TAREAS'!AK29,167&lt;'EDT Y TAREAS'!AL29),'EDT Y TAREAS'!AH29/'EDT Y TAREAS'!M29,0),IF(AND(167&gt;='EDT Y TAREAS'!AK30,167&lt;'EDT Y TAREAS'!AL30),'EDT Y TAREAS'!AH30/'EDT Y TAREAS'!M30,0),IF(AND(167&gt;='EDT Y TAREAS'!AK32,167&lt;'EDT Y TAREAS'!AL32),'EDT Y TAREAS'!AH32/'EDT Y TAREAS'!M32,0),IF(AND(167&gt;='EDT Y TAREAS'!AK41,167&lt;'EDT Y TAREAS'!AL41),'EDT Y TAREAS'!AH41/'EDT Y TAREAS'!M41,0),IF(AND(167&gt;='EDT Y TAREAS'!AK44,167&lt;'EDT Y TAREAS'!AL44),'EDT Y TAREAS'!AH44/'EDT Y TAREAS'!M44,0),IF(AND(167&gt;='EDT Y TAREAS'!AK46,167&lt;'EDT Y TAREAS'!AL46),'EDT Y TAREAS'!AH46/'EDT Y TAREAS'!M46,0),IF(AND(167&gt;='EDT Y TAREAS'!AK48,167&lt;'EDT Y TAREAS'!AL48),'EDT Y TAREAS'!AH48/'EDT Y TAREAS'!M48,0))</x:f>
        <x:v>0</x:v>
      </x:c>
      <x:c r="G207" s="35" t="n">
        <x:f>SUM(IF(AND(167&gt;='EDT Y TAREAS'!AK20,167&lt;'EDT Y TAREAS'!AL20),'EDT Y TAREAS'!AI20/'EDT Y TAREAS'!M20,0),IF(AND(167&gt;='EDT Y TAREAS'!AK25,167&lt;'EDT Y TAREAS'!AL25),'EDT Y TAREAS'!AI25/'EDT Y TAREAS'!M25,0),IF(AND(167&gt;='EDT Y TAREAS'!AK33,167&lt;'EDT Y TAREAS'!AL33),'EDT Y TAREAS'!AI33/'EDT Y TAREAS'!M33,0),IF(AND(167&gt;='EDT Y TAREAS'!AK34,167&lt;'EDT Y TAREAS'!AL34),'EDT Y TAREAS'!AI34/'EDT Y TAREAS'!M34,0),IF(AND(167&gt;='EDT Y TAREAS'!AK36,167&lt;'EDT Y TAREAS'!AL36),'EDT Y TAREAS'!AI36/'EDT Y TAREAS'!M36,0),IF(AND(167&gt;='EDT Y TAREAS'!AK39,167&lt;'EDT Y TAREAS'!AL39),'EDT Y TAREAS'!AI39/'EDT Y TAREAS'!M39,0),IF(AND(167&gt;='EDT Y TAREAS'!AK40,167&lt;'EDT Y TAREAS'!AL40),'EDT Y TAREAS'!AI40/'EDT Y TAREAS'!M40,0),IF(AND(167&gt;='EDT Y TAREAS'!AK42,167&lt;'EDT Y TAREAS'!AL42),'EDT Y TAREAS'!AI42/'EDT Y TAREAS'!M42,0),IF(AND(167&gt;='EDT Y TAREAS'!AK43,167&lt;'EDT Y TAREAS'!AL43),'EDT Y TAREAS'!AI43/'EDT Y TAREAS'!M43,0),IF(AND(167&gt;='EDT Y TAREAS'!AK44,167&lt;'EDT Y TAREAS'!AL44),'EDT Y TAREAS'!AI44/'EDT Y TAREAS'!M44,0),IF(AND(167&gt;='EDT Y TAREAS'!AK45,167&lt;'EDT Y TAREAS'!AL45),'EDT Y TAREAS'!AI45/'EDT Y TAREAS'!M45,0),IF(AND(167&gt;='EDT Y TAREAS'!AK46,167&lt;'EDT Y TAREAS'!AL46),'EDT Y TAREAS'!AI46/'EDT Y TAREAS'!M46,0),IF(AND(167&gt;='EDT Y TAREAS'!AK48,167&lt;'EDT Y TAREAS'!AL48),'EDT Y TAREAS'!AI48/'EDT Y TAREAS'!M48,0),IF(AND(167&gt;='EDT Y TAREAS'!AK50,167&lt;'EDT Y TAREAS'!AL50),'EDT Y TAREAS'!AI50/'EDT Y TAREAS'!M50,0),IF(AND(167&gt;='EDT Y TAREAS'!AK52,167&lt;'EDT Y TAREAS'!AL52),'EDT Y TAREAS'!AI52/'EDT Y TAREAS'!M52,0))</x:f>
        <x:v>0</x:v>
      </x:c>
      <x:c r="H207" s="35" t="n">
        <x:f>SUM(IF(AND(167&gt;='EDT Y TAREAS'!AK11,167&lt;'EDT Y TAREAS'!AL11),'EDT Y TAREAS'!AJ11/'EDT Y TAREAS'!M11,0),IF(AND(167&gt;='EDT Y TAREAS'!AK24,167&lt;'EDT Y TAREAS'!AL24),'EDT Y TAREAS'!AJ24/'EDT Y TAREAS'!M24,0),IF(AND(167&gt;='EDT Y TAREAS'!AK27,167&lt;'EDT Y TAREAS'!AL27),'EDT Y TAREAS'!AJ27/'EDT Y TAREAS'!M27,0),IF(AND(167&gt;='EDT Y TAREAS'!AK28,167&lt;'EDT Y TAREAS'!AL28),'EDT Y TAREAS'!AJ28/'EDT Y TAREAS'!M28,0),IF(AND(167&gt;='EDT Y TAREAS'!AK33,167&lt;'EDT Y TAREAS'!AL33),'EDT Y TAREAS'!AJ33/'EDT Y TAREAS'!M33,0),IF(AND(167&gt;='EDT Y TAREAS'!AK35,167&lt;'EDT Y TAREAS'!AL35),'EDT Y TAREAS'!AJ35/'EDT Y TAREAS'!M35,0),IF(AND(167&gt;='EDT Y TAREAS'!AK36,167&lt;'EDT Y TAREAS'!AL36),'EDT Y TAREAS'!AJ36/'EDT Y TAREAS'!M36,0),IF(AND(167&gt;='EDT Y TAREAS'!AK37,167&lt;'EDT Y TAREAS'!AL37),'EDT Y TAREAS'!AJ37/'EDT Y TAREAS'!M37,0),IF(AND(167&gt;='EDT Y TAREAS'!AK40,167&lt;'EDT Y TAREAS'!AL40),'EDT Y TAREAS'!AJ40/'EDT Y TAREAS'!M40,0),IF(AND(167&gt;='EDT Y TAREAS'!AK42,167&lt;'EDT Y TAREAS'!AL42),'EDT Y TAREAS'!AJ42/'EDT Y TAREAS'!M42,0),IF(AND(167&gt;='EDT Y TAREAS'!AK49,167&lt;'EDT Y TAREAS'!AL49),'EDT Y TAREAS'!AJ49/'EDT Y TAREAS'!M49,0),IF(AND(167&gt;='EDT Y TAREAS'!AK50,167&lt;'EDT Y TAREAS'!AL50),'EDT Y TAREAS'!AJ50/'EDT Y TAREAS'!M50,0),IF(AND(167&gt;='EDT Y TAREAS'!AK51,167&lt;'EDT Y TAREAS'!AL51),'EDT Y TAREAS'!AJ51/'EDT Y TAREAS'!M51,0),IF(AND(167&gt;='EDT Y TAREAS'!AK52,167&lt;'EDT Y TAREAS'!AL52),'EDT Y TAREAS'!AJ52/'EDT Y TAREAS'!M52,0))</x:f>
        <x:v>0</x:v>
      </x:c>
      <x:c r="I207" s="10" t="n">
        <x:f>WORKDAY('RESUMEN'!$D$3-1,A207,'RESUMEN'!$J$6:$J$25)</x:f>
        <x:v>46561</x:v>
      </x:c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  <x:c r="AL207" s="3"/>
      <x:c r="AM207" s="3"/>
      <x:c r="AN207" s="3"/>
      <x:c r="AO207" s="3"/>
    </x:row>
    <x:row r="208" ht="24" customHeight="1">
      <x:c r="A208" s="3" t="n">
        <x:v>169</x:v>
      </x:c>
      <x:c r="B208" s="35" t="n">
        <x:f>SUM(IF(AND(168&gt;='EDT Y TAREAS'!AK6,168&lt;'EDT Y TAREAS'!AL6),'EDT Y TAREAS'!AD6/'EDT Y TAREAS'!M6,0),IF(AND(168&gt;='EDT Y TAREAS'!AK7,168&lt;'EDT Y TAREAS'!AL7),'EDT Y TAREAS'!AD7/'EDT Y TAREAS'!M7,0),IF(AND(168&gt;='EDT Y TAREAS'!AK8,168&lt;'EDT Y TAREAS'!AL8),'EDT Y TAREAS'!AD8/'EDT Y TAREAS'!M8,0),IF(AND(168&gt;='EDT Y TAREAS'!AK9,168&lt;'EDT Y TAREAS'!AL9),'EDT Y TAREAS'!AD9/'EDT Y TAREAS'!M9,0),IF(AND(168&gt;='EDT Y TAREAS'!AK10,168&lt;'EDT Y TAREAS'!AL10),'EDT Y TAREAS'!AD10/'EDT Y TAREAS'!M10,0),IF(AND(168&gt;='EDT Y TAREAS'!AK11,168&lt;'EDT Y TAREAS'!AL11),'EDT Y TAREAS'!AD11/'EDT Y TAREAS'!M11,0),IF(AND(168&gt;='EDT Y TAREAS'!AK12,168&lt;'EDT Y TAREAS'!AL12),'EDT Y TAREAS'!AD12/'EDT Y TAREAS'!M12,0),IF(AND(168&gt;='EDT Y TAREAS'!AK13,168&lt;'EDT Y TAREAS'!AL13),'EDT Y TAREAS'!AD13/'EDT Y TAREAS'!M13,0),IF(AND(168&gt;='EDT Y TAREAS'!AK14,168&lt;'EDT Y TAREAS'!AL14),'EDT Y TAREAS'!AD14/'EDT Y TAREAS'!M14,0),IF(AND(168&gt;='EDT Y TAREAS'!AK15,168&lt;'EDT Y TAREAS'!AL15),'EDT Y TAREAS'!AD15/'EDT Y TAREAS'!M15,0),IF(AND(168&gt;='EDT Y TAREAS'!AK16,168&lt;'EDT Y TAREAS'!AL16),'EDT Y TAREAS'!AD16/'EDT Y TAREAS'!M16,0),IF(AND(168&gt;='EDT Y TAREAS'!AK17,168&lt;'EDT Y TAREAS'!AL17),'EDT Y TAREAS'!AD17/'EDT Y TAREAS'!M17,0),IF(AND(168&gt;='EDT Y TAREAS'!AK18,168&lt;'EDT Y TAREAS'!AL18),'EDT Y TAREAS'!AD18/'EDT Y TAREAS'!M18,0),IF(AND(168&gt;='EDT Y TAREAS'!AK19,168&lt;'EDT Y TAREAS'!AL19),'EDT Y TAREAS'!AD19/'EDT Y TAREAS'!M19,0),IF(AND(168&gt;='EDT Y TAREAS'!AK20,168&lt;'EDT Y TAREAS'!AL20),'EDT Y TAREAS'!AD20/'EDT Y TAREAS'!M20,0),IF(AND(168&gt;='EDT Y TAREAS'!AK21,168&lt;'EDT Y TAREAS'!AL21),'EDT Y TAREAS'!AD21/'EDT Y TAREAS'!M21,0),IF(AND(168&gt;='EDT Y TAREAS'!AK22,168&lt;'EDT Y TAREAS'!AL22),'EDT Y TAREAS'!AD22/'EDT Y TAREAS'!M22,0),IF(AND(168&gt;='EDT Y TAREAS'!AK23,168&lt;'EDT Y TAREAS'!AL23),'EDT Y TAREAS'!AD23/'EDT Y TAREAS'!M23,0),IF(AND(168&gt;='EDT Y TAREAS'!AK26,168&lt;'EDT Y TAREAS'!AL26),'EDT Y TAREAS'!AD26/'EDT Y TAREAS'!M26,0),IF(AND(168&gt;='EDT Y TAREAS'!AK28,168&lt;'EDT Y TAREAS'!AL28),'EDT Y TAREAS'!AD28/'EDT Y TAREAS'!M28,0),IF(AND(168&gt;='EDT Y TAREAS'!AK30,168&lt;'EDT Y TAREAS'!AL30),'EDT Y TAREAS'!AD30/'EDT Y TAREAS'!M30,0),IF(AND(168&gt;='EDT Y TAREAS'!AK32,168&lt;'EDT Y TAREAS'!AL32),'EDT Y TAREAS'!AD32/'EDT Y TAREAS'!M32,0),IF(AND(168&gt;='EDT Y TAREAS'!AK34,168&lt;'EDT Y TAREAS'!AL34),'EDT Y TAREAS'!AD34/'EDT Y TAREAS'!M34,0),IF(AND(168&gt;='EDT Y TAREAS'!AK38,168&lt;'EDT Y TAREAS'!AL38),'EDT Y TAREAS'!AD38/'EDT Y TAREAS'!M38,0),IF(AND(168&gt;='EDT Y TAREAS'!AK39,168&lt;'EDT Y TAREAS'!AL39),'EDT Y TAREAS'!AD39/'EDT Y TAREAS'!M39,0),IF(AND(168&gt;='EDT Y TAREAS'!AK43,168&lt;'EDT Y TAREAS'!AL43),'EDT Y TAREAS'!AD43/'EDT Y TAREAS'!M43,0),IF(AND(168&gt;='EDT Y TAREAS'!AK44,168&lt;'EDT Y TAREAS'!AL44),'EDT Y TAREAS'!AD44/'EDT Y TAREAS'!M44,0),IF(AND(168&gt;='EDT Y TAREAS'!AK45,168&lt;'EDT Y TAREAS'!AL45),'EDT Y TAREAS'!AD45/'EDT Y TAREAS'!M45,0),IF(AND(168&gt;='EDT Y TAREAS'!AK46,168&lt;'EDT Y TAREAS'!AL46),'EDT Y TAREAS'!AD46/'EDT Y TAREAS'!M46,0),IF(AND(168&gt;='EDT Y TAREAS'!AK47,168&lt;'EDT Y TAREAS'!AL47),'EDT Y TAREAS'!AD47/'EDT Y TAREAS'!M47,0),IF(AND(168&gt;='EDT Y TAREAS'!AK49,168&lt;'EDT Y TAREAS'!AL49),'EDT Y TAREAS'!AD49/'EDT Y TAREAS'!M49,0),IF(AND(168&gt;='EDT Y TAREAS'!AK50,168&lt;'EDT Y TAREAS'!AL50),'EDT Y TAREAS'!AD50/'EDT Y TAREAS'!M50,0),IF(AND(168&gt;='EDT Y TAREAS'!AK51,168&lt;'EDT Y TAREAS'!AL51),'EDT Y TAREAS'!AD51/'EDT Y TAREAS'!M51,0),IF(AND(168&gt;='EDT Y TAREAS'!AK52,168&lt;'EDT Y TAREAS'!AL52),'EDT Y TAREAS'!AD52/'EDT Y TAREAS'!M52,0))</x:f>
        <x:v>0</x:v>
      </x:c>
      <x:c r="C208" s="35" t="n">
        <x:f>SUM(IF(AND(168&gt;='EDT Y TAREAS'!AK6,168&lt;'EDT Y TAREAS'!AL6),'EDT Y TAREAS'!AE6/'EDT Y TAREAS'!M6,0),IF(AND(168&gt;='EDT Y TAREAS'!AK8,168&lt;'EDT Y TAREAS'!AL8),'EDT Y TAREAS'!AE8/'EDT Y TAREAS'!M8,0),IF(AND(168&gt;='EDT Y TAREAS'!AK9,168&lt;'EDT Y TAREAS'!AL9),'EDT Y TAREAS'!AE9/'EDT Y TAREAS'!M9,0),IF(AND(168&gt;='EDT Y TAREAS'!AK10,168&lt;'EDT Y TAREAS'!AL10),'EDT Y TAREAS'!AE10/'EDT Y TAREAS'!M10,0),IF(AND(168&gt;='EDT Y TAREAS'!AK12,168&lt;'EDT Y TAREAS'!AL12),'EDT Y TAREAS'!AE12/'EDT Y TAREAS'!M12,0),IF(AND(168&gt;='EDT Y TAREAS'!AK16,168&lt;'EDT Y TAREAS'!AL16),'EDT Y TAREAS'!AE16/'EDT Y TAREAS'!M16,0),IF(AND(168&gt;='EDT Y TAREAS'!AK21,168&lt;'EDT Y TAREAS'!AL21),'EDT Y TAREAS'!AE21/'EDT Y TAREAS'!M21,0),IF(AND(168&gt;='EDT Y TAREAS'!AK23,168&lt;'EDT Y TAREAS'!AL23),'EDT Y TAREAS'!AE23/'EDT Y TAREAS'!M23,0),IF(AND(168&gt;='EDT Y TAREAS'!AK37,168&lt;'EDT Y TAREAS'!AL37),'EDT Y TAREAS'!AE37/'EDT Y TAREAS'!M37,0),IF(AND(168&gt;='EDT Y TAREAS'!AK38,168&lt;'EDT Y TAREAS'!AL38),'EDT Y TAREAS'!AE38/'EDT Y TAREAS'!M38,0),IF(AND(168&gt;='EDT Y TAREAS'!AK41,168&lt;'EDT Y TAREAS'!AL41),'EDT Y TAREAS'!AE41/'EDT Y TAREAS'!M41,0),IF(AND(168&gt;='EDT Y TAREAS'!AK43,168&lt;'EDT Y TAREAS'!AL43),'EDT Y TAREAS'!AE43/'EDT Y TAREAS'!M43,0),IF(AND(168&gt;='EDT Y TAREAS'!AK44,168&lt;'EDT Y TAREAS'!AL44),'EDT Y TAREAS'!AE44/'EDT Y TAREAS'!M44,0),IF(AND(168&gt;='EDT Y TAREAS'!AK46,168&lt;'EDT Y TAREAS'!AL46),'EDT Y TAREAS'!AE46/'EDT Y TAREAS'!M46,0),IF(AND(168&gt;='EDT Y TAREAS'!AK47,168&lt;'EDT Y TAREAS'!AL47),'EDT Y TAREAS'!AE47/'EDT Y TAREAS'!M47,0),IF(AND(168&gt;='EDT Y TAREAS'!AK51,168&lt;'EDT Y TAREAS'!AL51),'EDT Y TAREAS'!AE51/'EDT Y TAREAS'!M51,0),IF(AND(168&gt;='EDT Y TAREAS'!AK52,168&lt;'EDT Y TAREAS'!AL52),'EDT Y TAREAS'!AE52/'EDT Y TAREAS'!M52,0))</x:f>
        <x:v>0</x:v>
      </x:c>
      <x:c r="D208" s="35" t="n">
        <x:f>SUM(IF(AND(168&gt;='EDT Y TAREAS'!AK11,168&lt;'EDT Y TAREAS'!AL11),'EDT Y TAREAS'!AF11/'EDT Y TAREAS'!M11,0),IF(AND(168&gt;='EDT Y TAREAS'!AK24,168&lt;'EDT Y TAREAS'!AL24),'EDT Y TAREAS'!AF24/'EDT Y TAREAS'!M24,0),IF(AND(168&gt;='EDT Y TAREAS'!AK25,168&lt;'EDT Y TAREAS'!AL25),'EDT Y TAREAS'!AF25/'EDT Y TAREAS'!M25,0),IF(AND(168&gt;='EDT Y TAREAS'!AK26,168&lt;'EDT Y TAREAS'!AL26),'EDT Y TAREAS'!AF26/'EDT Y TAREAS'!M26,0),IF(AND(168&gt;='EDT Y TAREAS'!AK27,168&lt;'EDT Y TAREAS'!AL27),'EDT Y TAREAS'!AF27/'EDT Y TAREAS'!M27,0),IF(AND(168&gt;='EDT Y TAREAS'!AK28,168&lt;'EDT Y TAREAS'!AL28),'EDT Y TAREAS'!AF28/'EDT Y TAREAS'!M28,0),IF(AND(168&gt;='EDT Y TAREAS'!AK31,168&lt;'EDT Y TAREAS'!AL31),'EDT Y TAREAS'!AF31/'EDT Y TAREAS'!M31,0),IF(AND(168&gt;='EDT Y TAREAS'!AK33,168&lt;'EDT Y TAREAS'!AL33),'EDT Y TAREAS'!AF33/'EDT Y TAREAS'!M33,0),IF(AND(168&gt;='EDT Y TAREAS'!AK34,168&lt;'EDT Y TAREAS'!AL34),'EDT Y TAREAS'!AF34/'EDT Y TAREAS'!M34,0),IF(AND(168&gt;='EDT Y TAREAS'!AK35,168&lt;'EDT Y TAREAS'!AL35),'EDT Y TAREAS'!AF35/'EDT Y TAREAS'!M35,0),IF(AND(168&gt;='EDT Y TAREAS'!AK37,168&lt;'EDT Y TAREAS'!AL37),'EDT Y TAREAS'!AF37/'EDT Y TAREAS'!M37,0),IF(AND(168&gt;='EDT Y TAREAS'!AK39,168&lt;'EDT Y TAREAS'!AL39),'EDT Y TAREAS'!AF39/'EDT Y TAREAS'!M39,0),IF(AND(168&gt;='EDT Y TAREAS'!AK40,168&lt;'EDT Y TAREAS'!AL40),'EDT Y TAREAS'!AF40/'EDT Y TAREAS'!M40,0),IF(AND(168&gt;='EDT Y TAREAS'!AK42,168&lt;'EDT Y TAREAS'!AL42),'EDT Y TAREAS'!AF42/'EDT Y TAREAS'!M42,0),IF(AND(168&gt;='EDT Y TAREAS'!AK45,168&lt;'EDT Y TAREAS'!AL45),'EDT Y TAREAS'!AF45/'EDT Y TAREAS'!M45,0),IF(AND(168&gt;='EDT Y TAREAS'!AK49,168&lt;'EDT Y TAREAS'!AL49),'EDT Y TAREAS'!AF49/'EDT Y TAREAS'!M49,0),IF(AND(168&gt;='EDT Y TAREAS'!AK52,168&lt;'EDT Y TAREAS'!AL52),'EDT Y TAREAS'!AF52/'EDT Y TAREAS'!M52,0))</x:f>
        <x:v>0</x:v>
      </x:c>
      <x:c r="E208" s="35" t="n">
        <x:f>SUM(IF(AND(168&gt;='EDT Y TAREAS'!AK29,168&lt;'EDT Y TAREAS'!AL29),'EDT Y TAREAS'!AG29/'EDT Y TAREAS'!M29,0),IF(AND(168&gt;='EDT Y TAREAS'!AK30,168&lt;'EDT Y TAREAS'!AL30),'EDT Y TAREAS'!AG30/'EDT Y TAREAS'!M30,0),IF(AND(168&gt;='EDT Y TAREAS'!AK31,168&lt;'EDT Y TAREAS'!AL31),'EDT Y TAREAS'!AG31/'EDT Y TAREAS'!M31,0),IF(AND(168&gt;='EDT Y TAREAS'!AK32,168&lt;'EDT Y TAREAS'!AL32),'EDT Y TAREAS'!AG32/'EDT Y TAREAS'!M32,0),IF(AND(168&gt;='EDT Y TAREAS'!AK41,168&lt;'EDT Y TAREAS'!AL41),'EDT Y TAREAS'!AG41/'EDT Y TAREAS'!M41,0),IF(AND(168&gt;='EDT Y TAREAS'!AK45,168&lt;'EDT Y TAREAS'!AL45),'EDT Y TAREAS'!AG45/'EDT Y TAREAS'!M45,0),IF(AND(168&gt;='EDT Y TAREAS'!AK48,168&lt;'EDT Y TAREAS'!AL48),'EDT Y TAREAS'!AG48/'EDT Y TAREAS'!M48,0))</x:f>
        <x:v>0</x:v>
      </x:c>
      <x:c r="F208" s="35" t="n">
        <x:f>SUM(IF(AND(168&gt;='EDT Y TAREAS'!AK10,168&lt;'EDT Y TAREAS'!AL10),'EDT Y TAREAS'!AH10/'EDT Y TAREAS'!M10,0),IF(AND(168&gt;='EDT Y TAREAS'!AK12,168&lt;'EDT Y TAREAS'!AL12),'EDT Y TAREAS'!AH12/'EDT Y TAREAS'!M12,0),IF(AND(168&gt;='EDT Y TAREAS'!AK22,168&lt;'EDT Y TAREAS'!AL22),'EDT Y TAREAS'!AH22/'EDT Y TAREAS'!M22,0),IF(AND(168&gt;='EDT Y TAREAS'!AK23,168&lt;'EDT Y TAREAS'!AL23),'EDT Y TAREAS'!AH23/'EDT Y TAREAS'!M23,0),IF(AND(168&gt;='EDT Y TAREAS'!AK29,168&lt;'EDT Y TAREAS'!AL29),'EDT Y TAREAS'!AH29/'EDT Y TAREAS'!M29,0),IF(AND(168&gt;='EDT Y TAREAS'!AK30,168&lt;'EDT Y TAREAS'!AL30),'EDT Y TAREAS'!AH30/'EDT Y TAREAS'!M30,0),IF(AND(168&gt;='EDT Y TAREAS'!AK32,168&lt;'EDT Y TAREAS'!AL32),'EDT Y TAREAS'!AH32/'EDT Y TAREAS'!M32,0),IF(AND(168&gt;='EDT Y TAREAS'!AK41,168&lt;'EDT Y TAREAS'!AL41),'EDT Y TAREAS'!AH41/'EDT Y TAREAS'!M41,0),IF(AND(168&gt;='EDT Y TAREAS'!AK44,168&lt;'EDT Y TAREAS'!AL44),'EDT Y TAREAS'!AH44/'EDT Y TAREAS'!M44,0),IF(AND(168&gt;='EDT Y TAREAS'!AK46,168&lt;'EDT Y TAREAS'!AL46),'EDT Y TAREAS'!AH46/'EDT Y TAREAS'!M46,0),IF(AND(168&gt;='EDT Y TAREAS'!AK48,168&lt;'EDT Y TAREAS'!AL48),'EDT Y TAREAS'!AH48/'EDT Y TAREAS'!M48,0))</x:f>
        <x:v>0</x:v>
      </x:c>
      <x:c r="G208" s="35" t="n">
        <x:f>SUM(IF(AND(168&gt;='EDT Y TAREAS'!AK20,168&lt;'EDT Y TAREAS'!AL20),'EDT Y TAREAS'!AI20/'EDT Y TAREAS'!M20,0),IF(AND(168&gt;='EDT Y TAREAS'!AK25,168&lt;'EDT Y TAREAS'!AL25),'EDT Y TAREAS'!AI25/'EDT Y TAREAS'!M25,0),IF(AND(168&gt;='EDT Y TAREAS'!AK33,168&lt;'EDT Y TAREAS'!AL33),'EDT Y TAREAS'!AI33/'EDT Y TAREAS'!M33,0),IF(AND(168&gt;='EDT Y TAREAS'!AK34,168&lt;'EDT Y TAREAS'!AL34),'EDT Y TAREAS'!AI34/'EDT Y TAREAS'!M34,0),IF(AND(168&gt;='EDT Y TAREAS'!AK36,168&lt;'EDT Y TAREAS'!AL36),'EDT Y TAREAS'!AI36/'EDT Y TAREAS'!M36,0),IF(AND(168&gt;='EDT Y TAREAS'!AK39,168&lt;'EDT Y TAREAS'!AL39),'EDT Y TAREAS'!AI39/'EDT Y TAREAS'!M39,0),IF(AND(168&gt;='EDT Y TAREAS'!AK40,168&lt;'EDT Y TAREAS'!AL40),'EDT Y TAREAS'!AI40/'EDT Y TAREAS'!M40,0),IF(AND(168&gt;='EDT Y TAREAS'!AK42,168&lt;'EDT Y TAREAS'!AL42),'EDT Y TAREAS'!AI42/'EDT Y TAREAS'!M42,0),IF(AND(168&gt;='EDT Y TAREAS'!AK43,168&lt;'EDT Y TAREAS'!AL43),'EDT Y TAREAS'!AI43/'EDT Y TAREAS'!M43,0),IF(AND(168&gt;='EDT Y TAREAS'!AK44,168&lt;'EDT Y TAREAS'!AL44),'EDT Y TAREAS'!AI44/'EDT Y TAREAS'!M44,0),IF(AND(168&gt;='EDT Y TAREAS'!AK45,168&lt;'EDT Y TAREAS'!AL45),'EDT Y TAREAS'!AI45/'EDT Y TAREAS'!M45,0),IF(AND(168&gt;='EDT Y TAREAS'!AK46,168&lt;'EDT Y TAREAS'!AL46),'EDT Y TAREAS'!AI46/'EDT Y TAREAS'!M46,0),IF(AND(168&gt;='EDT Y TAREAS'!AK48,168&lt;'EDT Y TAREAS'!AL48),'EDT Y TAREAS'!AI48/'EDT Y TAREAS'!M48,0),IF(AND(168&gt;='EDT Y TAREAS'!AK50,168&lt;'EDT Y TAREAS'!AL50),'EDT Y TAREAS'!AI50/'EDT Y TAREAS'!M50,0),IF(AND(168&gt;='EDT Y TAREAS'!AK52,168&lt;'EDT Y TAREAS'!AL52),'EDT Y TAREAS'!AI52/'EDT Y TAREAS'!M52,0))</x:f>
        <x:v>0</x:v>
      </x:c>
      <x:c r="H208" s="35" t="n">
        <x:f>SUM(IF(AND(168&gt;='EDT Y TAREAS'!AK11,168&lt;'EDT Y TAREAS'!AL11),'EDT Y TAREAS'!AJ11/'EDT Y TAREAS'!M11,0),IF(AND(168&gt;='EDT Y TAREAS'!AK24,168&lt;'EDT Y TAREAS'!AL24),'EDT Y TAREAS'!AJ24/'EDT Y TAREAS'!M24,0),IF(AND(168&gt;='EDT Y TAREAS'!AK27,168&lt;'EDT Y TAREAS'!AL27),'EDT Y TAREAS'!AJ27/'EDT Y TAREAS'!M27,0),IF(AND(168&gt;='EDT Y TAREAS'!AK28,168&lt;'EDT Y TAREAS'!AL28),'EDT Y TAREAS'!AJ28/'EDT Y TAREAS'!M28,0),IF(AND(168&gt;='EDT Y TAREAS'!AK33,168&lt;'EDT Y TAREAS'!AL33),'EDT Y TAREAS'!AJ33/'EDT Y TAREAS'!M33,0),IF(AND(168&gt;='EDT Y TAREAS'!AK35,168&lt;'EDT Y TAREAS'!AL35),'EDT Y TAREAS'!AJ35/'EDT Y TAREAS'!M35,0),IF(AND(168&gt;='EDT Y TAREAS'!AK36,168&lt;'EDT Y TAREAS'!AL36),'EDT Y TAREAS'!AJ36/'EDT Y TAREAS'!M36,0),IF(AND(168&gt;='EDT Y TAREAS'!AK37,168&lt;'EDT Y TAREAS'!AL37),'EDT Y TAREAS'!AJ37/'EDT Y TAREAS'!M37,0),IF(AND(168&gt;='EDT Y TAREAS'!AK40,168&lt;'EDT Y TAREAS'!AL40),'EDT Y TAREAS'!AJ40/'EDT Y TAREAS'!M40,0),IF(AND(168&gt;='EDT Y TAREAS'!AK42,168&lt;'EDT Y TAREAS'!AL42),'EDT Y TAREAS'!AJ42/'EDT Y TAREAS'!M42,0),IF(AND(168&gt;='EDT Y TAREAS'!AK49,168&lt;'EDT Y TAREAS'!AL49),'EDT Y TAREAS'!AJ49/'EDT Y TAREAS'!M49,0),IF(AND(168&gt;='EDT Y TAREAS'!AK50,168&lt;'EDT Y TAREAS'!AL50),'EDT Y TAREAS'!AJ50/'EDT Y TAREAS'!M50,0),IF(AND(168&gt;='EDT Y TAREAS'!AK51,168&lt;'EDT Y TAREAS'!AL51),'EDT Y TAREAS'!AJ51/'EDT Y TAREAS'!M51,0),IF(AND(168&gt;='EDT Y TAREAS'!AK52,168&lt;'EDT Y TAREAS'!AL52),'EDT Y TAREAS'!AJ52/'EDT Y TAREAS'!M52,0))</x:f>
        <x:v>0</x:v>
      </x:c>
      <x:c r="I208" s="10" t="n">
        <x:f>WORKDAY('RESUMEN'!$D$3-1,A208,'RESUMEN'!$J$6:$J$25)</x:f>
        <x:v>46562</x:v>
      </x:c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  <x:c r="AM208" s="3"/>
      <x:c r="AN208" s="3"/>
      <x:c r="AO208" s="3"/>
    </x:row>
    <x:row r="209" ht="24" customHeight="1">
      <x:c r="A209" s="3" t="n">
        <x:v>170</x:v>
      </x:c>
      <x:c r="B209" s="35" t="n">
        <x:f>SUM(IF(AND(169&gt;='EDT Y TAREAS'!AK6,169&lt;'EDT Y TAREAS'!AL6),'EDT Y TAREAS'!AD6/'EDT Y TAREAS'!M6,0),IF(AND(169&gt;='EDT Y TAREAS'!AK7,169&lt;'EDT Y TAREAS'!AL7),'EDT Y TAREAS'!AD7/'EDT Y TAREAS'!M7,0),IF(AND(169&gt;='EDT Y TAREAS'!AK8,169&lt;'EDT Y TAREAS'!AL8),'EDT Y TAREAS'!AD8/'EDT Y TAREAS'!M8,0),IF(AND(169&gt;='EDT Y TAREAS'!AK9,169&lt;'EDT Y TAREAS'!AL9),'EDT Y TAREAS'!AD9/'EDT Y TAREAS'!M9,0),IF(AND(169&gt;='EDT Y TAREAS'!AK10,169&lt;'EDT Y TAREAS'!AL10),'EDT Y TAREAS'!AD10/'EDT Y TAREAS'!M10,0),IF(AND(169&gt;='EDT Y TAREAS'!AK11,169&lt;'EDT Y TAREAS'!AL11),'EDT Y TAREAS'!AD11/'EDT Y TAREAS'!M11,0),IF(AND(169&gt;='EDT Y TAREAS'!AK12,169&lt;'EDT Y TAREAS'!AL12),'EDT Y TAREAS'!AD12/'EDT Y TAREAS'!M12,0),IF(AND(169&gt;='EDT Y TAREAS'!AK13,169&lt;'EDT Y TAREAS'!AL13),'EDT Y TAREAS'!AD13/'EDT Y TAREAS'!M13,0),IF(AND(169&gt;='EDT Y TAREAS'!AK14,169&lt;'EDT Y TAREAS'!AL14),'EDT Y TAREAS'!AD14/'EDT Y TAREAS'!M14,0),IF(AND(169&gt;='EDT Y TAREAS'!AK15,169&lt;'EDT Y TAREAS'!AL15),'EDT Y TAREAS'!AD15/'EDT Y TAREAS'!M15,0),IF(AND(169&gt;='EDT Y TAREAS'!AK16,169&lt;'EDT Y TAREAS'!AL16),'EDT Y TAREAS'!AD16/'EDT Y TAREAS'!M16,0),IF(AND(169&gt;='EDT Y TAREAS'!AK17,169&lt;'EDT Y TAREAS'!AL17),'EDT Y TAREAS'!AD17/'EDT Y TAREAS'!M17,0),IF(AND(169&gt;='EDT Y TAREAS'!AK18,169&lt;'EDT Y TAREAS'!AL18),'EDT Y TAREAS'!AD18/'EDT Y TAREAS'!M18,0),IF(AND(169&gt;='EDT Y TAREAS'!AK19,169&lt;'EDT Y TAREAS'!AL19),'EDT Y TAREAS'!AD19/'EDT Y TAREAS'!M19,0),IF(AND(169&gt;='EDT Y TAREAS'!AK20,169&lt;'EDT Y TAREAS'!AL20),'EDT Y TAREAS'!AD20/'EDT Y TAREAS'!M20,0),IF(AND(169&gt;='EDT Y TAREAS'!AK21,169&lt;'EDT Y TAREAS'!AL21),'EDT Y TAREAS'!AD21/'EDT Y TAREAS'!M21,0),IF(AND(169&gt;='EDT Y TAREAS'!AK22,169&lt;'EDT Y TAREAS'!AL22),'EDT Y TAREAS'!AD22/'EDT Y TAREAS'!M22,0),IF(AND(169&gt;='EDT Y TAREAS'!AK23,169&lt;'EDT Y TAREAS'!AL23),'EDT Y TAREAS'!AD23/'EDT Y TAREAS'!M23,0),IF(AND(169&gt;='EDT Y TAREAS'!AK26,169&lt;'EDT Y TAREAS'!AL26),'EDT Y TAREAS'!AD26/'EDT Y TAREAS'!M26,0),IF(AND(169&gt;='EDT Y TAREAS'!AK28,169&lt;'EDT Y TAREAS'!AL28),'EDT Y TAREAS'!AD28/'EDT Y TAREAS'!M28,0),IF(AND(169&gt;='EDT Y TAREAS'!AK30,169&lt;'EDT Y TAREAS'!AL30),'EDT Y TAREAS'!AD30/'EDT Y TAREAS'!M30,0),IF(AND(169&gt;='EDT Y TAREAS'!AK32,169&lt;'EDT Y TAREAS'!AL32),'EDT Y TAREAS'!AD32/'EDT Y TAREAS'!M32,0),IF(AND(169&gt;='EDT Y TAREAS'!AK34,169&lt;'EDT Y TAREAS'!AL34),'EDT Y TAREAS'!AD34/'EDT Y TAREAS'!M34,0),IF(AND(169&gt;='EDT Y TAREAS'!AK38,169&lt;'EDT Y TAREAS'!AL38),'EDT Y TAREAS'!AD38/'EDT Y TAREAS'!M38,0),IF(AND(169&gt;='EDT Y TAREAS'!AK39,169&lt;'EDT Y TAREAS'!AL39),'EDT Y TAREAS'!AD39/'EDT Y TAREAS'!M39,0),IF(AND(169&gt;='EDT Y TAREAS'!AK43,169&lt;'EDT Y TAREAS'!AL43),'EDT Y TAREAS'!AD43/'EDT Y TAREAS'!M43,0),IF(AND(169&gt;='EDT Y TAREAS'!AK44,169&lt;'EDT Y TAREAS'!AL44),'EDT Y TAREAS'!AD44/'EDT Y TAREAS'!M44,0),IF(AND(169&gt;='EDT Y TAREAS'!AK45,169&lt;'EDT Y TAREAS'!AL45),'EDT Y TAREAS'!AD45/'EDT Y TAREAS'!M45,0),IF(AND(169&gt;='EDT Y TAREAS'!AK46,169&lt;'EDT Y TAREAS'!AL46),'EDT Y TAREAS'!AD46/'EDT Y TAREAS'!M46,0),IF(AND(169&gt;='EDT Y TAREAS'!AK47,169&lt;'EDT Y TAREAS'!AL47),'EDT Y TAREAS'!AD47/'EDT Y TAREAS'!M47,0),IF(AND(169&gt;='EDT Y TAREAS'!AK49,169&lt;'EDT Y TAREAS'!AL49),'EDT Y TAREAS'!AD49/'EDT Y TAREAS'!M49,0),IF(AND(169&gt;='EDT Y TAREAS'!AK50,169&lt;'EDT Y TAREAS'!AL50),'EDT Y TAREAS'!AD50/'EDT Y TAREAS'!M50,0),IF(AND(169&gt;='EDT Y TAREAS'!AK51,169&lt;'EDT Y TAREAS'!AL51),'EDT Y TAREAS'!AD51/'EDT Y TAREAS'!M51,0),IF(AND(169&gt;='EDT Y TAREAS'!AK52,169&lt;'EDT Y TAREAS'!AL52),'EDT Y TAREAS'!AD52/'EDT Y TAREAS'!M52,0))</x:f>
        <x:v>0</x:v>
      </x:c>
      <x:c r="C209" s="35" t="n">
        <x:f>SUM(IF(AND(169&gt;='EDT Y TAREAS'!AK6,169&lt;'EDT Y TAREAS'!AL6),'EDT Y TAREAS'!AE6/'EDT Y TAREAS'!M6,0),IF(AND(169&gt;='EDT Y TAREAS'!AK8,169&lt;'EDT Y TAREAS'!AL8),'EDT Y TAREAS'!AE8/'EDT Y TAREAS'!M8,0),IF(AND(169&gt;='EDT Y TAREAS'!AK9,169&lt;'EDT Y TAREAS'!AL9),'EDT Y TAREAS'!AE9/'EDT Y TAREAS'!M9,0),IF(AND(169&gt;='EDT Y TAREAS'!AK10,169&lt;'EDT Y TAREAS'!AL10),'EDT Y TAREAS'!AE10/'EDT Y TAREAS'!M10,0),IF(AND(169&gt;='EDT Y TAREAS'!AK12,169&lt;'EDT Y TAREAS'!AL12),'EDT Y TAREAS'!AE12/'EDT Y TAREAS'!M12,0),IF(AND(169&gt;='EDT Y TAREAS'!AK16,169&lt;'EDT Y TAREAS'!AL16),'EDT Y TAREAS'!AE16/'EDT Y TAREAS'!M16,0),IF(AND(169&gt;='EDT Y TAREAS'!AK21,169&lt;'EDT Y TAREAS'!AL21),'EDT Y TAREAS'!AE21/'EDT Y TAREAS'!M21,0),IF(AND(169&gt;='EDT Y TAREAS'!AK23,169&lt;'EDT Y TAREAS'!AL23),'EDT Y TAREAS'!AE23/'EDT Y TAREAS'!M23,0),IF(AND(169&gt;='EDT Y TAREAS'!AK37,169&lt;'EDT Y TAREAS'!AL37),'EDT Y TAREAS'!AE37/'EDT Y TAREAS'!M37,0),IF(AND(169&gt;='EDT Y TAREAS'!AK38,169&lt;'EDT Y TAREAS'!AL38),'EDT Y TAREAS'!AE38/'EDT Y TAREAS'!M38,0),IF(AND(169&gt;='EDT Y TAREAS'!AK41,169&lt;'EDT Y TAREAS'!AL41),'EDT Y TAREAS'!AE41/'EDT Y TAREAS'!M41,0),IF(AND(169&gt;='EDT Y TAREAS'!AK43,169&lt;'EDT Y TAREAS'!AL43),'EDT Y TAREAS'!AE43/'EDT Y TAREAS'!M43,0),IF(AND(169&gt;='EDT Y TAREAS'!AK44,169&lt;'EDT Y TAREAS'!AL44),'EDT Y TAREAS'!AE44/'EDT Y TAREAS'!M44,0),IF(AND(169&gt;='EDT Y TAREAS'!AK46,169&lt;'EDT Y TAREAS'!AL46),'EDT Y TAREAS'!AE46/'EDT Y TAREAS'!M46,0),IF(AND(169&gt;='EDT Y TAREAS'!AK47,169&lt;'EDT Y TAREAS'!AL47),'EDT Y TAREAS'!AE47/'EDT Y TAREAS'!M47,0),IF(AND(169&gt;='EDT Y TAREAS'!AK51,169&lt;'EDT Y TAREAS'!AL51),'EDT Y TAREAS'!AE51/'EDT Y TAREAS'!M51,0),IF(AND(169&gt;='EDT Y TAREAS'!AK52,169&lt;'EDT Y TAREAS'!AL52),'EDT Y TAREAS'!AE52/'EDT Y TAREAS'!M52,0))</x:f>
        <x:v>0</x:v>
      </x:c>
      <x:c r="D209" s="35" t="n">
        <x:f>SUM(IF(AND(169&gt;='EDT Y TAREAS'!AK11,169&lt;'EDT Y TAREAS'!AL11),'EDT Y TAREAS'!AF11/'EDT Y TAREAS'!M11,0),IF(AND(169&gt;='EDT Y TAREAS'!AK24,169&lt;'EDT Y TAREAS'!AL24),'EDT Y TAREAS'!AF24/'EDT Y TAREAS'!M24,0),IF(AND(169&gt;='EDT Y TAREAS'!AK25,169&lt;'EDT Y TAREAS'!AL25),'EDT Y TAREAS'!AF25/'EDT Y TAREAS'!M25,0),IF(AND(169&gt;='EDT Y TAREAS'!AK26,169&lt;'EDT Y TAREAS'!AL26),'EDT Y TAREAS'!AF26/'EDT Y TAREAS'!M26,0),IF(AND(169&gt;='EDT Y TAREAS'!AK27,169&lt;'EDT Y TAREAS'!AL27),'EDT Y TAREAS'!AF27/'EDT Y TAREAS'!M27,0),IF(AND(169&gt;='EDT Y TAREAS'!AK28,169&lt;'EDT Y TAREAS'!AL28),'EDT Y TAREAS'!AF28/'EDT Y TAREAS'!M28,0),IF(AND(169&gt;='EDT Y TAREAS'!AK31,169&lt;'EDT Y TAREAS'!AL31),'EDT Y TAREAS'!AF31/'EDT Y TAREAS'!M31,0),IF(AND(169&gt;='EDT Y TAREAS'!AK33,169&lt;'EDT Y TAREAS'!AL33),'EDT Y TAREAS'!AF33/'EDT Y TAREAS'!M33,0),IF(AND(169&gt;='EDT Y TAREAS'!AK34,169&lt;'EDT Y TAREAS'!AL34),'EDT Y TAREAS'!AF34/'EDT Y TAREAS'!M34,0),IF(AND(169&gt;='EDT Y TAREAS'!AK35,169&lt;'EDT Y TAREAS'!AL35),'EDT Y TAREAS'!AF35/'EDT Y TAREAS'!M35,0),IF(AND(169&gt;='EDT Y TAREAS'!AK37,169&lt;'EDT Y TAREAS'!AL37),'EDT Y TAREAS'!AF37/'EDT Y TAREAS'!M37,0),IF(AND(169&gt;='EDT Y TAREAS'!AK39,169&lt;'EDT Y TAREAS'!AL39),'EDT Y TAREAS'!AF39/'EDT Y TAREAS'!M39,0),IF(AND(169&gt;='EDT Y TAREAS'!AK40,169&lt;'EDT Y TAREAS'!AL40),'EDT Y TAREAS'!AF40/'EDT Y TAREAS'!M40,0),IF(AND(169&gt;='EDT Y TAREAS'!AK42,169&lt;'EDT Y TAREAS'!AL42),'EDT Y TAREAS'!AF42/'EDT Y TAREAS'!M42,0),IF(AND(169&gt;='EDT Y TAREAS'!AK45,169&lt;'EDT Y TAREAS'!AL45),'EDT Y TAREAS'!AF45/'EDT Y TAREAS'!M45,0),IF(AND(169&gt;='EDT Y TAREAS'!AK49,169&lt;'EDT Y TAREAS'!AL49),'EDT Y TAREAS'!AF49/'EDT Y TAREAS'!M49,0),IF(AND(169&gt;='EDT Y TAREAS'!AK52,169&lt;'EDT Y TAREAS'!AL52),'EDT Y TAREAS'!AF52/'EDT Y TAREAS'!M52,0))</x:f>
        <x:v>0</x:v>
      </x:c>
      <x:c r="E209" s="35" t="n">
        <x:f>SUM(IF(AND(169&gt;='EDT Y TAREAS'!AK29,169&lt;'EDT Y TAREAS'!AL29),'EDT Y TAREAS'!AG29/'EDT Y TAREAS'!M29,0),IF(AND(169&gt;='EDT Y TAREAS'!AK30,169&lt;'EDT Y TAREAS'!AL30),'EDT Y TAREAS'!AG30/'EDT Y TAREAS'!M30,0),IF(AND(169&gt;='EDT Y TAREAS'!AK31,169&lt;'EDT Y TAREAS'!AL31),'EDT Y TAREAS'!AG31/'EDT Y TAREAS'!M31,0),IF(AND(169&gt;='EDT Y TAREAS'!AK32,169&lt;'EDT Y TAREAS'!AL32),'EDT Y TAREAS'!AG32/'EDT Y TAREAS'!M32,0),IF(AND(169&gt;='EDT Y TAREAS'!AK41,169&lt;'EDT Y TAREAS'!AL41),'EDT Y TAREAS'!AG41/'EDT Y TAREAS'!M41,0),IF(AND(169&gt;='EDT Y TAREAS'!AK45,169&lt;'EDT Y TAREAS'!AL45),'EDT Y TAREAS'!AG45/'EDT Y TAREAS'!M45,0),IF(AND(169&gt;='EDT Y TAREAS'!AK48,169&lt;'EDT Y TAREAS'!AL48),'EDT Y TAREAS'!AG48/'EDT Y TAREAS'!M48,0))</x:f>
        <x:v>0</x:v>
      </x:c>
      <x:c r="F209" s="35" t="n">
        <x:f>SUM(IF(AND(169&gt;='EDT Y TAREAS'!AK10,169&lt;'EDT Y TAREAS'!AL10),'EDT Y TAREAS'!AH10/'EDT Y TAREAS'!M10,0),IF(AND(169&gt;='EDT Y TAREAS'!AK12,169&lt;'EDT Y TAREAS'!AL12),'EDT Y TAREAS'!AH12/'EDT Y TAREAS'!M12,0),IF(AND(169&gt;='EDT Y TAREAS'!AK22,169&lt;'EDT Y TAREAS'!AL22),'EDT Y TAREAS'!AH22/'EDT Y TAREAS'!M22,0),IF(AND(169&gt;='EDT Y TAREAS'!AK23,169&lt;'EDT Y TAREAS'!AL23),'EDT Y TAREAS'!AH23/'EDT Y TAREAS'!M23,0),IF(AND(169&gt;='EDT Y TAREAS'!AK29,169&lt;'EDT Y TAREAS'!AL29),'EDT Y TAREAS'!AH29/'EDT Y TAREAS'!M29,0),IF(AND(169&gt;='EDT Y TAREAS'!AK30,169&lt;'EDT Y TAREAS'!AL30),'EDT Y TAREAS'!AH30/'EDT Y TAREAS'!M30,0),IF(AND(169&gt;='EDT Y TAREAS'!AK32,169&lt;'EDT Y TAREAS'!AL32),'EDT Y TAREAS'!AH32/'EDT Y TAREAS'!M32,0),IF(AND(169&gt;='EDT Y TAREAS'!AK41,169&lt;'EDT Y TAREAS'!AL41),'EDT Y TAREAS'!AH41/'EDT Y TAREAS'!M41,0),IF(AND(169&gt;='EDT Y TAREAS'!AK44,169&lt;'EDT Y TAREAS'!AL44),'EDT Y TAREAS'!AH44/'EDT Y TAREAS'!M44,0),IF(AND(169&gt;='EDT Y TAREAS'!AK46,169&lt;'EDT Y TAREAS'!AL46),'EDT Y TAREAS'!AH46/'EDT Y TAREAS'!M46,0),IF(AND(169&gt;='EDT Y TAREAS'!AK48,169&lt;'EDT Y TAREAS'!AL48),'EDT Y TAREAS'!AH48/'EDT Y TAREAS'!M48,0))</x:f>
        <x:v>0</x:v>
      </x:c>
      <x:c r="G209" s="35" t="n">
        <x:f>SUM(IF(AND(169&gt;='EDT Y TAREAS'!AK20,169&lt;'EDT Y TAREAS'!AL20),'EDT Y TAREAS'!AI20/'EDT Y TAREAS'!M20,0),IF(AND(169&gt;='EDT Y TAREAS'!AK25,169&lt;'EDT Y TAREAS'!AL25),'EDT Y TAREAS'!AI25/'EDT Y TAREAS'!M25,0),IF(AND(169&gt;='EDT Y TAREAS'!AK33,169&lt;'EDT Y TAREAS'!AL33),'EDT Y TAREAS'!AI33/'EDT Y TAREAS'!M33,0),IF(AND(169&gt;='EDT Y TAREAS'!AK34,169&lt;'EDT Y TAREAS'!AL34),'EDT Y TAREAS'!AI34/'EDT Y TAREAS'!M34,0),IF(AND(169&gt;='EDT Y TAREAS'!AK36,169&lt;'EDT Y TAREAS'!AL36),'EDT Y TAREAS'!AI36/'EDT Y TAREAS'!M36,0),IF(AND(169&gt;='EDT Y TAREAS'!AK39,169&lt;'EDT Y TAREAS'!AL39),'EDT Y TAREAS'!AI39/'EDT Y TAREAS'!M39,0),IF(AND(169&gt;='EDT Y TAREAS'!AK40,169&lt;'EDT Y TAREAS'!AL40),'EDT Y TAREAS'!AI40/'EDT Y TAREAS'!M40,0),IF(AND(169&gt;='EDT Y TAREAS'!AK42,169&lt;'EDT Y TAREAS'!AL42),'EDT Y TAREAS'!AI42/'EDT Y TAREAS'!M42,0),IF(AND(169&gt;='EDT Y TAREAS'!AK43,169&lt;'EDT Y TAREAS'!AL43),'EDT Y TAREAS'!AI43/'EDT Y TAREAS'!M43,0),IF(AND(169&gt;='EDT Y TAREAS'!AK44,169&lt;'EDT Y TAREAS'!AL44),'EDT Y TAREAS'!AI44/'EDT Y TAREAS'!M44,0),IF(AND(169&gt;='EDT Y TAREAS'!AK45,169&lt;'EDT Y TAREAS'!AL45),'EDT Y TAREAS'!AI45/'EDT Y TAREAS'!M45,0),IF(AND(169&gt;='EDT Y TAREAS'!AK46,169&lt;'EDT Y TAREAS'!AL46),'EDT Y TAREAS'!AI46/'EDT Y TAREAS'!M46,0),IF(AND(169&gt;='EDT Y TAREAS'!AK48,169&lt;'EDT Y TAREAS'!AL48),'EDT Y TAREAS'!AI48/'EDT Y TAREAS'!M48,0),IF(AND(169&gt;='EDT Y TAREAS'!AK50,169&lt;'EDT Y TAREAS'!AL50),'EDT Y TAREAS'!AI50/'EDT Y TAREAS'!M50,0),IF(AND(169&gt;='EDT Y TAREAS'!AK52,169&lt;'EDT Y TAREAS'!AL52),'EDT Y TAREAS'!AI52/'EDT Y TAREAS'!M52,0))</x:f>
        <x:v>0</x:v>
      </x:c>
      <x:c r="H209" s="35" t="n">
        <x:f>SUM(IF(AND(169&gt;='EDT Y TAREAS'!AK11,169&lt;'EDT Y TAREAS'!AL11),'EDT Y TAREAS'!AJ11/'EDT Y TAREAS'!M11,0),IF(AND(169&gt;='EDT Y TAREAS'!AK24,169&lt;'EDT Y TAREAS'!AL24),'EDT Y TAREAS'!AJ24/'EDT Y TAREAS'!M24,0),IF(AND(169&gt;='EDT Y TAREAS'!AK27,169&lt;'EDT Y TAREAS'!AL27),'EDT Y TAREAS'!AJ27/'EDT Y TAREAS'!M27,0),IF(AND(169&gt;='EDT Y TAREAS'!AK28,169&lt;'EDT Y TAREAS'!AL28),'EDT Y TAREAS'!AJ28/'EDT Y TAREAS'!M28,0),IF(AND(169&gt;='EDT Y TAREAS'!AK33,169&lt;'EDT Y TAREAS'!AL33),'EDT Y TAREAS'!AJ33/'EDT Y TAREAS'!M33,0),IF(AND(169&gt;='EDT Y TAREAS'!AK35,169&lt;'EDT Y TAREAS'!AL35),'EDT Y TAREAS'!AJ35/'EDT Y TAREAS'!M35,0),IF(AND(169&gt;='EDT Y TAREAS'!AK36,169&lt;'EDT Y TAREAS'!AL36),'EDT Y TAREAS'!AJ36/'EDT Y TAREAS'!M36,0),IF(AND(169&gt;='EDT Y TAREAS'!AK37,169&lt;'EDT Y TAREAS'!AL37),'EDT Y TAREAS'!AJ37/'EDT Y TAREAS'!M37,0),IF(AND(169&gt;='EDT Y TAREAS'!AK40,169&lt;'EDT Y TAREAS'!AL40),'EDT Y TAREAS'!AJ40/'EDT Y TAREAS'!M40,0),IF(AND(169&gt;='EDT Y TAREAS'!AK42,169&lt;'EDT Y TAREAS'!AL42),'EDT Y TAREAS'!AJ42/'EDT Y TAREAS'!M42,0),IF(AND(169&gt;='EDT Y TAREAS'!AK49,169&lt;'EDT Y TAREAS'!AL49),'EDT Y TAREAS'!AJ49/'EDT Y TAREAS'!M49,0),IF(AND(169&gt;='EDT Y TAREAS'!AK50,169&lt;'EDT Y TAREAS'!AL50),'EDT Y TAREAS'!AJ50/'EDT Y TAREAS'!M50,0),IF(AND(169&gt;='EDT Y TAREAS'!AK51,169&lt;'EDT Y TAREAS'!AL51),'EDT Y TAREAS'!AJ51/'EDT Y TAREAS'!M51,0),IF(AND(169&gt;='EDT Y TAREAS'!AK52,169&lt;'EDT Y TAREAS'!AL52),'EDT Y TAREAS'!AJ52/'EDT Y TAREAS'!M52,0))</x:f>
        <x:v>0</x:v>
      </x:c>
      <x:c r="I209" s="10" t="n">
        <x:f>WORKDAY('RESUMEN'!$D$3-1,A209,'RESUMEN'!$J$6:$J$25)</x:f>
        <x:v>46563</x:v>
      </x:c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  <x:c r="AL209" s="3"/>
      <x:c r="AM209" s="3"/>
      <x:c r="AN209" s="3"/>
      <x:c r="AO209" s="3"/>
    </x:row>
    <x:row r="210" ht="24" customHeight="1">
      <x:c r="A210" s="3" t="n">
        <x:v>171</x:v>
      </x:c>
      <x:c r="B210" s="35" t="n">
        <x:f>SUM(IF(AND(170&gt;='EDT Y TAREAS'!AK6,170&lt;'EDT Y TAREAS'!AL6),'EDT Y TAREAS'!AD6/'EDT Y TAREAS'!M6,0),IF(AND(170&gt;='EDT Y TAREAS'!AK7,170&lt;'EDT Y TAREAS'!AL7),'EDT Y TAREAS'!AD7/'EDT Y TAREAS'!M7,0),IF(AND(170&gt;='EDT Y TAREAS'!AK8,170&lt;'EDT Y TAREAS'!AL8),'EDT Y TAREAS'!AD8/'EDT Y TAREAS'!M8,0),IF(AND(170&gt;='EDT Y TAREAS'!AK9,170&lt;'EDT Y TAREAS'!AL9),'EDT Y TAREAS'!AD9/'EDT Y TAREAS'!M9,0),IF(AND(170&gt;='EDT Y TAREAS'!AK10,170&lt;'EDT Y TAREAS'!AL10),'EDT Y TAREAS'!AD10/'EDT Y TAREAS'!M10,0),IF(AND(170&gt;='EDT Y TAREAS'!AK11,170&lt;'EDT Y TAREAS'!AL11),'EDT Y TAREAS'!AD11/'EDT Y TAREAS'!M11,0),IF(AND(170&gt;='EDT Y TAREAS'!AK12,170&lt;'EDT Y TAREAS'!AL12),'EDT Y TAREAS'!AD12/'EDT Y TAREAS'!M12,0),IF(AND(170&gt;='EDT Y TAREAS'!AK13,170&lt;'EDT Y TAREAS'!AL13),'EDT Y TAREAS'!AD13/'EDT Y TAREAS'!M13,0),IF(AND(170&gt;='EDT Y TAREAS'!AK14,170&lt;'EDT Y TAREAS'!AL14),'EDT Y TAREAS'!AD14/'EDT Y TAREAS'!M14,0),IF(AND(170&gt;='EDT Y TAREAS'!AK15,170&lt;'EDT Y TAREAS'!AL15),'EDT Y TAREAS'!AD15/'EDT Y TAREAS'!M15,0),IF(AND(170&gt;='EDT Y TAREAS'!AK16,170&lt;'EDT Y TAREAS'!AL16),'EDT Y TAREAS'!AD16/'EDT Y TAREAS'!M16,0),IF(AND(170&gt;='EDT Y TAREAS'!AK17,170&lt;'EDT Y TAREAS'!AL17),'EDT Y TAREAS'!AD17/'EDT Y TAREAS'!M17,0),IF(AND(170&gt;='EDT Y TAREAS'!AK18,170&lt;'EDT Y TAREAS'!AL18),'EDT Y TAREAS'!AD18/'EDT Y TAREAS'!M18,0),IF(AND(170&gt;='EDT Y TAREAS'!AK19,170&lt;'EDT Y TAREAS'!AL19),'EDT Y TAREAS'!AD19/'EDT Y TAREAS'!M19,0),IF(AND(170&gt;='EDT Y TAREAS'!AK20,170&lt;'EDT Y TAREAS'!AL20),'EDT Y TAREAS'!AD20/'EDT Y TAREAS'!M20,0),IF(AND(170&gt;='EDT Y TAREAS'!AK21,170&lt;'EDT Y TAREAS'!AL21),'EDT Y TAREAS'!AD21/'EDT Y TAREAS'!M21,0),IF(AND(170&gt;='EDT Y TAREAS'!AK22,170&lt;'EDT Y TAREAS'!AL22),'EDT Y TAREAS'!AD22/'EDT Y TAREAS'!M22,0),IF(AND(170&gt;='EDT Y TAREAS'!AK23,170&lt;'EDT Y TAREAS'!AL23),'EDT Y TAREAS'!AD23/'EDT Y TAREAS'!M23,0),IF(AND(170&gt;='EDT Y TAREAS'!AK26,170&lt;'EDT Y TAREAS'!AL26),'EDT Y TAREAS'!AD26/'EDT Y TAREAS'!M26,0),IF(AND(170&gt;='EDT Y TAREAS'!AK28,170&lt;'EDT Y TAREAS'!AL28),'EDT Y TAREAS'!AD28/'EDT Y TAREAS'!M28,0),IF(AND(170&gt;='EDT Y TAREAS'!AK30,170&lt;'EDT Y TAREAS'!AL30),'EDT Y TAREAS'!AD30/'EDT Y TAREAS'!M30,0),IF(AND(170&gt;='EDT Y TAREAS'!AK32,170&lt;'EDT Y TAREAS'!AL32),'EDT Y TAREAS'!AD32/'EDT Y TAREAS'!M32,0),IF(AND(170&gt;='EDT Y TAREAS'!AK34,170&lt;'EDT Y TAREAS'!AL34),'EDT Y TAREAS'!AD34/'EDT Y TAREAS'!M34,0),IF(AND(170&gt;='EDT Y TAREAS'!AK38,170&lt;'EDT Y TAREAS'!AL38),'EDT Y TAREAS'!AD38/'EDT Y TAREAS'!M38,0),IF(AND(170&gt;='EDT Y TAREAS'!AK39,170&lt;'EDT Y TAREAS'!AL39),'EDT Y TAREAS'!AD39/'EDT Y TAREAS'!M39,0),IF(AND(170&gt;='EDT Y TAREAS'!AK43,170&lt;'EDT Y TAREAS'!AL43),'EDT Y TAREAS'!AD43/'EDT Y TAREAS'!M43,0),IF(AND(170&gt;='EDT Y TAREAS'!AK44,170&lt;'EDT Y TAREAS'!AL44),'EDT Y TAREAS'!AD44/'EDT Y TAREAS'!M44,0),IF(AND(170&gt;='EDT Y TAREAS'!AK45,170&lt;'EDT Y TAREAS'!AL45),'EDT Y TAREAS'!AD45/'EDT Y TAREAS'!M45,0),IF(AND(170&gt;='EDT Y TAREAS'!AK46,170&lt;'EDT Y TAREAS'!AL46),'EDT Y TAREAS'!AD46/'EDT Y TAREAS'!M46,0),IF(AND(170&gt;='EDT Y TAREAS'!AK47,170&lt;'EDT Y TAREAS'!AL47),'EDT Y TAREAS'!AD47/'EDT Y TAREAS'!M47,0),IF(AND(170&gt;='EDT Y TAREAS'!AK49,170&lt;'EDT Y TAREAS'!AL49),'EDT Y TAREAS'!AD49/'EDT Y TAREAS'!M49,0),IF(AND(170&gt;='EDT Y TAREAS'!AK50,170&lt;'EDT Y TAREAS'!AL50),'EDT Y TAREAS'!AD50/'EDT Y TAREAS'!M50,0),IF(AND(170&gt;='EDT Y TAREAS'!AK51,170&lt;'EDT Y TAREAS'!AL51),'EDT Y TAREAS'!AD51/'EDT Y TAREAS'!M51,0),IF(AND(170&gt;='EDT Y TAREAS'!AK52,170&lt;'EDT Y TAREAS'!AL52),'EDT Y TAREAS'!AD52/'EDT Y TAREAS'!M52,0))</x:f>
        <x:v>0</x:v>
      </x:c>
      <x:c r="C210" s="35" t="n">
        <x:f>SUM(IF(AND(170&gt;='EDT Y TAREAS'!AK6,170&lt;'EDT Y TAREAS'!AL6),'EDT Y TAREAS'!AE6/'EDT Y TAREAS'!M6,0),IF(AND(170&gt;='EDT Y TAREAS'!AK8,170&lt;'EDT Y TAREAS'!AL8),'EDT Y TAREAS'!AE8/'EDT Y TAREAS'!M8,0),IF(AND(170&gt;='EDT Y TAREAS'!AK9,170&lt;'EDT Y TAREAS'!AL9),'EDT Y TAREAS'!AE9/'EDT Y TAREAS'!M9,0),IF(AND(170&gt;='EDT Y TAREAS'!AK10,170&lt;'EDT Y TAREAS'!AL10),'EDT Y TAREAS'!AE10/'EDT Y TAREAS'!M10,0),IF(AND(170&gt;='EDT Y TAREAS'!AK12,170&lt;'EDT Y TAREAS'!AL12),'EDT Y TAREAS'!AE12/'EDT Y TAREAS'!M12,0),IF(AND(170&gt;='EDT Y TAREAS'!AK16,170&lt;'EDT Y TAREAS'!AL16),'EDT Y TAREAS'!AE16/'EDT Y TAREAS'!M16,0),IF(AND(170&gt;='EDT Y TAREAS'!AK21,170&lt;'EDT Y TAREAS'!AL21),'EDT Y TAREAS'!AE21/'EDT Y TAREAS'!M21,0),IF(AND(170&gt;='EDT Y TAREAS'!AK23,170&lt;'EDT Y TAREAS'!AL23),'EDT Y TAREAS'!AE23/'EDT Y TAREAS'!M23,0),IF(AND(170&gt;='EDT Y TAREAS'!AK37,170&lt;'EDT Y TAREAS'!AL37),'EDT Y TAREAS'!AE37/'EDT Y TAREAS'!M37,0),IF(AND(170&gt;='EDT Y TAREAS'!AK38,170&lt;'EDT Y TAREAS'!AL38),'EDT Y TAREAS'!AE38/'EDT Y TAREAS'!M38,0),IF(AND(170&gt;='EDT Y TAREAS'!AK41,170&lt;'EDT Y TAREAS'!AL41),'EDT Y TAREAS'!AE41/'EDT Y TAREAS'!M41,0),IF(AND(170&gt;='EDT Y TAREAS'!AK43,170&lt;'EDT Y TAREAS'!AL43),'EDT Y TAREAS'!AE43/'EDT Y TAREAS'!M43,0),IF(AND(170&gt;='EDT Y TAREAS'!AK44,170&lt;'EDT Y TAREAS'!AL44),'EDT Y TAREAS'!AE44/'EDT Y TAREAS'!M44,0),IF(AND(170&gt;='EDT Y TAREAS'!AK46,170&lt;'EDT Y TAREAS'!AL46),'EDT Y TAREAS'!AE46/'EDT Y TAREAS'!M46,0),IF(AND(170&gt;='EDT Y TAREAS'!AK47,170&lt;'EDT Y TAREAS'!AL47),'EDT Y TAREAS'!AE47/'EDT Y TAREAS'!M47,0),IF(AND(170&gt;='EDT Y TAREAS'!AK51,170&lt;'EDT Y TAREAS'!AL51),'EDT Y TAREAS'!AE51/'EDT Y TAREAS'!M51,0),IF(AND(170&gt;='EDT Y TAREAS'!AK52,170&lt;'EDT Y TAREAS'!AL52),'EDT Y TAREAS'!AE52/'EDT Y TAREAS'!M52,0))</x:f>
        <x:v>0</x:v>
      </x:c>
      <x:c r="D210" s="35" t="n">
        <x:f>SUM(IF(AND(170&gt;='EDT Y TAREAS'!AK11,170&lt;'EDT Y TAREAS'!AL11),'EDT Y TAREAS'!AF11/'EDT Y TAREAS'!M11,0),IF(AND(170&gt;='EDT Y TAREAS'!AK24,170&lt;'EDT Y TAREAS'!AL24),'EDT Y TAREAS'!AF24/'EDT Y TAREAS'!M24,0),IF(AND(170&gt;='EDT Y TAREAS'!AK25,170&lt;'EDT Y TAREAS'!AL25),'EDT Y TAREAS'!AF25/'EDT Y TAREAS'!M25,0),IF(AND(170&gt;='EDT Y TAREAS'!AK26,170&lt;'EDT Y TAREAS'!AL26),'EDT Y TAREAS'!AF26/'EDT Y TAREAS'!M26,0),IF(AND(170&gt;='EDT Y TAREAS'!AK27,170&lt;'EDT Y TAREAS'!AL27),'EDT Y TAREAS'!AF27/'EDT Y TAREAS'!M27,0),IF(AND(170&gt;='EDT Y TAREAS'!AK28,170&lt;'EDT Y TAREAS'!AL28),'EDT Y TAREAS'!AF28/'EDT Y TAREAS'!M28,0),IF(AND(170&gt;='EDT Y TAREAS'!AK31,170&lt;'EDT Y TAREAS'!AL31),'EDT Y TAREAS'!AF31/'EDT Y TAREAS'!M31,0),IF(AND(170&gt;='EDT Y TAREAS'!AK33,170&lt;'EDT Y TAREAS'!AL33),'EDT Y TAREAS'!AF33/'EDT Y TAREAS'!M33,0),IF(AND(170&gt;='EDT Y TAREAS'!AK34,170&lt;'EDT Y TAREAS'!AL34),'EDT Y TAREAS'!AF34/'EDT Y TAREAS'!M34,0),IF(AND(170&gt;='EDT Y TAREAS'!AK35,170&lt;'EDT Y TAREAS'!AL35),'EDT Y TAREAS'!AF35/'EDT Y TAREAS'!M35,0),IF(AND(170&gt;='EDT Y TAREAS'!AK37,170&lt;'EDT Y TAREAS'!AL37),'EDT Y TAREAS'!AF37/'EDT Y TAREAS'!M37,0),IF(AND(170&gt;='EDT Y TAREAS'!AK39,170&lt;'EDT Y TAREAS'!AL39),'EDT Y TAREAS'!AF39/'EDT Y TAREAS'!M39,0),IF(AND(170&gt;='EDT Y TAREAS'!AK40,170&lt;'EDT Y TAREAS'!AL40),'EDT Y TAREAS'!AF40/'EDT Y TAREAS'!M40,0),IF(AND(170&gt;='EDT Y TAREAS'!AK42,170&lt;'EDT Y TAREAS'!AL42),'EDT Y TAREAS'!AF42/'EDT Y TAREAS'!M42,0),IF(AND(170&gt;='EDT Y TAREAS'!AK45,170&lt;'EDT Y TAREAS'!AL45),'EDT Y TAREAS'!AF45/'EDT Y TAREAS'!M45,0),IF(AND(170&gt;='EDT Y TAREAS'!AK49,170&lt;'EDT Y TAREAS'!AL49),'EDT Y TAREAS'!AF49/'EDT Y TAREAS'!M49,0),IF(AND(170&gt;='EDT Y TAREAS'!AK52,170&lt;'EDT Y TAREAS'!AL52),'EDT Y TAREAS'!AF52/'EDT Y TAREAS'!M52,0))</x:f>
        <x:v>0</x:v>
      </x:c>
      <x:c r="E210" s="35" t="n">
        <x:f>SUM(IF(AND(170&gt;='EDT Y TAREAS'!AK29,170&lt;'EDT Y TAREAS'!AL29),'EDT Y TAREAS'!AG29/'EDT Y TAREAS'!M29,0),IF(AND(170&gt;='EDT Y TAREAS'!AK30,170&lt;'EDT Y TAREAS'!AL30),'EDT Y TAREAS'!AG30/'EDT Y TAREAS'!M30,0),IF(AND(170&gt;='EDT Y TAREAS'!AK31,170&lt;'EDT Y TAREAS'!AL31),'EDT Y TAREAS'!AG31/'EDT Y TAREAS'!M31,0),IF(AND(170&gt;='EDT Y TAREAS'!AK32,170&lt;'EDT Y TAREAS'!AL32),'EDT Y TAREAS'!AG32/'EDT Y TAREAS'!M32,0),IF(AND(170&gt;='EDT Y TAREAS'!AK41,170&lt;'EDT Y TAREAS'!AL41),'EDT Y TAREAS'!AG41/'EDT Y TAREAS'!M41,0),IF(AND(170&gt;='EDT Y TAREAS'!AK45,170&lt;'EDT Y TAREAS'!AL45),'EDT Y TAREAS'!AG45/'EDT Y TAREAS'!M45,0),IF(AND(170&gt;='EDT Y TAREAS'!AK48,170&lt;'EDT Y TAREAS'!AL48),'EDT Y TAREAS'!AG48/'EDT Y TAREAS'!M48,0))</x:f>
        <x:v>0</x:v>
      </x:c>
      <x:c r="F210" s="35" t="n">
        <x:f>SUM(IF(AND(170&gt;='EDT Y TAREAS'!AK10,170&lt;'EDT Y TAREAS'!AL10),'EDT Y TAREAS'!AH10/'EDT Y TAREAS'!M10,0),IF(AND(170&gt;='EDT Y TAREAS'!AK12,170&lt;'EDT Y TAREAS'!AL12),'EDT Y TAREAS'!AH12/'EDT Y TAREAS'!M12,0),IF(AND(170&gt;='EDT Y TAREAS'!AK22,170&lt;'EDT Y TAREAS'!AL22),'EDT Y TAREAS'!AH22/'EDT Y TAREAS'!M22,0),IF(AND(170&gt;='EDT Y TAREAS'!AK23,170&lt;'EDT Y TAREAS'!AL23),'EDT Y TAREAS'!AH23/'EDT Y TAREAS'!M23,0),IF(AND(170&gt;='EDT Y TAREAS'!AK29,170&lt;'EDT Y TAREAS'!AL29),'EDT Y TAREAS'!AH29/'EDT Y TAREAS'!M29,0),IF(AND(170&gt;='EDT Y TAREAS'!AK30,170&lt;'EDT Y TAREAS'!AL30),'EDT Y TAREAS'!AH30/'EDT Y TAREAS'!M30,0),IF(AND(170&gt;='EDT Y TAREAS'!AK32,170&lt;'EDT Y TAREAS'!AL32),'EDT Y TAREAS'!AH32/'EDT Y TAREAS'!M32,0),IF(AND(170&gt;='EDT Y TAREAS'!AK41,170&lt;'EDT Y TAREAS'!AL41),'EDT Y TAREAS'!AH41/'EDT Y TAREAS'!M41,0),IF(AND(170&gt;='EDT Y TAREAS'!AK44,170&lt;'EDT Y TAREAS'!AL44),'EDT Y TAREAS'!AH44/'EDT Y TAREAS'!M44,0),IF(AND(170&gt;='EDT Y TAREAS'!AK46,170&lt;'EDT Y TAREAS'!AL46),'EDT Y TAREAS'!AH46/'EDT Y TAREAS'!M46,0),IF(AND(170&gt;='EDT Y TAREAS'!AK48,170&lt;'EDT Y TAREAS'!AL48),'EDT Y TAREAS'!AH48/'EDT Y TAREAS'!M48,0))</x:f>
        <x:v>0</x:v>
      </x:c>
      <x:c r="G210" s="35" t="n">
        <x:f>SUM(IF(AND(170&gt;='EDT Y TAREAS'!AK20,170&lt;'EDT Y TAREAS'!AL20),'EDT Y TAREAS'!AI20/'EDT Y TAREAS'!M20,0),IF(AND(170&gt;='EDT Y TAREAS'!AK25,170&lt;'EDT Y TAREAS'!AL25),'EDT Y TAREAS'!AI25/'EDT Y TAREAS'!M25,0),IF(AND(170&gt;='EDT Y TAREAS'!AK33,170&lt;'EDT Y TAREAS'!AL33),'EDT Y TAREAS'!AI33/'EDT Y TAREAS'!M33,0),IF(AND(170&gt;='EDT Y TAREAS'!AK34,170&lt;'EDT Y TAREAS'!AL34),'EDT Y TAREAS'!AI34/'EDT Y TAREAS'!M34,0),IF(AND(170&gt;='EDT Y TAREAS'!AK36,170&lt;'EDT Y TAREAS'!AL36),'EDT Y TAREAS'!AI36/'EDT Y TAREAS'!M36,0),IF(AND(170&gt;='EDT Y TAREAS'!AK39,170&lt;'EDT Y TAREAS'!AL39),'EDT Y TAREAS'!AI39/'EDT Y TAREAS'!M39,0),IF(AND(170&gt;='EDT Y TAREAS'!AK40,170&lt;'EDT Y TAREAS'!AL40),'EDT Y TAREAS'!AI40/'EDT Y TAREAS'!M40,0),IF(AND(170&gt;='EDT Y TAREAS'!AK42,170&lt;'EDT Y TAREAS'!AL42),'EDT Y TAREAS'!AI42/'EDT Y TAREAS'!M42,0),IF(AND(170&gt;='EDT Y TAREAS'!AK43,170&lt;'EDT Y TAREAS'!AL43),'EDT Y TAREAS'!AI43/'EDT Y TAREAS'!M43,0),IF(AND(170&gt;='EDT Y TAREAS'!AK44,170&lt;'EDT Y TAREAS'!AL44),'EDT Y TAREAS'!AI44/'EDT Y TAREAS'!M44,0),IF(AND(170&gt;='EDT Y TAREAS'!AK45,170&lt;'EDT Y TAREAS'!AL45),'EDT Y TAREAS'!AI45/'EDT Y TAREAS'!M45,0),IF(AND(170&gt;='EDT Y TAREAS'!AK46,170&lt;'EDT Y TAREAS'!AL46),'EDT Y TAREAS'!AI46/'EDT Y TAREAS'!M46,0),IF(AND(170&gt;='EDT Y TAREAS'!AK48,170&lt;'EDT Y TAREAS'!AL48),'EDT Y TAREAS'!AI48/'EDT Y TAREAS'!M48,0),IF(AND(170&gt;='EDT Y TAREAS'!AK50,170&lt;'EDT Y TAREAS'!AL50),'EDT Y TAREAS'!AI50/'EDT Y TAREAS'!M50,0),IF(AND(170&gt;='EDT Y TAREAS'!AK52,170&lt;'EDT Y TAREAS'!AL52),'EDT Y TAREAS'!AI52/'EDT Y TAREAS'!M52,0))</x:f>
        <x:v>0</x:v>
      </x:c>
      <x:c r="H210" s="35" t="n">
        <x:f>SUM(IF(AND(170&gt;='EDT Y TAREAS'!AK11,170&lt;'EDT Y TAREAS'!AL11),'EDT Y TAREAS'!AJ11/'EDT Y TAREAS'!M11,0),IF(AND(170&gt;='EDT Y TAREAS'!AK24,170&lt;'EDT Y TAREAS'!AL24),'EDT Y TAREAS'!AJ24/'EDT Y TAREAS'!M24,0),IF(AND(170&gt;='EDT Y TAREAS'!AK27,170&lt;'EDT Y TAREAS'!AL27),'EDT Y TAREAS'!AJ27/'EDT Y TAREAS'!M27,0),IF(AND(170&gt;='EDT Y TAREAS'!AK28,170&lt;'EDT Y TAREAS'!AL28),'EDT Y TAREAS'!AJ28/'EDT Y TAREAS'!M28,0),IF(AND(170&gt;='EDT Y TAREAS'!AK33,170&lt;'EDT Y TAREAS'!AL33),'EDT Y TAREAS'!AJ33/'EDT Y TAREAS'!M33,0),IF(AND(170&gt;='EDT Y TAREAS'!AK35,170&lt;'EDT Y TAREAS'!AL35),'EDT Y TAREAS'!AJ35/'EDT Y TAREAS'!M35,0),IF(AND(170&gt;='EDT Y TAREAS'!AK36,170&lt;'EDT Y TAREAS'!AL36),'EDT Y TAREAS'!AJ36/'EDT Y TAREAS'!M36,0),IF(AND(170&gt;='EDT Y TAREAS'!AK37,170&lt;'EDT Y TAREAS'!AL37),'EDT Y TAREAS'!AJ37/'EDT Y TAREAS'!M37,0),IF(AND(170&gt;='EDT Y TAREAS'!AK40,170&lt;'EDT Y TAREAS'!AL40),'EDT Y TAREAS'!AJ40/'EDT Y TAREAS'!M40,0),IF(AND(170&gt;='EDT Y TAREAS'!AK42,170&lt;'EDT Y TAREAS'!AL42),'EDT Y TAREAS'!AJ42/'EDT Y TAREAS'!M42,0),IF(AND(170&gt;='EDT Y TAREAS'!AK49,170&lt;'EDT Y TAREAS'!AL49),'EDT Y TAREAS'!AJ49/'EDT Y TAREAS'!M49,0),IF(AND(170&gt;='EDT Y TAREAS'!AK50,170&lt;'EDT Y TAREAS'!AL50),'EDT Y TAREAS'!AJ50/'EDT Y TAREAS'!M50,0),IF(AND(170&gt;='EDT Y TAREAS'!AK51,170&lt;'EDT Y TAREAS'!AL51),'EDT Y TAREAS'!AJ51/'EDT Y TAREAS'!M51,0),IF(AND(170&gt;='EDT Y TAREAS'!AK52,170&lt;'EDT Y TAREAS'!AL52),'EDT Y TAREAS'!AJ52/'EDT Y TAREAS'!M52,0))</x:f>
        <x:v>0</x:v>
      </x:c>
      <x:c r="I210" s="10" t="n">
        <x:f>WORKDAY('RESUMEN'!$D$3-1,A210,'RESUMEN'!$J$6:$J$25)</x:f>
        <x:v>46566</x:v>
      </x:c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  <x:c r="AL210" s="3"/>
      <x:c r="AM210" s="3"/>
      <x:c r="AN210" s="3"/>
      <x:c r="AO210" s="3"/>
    </x:row>
    <x:row r="211" ht="24" customHeight="1">
      <x:c r="A211" s="3" t="n">
        <x:v>172</x:v>
      </x:c>
      <x:c r="B211" s="35" t="n">
        <x:f>SUM(IF(AND(171&gt;='EDT Y TAREAS'!AK6,171&lt;'EDT Y TAREAS'!AL6),'EDT Y TAREAS'!AD6/'EDT Y TAREAS'!M6,0),IF(AND(171&gt;='EDT Y TAREAS'!AK7,171&lt;'EDT Y TAREAS'!AL7),'EDT Y TAREAS'!AD7/'EDT Y TAREAS'!M7,0),IF(AND(171&gt;='EDT Y TAREAS'!AK8,171&lt;'EDT Y TAREAS'!AL8),'EDT Y TAREAS'!AD8/'EDT Y TAREAS'!M8,0),IF(AND(171&gt;='EDT Y TAREAS'!AK9,171&lt;'EDT Y TAREAS'!AL9),'EDT Y TAREAS'!AD9/'EDT Y TAREAS'!M9,0),IF(AND(171&gt;='EDT Y TAREAS'!AK10,171&lt;'EDT Y TAREAS'!AL10),'EDT Y TAREAS'!AD10/'EDT Y TAREAS'!M10,0),IF(AND(171&gt;='EDT Y TAREAS'!AK11,171&lt;'EDT Y TAREAS'!AL11),'EDT Y TAREAS'!AD11/'EDT Y TAREAS'!M11,0),IF(AND(171&gt;='EDT Y TAREAS'!AK12,171&lt;'EDT Y TAREAS'!AL12),'EDT Y TAREAS'!AD12/'EDT Y TAREAS'!M12,0),IF(AND(171&gt;='EDT Y TAREAS'!AK13,171&lt;'EDT Y TAREAS'!AL13),'EDT Y TAREAS'!AD13/'EDT Y TAREAS'!M13,0),IF(AND(171&gt;='EDT Y TAREAS'!AK14,171&lt;'EDT Y TAREAS'!AL14),'EDT Y TAREAS'!AD14/'EDT Y TAREAS'!M14,0),IF(AND(171&gt;='EDT Y TAREAS'!AK15,171&lt;'EDT Y TAREAS'!AL15),'EDT Y TAREAS'!AD15/'EDT Y TAREAS'!M15,0),IF(AND(171&gt;='EDT Y TAREAS'!AK16,171&lt;'EDT Y TAREAS'!AL16),'EDT Y TAREAS'!AD16/'EDT Y TAREAS'!M16,0),IF(AND(171&gt;='EDT Y TAREAS'!AK17,171&lt;'EDT Y TAREAS'!AL17),'EDT Y TAREAS'!AD17/'EDT Y TAREAS'!M17,0),IF(AND(171&gt;='EDT Y TAREAS'!AK18,171&lt;'EDT Y TAREAS'!AL18),'EDT Y TAREAS'!AD18/'EDT Y TAREAS'!M18,0),IF(AND(171&gt;='EDT Y TAREAS'!AK19,171&lt;'EDT Y TAREAS'!AL19),'EDT Y TAREAS'!AD19/'EDT Y TAREAS'!M19,0),IF(AND(171&gt;='EDT Y TAREAS'!AK20,171&lt;'EDT Y TAREAS'!AL20),'EDT Y TAREAS'!AD20/'EDT Y TAREAS'!M20,0),IF(AND(171&gt;='EDT Y TAREAS'!AK21,171&lt;'EDT Y TAREAS'!AL21),'EDT Y TAREAS'!AD21/'EDT Y TAREAS'!M21,0),IF(AND(171&gt;='EDT Y TAREAS'!AK22,171&lt;'EDT Y TAREAS'!AL22),'EDT Y TAREAS'!AD22/'EDT Y TAREAS'!M22,0),IF(AND(171&gt;='EDT Y TAREAS'!AK23,171&lt;'EDT Y TAREAS'!AL23),'EDT Y TAREAS'!AD23/'EDT Y TAREAS'!M23,0),IF(AND(171&gt;='EDT Y TAREAS'!AK26,171&lt;'EDT Y TAREAS'!AL26),'EDT Y TAREAS'!AD26/'EDT Y TAREAS'!M26,0),IF(AND(171&gt;='EDT Y TAREAS'!AK28,171&lt;'EDT Y TAREAS'!AL28),'EDT Y TAREAS'!AD28/'EDT Y TAREAS'!M28,0),IF(AND(171&gt;='EDT Y TAREAS'!AK30,171&lt;'EDT Y TAREAS'!AL30),'EDT Y TAREAS'!AD30/'EDT Y TAREAS'!M30,0),IF(AND(171&gt;='EDT Y TAREAS'!AK32,171&lt;'EDT Y TAREAS'!AL32),'EDT Y TAREAS'!AD32/'EDT Y TAREAS'!M32,0),IF(AND(171&gt;='EDT Y TAREAS'!AK34,171&lt;'EDT Y TAREAS'!AL34),'EDT Y TAREAS'!AD34/'EDT Y TAREAS'!M34,0),IF(AND(171&gt;='EDT Y TAREAS'!AK38,171&lt;'EDT Y TAREAS'!AL38),'EDT Y TAREAS'!AD38/'EDT Y TAREAS'!M38,0),IF(AND(171&gt;='EDT Y TAREAS'!AK39,171&lt;'EDT Y TAREAS'!AL39),'EDT Y TAREAS'!AD39/'EDT Y TAREAS'!M39,0),IF(AND(171&gt;='EDT Y TAREAS'!AK43,171&lt;'EDT Y TAREAS'!AL43),'EDT Y TAREAS'!AD43/'EDT Y TAREAS'!M43,0),IF(AND(171&gt;='EDT Y TAREAS'!AK44,171&lt;'EDT Y TAREAS'!AL44),'EDT Y TAREAS'!AD44/'EDT Y TAREAS'!M44,0),IF(AND(171&gt;='EDT Y TAREAS'!AK45,171&lt;'EDT Y TAREAS'!AL45),'EDT Y TAREAS'!AD45/'EDT Y TAREAS'!M45,0),IF(AND(171&gt;='EDT Y TAREAS'!AK46,171&lt;'EDT Y TAREAS'!AL46),'EDT Y TAREAS'!AD46/'EDT Y TAREAS'!M46,0),IF(AND(171&gt;='EDT Y TAREAS'!AK47,171&lt;'EDT Y TAREAS'!AL47),'EDT Y TAREAS'!AD47/'EDT Y TAREAS'!M47,0),IF(AND(171&gt;='EDT Y TAREAS'!AK49,171&lt;'EDT Y TAREAS'!AL49),'EDT Y TAREAS'!AD49/'EDT Y TAREAS'!M49,0),IF(AND(171&gt;='EDT Y TAREAS'!AK50,171&lt;'EDT Y TAREAS'!AL50),'EDT Y TAREAS'!AD50/'EDT Y TAREAS'!M50,0),IF(AND(171&gt;='EDT Y TAREAS'!AK51,171&lt;'EDT Y TAREAS'!AL51),'EDT Y TAREAS'!AD51/'EDT Y TAREAS'!M51,0),IF(AND(171&gt;='EDT Y TAREAS'!AK52,171&lt;'EDT Y TAREAS'!AL52),'EDT Y TAREAS'!AD52/'EDT Y TAREAS'!M52,0))</x:f>
        <x:v>0</x:v>
      </x:c>
      <x:c r="C211" s="35" t="n">
        <x:f>SUM(IF(AND(171&gt;='EDT Y TAREAS'!AK6,171&lt;'EDT Y TAREAS'!AL6),'EDT Y TAREAS'!AE6/'EDT Y TAREAS'!M6,0),IF(AND(171&gt;='EDT Y TAREAS'!AK8,171&lt;'EDT Y TAREAS'!AL8),'EDT Y TAREAS'!AE8/'EDT Y TAREAS'!M8,0),IF(AND(171&gt;='EDT Y TAREAS'!AK9,171&lt;'EDT Y TAREAS'!AL9),'EDT Y TAREAS'!AE9/'EDT Y TAREAS'!M9,0),IF(AND(171&gt;='EDT Y TAREAS'!AK10,171&lt;'EDT Y TAREAS'!AL10),'EDT Y TAREAS'!AE10/'EDT Y TAREAS'!M10,0),IF(AND(171&gt;='EDT Y TAREAS'!AK12,171&lt;'EDT Y TAREAS'!AL12),'EDT Y TAREAS'!AE12/'EDT Y TAREAS'!M12,0),IF(AND(171&gt;='EDT Y TAREAS'!AK16,171&lt;'EDT Y TAREAS'!AL16),'EDT Y TAREAS'!AE16/'EDT Y TAREAS'!M16,0),IF(AND(171&gt;='EDT Y TAREAS'!AK21,171&lt;'EDT Y TAREAS'!AL21),'EDT Y TAREAS'!AE21/'EDT Y TAREAS'!M21,0),IF(AND(171&gt;='EDT Y TAREAS'!AK23,171&lt;'EDT Y TAREAS'!AL23),'EDT Y TAREAS'!AE23/'EDT Y TAREAS'!M23,0),IF(AND(171&gt;='EDT Y TAREAS'!AK37,171&lt;'EDT Y TAREAS'!AL37),'EDT Y TAREAS'!AE37/'EDT Y TAREAS'!M37,0),IF(AND(171&gt;='EDT Y TAREAS'!AK38,171&lt;'EDT Y TAREAS'!AL38),'EDT Y TAREAS'!AE38/'EDT Y TAREAS'!M38,0),IF(AND(171&gt;='EDT Y TAREAS'!AK41,171&lt;'EDT Y TAREAS'!AL41),'EDT Y TAREAS'!AE41/'EDT Y TAREAS'!M41,0),IF(AND(171&gt;='EDT Y TAREAS'!AK43,171&lt;'EDT Y TAREAS'!AL43),'EDT Y TAREAS'!AE43/'EDT Y TAREAS'!M43,0),IF(AND(171&gt;='EDT Y TAREAS'!AK44,171&lt;'EDT Y TAREAS'!AL44),'EDT Y TAREAS'!AE44/'EDT Y TAREAS'!M44,0),IF(AND(171&gt;='EDT Y TAREAS'!AK46,171&lt;'EDT Y TAREAS'!AL46),'EDT Y TAREAS'!AE46/'EDT Y TAREAS'!M46,0),IF(AND(171&gt;='EDT Y TAREAS'!AK47,171&lt;'EDT Y TAREAS'!AL47),'EDT Y TAREAS'!AE47/'EDT Y TAREAS'!M47,0),IF(AND(171&gt;='EDT Y TAREAS'!AK51,171&lt;'EDT Y TAREAS'!AL51),'EDT Y TAREAS'!AE51/'EDT Y TAREAS'!M51,0),IF(AND(171&gt;='EDT Y TAREAS'!AK52,171&lt;'EDT Y TAREAS'!AL52),'EDT Y TAREAS'!AE52/'EDT Y TAREAS'!M52,0))</x:f>
        <x:v>0</x:v>
      </x:c>
      <x:c r="D211" s="35" t="n">
        <x:f>SUM(IF(AND(171&gt;='EDT Y TAREAS'!AK11,171&lt;'EDT Y TAREAS'!AL11),'EDT Y TAREAS'!AF11/'EDT Y TAREAS'!M11,0),IF(AND(171&gt;='EDT Y TAREAS'!AK24,171&lt;'EDT Y TAREAS'!AL24),'EDT Y TAREAS'!AF24/'EDT Y TAREAS'!M24,0),IF(AND(171&gt;='EDT Y TAREAS'!AK25,171&lt;'EDT Y TAREAS'!AL25),'EDT Y TAREAS'!AF25/'EDT Y TAREAS'!M25,0),IF(AND(171&gt;='EDT Y TAREAS'!AK26,171&lt;'EDT Y TAREAS'!AL26),'EDT Y TAREAS'!AF26/'EDT Y TAREAS'!M26,0),IF(AND(171&gt;='EDT Y TAREAS'!AK27,171&lt;'EDT Y TAREAS'!AL27),'EDT Y TAREAS'!AF27/'EDT Y TAREAS'!M27,0),IF(AND(171&gt;='EDT Y TAREAS'!AK28,171&lt;'EDT Y TAREAS'!AL28),'EDT Y TAREAS'!AF28/'EDT Y TAREAS'!M28,0),IF(AND(171&gt;='EDT Y TAREAS'!AK31,171&lt;'EDT Y TAREAS'!AL31),'EDT Y TAREAS'!AF31/'EDT Y TAREAS'!M31,0),IF(AND(171&gt;='EDT Y TAREAS'!AK33,171&lt;'EDT Y TAREAS'!AL33),'EDT Y TAREAS'!AF33/'EDT Y TAREAS'!M33,0),IF(AND(171&gt;='EDT Y TAREAS'!AK34,171&lt;'EDT Y TAREAS'!AL34),'EDT Y TAREAS'!AF34/'EDT Y TAREAS'!M34,0),IF(AND(171&gt;='EDT Y TAREAS'!AK35,171&lt;'EDT Y TAREAS'!AL35),'EDT Y TAREAS'!AF35/'EDT Y TAREAS'!M35,0),IF(AND(171&gt;='EDT Y TAREAS'!AK37,171&lt;'EDT Y TAREAS'!AL37),'EDT Y TAREAS'!AF37/'EDT Y TAREAS'!M37,0),IF(AND(171&gt;='EDT Y TAREAS'!AK39,171&lt;'EDT Y TAREAS'!AL39),'EDT Y TAREAS'!AF39/'EDT Y TAREAS'!M39,0),IF(AND(171&gt;='EDT Y TAREAS'!AK40,171&lt;'EDT Y TAREAS'!AL40),'EDT Y TAREAS'!AF40/'EDT Y TAREAS'!M40,0),IF(AND(171&gt;='EDT Y TAREAS'!AK42,171&lt;'EDT Y TAREAS'!AL42),'EDT Y TAREAS'!AF42/'EDT Y TAREAS'!M42,0),IF(AND(171&gt;='EDT Y TAREAS'!AK45,171&lt;'EDT Y TAREAS'!AL45),'EDT Y TAREAS'!AF45/'EDT Y TAREAS'!M45,0),IF(AND(171&gt;='EDT Y TAREAS'!AK49,171&lt;'EDT Y TAREAS'!AL49),'EDT Y TAREAS'!AF49/'EDT Y TAREAS'!M49,0),IF(AND(171&gt;='EDT Y TAREAS'!AK52,171&lt;'EDT Y TAREAS'!AL52),'EDT Y TAREAS'!AF52/'EDT Y TAREAS'!M52,0))</x:f>
        <x:v>0</x:v>
      </x:c>
      <x:c r="E211" s="35" t="n">
        <x:f>SUM(IF(AND(171&gt;='EDT Y TAREAS'!AK29,171&lt;'EDT Y TAREAS'!AL29),'EDT Y TAREAS'!AG29/'EDT Y TAREAS'!M29,0),IF(AND(171&gt;='EDT Y TAREAS'!AK30,171&lt;'EDT Y TAREAS'!AL30),'EDT Y TAREAS'!AG30/'EDT Y TAREAS'!M30,0),IF(AND(171&gt;='EDT Y TAREAS'!AK31,171&lt;'EDT Y TAREAS'!AL31),'EDT Y TAREAS'!AG31/'EDT Y TAREAS'!M31,0),IF(AND(171&gt;='EDT Y TAREAS'!AK32,171&lt;'EDT Y TAREAS'!AL32),'EDT Y TAREAS'!AG32/'EDT Y TAREAS'!M32,0),IF(AND(171&gt;='EDT Y TAREAS'!AK41,171&lt;'EDT Y TAREAS'!AL41),'EDT Y TAREAS'!AG41/'EDT Y TAREAS'!M41,0),IF(AND(171&gt;='EDT Y TAREAS'!AK45,171&lt;'EDT Y TAREAS'!AL45),'EDT Y TAREAS'!AG45/'EDT Y TAREAS'!M45,0),IF(AND(171&gt;='EDT Y TAREAS'!AK48,171&lt;'EDT Y TAREAS'!AL48),'EDT Y TAREAS'!AG48/'EDT Y TAREAS'!M48,0))</x:f>
        <x:v>0</x:v>
      </x:c>
      <x:c r="F211" s="35" t="n">
        <x:f>SUM(IF(AND(171&gt;='EDT Y TAREAS'!AK10,171&lt;'EDT Y TAREAS'!AL10),'EDT Y TAREAS'!AH10/'EDT Y TAREAS'!M10,0),IF(AND(171&gt;='EDT Y TAREAS'!AK12,171&lt;'EDT Y TAREAS'!AL12),'EDT Y TAREAS'!AH12/'EDT Y TAREAS'!M12,0),IF(AND(171&gt;='EDT Y TAREAS'!AK22,171&lt;'EDT Y TAREAS'!AL22),'EDT Y TAREAS'!AH22/'EDT Y TAREAS'!M22,0),IF(AND(171&gt;='EDT Y TAREAS'!AK23,171&lt;'EDT Y TAREAS'!AL23),'EDT Y TAREAS'!AH23/'EDT Y TAREAS'!M23,0),IF(AND(171&gt;='EDT Y TAREAS'!AK29,171&lt;'EDT Y TAREAS'!AL29),'EDT Y TAREAS'!AH29/'EDT Y TAREAS'!M29,0),IF(AND(171&gt;='EDT Y TAREAS'!AK30,171&lt;'EDT Y TAREAS'!AL30),'EDT Y TAREAS'!AH30/'EDT Y TAREAS'!M30,0),IF(AND(171&gt;='EDT Y TAREAS'!AK32,171&lt;'EDT Y TAREAS'!AL32),'EDT Y TAREAS'!AH32/'EDT Y TAREAS'!M32,0),IF(AND(171&gt;='EDT Y TAREAS'!AK41,171&lt;'EDT Y TAREAS'!AL41),'EDT Y TAREAS'!AH41/'EDT Y TAREAS'!M41,0),IF(AND(171&gt;='EDT Y TAREAS'!AK44,171&lt;'EDT Y TAREAS'!AL44),'EDT Y TAREAS'!AH44/'EDT Y TAREAS'!M44,0),IF(AND(171&gt;='EDT Y TAREAS'!AK46,171&lt;'EDT Y TAREAS'!AL46),'EDT Y TAREAS'!AH46/'EDT Y TAREAS'!M46,0),IF(AND(171&gt;='EDT Y TAREAS'!AK48,171&lt;'EDT Y TAREAS'!AL48),'EDT Y TAREAS'!AH48/'EDT Y TAREAS'!M48,0))</x:f>
        <x:v>0</x:v>
      </x:c>
      <x:c r="G211" s="35" t="n">
        <x:f>SUM(IF(AND(171&gt;='EDT Y TAREAS'!AK20,171&lt;'EDT Y TAREAS'!AL20),'EDT Y TAREAS'!AI20/'EDT Y TAREAS'!M20,0),IF(AND(171&gt;='EDT Y TAREAS'!AK25,171&lt;'EDT Y TAREAS'!AL25),'EDT Y TAREAS'!AI25/'EDT Y TAREAS'!M25,0),IF(AND(171&gt;='EDT Y TAREAS'!AK33,171&lt;'EDT Y TAREAS'!AL33),'EDT Y TAREAS'!AI33/'EDT Y TAREAS'!M33,0),IF(AND(171&gt;='EDT Y TAREAS'!AK34,171&lt;'EDT Y TAREAS'!AL34),'EDT Y TAREAS'!AI34/'EDT Y TAREAS'!M34,0),IF(AND(171&gt;='EDT Y TAREAS'!AK36,171&lt;'EDT Y TAREAS'!AL36),'EDT Y TAREAS'!AI36/'EDT Y TAREAS'!M36,0),IF(AND(171&gt;='EDT Y TAREAS'!AK39,171&lt;'EDT Y TAREAS'!AL39),'EDT Y TAREAS'!AI39/'EDT Y TAREAS'!M39,0),IF(AND(171&gt;='EDT Y TAREAS'!AK40,171&lt;'EDT Y TAREAS'!AL40),'EDT Y TAREAS'!AI40/'EDT Y TAREAS'!M40,0),IF(AND(171&gt;='EDT Y TAREAS'!AK42,171&lt;'EDT Y TAREAS'!AL42),'EDT Y TAREAS'!AI42/'EDT Y TAREAS'!M42,0),IF(AND(171&gt;='EDT Y TAREAS'!AK43,171&lt;'EDT Y TAREAS'!AL43),'EDT Y TAREAS'!AI43/'EDT Y TAREAS'!M43,0),IF(AND(171&gt;='EDT Y TAREAS'!AK44,171&lt;'EDT Y TAREAS'!AL44),'EDT Y TAREAS'!AI44/'EDT Y TAREAS'!M44,0),IF(AND(171&gt;='EDT Y TAREAS'!AK45,171&lt;'EDT Y TAREAS'!AL45),'EDT Y TAREAS'!AI45/'EDT Y TAREAS'!M45,0),IF(AND(171&gt;='EDT Y TAREAS'!AK46,171&lt;'EDT Y TAREAS'!AL46),'EDT Y TAREAS'!AI46/'EDT Y TAREAS'!M46,0),IF(AND(171&gt;='EDT Y TAREAS'!AK48,171&lt;'EDT Y TAREAS'!AL48),'EDT Y TAREAS'!AI48/'EDT Y TAREAS'!M48,0),IF(AND(171&gt;='EDT Y TAREAS'!AK50,171&lt;'EDT Y TAREAS'!AL50),'EDT Y TAREAS'!AI50/'EDT Y TAREAS'!M50,0),IF(AND(171&gt;='EDT Y TAREAS'!AK52,171&lt;'EDT Y TAREAS'!AL52),'EDT Y TAREAS'!AI52/'EDT Y TAREAS'!M52,0))</x:f>
        <x:v>0</x:v>
      </x:c>
      <x:c r="H211" s="35" t="n">
        <x:f>SUM(IF(AND(171&gt;='EDT Y TAREAS'!AK11,171&lt;'EDT Y TAREAS'!AL11),'EDT Y TAREAS'!AJ11/'EDT Y TAREAS'!M11,0),IF(AND(171&gt;='EDT Y TAREAS'!AK24,171&lt;'EDT Y TAREAS'!AL24),'EDT Y TAREAS'!AJ24/'EDT Y TAREAS'!M24,0),IF(AND(171&gt;='EDT Y TAREAS'!AK27,171&lt;'EDT Y TAREAS'!AL27),'EDT Y TAREAS'!AJ27/'EDT Y TAREAS'!M27,0),IF(AND(171&gt;='EDT Y TAREAS'!AK28,171&lt;'EDT Y TAREAS'!AL28),'EDT Y TAREAS'!AJ28/'EDT Y TAREAS'!M28,0),IF(AND(171&gt;='EDT Y TAREAS'!AK33,171&lt;'EDT Y TAREAS'!AL33),'EDT Y TAREAS'!AJ33/'EDT Y TAREAS'!M33,0),IF(AND(171&gt;='EDT Y TAREAS'!AK35,171&lt;'EDT Y TAREAS'!AL35),'EDT Y TAREAS'!AJ35/'EDT Y TAREAS'!M35,0),IF(AND(171&gt;='EDT Y TAREAS'!AK36,171&lt;'EDT Y TAREAS'!AL36),'EDT Y TAREAS'!AJ36/'EDT Y TAREAS'!M36,0),IF(AND(171&gt;='EDT Y TAREAS'!AK37,171&lt;'EDT Y TAREAS'!AL37),'EDT Y TAREAS'!AJ37/'EDT Y TAREAS'!M37,0),IF(AND(171&gt;='EDT Y TAREAS'!AK40,171&lt;'EDT Y TAREAS'!AL40),'EDT Y TAREAS'!AJ40/'EDT Y TAREAS'!M40,0),IF(AND(171&gt;='EDT Y TAREAS'!AK42,171&lt;'EDT Y TAREAS'!AL42),'EDT Y TAREAS'!AJ42/'EDT Y TAREAS'!M42,0),IF(AND(171&gt;='EDT Y TAREAS'!AK49,171&lt;'EDT Y TAREAS'!AL49),'EDT Y TAREAS'!AJ49/'EDT Y TAREAS'!M49,0),IF(AND(171&gt;='EDT Y TAREAS'!AK50,171&lt;'EDT Y TAREAS'!AL50),'EDT Y TAREAS'!AJ50/'EDT Y TAREAS'!M50,0),IF(AND(171&gt;='EDT Y TAREAS'!AK51,171&lt;'EDT Y TAREAS'!AL51),'EDT Y TAREAS'!AJ51/'EDT Y TAREAS'!M51,0),IF(AND(171&gt;='EDT Y TAREAS'!AK52,171&lt;'EDT Y TAREAS'!AL52),'EDT Y TAREAS'!AJ52/'EDT Y TAREAS'!M52,0))</x:f>
        <x:v>0</x:v>
      </x:c>
      <x:c r="I211" s="10" t="n">
        <x:f>WORKDAY('RESUMEN'!$D$3-1,A211,'RESUMEN'!$J$6:$J$25)</x:f>
        <x:v>46567</x:v>
      </x:c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  <x:c r="AL211" s="3"/>
      <x:c r="AM211" s="3"/>
      <x:c r="AN211" s="3"/>
      <x:c r="AO211" s="3"/>
    </x:row>
    <x:row r="212" ht="24" customHeight="1">
      <x:c r="A212" s="3" t="n">
        <x:v>173</x:v>
      </x:c>
      <x:c r="B212" s="35" t="n">
        <x:f>SUM(IF(AND(172&gt;='EDT Y TAREAS'!AK6,172&lt;'EDT Y TAREAS'!AL6),'EDT Y TAREAS'!AD6/'EDT Y TAREAS'!M6,0),IF(AND(172&gt;='EDT Y TAREAS'!AK7,172&lt;'EDT Y TAREAS'!AL7),'EDT Y TAREAS'!AD7/'EDT Y TAREAS'!M7,0),IF(AND(172&gt;='EDT Y TAREAS'!AK8,172&lt;'EDT Y TAREAS'!AL8),'EDT Y TAREAS'!AD8/'EDT Y TAREAS'!M8,0),IF(AND(172&gt;='EDT Y TAREAS'!AK9,172&lt;'EDT Y TAREAS'!AL9),'EDT Y TAREAS'!AD9/'EDT Y TAREAS'!M9,0),IF(AND(172&gt;='EDT Y TAREAS'!AK10,172&lt;'EDT Y TAREAS'!AL10),'EDT Y TAREAS'!AD10/'EDT Y TAREAS'!M10,0),IF(AND(172&gt;='EDT Y TAREAS'!AK11,172&lt;'EDT Y TAREAS'!AL11),'EDT Y TAREAS'!AD11/'EDT Y TAREAS'!M11,0),IF(AND(172&gt;='EDT Y TAREAS'!AK12,172&lt;'EDT Y TAREAS'!AL12),'EDT Y TAREAS'!AD12/'EDT Y TAREAS'!M12,0),IF(AND(172&gt;='EDT Y TAREAS'!AK13,172&lt;'EDT Y TAREAS'!AL13),'EDT Y TAREAS'!AD13/'EDT Y TAREAS'!M13,0),IF(AND(172&gt;='EDT Y TAREAS'!AK14,172&lt;'EDT Y TAREAS'!AL14),'EDT Y TAREAS'!AD14/'EDT Y TAREAS'!M14,0),IF(AND(172&gt;='EDT Y TAREAS'!AK15,172&lt;'EDT Y TAREAS'!AL15),'EDT Y TAREAS'!AD15/'EDT Y TAREAS'!M15,0),IF(AND(172&gt;='EDT Y TAREAS'!AK16,172&lt;'EDT Y TAREAS'!AL16),'EDT Y TAREAS'!AD16/'EDT Y TAREAS'!M16,0),IF(AND(172&gt;='EDT Y TAREAS'!AK17,172&lt;'EDT Y TAREAS'!AL17),'EDT Y TAREAS'!AD17/'EDT Y TAREAS'!M17,0),IF(AND(172&gt;='EDT Y TAREAS'!AK18,172&lt;'EDT Y TAREAS'!AL18),'EDT Y TAREAS'!AD18/'EDT Y TAREAS'!M18,0),IF(AND(172&gt;='EDT Y TAREAS'!AK19,172&lt;'EDT Y TAREAS'!AL19),'EDT Y TAREAS'!AD19/'EDT Y TAREAS'!M19,0),IF(AND(172&gt;='EDT Y TAREAS'!AK20,172&lt;'EDT Y TAREAS'!AL20),'EDT Y TAREAS'!AD20/'EDT Y TAREAS'!M20,0),IF(AND(172&gt;='EDT Y TAREAS'!AK21,172&lt;'EDT Y TAREAS'!AL21),'EDT Y TAREAS'!AD21/'EDT Y TAREAS'!M21,0),IF(AND(172&gt;='EDT Y TAREAS'!AK22,172&lt;'EDT Y TAREAS'!AL22),'EDT Y TAREAS'!AD22/'EDT Y TAREAS'!M22,0),IF(AND(172&gt;='EDT Y TAREAS'!AK23,172&lt;'EDT Y TAREAS'!AL23),'EDT Y TAREAS'!AD23/'EDT Y TAREAS'!M23,0),IF(AND(172&gt;='EDT Y TAREAS'!AK26,172&lt;'EDT Y TAREAS'!AL26),'EDT Y TAREAS'!AD26/'EDT Y TAREAS'!M26,0),IF(AND(172&gt;='EDT Y TAREAS'!AK28,172&lt;'EDT Y TAREAS'!AL28),'EDT Y TAREAS'!AD28/'EDT Y TAREAS'!M28,0),IF(AND(172&gt;='EDT Y TAREAS'!AK30,172&lt;'EDT Y TAREAS'!AL30),'EDT Y TAREAS'!AD30/'EDT Y TAREAS'!M30,0),IF(AND(172&gt;='EDT Y TAREAS'!AK32,172&lt;'EDT Y TAREAS'!AL32),'EDT Y TAREAS'!AD32/'EDT Y TAREAS'!M32,0),IF(AND(172&gt;='EDT Y TAREAS'!AK34,172&lt;'EDT Y TAREAS'!AL34),'EDT Y TAREAS'!AD34/'EDT Y TAREAS'!M34,0),IF(AND(172&gt;='EDT Y TAREAS'!AK38,172&lt;'EDT Y TAREAS'!AL38),'EDT Y TAREAS'!AD38/'EDT Y TAREAS'!M38,0),IF(AND(172&gt;='EDT Y TAREAS'!AK39,172&lt;'EDT Y TAREAS'!AL39),'EDT Y TAREAS'!AD39/'EDT Y TAREAS'!M39,0),IF(AND(172&gt;='EDT Y TAREAS'!AK43,172&lt;'EDT Y TAREAS'!AL43),'EDT Y TAREAS'!AD43/'EDT Y TAREAS'!M43,0),IF(AND(172&gt;='EDT Y TAREAS'!AK44,172&lt;'EDT Y TAREAS'!AL44),'EDT Y TAREAS'!AD44/'EDT Y TAREAS'!M44,0),IF(AND(172&gt;='EDT Y TAREAS'!AK45,172&lt;'EDT Y TAREAS'!AL45),'EDT Y TAREAS'!AD45/'EDT Y TAREAS'!M45,0),IF(AND(172&gt;='EDT Y TAREAS'!AK46,172&lt;'EDT Y TAREAS'!AL46),'EDT Y TAREAS'!AD46/'EDT Y TAREAS'!M46,0),IF(AND(172&gt;='EDT Y TAREAS'!AK47,172&lt;'EDT Y TAREAS'!AL47),'EDT Y TAREAS'!AD47/'EDT Y TAREAS'!M47,0),IF(AND(172&gt;='EDT Y TAREAS'!AK49,172&lt;'EDT Y TAREAS'!AL49),'EDT Y TAREAS'!AD49/'EDT Y TAREAS'!M49,0),IF(AND(172&gt;='EDT Y TAREAS'!AK50,172&lt;'EDT Y TAREAS'!AL50),'EDT Y TAREAS'!AD50/'EDT Y TAREAS'!M50,0),IF(AND(172&gt;='EDT Y TAREAS'!AK51,172&lt;'EDT Y TAREAS'!AL51),'EDT Y TAREAS'!AD51/'EDT Y TAREAS'!M51,0),IF(AND(172&gt;='EDT Y TAREAS'!AK52,172&lt;'EDT Y TAREAS'!AL52),'EDT Y TAREAS'!AD52/'EDT Y TAREAS'!M52,0))</x:f>
        <x:v>0</x:v>
      </x:c>
      <x:c r="C212" s="35" t="n">
        <x:f>SUM(IF(AND(172&gt;='EDT Y TAREAS'!AK6,172&lt;'EDT Y TAREAS'!AL6),'EDT Y TAREAS'!AE6/'EDT Y TAREAS'!M6,0),IF(AND(172&gt;='EDT Y TAREAS'!AK8,172&lt;'EDT Y TAREAS'!AL8),'EDT Y TAREAS'!AE8/'EDT Y TAREAS'!M8,0),IF(AND(172&gt;='EDT Y TAREAS'!AK9,172&lt;'EDT Y TAREAS'!AL9),'EDT Y TAREAS'!AE9/'EDT Y TAREAS'!M9,0),IF(AND(172&gt;='EDT Y TAREAS'!AK10,172&lt;'EDT Y TAREAS'!AL10),'EDT Y TAREAS'!AE10/'EDT Y TAREAS'!M10,0),IF(AND(172&gt;='EDT Y TAREAS'!AK12,172&lt;'EDT Y TAREAS'!AL12),'EDT Y TAREAS'!AE12/'EDT Y TAREAS'!M12,0),IF(AND(172&gt;='EDT Y TAREAS'!AK16,172&lt;'EDT Y TAREAS'!AL16),'EDT Y TAREAS'!AE16/'EDT Y TAREAS'!M16,0),IF(AND(172&gt;='EDT Y TAREAS'!AK21,172&lt;'EDT Y TAREAS'!AL21),'EDT Y TAREAS'!AE21/'EDT Y TAREAS'!M21,0),IF(AND(172&gt;='EDT Y TAREAS'!AK23,172&lt;'EDT Y TAREAS'!AL23),'EDT Y TAREAS'!AE23/'EDT Y TAREAS'!M23,0),IF(AND(172&gt;='EDT Y TAREAS'!AK37,172&lt;'EDT Y TAREAS'!AL37),'EDT Y TAREAS'!AE37/'EDT Y TAREAS'!M37,0),IF(AND(172&gt;='EDT Y TAREAS'!AK38,172&lt;'EDT Y TAREAS'!AL38),'EDT Y TAREAS'!AE38/'EDT Y TAREAS'!M38,0),IF(AND(172&gt;='EDT Y TAREAS'!AK41,172&lt;'EDT Y TAREAS'!AL41),'EDT Y TAREAS'!AE41/'EDT Y TAREAS'!M41,0),IF(AND(172&gt;='EDT Y TAREAS'!AK43,172&lt;'EDT Y TAREAS'!AL43),'EDT Y TAREAS'!AE43/'EDT Y TAREAS'!M43,0),IF(AND(172&gt;='EDT Y TAREAS'!AK44,172&lt;'EDT Y TAREAS'!AL44),'EDT Y TAREAS'!AE44/'EDT Y TAREAS'!M44,0),IF(AND(172&gt;='EDT Y TAREAS'!AK46,172&lt;'EDT Y TAREAS'!AL46),'EDT Y TAREAS'!AE46/'EDT Y TAREAS'!M46,0),IF(AND(172&gt;='EDT Y TAREAS'!AK47,172&lt;'EDT Y TAREAS'!AL47),'EDT Y TAREAS'!AE47/'EDT Y TAREAS'!M47,0),IF(AND(172&gt;='EDT Y TAREAS'!AK51,172&lt;'EDT Y TAREAS'!AL51),'EDT Y TAREAS'!AE51/'EDT Y TAREAS'!M51,0),IF(AND(172&gt;='EDT Y TAREAS'!AK52,172&lt;'EDT Y TAREAS'!AL52),'EDT Y TAREAS'!AE52/'EDT Y TAREAS'!M52,0))</x:f>
        <x:v>0</x:v>
      </x:c>
      <x:c r="D212" s="35" t="n">
        <x:f>SUM(IF(AND(172&gt;='EDT Y TAREAS'!AK11,172&lt;'EDT Y TAREAS'!AL11),'EDT Y TAREAS'!AF11/'EDT Y TAREAS'!M11,0),IF(AND(172&gt;='EDT Y TAREAS'!AK24,172&lt;'EDT Y TAREAS'!AL24),'EDT Y TAREAS'!AF24/'EDT Y TAREAS'!M24,0),IF(AND(172&gt;='EDT Y TAREAS'!AK25,172&lt;'EDT Y TAREAS'!AL25),'EDT Y TAREAS'!AF25/'EDT Y TAREAS'!M25,0),IF(AND(172&gt;='EDT Y TAREAS'!AK26,172&lt;'EDT Y TAREAS'!AL26),'EDT Y TAREAS'!AF26/'EDT Y TAREAS'!M26,0),IF(AND(172&gt;='EDT Y TAREAS'!AK27,172&lt;'EDT Y TAREAS'!AL27),'EDT Y TAREAS'!AF27/'EDT Y TAREAS'!M27,0),IF(AND(172&gt;='EDT Y TAREAS'!AK28,172&lt;'EDT Y TAREAS'!AL28),'EDT Y TAREAS'!AF28/'EDT Y TAREAS'!M28,0),IF(AND(172&gt;='EDT Y TAREAS'!AK31,172&lt;'EDT Y TAREAS'!AL31),'EDT Y TAREAS'!AF31/'EDT Y TAREAS'!M31,0),IF(AND(172&gt;='EDT Y TAREAS'!AK33,172&lt;'EDT Y TAREAS'!AL33),'EDT Y TAREAS'!AF33/'EDT Y TAREAS'!M33,0),IF(AND(172&gt;='EDT Y TAREAS'!AK34,172&lt;'EDT Y TAREAS'!AL34),'EDT Y TAREAS'!AF34/'EDT Y TAREAS'!M34,0),IF(AND(172&gt;='EDT Y TAREAS'!AK35,172&lt;'EDT Y TAREAS'!AL35),'EDT Y TAREAS'!AF35/'EDT Y TAREAS'!M35,0),IF(AND(172&gt;='EDT Y TAREAS'!AK37,172&lt;'EDT Y TAREAS'!AL37),'EDT Y TAREAS'!AF37/'EDT Y TAREAS'!M37,0),IF(AND(172&gt;='EDT Y TAREAS'!AK39,172&lt;'EDT Y TAREAS'!AL39),'EDT Y TAREAS'!AF39/'EDT Y TAREAS'!M39,0),IF(AND(172&gt;='EDT Y TAREAS'!AK40,172&lt;'EDT Y TAREAS'!AL40),'EDT Y TAREAS'!AF40/'EDT Y TAREAS'!M40,0),IF(AND(172&gt;='EDT Y TAREAS'!AK42,172&lt;'EDT Y TAREAS'!AL42),'EDT Y TAREAS'!AF42/'EDT Y TAREAS'!M42,0),IF(AND(172&gt;='EDT Y TAREAS'!AK45,172&lt;'EDT Y TAREAS'!AL45),'EDT Y TAREAS'!AF45/'EDT Y TAREAS'!M45,0),IF(AND(172&gt;='EDT Y TAREAS'!AK49,172&lt;'EDT Y TAREAS'!AL49),'EDT Y TAREAS'!AF49/'EDT Y TAREAS'!M49,0),IF(AND(172&gt;='EDT Y TAREAS'!AK52,172&lt;'EDT Y TAREAS'!AL52),'EDT Y TAREAS'!AF52/'EDT Y TAREAS'!M52,0))</x:f>
        <x:v>0</x:v>
      </x:c>
      <x:c r="E212" s="35" t="n">
        <x:f>SUM(IF(AND(172&gt;='EDT Y TAREAS'!AK29,172&lt;'EDT Y TAREAS'!AL29),'EDT Y TAREAS'!AG29/'EDT Y TAREAS'!M29,0),IF(AND(172&gt;='EDT Y TAREAS'!AK30,172&lt;'EDT Y TAREAS'!AL30),'EDT Y TAREAS'!AG30/'EDT Y TAREAS'!M30,0),IF(AND(172&gt;='EDT Y TAREAS'!AK31,172&lt;'EDT Y TAREAS'!AL31),'EDT Y TAREAS'!AG31/'EDT Y TAREAS'!M31,0),IF(AND(172&gt;='EDT Y TAREAS'!AK32,172&lt;'EDT Y TAREAS'!AL32),'EDT Y TAREAS'!AG32/'EDT Y TAREAS'!M32,0),IF(AND(172&gt;='EDT Y TAREAS'!AK41,172&lt;'EDT Y TAREAS'!AL41),'EDT Y TAREAS'!AG41/'EDT Y TAREAS'!M41,0),IF(AND(172&gt;='EDT Y TAREAS'!AK45,172&lt;'EDT Y TAREAS'!AL45),'EDT Y TAREAS'!AG45/'EDT Y TAREAS'!M45,0),IF(AND(172&gt;='EDT Y TAREAS'!AK48,172&lt;'EDT Y TAREAS'!AL48),'EDT Y TAREAS'!AG48/'EDT Y TAREAS'!M48,0))</x:f>
        <x:v>0</x:v>
      </x:c>
      <x:c r="F212" s="35" t="n">
        <x:f>SUM(IF(AND(172&gt;='EDT Y TAREAS'!AK10,172&lt;'EDT Y TAREAS'!AL10),'EDT Y TAREAS'!AH10/'EDT Y TAREAS'!M10,0),IF(AND(172&gt;='EDT Y TAREAS'!AK12,172&lt;'EDT Y TAREAS'!AL12),'EDT Y TAREAS'!AH12/'EDT Y TAREAS'!M12,0),IF(AND(172&gt;='EDT Y TAREAS'!AK22,172&lt;'EDT Y TAREAS'!AL22),'EDT Y TAREAS'!AH22/'EDT Y TAREAS'!M22,0),IF(AND(172&gt;='EDT Y TAREAS'!AK23,172&lt;'EDT Y TAREAS'!AL23),'EDT Y TAREAS'!AH23/'EDT Y TAREAS'!M23,0),IF(AND(172&gt;='EDT Y TAREAS'!AK29,172&lt;'EDT Y TAREAS'!AL29),'EDT Y TAREAS'!AH29/'EDT Y TAREAS'!M29,0),IF(AND(172&gt;='EDT Y TAREAS'!AK30,172&lt;'EDT Y TAREAS'!AL30),'EDT Y TAREAS'!AH30/'EDT Y TAREAS'!M30,0),IF(AND(172&gt;='EDT Y TAREAS'!AK32,172&lt;'EDT Y TAREAS'!AL32),'EDT Y TAREAS'!AH32/'EDT Y TAREAS'!M32,0),IF(AND(172&gt;='EDT Y TAREAS'!AK41,172&lt;'EDT Y TAREAS'!AL41),'EDT Y TAREAS'!AH41/'EDT Y TAREAS'!M41,0),IF(AND(172&gt;='EDT Y TAREAS'!AK44,172&lt;'EDT Y TAREAS'!AL44),'EDT Y TAREAS'!AH44/'EDT Y TAREAS'!M44,0),IF(AND(172&gt;='EDT Y TAREAS'!AK46,172&lt;'EDT Y TAREAS'!AL46),'EDT Y TAREAS'!AH46/'EDT Y TAREAS'!M46,0),IF(AND(172&gt;='EDT Y TAREAS'!AK48,172&lt;'EDT Y TAREAS'!AL48),'EDT Y TAREAS'!AH48/'EDT Y TAREAS'!M48,0))</x:f>
        <x:v>0</x:v>
      </x:c>
      <x:c r="G212" s="35" t="n">
        <x:f>SUM(IF(AND(172&gt;='EDT Y TAREAS'!AK20,172&lt;'EDT Y TAREAS'!AL20),'EDT Y TAREAS'!AI20/'EDT Y TAREAS'!M20,0),IF(AND(172&gt;='EDT Y TAREAS'!AK25,172&lt;'EDT Y TAREAS'!AL25),'EDT Y TAREAS'!AI25/'EDT Y TAREAS'!M25,0),IF(AND(172&gt;='EDT Y TAREAS'!AK33,172&lt;'EDT Y TAREAS'!AL33),'EDT Y TAREAS'!AI33/'EDT Y TAREAS'!M33,0),IF(AND(172&gt;='EDT Y TAREAS'!AK34,172&lt;'EDT Y TAREAS'!AL34),'EDT Y TAREAS'!AI34/'EDT Y TAREAS'!M34,0),IF(AND(172&gt;='EDT Y TAREAS'!AK36,172&lt;'EDT Y TAREAS'!AL36),'EDT Y TAREAS'!AI36/'EDT Y TAREAS'!M36,0),IF(AND(172&gt;='EDT Y TAREAS'!AK39,172&lt;'EDT Y TAREAS'!AL39),'EDT Y TAREAS'!AI39/'EDT Y TAREAS'!M39,0),IF(AND(172&gt;='EDT Y TAREAS'!AK40,172&lt;'EDT Y TAREAS'!AL40),'EDT Y TAREAS'!AI40/'EDT Y TAREAS'!M40,0),IF(AND(172&gt;='EDT Y TAREAS'!AK42,172&lt;'EDT Y TAREAS'!AL42),'EDT Y TAREAS'!AI42/'EDT Y TAREAS'!M42,0),IF(AND(172&gt;='EDT Y TAREAS'!AK43,172&lt;'EDT Y TAREAS'!AL43),'EDT Y TAREAS'!AI43/'EDT Y TAREAS'!M43,0),IF(AND(172&gt;='EDT Y TAREAS'!AK44,172&lt;'EDT Y TAREAS'!AL44),'EDT Y TAREAS'!AI44/'EDT Y TAREAS'!M44,0),IF(AND(172&gt;='EDT Y TAREAS'!AK45,172&lt;'EDT Y TAREAS'!AL45),'EDT Y TAREAS'!AI45/'EDT Y TAREAS'!M45,0),IF(AND(172&gt;='EDT Y TAREAS'!AK46,172&lt;'EDT Y TAREAS'!AL46),'EDT Y TAREAS'!AI46/'EDT Y TAREAS'!M46,0),IF(AND(172&gt;='EDT Y TAREAS'!AK48,172&lt;'EDT Y TAREAS'!AL48),'EDT Y TAREAS'!AI48/'EDT Y TAREAS'!M48,0),IF(AND(172&gt;='EDT Y TAREAS'!AK50,172&lt;'EDT Y TAREAS'!AL50),'EDT Y TAREAS'!AI50/'EDT Y TAREAS'!M50,0),IF(AND(172&gt;='EDT Y TAREAS'!AK52,172&lt;'EDT Y TAREAS'!AL52),'EDT Y TAREAS'!AI52/'EDT Y TAREAS'!M52,0))</x:f>
        <x:v>0</x:v>
      </x:c>
      <x:c r="H212" s="35" t="n">
        <x:f>SUM(IF(AND(172&gt;='EDT Y TAREAS'!AK11,172&lt;'EDT Y TAREAS'!AL11),'EDT Y TAREAS'!AJ11/'EDT Y TAREAS'!M11,0),IF(AND(172&gt;='EDT Y TAREAS'!AK24,172&lt;'EDT Y TAREAS'!AL24),'EDT Y TAREAS'!AJ24/'EDT Y TAREAS'!M24,0),IF(AND(172&gt;='EDT Y TAREAS'!AK27,172&lt;'EDT Y TAREAS'!AL27),'EDT Y TAREAS'!AJ27/'EDT Y TAREAS'!M27,0),IF(AND(172&gt;='EDT Y TAREAS'!AK28,172&lt;'EDT Y TAREAS'!AL28),'EDT Y TAREAS'!AJ28/'EDT Y TAREAS'!M28,0),IF(AND(172&gt;='EDT Y TAREAS'!AK33,172&lt;'EDT Y TAREAS'!AL33),'EDT Y TAREAS'!AJ33/'EDT Y TAREAS'!M33,0),IF(AND(172&gt;='EDT Y TAREAS'!AK35,172&lt;'EDT Y TAREAS'!AL35),'EDT Y TAREAS'!AJ35/'EDT Y TAREAS'!M35,0),IF(AND(172&gt;='EDT Y TAREAS'!AK36,172&lt;'EDT Y TAREAS'!AL36),'EDT Y TAREAS'!AJ36/'EDT Y TAREAS'!M36,0),IF(AND(172&gt;='EDT Y TAREAS'!AK37,172&lt;'EDT Y TAREAS'!AL37),'EDT Y TAREAS'!AJ37/'EDT Y TAREAS'!M37,0),IF(AND(172&gt;='EDT Y TAREAS'!AK40,172&lt;'EDT Y TAREAS'!AL40),'EDT Y TAREAS'!AJ40/'EDT Y TAREAS'!M40,0),IF(AND(172&gt;='EDT Y TAREAS'!AK42,172&lt;'EDT Y TAREAS'!AL42),'EDT Y TAREAS'!AJ42/'EDT Y TAREAS'!M42,0),IF(AND(172&gt;='EDT Y TAREAS'!AK49,172&lt;'EDT Y TAREAS'!AL49),'EDT Y TAREAS'!AJ49/'EDT Y TAREAS'!M49,0),IF(AND(172&gt;='EDT Y TAREAS'!AK50,172&lt;'EDT Y TAREAS'!AL50),'EDT Y TAREAS'!AJ50/'EDT Y TAREAS'!M50,0),IF(AND(172&gt;='EDT Y TAREAS'!AK51,172&lt;'EDT Y TAREAS'!AL51),'EDT Y TAREAS'!AJ51/'EDT Y TAREAS'!M51,0),IF(AND(172&gt;='EDT Y TAREAS'!AK52,172&lt;'EDT Y TAREAS'!AL52),'EDT Y TAREAS'!AJ52/'EDT Y TAREAS'!M52,0))</x:f>
        <x:v>0</x:v>
      </x:c>
      <x:c r="I212" s="10" t="n">
        <x:f>WORKDAY('RESUMEN'!$D$3-1,A212,'RESUMEN'!$J$6:$J$25)</x:f>
        <x:v>46568</x:v>
      </x:c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  <x:c r="AL212" s="3"/>
      <x:c r="AM212" s="3"/>
      <x:c r="AN212" s="3"/>
      <x:c r="AO212" s="3"/>
    </x:row>
    <x:row r="213" ht="24" customHeight="1">
      <x:c r="A213" s="3" t="n">
        <x:v>174</x:v>
      </x:c>
      <x:c r="B213" s="35" t="n">
        <x:f>SUM(IF(AND(173&gt;='EDT Y TAREAS'!AK6,173&lt;'EDT Y TAREAS'!AL6),'EDT Y TAREAS'!AD6/'EDT Y TAREAS'!M6,0),IF(AND(173&gt;='EDT Y TAREAS'!AK7,173&lt;'EDT Y TAREAS'!AL7),'EDT Y TAREAS'!AD7/'EDT Y TAREAS'!M7,0),IF(AND(173&gt;='EDT Y TAREAS'!AK8,173&lt;'EDT Y TAREAS'!AL8),'EDT Y TAREAS'!AD8/'EDT Y TAREAS'!M8,0),IF(AND(173&gt;='EDT Y TAREAS'!AK9,173&lt;'EDT Y TAREAS'!AL9),'EDT Y TAREAS'!AD9/'EDT Y TAREAS'!M9,0),IF(AND(173&gt;='EDT Y TAREAS'!AK10,173&lt;'EDT Y TAREAS'!AL10),'EDT Y TAREAS'!AD10/'EDT Y TAREAS'!M10,0),IF(AND(173&gt;='EDT Y TAREAS'!AK11,173&lt;'EDT Y TAREAS'!AL11),'EDT Y TAREAS'!AD11/'EDT Y TAREAS'!M11,0),IF(AND(173&gt;='EDT Y TAREAS'!AK12,173&lt;'EDT Y TAREAS'!AL12),'EDT Y TAREAS'!AD12/'EDT Y TAREAS'!M12,0),IF(AND(173&gt;='EDT Y TAREAS'!AK13,173&lt;'EDT Y TAREAS'!AL13),'EDT Y TAREAS'!AD13/'EDT Y TAREAS'!M13,0),IF(AND(173&gt;='EDT Y TAREAS'!AK14,173&lt;'EDT Y TAREAS'!AL14),'EDT Y TAREAS'!AD14/'EDT Y TAREAS'!M14,0),IF(AND(173&gt;='EDT Y TAREAS'!AK15,173&lt;'EDT Y TAREAS'!AL15),'EDT Y TAREAS'!AD15/'EDT Y TAREAS'!M15,0),IF(AND(173&gt;='EDT Y TAREAS'!AK16,173&lt;'EDT Y TAREAS'!AL16),'EDT Y TAREAS'!AD16/'EDT Y TAREAS'!M16,0),IF(AND(173&gt;='EDT Y TAREAS'!AK17,173&lt;'EDT Y TAREAS'!AL17),'EDT Y TAREAS'!AD17/'EDT Y TAREAS'!M17,0),IF(AND(173&gt;='EDT Y TAREAS'!AK18,173&lt;'EDT Y TAREAS'!AL18),'EDT Y TAREAS'!AD18/'EDT Y TAREAS'!M18,0),IF(AND(173&gt;='EDT Y TAREAS'!AK19,173&lt;'EDT Y TAREAS'!AL19),'EDT Y TAREAS'!AD19/'EDT Y TAREAS'!M19,0),IF(AND(173&gt;='EDT Y TAREAS'!AK20,173&lt;'EDT Y TAREAS'!AL20),'EDT Y TAREAS'!AD20/'EDT Y TAREAS'!M20,0),IF(AND(173&gt;='EDT Y TAREAS'!AK21,173&lt;'EDT Y TAREAS'!AL21),'EDT Y TAREAS'!AD21/'EDT Y TAREAS'!M21,0),IF(AND(173&gt;='EDT Y TAREAS'!AK22,173&lt;'EDT Y TAREAS'!AL22),'EDT Y TAREAS'!AD22/'EDT Y TAREAS'!M22,0),IF(AND(173&gt;='EDT Y TAREAS'!AK23,173&lt;'EDT Y TAREAS'!AL23),'EDT Y TAREAS'!AD23/'EDT Y TAREAS'!M23,0),IF(AND(173&gt;='EDT Y TAREAS'!AK26,173&lt;'EDT Y TAREAS'!AL26),'EDT Y TAREAS'!AD26/'EDT Y TAREAS'!M26,0),IF(AND(173&gt;='EDT Y TAREAS'!AK28,173&lt;'EDT Y TAREAS'!AL28),'EDT Y TAREAS'!AD28/'EDT Y TAREAS'!M28,0),IF(AND(173&gt;='EDT Y TAREAS'!AK30,173&lt;'EDT Y TAREAS'!AL30),'EDT Y TAREAS'!AD30/'EDT Y TAREAS'!M30,0),IF(AND(173&gt;='EDT Y TAREAS'!AK32,173&lt;'EDT Y TAREAS'!AL32),'EDT Y TAREAS'!AD32/'EDT Y TAREAS'!M32,0),IF(AND(173&gt;='EDT Y TAREAS'!AK34,173&lt;'EDT Y TAREAS'!AL34),'EDT Y TAREAS'!AD34/'EDT Y TAREAS'!M34,0),IF(AND(173&gt;='EDT Y TAREAS'!AK38,173&lt;'EDT Y TAREAS'!AL38),'EDT Y TAREAS'!AD38/'EDT Y TAREAS'!M38,0),IF(AND(173&gt;='EDT Y TAREAS'!AK39,173&lt;'EDT Y TAREAS'!AL39),'EDT Y TAREAS'!AD39/'EDT Y TAREAS'!M39,0),IF(AND(173&gt;='EDT Y TAREAS'!AK43,173&lt;'EDT Y TAREAS'!AL43),'EDT Y TAREAS'!AD43/'EDT Y TAREAS'!M43,0),IF(AND(173&gt;='EDT Y TAREAS'!AK44,173&lt;'EDT Y TAREAS'!AL44),'EDT Y TAREAS'!AD44/'EDT Y TAREAS'!M44,0),IF(AND(173&gt;='EDT Y TAREAS'!AK45,173&lt;'EDT Y TAREAS'!AL45),'EDT Y TAREAS'!AD45/'EDT Y TAREAS'!M45,0),IF(AND(173&gt;='EDT Y TAREAS'!AK46,173&lt;'EDT Y TAREAS'!AL46),'EDT Y TAREAS'!AD46/'EDT Y TAREAS'!M46,0),IF(AND(173&gt;='EDT Y TAREAS'!AK47,173&lt;'EDT Y TAREAS'!AL47),'EDT Y TAREAS'!AD47/'EDT Y TAREAS'!M47,0),IF(AND(173&gt;='EDT Y TAREAS'!AK49,173&lt;'EDT Y TAREAS'!AL49),'EDT Y TAREAS'!AD49/'EDT Y TAREAS'!M49,0),IF(AND(173&gt;='EDT Y TAREAS'!AK50,173&lt;'EDT Y TAREAS'!AL50),'EDT Y TAREAS'!AD50/'EDT Y TAREAS'!M50,0),IF(AND(173&gt;='EDT Y TAREAS'!AK51,173&lt;'EDT Y TAREAS'!AL51),'EDT Y TAREAS'!AD51/'EDT Y TAREAS'!M51,0),IF(AND(173&gt;='EDT Y TAREAS'!AK52,173&lt;'EDT Y TAREAS'!AL52),'EDT Y TAREAS'!AD52/'EDT Y TAREAS'!M52,0))</x:f>
        <x:v>0</x:v>
      </x:c>
      <x:c r="C213" s="35" t="n">
        <x:f>SUM(IF(AND(173&gt;='EDT Y TAREAS'!AK6,173&lt;'EDT Y TAREAS'!AL6),'EDT Y TAREAS'!AE6/'EDT Y TAREAS'!M6,0),IF(AND(173&gt;='EDT Y TAREAS'!AK8,173&lt;'EDT Y TAREAS'!AL8),'EDT Y TAREAS'!AE8/'EDT Y TAREAS'!M8,0),IF(AND(173&gt;='EDT Y TAREAS'!AK9,173&lt;'EDT Y TAREAS'!AL9),'EDT Y TAREAS'!AE9/'EDT Y TAREAS'!M9,0),IF(AND(173&gt;='EDT Y TAREAS'!AK10,173&lt;'EDT Y TAREAS'!AL10),'EDT Y TAREAS'!AE10/'EDT Y TAREAS'!M10,0),IF(AND(173&gt;='EDT Y TAREAS'!AK12,173&lt;'EDT Y TAREAS'!AL12),'EDT Y TAREAS'!AE12/'EDT Y TAREAS'!M12,0),IF(AND(173&gt;='EDT Y TAREAS'!AK16,173&lt;'EDT Y TAREAS'!AL16),'EDT Y TAREAS'!AE16/'EDT Y TAREAS'!M16,0),IF(AND(173&gt;='EDT Y TAREAS'!AK21,173&lt;'EDT Y TAREAS'!AL21),'EDT Y TAREAS'!AE21/'EDT Y TAREAS'!M21,0),IF(AND(173&gt;='EDT Y TAREAS'!AK23,173&lt;'EDT Y TAREAS'!AL23),'EDT Y TAREAS'!AE23/'EDT Y TAREAS'!M23,0),IF(AND(173&gt;='EDT Y TAREAS'!AK37,173&lt;'EDT Y TAREAS'!AL37),'EDT Y TAREAS'!AE37/'EDT Y TAREAS'!M37,0),IF(AND(173&gt;='EDT Y TAREAS'!AK38,173&lt;'EDT Y TAREAS'!AL38),'EDT Y TAREAS'!AE38/'EDT Y TAREAS'!M38,0),IF(AND(173&gt;='EDT Y TAREAS'!AK41,173&lt;'EDT Y TAREAS'!AL41),'EDT Y TAREAS'!AE41/'EDT Y TAREAS'!M41,0),IF(AND(173&gt;='EDT Y TAREAS'!AK43,173&lt;'EDT Y TAREAS'!AL43),'EDT Y TAREAS'!AE43/'EDT Y TAREAS'!M43,0),IF(AND(173&gt;='EDT Y TAREAS'!AK44,173&lt;'EDT Y TAREAS'!AL44),'EDT Y TAREAS'!AE44/'EDT Y TAREAS'!M44,0),IF(AND(173&gt;='EDT Y TAREAS'!AK46,173&lt;'EDT Y TAREAS'!AL46),'EDT Y TAREAS'!AE46/'EDT Y TAREAS'!M46,0),IF(AND(173&gt;='EDT Y TAREAS'!AK47,173&lt;'EDT Y TAREAS'!AL47),'EDT Y TAREAS'!AE47/'EDT Y TAREAS'!M47,0),IF(AND(173&gt;='EDT Y TAREAS'!AK51,173&lt;'EDT Y TAREAS'!AL51),'EDT Y TAREAS'!AE51/'EDT Y TAREAS'!M51,0),IF(AND(173&gt;='EDT Y TAREAS'!AK52,173&lt;'EDT Y TAREAS'!AL52),'EDT Y TAREAS'!AE52/'EDT Y TAREAS'!M52,0))</x:f>
        <x:v>0</x:v>
      </x:c>
      <x:c r="D213" s="35" t="n">
        <x:f>SUM(IF(AND(173&gt;='EDT Y TAREAS'!AK11,173&lt;'EDT Y TAREAS'!AL11),'EDT Y TAREAS'!AF11/'EDT Y TAREAS'!M11,0),IF(AND(173&gt;='EDT Y TAREAS'!AK24,173&lt;'EDT Y TAREAS'!AL24),'EDT Y TAREAS'!AF24/'EDT Y TAREAS'!M24,0),IF(AND(173&gt;='EDT Y TAREAS'!AK25,173&lt;'EDT Y TAREAS'!AL25),'EDT Y TAREAS'!AF25/'EDT Y TAREAS'!M25,0),IF(AND(173&gt;='EDT Y TAREAS'!AK26,173&lt;'EDT Y TAREAS'!AL26),'EDT Y TAREAS'!AF26/'EDT Y TAREAS'!M26,0),IF(AND(173&gt;='EDT Y TAREAS'!AK27,173&lt;'EDT Y TAREAS'!AL27),'EDT Y TAREAS'!AF27/'EDT Y TAREAS'!M27,0),IF(AND(173&gt;='EDT Y TAREAS'!AK28,173&lt;'EDT Y TAREAS'!AL28),'EDT Y TAREAS'!AF28/'EDT Y TAREAS'!M28,0),IF(AND(173&gt;='EDT Y TAREAS'!AK31,173&lt;'EDT Y TAREAS'!AL31),'EDT Y TAREAS'!AF31/'EDT Y TAREAS'!M31,0),IF(AND(173&gt;='EDT Y TAREAS'!AK33,173&lt;'EDT Y TAREAS'!AL33),'EDT Y TAREAS'!AF33/'EDT Y TAREAS'!M33,0),IF(AND(173&gt;='EDT Y TAREAS'!AK34,173&lt;'EDT Y TAREAS'!AL34),'EDT Y TAREAS'!AF34/'EDT Y TAREAS'!M34,0),IF(AND(173&gt;='EDT Y TAREAS'!AK35,173&lt;'EDT Y TAREAS'!AL35),'EDT Y TAREAS'!AF35/'EDT Y TAREAS'!M35,0),IF(AND(173&gt;='EDT Y TAREAS'!AK37,173&lt;'EDT Y TAREAS'!AL37),'EDT Y TAREAS'!AF37/'EDT Y TAREAS'!M37,0),IF(AND(173&gt;='EDT Y TAREAS'!AK39,173&lt;'EDT Y TAREAS'!AL39),'EDT Y TAREAS'!AF39/'EDT Y TAREAS'!M39,0),IF(AND(173&gt;='EDT Y TAREAS'!AK40,173&lt;'EDT Y TAREAS'!AL40),'EDT Y TAREAS'!AF40/'EDT Y TAREAS'!M40,0),IF(AND(173&gt;='EDT Y TAREAS'!AK42,173&lt;'EDT Y TAREAS'!AL42),'EDT Y TAREAS'!AF42/'EDT Y TAREAS'!M42,0),IF(AND(173&gt;='EDT Y TAREAS'!AK45,173&lt;'EDT Y TAREAS'!AL45),'EDT Y TAREAS'!AF45/'EDT Y TAREAS'!M45,0),IF(AND(173&gt;='EDT Y TAREAS'!AK49,173&lt;'EDT Y TAREAS'!AL49),'EDT Y TAREAS'!AF49/'EDT Y TAREAS'!M49,0),IF(AND(173&gt;='EDT Y TAREAS'!AK52,173&lt;'EDT Y TAREAS'!AL52),'EDT Y TAREAS'!AF52/'EDT Y TAREAS'!M52,0))</x:f>
        <x:v>0</x:v>
      </x:c>
      <x:c r="E213" s="35" t="n">
        <x:f>SUM(IF(AND(173&gt;='EDT Y TAREAS'!AK29,173&lt;'EDT Y TAREAS'!AL29),'EDT Y TAREAS'!AG29/'EDT Y TAREAS'!M29,0),IF(AND(173&gt;='EDT Y TAREAS'!AK30,173&lt;'EDT Y TAREAS'!AL30),'EDT Y TAREAS'!AG30/'EDT Y TAREAS'!M30,0),IF(AND(173&gt;='EDT Y TAREAS'!AK31,173&lt;'EDT Y TAREAS'!AL31),'EDT Y TAREAS'!AG31/'EDT Y TAREAS'!M31,0),IF(AND(173&gt;='EDT Y TAREAS'!AK32,173&lt;'EDT Y TAREAS'!AL32),'EDT Y TAREAS'!AG32/'EDT Y TAREAS'!M32,0),IF(AND(173&gt;='EDT Y TAREAS'!AK41,173&lt;'EDT Y TAREAS'!AL41),'EDT Y TAREAS'!AG41/'EDT Y TAREAS'!M41,0),IF(AND(173&gt;='EDT Y TAREAS'!AK45,173&lt;'EDT Y TAREAS'!AL45),'EDT Y TAREAS'!AG45/'EDT Y TAREAS'!M45,0),IF(AND(173&gt;='EDT Y TAREAS'!AK48,173&lt;'EDT Y TAREAS'!AL48),'EDT Y TAREAS'!AG48/'EDT Y TAREAS'!M48,0))</x:f>
        <x:v>0</x:v>
      </x:c>
      <x:c r="F213" s="35" t="n">
        <x:f>SUM(IF(AND(173&gt;='EDT Y TAREAS'!AK10,173&lt;'EDT Y TAREAS'!AL10),'EDT Y TAREAS'!AH10/'EDT Y TAREAS'!M10,0),IF(AND(173&gt;='EDT Y TAREAS'!AK12,173&lt;'EDT Y TAREAS'!AL12),'EDT Y TAREAS'!AH12/'EDT Y TAREAS'!M12,0),IF(AND(173&gt;='EDT Y TAREAS'!AK22,173&lt;'EDT Y TAREAS'!AL22),'EDT Y TAREAS'!AH22/'EDT Y TAREAS'!M22,0),IF(AND(173&gt;='EDT Y TAREAS'!AK23,173&lt;'EDT Y TAREAS'!AL23),'EDT Y TAREAS'!AH23/'EDT Y TAREAS'!M23,0),IF(AND(173&gt;='EDT Y TAREAS'!AK29,173&lt;'EDT Y TAREAS'!AL29),'EDT Y TAREAS'!AH29/'EDT Y TAREAS'!M29,0),IF(AND(173&gt;='EDT Y TAREAS'!AK30,173&lt;'EDT Y TAREAS'!AL30),'EDT Y TAREAS'!AH30/'EDT Y TAREAS'!M30,0),IF(AND(173&gt;='EDT Y TAREAS'!AK32,173&lt;'EDT Y TAREAS'!AL32),'EDT Y TAREAS'!AH32/'EDT Y TAREAS'!M32,0),IF(AND(173&gt;='EDT Y TAREAS'!AK41,173&lt;'EDT Y TAREAS'!AL41),'EDT Y TAREAS'!AH41/'EDT Y TAREAS'!M41,0),IF(AND(173&gt;='EDT Y TAREAS'!AK44,173&lt;'EDT Y TAREAS'!AL44),'EDT Y TAREAS'!AH44/'EDT Y TAREAS'!M44,0),IF(AND(173&gt;='EDT Y TAREAS'!AK46,173&lt;'EDT Y TAREAS'!AL46),'EDT Y TAREAS'!AH46/'EDT Y TAREAS'!M46,0),IF(AND(173&gt;='EDT Y TAREAS'!AK48,173&lt;'EDT Y TAREAS'!AL48),'EDT Y TAREAS'!AH48/'EDT Y TAREAS'!M48,0))</x:f>
        <x:v>0</x:v>
      </x:c>
      <x:c r="G213" s="35" t="n">
        <x:f>SUM(IF(AND(173&gt;='EDT Y TAREAS'!AK20,173&lt;'EDT Y TAREAS'!AL20),'EDT Y TAREAS'!AI20/'EDT Y TAREAS'!M20,0),IF(AND(173&gt;='EDT Y TAREAS'!AK25,173&lt;'EDT Y TAREAS'!AL25),'EDT Y TAREAS'!AI25/'EDT Y TAREAS'!M25,0),IF(AND(173&gt;='EDT Y TAREAS'!AK33,173&lt;'EDT Y TAREAS'!AL33),'EDT Y TAREAS'!AI33/'EDT Y TAREAS'!M33,0),IF(AND(173&gt;='EDT Y TAREAS'!AK34,173&lt;'EDT Y TAREAS'!AL34),'EDT Y TAREAS'!AI34/'EDT Y TAREAS'!M34,0),IF(AND(173&gt;='EDT Y TAREAS'!AK36,173&lt;'EDT Y TAREAS'!AL36),'EDT Y TAREAS'!AI36/'EDT Y TAREAS'!M36,0),IF(AND(173&gt;='EDT Y TAREAS'!AK39,173&lt;'EDT Y TAREAS'!AL39),'EDT Y TAREAS'!AI39/'EDT Y TAREAS'!M39,0),IF(AND(173&gt;='EDT Y TAREAS'!AK40,173&lt;'EDT Y TAREAS'!AL40),'EDT Y TAREAS'!AI40/'EDT Y TAREAS'!M40,0),IF(AND(173&gt;='EDT Y TAREAS'!AK42,173&lt;'EDT Y TAREAS'!AL42),'EDT Y TAREAS'!AI42/'EDT Y TAREAS'!M42,0),IF(AND(173&gt;='EDT Y TAREAS'!AK43,173&lt;'EDT Y TAREAS'!AL43),'EDT Y TAREAS'!AI43/'EDT Y TAREAS'!M43,0),IF(AND(173&gt;='EDT Y TAREAS'!AK44,173&lt;'EDT Y TAREAS'!AL44),'EDT Y TAREAS'!AI44/'EDT Y TAREAS'!M44,0),IF(AND(173&gt;='EDT Y TAREAS'!AK45,173&lt;'EDT Y TAREAS'!AL45),'EDT Y TAREAS'!AI45/'EDT Y TAREAS'!M45,0),IF(AND(173&gt;='EDT Y TAREAS'!AK46,173&lt;'EDT Y TAREAS'!AL46),'EDT Y TAREAS'!AI46/'EDT Y TAREAS'!M46,0),IF(AND(173&gt;='EDT Y TAREAS'!AK48,173&lt;'EDT Y TAREAS'!AL48),'EDT Y TAREAS'!AI48/'EDT Y TAREAS'!M48,0),IF(AND(173&gt;='EDT Y TAREAS'!AK50,173&lt;'EDT Y TAREAS'!AL50),'EDT Y TAREAS'!AI50/'EDT Y TAREAS'!M50,0),IF(AND(173&gt;='EDT Y TAREAS'!AK52,173&lt;'EDT Y TAREAS'!AL52),'EDT Y TAREAS'!AI52/'EDT Y TAREAS'!M52,0))</x:f>
        <x:v>0</x:v>
      </x:c>
      <x:c r="H213" s="35" t="n">
        <x:f>SUM(IF(AND(173&gt;='EDT Y TAREAS'!AK11,173&lt;'EDT Y TAREAS'!AL11),'EDT Y TAREAS'!AJ11/'EDT Y TAREAS'!M11,0),IF(AND(173&gt;='EDT Y TAREAS'!AK24,173&lt;'EDT Y TAREAS'!AL24),'EDT Y TAREAS'!AJ24/'EDT Y TAREAS'!M24,0),IF(AND(173&gt;='EDT Y TAREAS'!AK27,173&lt;'EDT Y TAREAS'!AL27),'EDT Y TAREAS'!AJ27/'EDT Y TAREAS'!M27,0),IF(AND(173&gt;='EDT Y TAREAS'!AK28,173&lt;'EDT Y TAREAS'!AL28),'EDT Y TAREAS'!AJ28/'EDT Y TAREAS'!M28,0),IF(AND(173&gt;='EDT Y TAREAS'!AK33,173&lt;'EDT Y TAREAS'!AL33),'EDT Y TAREAS'!AJ33/'EDT Y TAREAS'!M33,0),IF(AND(173&gt;='EDT Y TAREAS'!AK35,173&lt;'EDT Y TAREAS'!AL35),'EDT Y TAREAS'!AJ35/'EDT Y TAREAS'!M35,0),IF(AND(173&gt;='EDT Y TAREAS'!AK36,173&lt;'EDT Y TAREAS'!AL36),'EDT Y TAREAS'!AJ36/'EDT Y TAREAS'!M36,0),IF(AND(173&gt;='EDT Y TAREAS'!AK37,173&lt;'EDT Y TAREAS'!AL37),'EDT Y TAREAS'!AJ37/'EDT Y TAREAS'!M37,0),IF(AND(173&gt;='EDT Y TAREAS'!AK40,173&lt;'EDT Y TAREAS'!AL40),'EDT Y TAREAS'!AJ40/'EDT Y TAREAS'!M40,0),IF(AND(173&gt;='EDT Y TAREAS'!AK42,173&lt;'EDT Y TAREAS'!AL42),'EDT Y TAREAS'!AJ42/'EDT Y TAREAS'!M42,0),IF(AND(173&gt;='EDT Y TAREAS'!AK49,173&lt;'EDT Y TAREAS'!AL49),'EDT Y TAREAS'!AJ49/'EDT Y TAREAS'!M49,0),IF(AND(173&gt;='EDT Y TAREAS'!AK50,173&lt;'EDT Y TAREAS'!AL50),'EDT Y TAREAS'!AJ50/'EDT Y TAREAS'!M50,0),IF(AND(173&gt;='EDT Y TAREAS'!AK51,173&lt;'EDT Y TAREAS'!AL51),'EDT Y TAREAS'!AJ51/'EDT Y TAREAS'!M51,0),IF(AND(173&gt;='EDT Y TAREAS'!AK52,173&lt;'EDT Y TAREAS'!AL52),'EDT Y TAREAS'!AJ52/'EDT Y TAREAS'!M52,0))</x:f>
        <x:v>0</x:v>
      </x:c>
      <x:c r="I213" s="10" t="n">
        <x:f>WORKDAY('RESUMEN'!$D$3-1,A213,'RESUMEN'!$J$6:$J$25)</x:f>
        <x:v>46569</x:v>
      </x:c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  <x:c r="AL213" s="3"/>
      <x:c r="AM213" s="3"/>
      <x:c r="AN213" s="3"/>
      <x:c r="AO213" s="3"/>
    </x:row>
    <x:row r="214" ht="24" customHeight="1">
      <x:c r="A214" s="3" t="n">
        <x:v>175</x:v>
      </x:c>
      <x:c r="B214" s="35" t="n">
        <x:f>SUM(IF(AND(174&gt;='EDT Y TAREAS'!AK6,174&lt;'EDT Y TAREAS'!AL6),'EDT Y TAREAS'!AD6/'EDT Y TAREAS'!M6,0),IF(AND(174&gt;='EDT Y TAREAS'!AK7,174&lt;'EDT Y TAREAS'!AL7),'EDT Y TAREAS'!AD7/'EDT Y TAREAS'!M7,0),IF(AND(174&gt;='EDT Y TAREAS'!AK8,174&lt;'EDT Y TAREAS'!AL8),'EDT Y TAREAS'!AD8/'EDT Y TAREAS'!M8,0),IF(AND(174&gt;='EDT Y TAREAS'!AK9,174&lt;'EDT Y TAREAS'!AL9),'EDT Y TAREAS'!AD9/'EDT Y TAREAS'!M9,0),IF(AND(174&gt;='EDT Y TAREAS'!AK10,174&lt;'EDT Y TAREAS'!AL10),'EDT Y TAREAS'!AD10/'EDT Y TAREAS'!M10,0),IF(AND(174&gt;='EDT Y TAREAS'!AK11,174&lt;'EDT Y TAREAS'!AL11),'EDT Y TAREAS'!AD11/'EDT Y TAREAS'!M11,0),IF(AND(174&gt;='EDT Y TAREAS'!AK12,174&lt;'EDT Y TAREAS'!AL12),'EDT Y TAREAS'!AD12/'EDT Y TAREAS'!M12,0),IF(AND(174&gt;='EDT Y TAREAS'!AK13,174&lt;'EDT Y TAREAS'!AL13),'EDT Y TAREAS'!AD13/'EDT Y TAREAS'!M13,0),IF(AND(174&gt;='EDT Y TAREAS'!AK14,174&lt;'EDT Y TAREAS'!AL14),'EDT Y TAREAS'!AD14/'EDT Y TAREAS'!M14,0),IF(AND(174&gt;='EDT Y TAREAS'!AK15,174&lt;'EDT Y TAREAS'!AL15),'EDT Y TAREAS'!AD15/'EDT Y TAREAS'!M15,0),IF(AND(174&gt;='EDT Y TAREAS'!AK16,174&lt;'EDT Y TAREAS'!AL16),'EDT Y TAREAS'!AD16/'EDT Y TAREAS'!M16,0),IF(AND(174&gt;='EDT Y TAREAS'!AK17,174&lt;'EDT Y TAREAS'!AL17),'EDT Y TAREAS'!AD17/'EDT Y TAREAS'!M17,0),IF(AND(174&gt;='EDT Y TAREAS'!AK18,174&lt;'EDT Y TAREAS'!AL18),'EDT Y TAREAS'!AD18/'EDT Y TAREAS'!M18,0),IF(AND(174&gt;='EDT Y TAREAS'!AK19,174&lt;'EDT Y TAREAS'!AL19),'EDT Y TAREAS'!AD19/'EDT Y TAREAS'!M19,0),IF(AND(174&gt;='EDT Y TAREAS'!AK20,174&lt;'EDT Y TAREAS'!AL20),'EDT Y TAREAS'!AD20/'EDT Y TAREAS'!M20,0),IF(AND(174&gt;='EDT Y TAREAS'!AK21,174&lt;'EDT Y TAREAS'!AL21),'EDT Y TAREAS'!AD21/'EDT Y TAREAS'!M21,0),IF(AND(174&gt;='EDT Y TAREAS'!AK22,174&lt;'EDT Y TAREAS'!AL22),'EDT Y TAREAS'!AD22/'EDT Y TAREAS'!M22,0),IF(AND(174&gt;='EDT Y TAREAS'!AK23,174&lt;'EDT Y TAREAS'!AL23),'EDT Y TAREAS'!AD23/'EDT Y TAREAS'!M23,0),IF(AND(174&gt;='EDT Y TAREAS'!AK26,174&lt;'EDT Y TAREAS'!AL26),'EDT Y TAREAS'!AD26/'EDT Y TAREAS'!M26,0),IF(AND(174&gt;='EDT Y TAREAS'!AK28,174&lt;'EDT Y TAREAS'!AL28),'EDT Y TAREAS'!AD28/'EDT Y TAREAS'!M28,0),IF(AND(174&gt;='EDT Y TAREAS'!AK30,174&lt;'EDT Y TAREAS'!AL30),'EDT Y TAREAS'!AD30/'EDT Y TAREAS'!M30,0),IF(AND(174&gt;='EDT Y TAREAS'!AK32,174&lt;'EDT Y TAREAS'!AL32),'EDT Y TAREAS'!AD32/'EDT Y TAREAS'!M32,0),IF(AND(174&gt;='EDT Y TAREAS'!AK34,174&lt;'EDT Y TAREAS'!AL34),'EDT Y TAREAS'!AD34/'EDT Y TAREAS'!M34,0),IF(AND(174&gt;='EDT Y TAREAS'!AK38,174&lt;'EDT Y TAREAS'!AL38),'EDT Y TAREAS'!AD38/'EDT Y TAREAS'!M38,0),IF(AND(174&gt;='EDT Y TAREAS'!AK39,174&lt;'EDT Y TAREAS'!AL39),'EDT Y TAREAS'!AD39/'EDT Y TAREAS'!M39,0),IF(AND(174&gt;='EDT Y TAREAS'!AK43,174&lt;'EDT Y TAREAS'!AL43),'EDT Y TAREAS'!AD43/'EDT Y TAREAS'!M43,0),IF(AND(174&gt;='EDT Y TAREAS'!AK44,174&lt;'EDT Y TAREAS'!AL44),'EDT Y TAREAS'!AD44/'EDT Y TAREAS'!M44,0),IF(AND(174&gt;='EDT Y TAREAS'!AK45,174&lt;'EDT Y TAREAS'!AL45),'EDT Y TAREAS'!AD45/'EDT Y TAREAS'!M45,0),IF(AND(174&gt;='EDT Y TAREAS'!AK46,174&lt;'EDT Y TAREAS'!AL46),'EDT Y TAREAS'!AD46/'EDT Y TAREAS'!M46,0),IF(AND(174&gt;='EDT Y TAREAS'!AK47,174&lt;'EDT Y TAREAS'!AL47),'EDT Y TAREAS'!AD47/'EDT Y TAREAS'!M47,0),IF(AND(174&gt;='EDT Y TAREAS'!AK49,174&lt;'EDT Y TAREAS'!AL49),'EDT Y TAREAS'!AD49/'EDT Y TAREAS'!M49,0),IF(AND(174&gt;='EDT Y TAREAS'!AK50,174&lt;'EDT Y TAREAS'!AL50),'EDT Y TAREAS'!AD50/'EDT Y TAREAS'!M50,0),IF(AND(174&gt;='EDT Y TAREAS'!AK51,174&lt;'EDT Y TAREAS'!AL51),'EDT Y TAREAS'!AD51/'EDT Y TAREAS'!M51,0),IF(AND(174&gt;='EDT Y TAREAS'!AK52,174&lt;'EDT Y TAREAS'!AL52),'EDT Y TAREAS'!AD52/'EDT Y TAREAS'!M52,0))</x:f>
        <x:v>0</x:v>
      </x:c>
      <x:c r="C214" s="35" t="n">
        <x:f>SUM(IF(AND(174&gt;='EDT Y TAREAS'!AK6,174&lt;'EDT Y TAREAS'!AL6),'EDT Y TAREAS'!AE6/'EDT Y TAREAS'!M6,0),IF(AND(174&gt;='EDT Y TAREAS'!AK8,174&lt;'EDT Y TAREAS'!AL8),'EDT Y TAREAS'!AE8/'EDT Y TAREAS'!M8,0),IF(AND(174&gt;='EDT Y TAREAS'!AK9,174&lt;'EDT Y TAREAS'!AL9),'EDT Y TAREAS'!AE9/'EDT Y TAREAS'!M9,0),IF(AND(174&gt;='EDT Y TAREAS'!AK10,174&lt;'EDT Y TAREAS'!AL10),'EDT Y TAREAS'!AE10/'EDT Y TAREAS'!M10,0),IF(AND(174&gt;='EDT Y TAREAS'!AK12,174&lt;'EDT Y TAREAS'!AL12),'EDT Y TAREAS'!AE12/'EDT Y TAREAS'!M12,0),IF(AND(174&gt;='EDT Y TAREAS'!AK16,174&lt;'EDT Y TAREAS'!AL16),'EDT Y TAREAS'!AE16/'EDT Y TAREAS'!M16,0),IF(AND(174&gt;='EDT Y TAREAS'!AK21,174&lt;'EDT Y TAREAS'!AL21),'EDT Y TAREAS'!AE21/'EDT Y TAREAS'!M21,0),IF(AND(174&gt;='EDT Y TAREAS'!AK23,174&lt;'EDT Y TAREAS'!AL23),'EDT Y TAREAS'!AE23/'EDT Y TAREAS'!M23,0),IF(AND(174&gt;='EDT Y TAREAS'!AK37,174&lt;'EDT Y TAREAS'!AL37),'EDT Y TAREAS'!AE37/'EDT Y TAREAS'!M37,0),IF(AND(174&gt;='EDT Y TAREAS'!AK38,174&lt;'EDT Y TAREAS'!AL38),'EDT Y TAREAS'!AE38/'EDT Y TAREAS'!M38,0),IF(AND(174&gt;='EDT Y TAREAS'!AK41,174&lt;'EDT Y TAREAS'!AL41),'EDT Y TAREAS'!AE41/'EDT Y TAREAS'!M41,0),IF(AND(174&gt;='EDT Y TAREAS'!AK43,174&lt;'EDT Y TAREAS'!AL43),'EDT Y TAREAS'!AE43/'EDT Y TAREAS'!M43,0),IF(AND(174&gt;='EDT Y TAREAS'!AK44,174&lt;'EDT Y TAREAS'!AL44),'EDT Y TAREAS'!AE44/'EDT Y TAREAS'!M44,0),IF(AND(174&gt;='EDT Y TAREAS'!AK46,174&lt;'EDT Y TAREAS'!AL46),'EDT Y TAREAS'!AE46/'EDT Y TAREAS'!M46,0),IF(AND(174&gt;='EDT Y TAREAS'!AK47,174&lt;'EDT Y TAREAS'!AL47),'EDT Y TAREAS'!AE47/'EDT Y TAREAS'!M47,0),IF(AND(174&gt;='EDT Y TAREAS'!AK51,174&lt;'EDT Y TAREAS'!AL51),'EDT Y TAREAS'!AE51/'EDT Y TAREAS'!M51,0),IF(AND(174&gt;='EDT Y TAREAS'!AK52,174&lt;'EDT Y TAREAS'!AL52),'EDT Y TAREAS'!AE52/'EDT Y TAREAS'!M52,0))</x:f>
        <x:v>0</x:v>
      </x:c>
      <x:c r="D214" s="35" t="n">
        <x:f>SUM(IF(AND(174&gt;='EDT Y TAREAS'!AK11,174&lt;'EDT Y TAREAS'!AL11),'EDT Y TAREAS'!AF11/'EDT Y TAREAS'!M11,0),IF(AND(174&gt;='EDT Y TAREAS'!AK24,174&lt;'EDT Y TAREAS'!AL24),'EDT Y TAREAS'!AF24/'EDT Y TAREAS'!M24,0),IF(AND(174&gt;='EDT Y TAREAS'!AK25,174&lt;'EDT Y TAREAS'!AL25),'EDT Y TAREAS'!AF25/'EDT Y TAREAS'!M25,0),IF(AND(174&gt;='EDT Y TAREAS'!AK26,174&lt;'EDT Y TAREAS'!AL26),'EDT Y TAREAS'!AF26/'EDT Y TAREAS'!M26,0),IF(AND(174&gt;='EDT Y TAREAS'!AK27,174&lt;'EDT Y TAREAS'!AL27),'EDT Y TAREAS'!AF27/'EDT Y TAREAS'!M27,0),IF(AND(174&gt;='EDT Y TAREAS'!AK28,174&lt;'EDT Y TAREAS'!AL28),'EDT Y TAREAS'!AF28/'EDT Y TAREAS'!M28,0),IF(AND(174&gt;='EDT Y TAREAS'!AK31,174&lt;'EDT Y TAREAS'!AL31),'EDT Y TAREAS'!AF31/'EDT Y TAREAS'!M31,0),IF(AND(174&gt;='EDT Y TAREAS'!AK33,174&lt;'EDT Y TAREAS'!AL33),'EDT Y TAREAS'!AF33/'EDT Y TAREAS'!M33,0),IF(AND(174&gt;='EDT Y TAREAS'!AK34,174&lt;'EDT Y TAREAS'!AL34),'EDT Y TAREAS'!AF34/'EDT Y TAREAS'!M34,0),IF(AND(174&gt;='EDT Y TAREAS'!AK35,174&lt;'EDT Y TAREAS'!AL35),'EDT Y TAREAS'!AF35/'EDT Y TAREAS'!M35,0),IF(AND(174&gt;='EDT Y TAREAS'!AK37,174&lt;'EDT Y TAREAS'!AL37),'EDT Y TAREAS'!AF37/'EDT Y TAREAS'!M37,0),IF(AND(174&gt;='EDT Y TAREAS'!AK39,174&lt;'EDT Y TAREAS'!AL39),'EDT Y TAREAS'!AF39/'EDT Y TAREAS'!M39,0),IF(AND(174&gt;='EDT Y TAREAS'!AK40,174&lt;'EDT Y TAREAS'!AL40),'EDT Y TAREAS'!AF40/'EDT Y TAREAS'!M40,0),IF(AND(174&gt;='EDT Y TAREAS'!AK42,174&lt;'EDT Y TAREAS'!AL42),'EDT Y TAREAS'!AF42/'EDT Y TAREAS'!M42,0),IF(AND(174&gt;='EDT Y TAREAS'!AK45,174&lt;'EDT Y TAREAS'!AL45),'EDT Y TAREAS'!AF45/'EDT Y TAREAS'!M45,0),IF(AND(174&gt;='EDT Y TAREAS'!AK49,174&lt;'EDT Y TAREAS'!AL49),'EDT Y TAREAS'!AF49/'EDT Y TAREAS'!M49,0),IF(AND(174&gt;='EDT Y TAREAS'!AK52,174&lt;'EDT Y TAREAS'!AL52),'EDT Y TAREAS'!AF52/'EDT Y TAREAS'!M52,0))</x:f>
        <x:v>0</x:v>
      </x:c>
      <x:c r="E214" s="35" t="n">
        <x:f>SUM(IF(AND(174&gt;='EDT Y TAREAS'!AK29,174&lt;'EDT Y TAREAS'!AL29),'EDT Y TAREAS'!AG29/'EDT Y TAREAS'!M29,0),IF(AND(174&gt;='EDT Y TAREAS'!AK30,174&lt;'EDT Y TAREAS'!AL30),'EDT Y TAREAS'!AG30/'EDT Y TAREAS'!M30,0),IF(AND(174&gt;='EDT Y TAREAS'!AK31,174&lt;'EDT Y TAREAS'!AL31),'EDT Y TAREAS'!AG31/'EDT Y TAREAS'!M31,0),IF(AND(174&gt;='EDT Y TAREAS'!AK32,174&lt;'EDT Y TAREAS'!AL32),'EDT Y TAREAS'!AG32/'EDT Y TAREAS'!M32,0),IF(AND(174&gt;='EDT Y TAREAS'!AK41,174&lt;'EDT Y TAREAS'!AL41),'EDT Y TAREAS'!AG41/'EDT Y TAREAS'!M41,0),IF(AND(174&gt;='EDT Y TAREAS'!AK45,174&lt;'EDT Y TAREAS'!AL45),'EDT Y TAREAS'!AG45/'EDT Y TAREAS'!M45,0),IF(AND(174&gt;='EDT Y TAREAS'!AK48,174&lt;'EDT Y TAREAS'!AL48),'EDT Y TAREAS'!AG48/'EDT Y TAREAS'!M48,0))</x:f>
        <x:v>0</x:v>
      </x:c>
      <x:c r="F214" s="35" t="n">
        <x:f>SUM(IF(AND(174&gt;='EDT Y TAREAS'!AK10,174&lt;'EDT Y TAREAS'!AL10),'EDT Y TAREAS'!AH10/'EDT Y TAREAS'!M10,0),IF(AND(174&gt;='EDT Y TAREAS'!AK12,174&lt;'EDT Y TAREAS'!AL12),'EDT Y TAREAS'!AH12/'EDT Y TAREAS'!M12,0),IF(AND(174&gt;='EDT Y TAREAS'!AK22,174&lt;'EDT Y TAREAS'!AL22),'EDT Y TAREAS'!AH22/'EDT Y TAREAS'!M22,0),IF(AND(174&gt;='EDT Y TAREAS'!AK23,174&lt;'EDT Y TAREAS'!AL23),'EDT Y TAREAS'!AH23/'EDT Y TAREAS'!M23,0),IF(AND(174&gt;='EDT Y TAREAS'!AK29,174&lt;'EDT Y TAREAS'!AL29),'EDT Y TAREAS'!AH29/'EDT Y TAREAS'!M29,0),IF(AND(174&gt;='EDT Y TAREAS'!AK30,174&lt;'EDT Y TAREAS'!AL30),'EDT Y TAREAS'!AH30/'EDT Y TAREAS'!M30,0),IF(AND(174&gt;='EDT Y TAREAS'!AK32,174&lt;'EDT Y TAREAS'!AL32),'EDT Y TAREAS'!AH32/'EDT Y TAREAS'!M32,0),IF(AND(174&gt;='EDT Y TAREAS'!AK41,174&lt;'EDT Y TAREAS'!AL41),'EDT Y TAREAS'!AH41/'EDT Y TAREAS'!M41,0),IF(AND(174&gt;='EDT Y TAREAS'!AK44,174&lt;'EDT Y TAREAS'!AL44),'EDT Y TAREAS'!AH44/'EDT Y TAREAS'!M44,0),IF(AND(174&gt;='EDT Y TAREAS'!AK46,174&lt;'EDT Y TAREAS'!AL46),'EDT Y TAREAS'!AH46/'EDT Y TAREAS'!M46,0),IF(AND(174&gt;='EDT Y TAREAS'!AK48,174&lt;'EDT Y TAREAS'!AL48),'EDT Y TAREAS'!AH48/'EDT Y TAREAS'!M48,0))</x:f>
        <x:v>0</x:v>
      </x:c>
      <x:c r="G214" s="35" t="n">
        <x:f>SUM(IF(AND(174&gt;='EDT Y TAREAS'!AK20,174&lt;'EDT Y TAREAS'!AL20),'EDT Y TAREAS'!AI20/'EDT Y TAREAS'!M20,0),IF(AND(174&gt;='EDT Y TAREAS'!AK25,174&lt;'EDT Y TAREAS'!AL25),'EDT Y TAREAS'!AI25/'EDT Y TAREAS'!M25,0),IF(AND(174&gt;='EDT Y TAREAS'!AK33,174&lt;'EDT Y TAREAS'!AL33),'EDT Y TAREAS'!AI33/'EDT Y TAREAS'!M33,0),IF(AND(174&gt;='EDT Y TAREAS'!AK34,174&lt;'EDT Y TAREAS'!AL34),'EDT Y TAREAS'!AI34/'EDT Y TAREAS'!M34,0),IF(AND(174&gt;='EDT Y TAREAS'!AK36,174&lt;'EDT Y TAREAS'!AL36),'EDT Y TAREAS'!AI36/'EDT Y TAREAS'!M36,0),IF(AND(174&gt;='EDT Y TAREAS'!AK39,174&lt;'EDT Y TAREAS'!AL39),'EDT Y TAREAS'!AI39/'EDT Y TAREAS'!M39,0),IF(AND(174&gt;='EDT Y TAREAS'!AK40,174&lt;'EDT Y TAREAS'!AL40),'EDT Y TAREAS'!AI40/'EDT Y TAREAS'!M40,0),IF(AND(174&gt;='EDT Y TAREAS'!AK42,174&lt;'EDT Y TAREAS'!AL42),'EDT Y TAREAS'!AI42/'EDT Y TAREAS'!M42,0),IF(AND(174&gt;='EDT Y TAREAS'!AK43,174&lt;'EDT Y TAREAS'!AL43),'EDT Y TAREAS'!AI43/'EDT Y TAREAS'!M43,0),IF(AND(174&gt;='EDT Y TAREAS'!AK44,174&lt;'EDT Y TAREAS'!AL44),'EDT Y TAREAS'!AI44/'EDT Y TAREAS'!M44,0),IF(AND(174&gt;='EDT Y TAREAS'!AK45,174&lt;'EDT Y TAREAS'!AL45),'EDT Y TAREAS'!AI45/'EDT Y TAREAS'!M45,0),IF(AND(174&gt;='EDT Y TAREAS'!AK46,174&lt;'EDT Y TAREAS'!AL46),'EDT Y TAREAS'!AI46/'EDT Y TAREAS'!M46,0),IF(AND(174&gt;='EDT Y TAREAS'!AK48,174&lt;'EDT Y TAREAS'!AL48),'EDT Y TAREAS'!AI48/'EDT Y TAREAS'!M48,0),IF(AND(174&gt;='EDT Y TAREAS'!AK50,174&lt;'EDT Y TAREAS'!AL50),'EDT Y TAREAS'!AI50/'EDT Y TAREAS'!M50,0),IF(AND(174&gt;='EDT Y TAREAS'!AK52,174&lt;'EDT Y TAREAS'!AL52),'EDT Y TAREAS'!AI52/'EDT Y TAREAS'!M52,0))</x:f>
        <x:v>0</x:v>
      </x:c>
      <x:c r="H214" s="35" t="n">
        <x:f>SUM(IF(AND(174&gt;='EDT Y TAREAS'!AK11,174&lt;'EDT Y TAREAS'!AL11),'EDT Y TAREAS'!AJ11/'EDT Y TAREAS'!M11,0),IF(AND(174&gt;='EDT Y TAREAS'!AK24,174&lt;'EDT Y TAREAS'!AL24),'EDT Y TAREAS'!AJ24/'EDT Y TAREAS'!M24,0),IF(AND(174&gt;='EDT Y TAREAS'!AK27,174&lt;'EDT Y TAREAS'!AL27),'EDT Y TAREAS'!AJ27/'EDT Y TAREAS'!M27,0),IF(AND(174&gt;='EDT Y TAREAS'!AK28,174&lt;'EDT Y TAREAS'!AL28),'EDT Y TAREAS'!AJ28/'EDT Y TAREAS'!M28,0),IF(AND(174&gt;='EDT Y TAREAS'!AK33,174&lt;'EDT Y TAREAS'!AL33),'EDT Y TAREAS'!AJ33/'EDT Y TAREAS'!M33,0),IF(AND(174&gt;='EDT Y TAREAS'!AK35,174&lt;'EDT Y TAREAS'!AL35),'EDT Y TAREAS'!AJ35/'EDT Y TAREAS'!M35,0),IF(AND(174&gt;='EDT Y TAREAS'!AK36,174&lt;'EDT Y TAREAS'!AL36),'EDT Y TAREAS'!AJ36/'EDT Y TAREAS'!M36,0),IF(AND(174&gt;='EDT Y TAREAS'!AK37,174&lt;'EDT Y TAREAS'!AL37),'EDT Y TAREAS'!AJ37/'EDT Y TAREAS'!M37,0),IF(AND(174&gt;='EDT Y TAREAS'!AK40,174&lt;'EDT Y TAREAS'!AL40),'EDT Y TAREAS'!AJ40/'EDT Y TAREAS'!M40,0),IF(AND(174&gt;='EDT Y TAREAS'!AK42,174&lt;'EDT Y TAREAS'!AL42),'EDT Y TAREAS'!AJ42/'EDT Y TAREAS'!M42,0),IF(AND(174&gt;='EDT Y TAREAS'!AK49,174&lt;'EDT Y TAREAS'!AL49),'EDT Y TAREAS'!AJ49/'EDT Y TAREAS'!M49,0),IF(AND(174&gt;='EDT Y TAREAS'!AK50,174&lt;'EDT Y TAREAS'!AL50),'EDT Y TAREAS'!AJ50/'EDT Y TAREAS'!M50,0),IF(AND(174&gt;='EDT Y TAREAS'!AK51,174&lt;'EDT Y TAREAS'!AL51),'EDT Y TAREAS'!AJ51/'EDT Y TAREAS'!M51,0),IF(AND(174&gt;='EDT Y TAREAS'!AK52,174&lt;'EDT Y TAREAS'!AL52),'EDT Y TAREAS'!AJ52/'EDT Y TAREAS'!M52,0))</x:f>
        <x:v>0</x:v>
      </x:c>
      <x:c r="I214" s="10" t="n">
        <x:f>WORKDAY('RESUMEN'!$D$3-1,A214,'RESUMEN'!$J$6:$J$25)</x:f>
        <x:v>46570</x:v>
      </x:c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  <x:c r="AL214" s="3"/>
      <x:c r="AM214" s="3"/>
      <x:c r="AN214" s="3"/>
      <x:c r="AO214" s="3"/>
    </x:row>
    <x:row r="215" ht="24" customHeight="1">
      <x:c r="A215" s="3" t="n">
        <x:v>176</x:v>
      </x:c>
      <x:c r="B215" s="35" t="n">
        <x:f>SUM(IF(AND(175&gt;='EDT Y TAREAS'!AK6,175&lt;'EDT Y TAREAS'!AL6),'EDT Y TAREAS'!AD6/'EDT Y TAREAS'!M6,0),IF(AND(175&gt;='EDT Y TAREAS'!AK7,175&lt;'EDT Y TAREAS'!AL7),'EDT Y TAREAS'!AD7/'EDT Y TAREAS'!M7,0),IF(AND(175&gt;='EDT Y TAREAS'!AK8,175&lt;'EDT Y TAREAS'!AL8),'EDT Y TAREAS'!AD8/'EDT Y TAREAS'!M8,0),IF(AND(175&gt;='EDT Y TAREAS'!AK9,175&lt;'EDT Y TAREAS'!AL9),'EDT Y TAREAS'!AD9/'EDT Y TAREAS'!M9,0),IF(AND(175&gt;='EDT Y TAREAS'!AK10,175&lt;'EDT Y TAREAS'!AL10),'EDT Y TAREAS'!AD10/'EDT Y TAREAS'!M10,0),IF(AND(175&gt;='EDT Y TAREAS'!AK11,175&lt;'EDT Y TAREAS'!AL11),'EDT Y TAREAS'!AD11/'EDT Y TAREAS'!M11,0),IF(AND(175&gt;='EDT Y TAREAS'!AK12,175&lt;'EDT Y TAREAS'!AL12),'EDT Y TAREAS'!AD12/'EDT Y TAREAS'!M12,0),IF(AND(175&gt;='EDT Y TAREAS'!AK13,175&lt;'EDT Y TAREAS'!AL13),'EDT Y TAREAS'!AD13/'EDT Y TAREAS'!M13,0),IF(AND(175&gt;='EDT Y TAREAS'!AK14,175&lt;'EDT Y TAREAS'!AL14),'EDT Y TAREAS'!AD14/'EDT Y TAREAS'!M14,0),IF(AND(175&gt;='EDT Y TAREAS'!AK15,175&lt;'EDT Y TAREAS'!AL15),'EDT Y TAREAS'!AD15/'EDT Y TAREAS'!M15,0),IF(AND(175&gt;='EDT Y TAREAS'!AK16,175&lt;'EDT Y TAREAS'!AL16),'EDT Y TAREAS'!AD16/'EDT Y TAREAS'!M16,0),IF(AND(175&gt;='EDT Y TAREAS'!AK17,175&lt;'EDT Y TAREAS'!AL17),'EDT Y TAREAS'!AD17/'EDT Y TAREAS'!M17,0),IF(AND(175&gt;='EDT Y TAREAS'!AK18,175&lt;'EDT Y TAREAS'!AL18),'EDT Y TAREAS'!AD18/'EDT Y TAREAS'!M18,0),IF(AND(175&gt;='EDT Y TAREAS'!AK19,175&lt;'EDT Y TAREAS'!AL19),'EDT Y TAREAS'!AD19/'EDT Y TAREAS'!M19,0),IF(AND(175&gt;='EDT Y TAREAS'!AK20,175&lt;'EDT Y TAREAS'!AL20),'EDT Y TAREAS'!AD20/'EDT Y TAREAS'!M20,0),IF(AND(175&gt;='EDT Y TAREAS'!AK21,175&lt;'EDT Y TAREAS'!AL21),'EDT Y TAREAS'!AD21/'EDT Y TAREAS'!M21,0),IF(AND(175&gt;='EDT Y TAREAS'!AK22,175&lt;'EDT Y TAREAS'!AL22),'EDT Y TAREAS'!AD22/'EDT Y TAREAS'!M22,0),IF(AND(175&gt;='EDT Y TAREAS'!AK23,175&lt;'EDT Y TAREAS'!AL23),'EDT Y TAREAS'!AD23/'EDT Y TAREAS'!M23,0),IF(AND(175&gt;='EDT Y TAREAS'!AK26,175&lt;'EDT Y TAREAS'!AL26),'EDT Y TAREAS'!AD26/'EDT Y TAREAS'!M26,0),IF(AND(175&gt;='EDT Y TAREAS'!AK28,175&lt;'EDT Y TAREAS'!AL28),'EDT Y TAREAS'!AD28/'EDT Y TAREAS'!M28,0),IF(AND(175&gt;='EDT Y TAREAS'!AK30,175&lt;'EDT Y TAREAS'!AL30),'EDT Y TAREAS'!AD30/'EDT Y TAREAS'!M30,0),IF(AND(175&gt;='EDT Y TAREAS'!AK32,175&lt;'EDT Y TAREAS'!AL32),'EDT Y TAREAS'!AD32/'EDT Y TAREAS'!M32,0),IF(AND(175&gt;='EDT Y TAREAS'!AK34,175&lt;'EDT Y TAREAS'!AL34),'EDT Y TAREAS'!AD34/'EDT Y TAREAS'!M34,0),IF(AND(175&gt;='EDT Y TAREAS'!AK38,175&lt;'EDT Y TAREAS'!AL38),'EDT Y TAREAS'!AD38/'EDT Y TAREAS'!M38,0),IF(AND(175&gt;='EDT Y TAREAS'!AK39,175&lt;'EDT Y TAREAS'!AL39),'EDT Y TAREAS'!AD39/'EDT Y TAREAS'!M39,0),IF(AND(175&gt;='EDT Y TAREAS'!AK43,175&lt;'EDT Y TAREAS'!AL43),'EDT Y TAREAS'!AD43/'EDT Y TAREAS'!M43,0),IF(AND(175&gt;='EDT Y TAREAS'!AK44,175&lt;'EDT Y TAREAS'!AL44),'EDT Y TAREAS'!AD44/'EDT Y TAREAS'!M44,0),IF(AND(175&gt;='EDT Y TAREAS'!AK45,175&lt;'EDT Y TAREAS'!AL45),'EDT Y TAREAS'!AD45/'EDT Y TAREAS'!M45,0),IF(AND(175&gt;='EDT Y TAREAS'!AK46,175&lt;'EDT Y TAREAS'!AL46),'EDT Y TAREAS'!AD46/'EDT Y TAREAS'!M46,0),IF(AND(175&gt;='EDT Y TAREAS'!AK47,175&lt;'EDT Y TAREAS'!AL47),'EDT Y TAREAS'!AD47/'EDT Y TAREAS'!M47,0),IF(AND(175&gt;='EDT Y TAREAS'!AK49,175&lt;'EDT Y TAREAS'!AL49),'EDT Y TAREAS'!AD49/'EDT Y TAREAS'!M49,0),IF(AND(175&gt;='EDT Y TAREAS'!AK50,175&lt;'EDT Y TAREAS'!AL50),'EDT Y TAREAS'!AD50/'EDT Y TAREAS'!M50,0),IF(AND(175&gt;='EDT Y TAREAS'!AK51,175&lt;'EDT Y TAREAS'!AL51),'EDT Y TAREAS'!AD51/'EDT Y TAREAS'!M51,0),IF(AND(175&gt;='EDT Y TAREAS'!AK52,175&lt;'EDT Y TAREAS'!AL52),'EDT Y TAREAS'!AD52/'EDT Y TAREAS'!M52,0))</x:f>
        <x:v>0</x:v>
      </x:c>
      <x:c r="C215" s="35" t="n">
        <x:f>SUM(IF(AND(175&gt;='EDT Y TAREAS'!AK6,175&lt;'EDT Y TAREAS'!AL6),'EDT Y TAREAS'!AE6/'EDT Y TAREAS'!M6,0),IF(AND(175&gt;='EDT Y TAREAS'!AK8,175&lt;'EDT Y TAREAS'!AL8),'EDT Y TAREAS'!AE8/'EDT Y TAREAS'!M8,0),IF(AND(175&gt;='EDT Y TAREAS'!AK9,175&lt;'EDT Y TAREAS'!AL9),'EDT Y TAREAS'!AE9/'EDT Y TAREAS'!M9,0),IF(AND(175&gt;='EDT Y TAREAS'!AK10,175&lt;'EDT Y TAREAS'!AL10),'EDT Y TAREAS'!AE10/'EDT Y TAREAS'!M10,0),IF(AND(175&gt;='EDT Y TAREAS'!AK12,175&lt;'EDT Y TAREAS'!AL12),'EDT Y TAREAS'!AE12/'EDT Y TAREAS'!M12,0),IF(AND(175&gt;='EDT Y TAREAS'!AK16,175&lt;'EDT Y TAREAS'!AL16),'EDT Y TAREAS'!AE16/'EDT Y TAREAS'!M16,0),IF(AND(175&gt;='EDT Y TAREAS'!AK21,175&lt;'EDT Y TAREAS'!AL21),'EDT Y TAREAS'!AE21/'EDT Y TAREAS'!M21,0),IF(AND(175&gt;='EDT Y TAREAS'!AK23,175&lt;'EDT Y TAREAS'!AL23),'EDT Y TAREAS'!AE23/'EDT Y TAREAS'!M23,0),IF(AND(175&gt;='EDT Y TAREAS'!AK37,175&lt;'EDT Y TAREAS'!AL37),'EDT Y TAREAS'!AE37/'EDT Y TAREAS'!M37,0),IF(AND(175&gt;='EDT Y TAREAS'!AK38,175&lt;'EDT Y TAREAS'!AL38),'EDT Y TAREAS'!AE38/'EDT Y TAREAS'!M38,0),IF(AND(175&gt;='EDT Y TAREAS'!AK41,175&lt;'EDT Y TAREAS'!AL41),'EDT Y TAREAS'!AE41/'EDT Y TAREAS'!M41,0),IF(AND(175&gt;='EDT Y TAREAS'!AK43,175&lt;'EDT Y TAREAS'!AL43),'EDT Y TAREAS'!AE43/'EDT Y TAREAS'!M43,0),IF(AND(175&gt;='EDT Y TAREAS'!AK44,175&lt;'EDT Y TAREAS'!AL44),'EDT Y TAREAS'!AE44/'EDT Y TAREAS'!M44,0),IF(AND(175&gt;='EDT Y TAREAS'!AK46,175&lt;'EDT Y TAREAS'!AL46),'EDT Y TAREAS'!AE46/'EDT Y TAREAS'!M46,0),IF(AND(175&gt;='EDT Y TAREAS'!AK47,175&lt;'EDT Y TAREAS'!AL47),'EDT Y TAREAS'!AE47/'EDT Y TAREAS'!M47,0),IF(AND(175&gt;='EDT Y TAREAS'!AK51,175&lt;'EDT Y TAREAS'!AL51),'EDT Y TAREAS'!AE51/'EDT Y TAREAS'!M51,0),IF(AND(175&gt;='EDT Y TAREAS'!AK52,175&lt;'EDT Y TAREAS'!AL52),'EDT Y TAREAS'!AE52/'EDT Y TAREAS'!M52,0))</x:f>
        <x:v>0</x:v>
      </x:c>
      <x:c r="D215" s="35" t="n">
        <x:f>SUM(IF(AND(175&gt;='EDT Y TAREAS'!AK11,175&lt;'EDT Y TAREAS'!AL11),'EDT Y TAREAS'!AF11/'EDT Y TAREAS'!M11,0),IF(AND(175&gt;='EDT Y TAREAS'!AK24,175&lt;'EDT Y TAREAS'!AL24),'EDT Y TAREAS'!AF24/'EDT Y TAREAS'!M24,0),IF(AND(175&gt;='EDT Y TAREAS'!AK25,175&lt;'EDT Y TAREAS'!AL25),'EDT Y TAREAS'!AF25/'EDT Y TAREAS'!M25,0),IF(AND(175&gt;='EDT Y TAREAS'!AK26,175&lt;'EDT Y TAREAS'!AL26),'EDT Y TAREAS'!AF26/'EDT Y TAREAS'!M26,0),IF(AND(175&gt;='EDT Y TAREAS'!AK27,175&lt;'EDT Y TAREAS'!AL27),'EDT Y TAREAS'!AF27/'EDT Y TAREAS'!M27,0),IF(AND(175&gt;='EDT Y TAREAS'!AK28,175&lt;'EDT Y TAREAS'!AL28),'EDT Y TAREAS'!AF28/'EDT Y TAREAS'!M28,0),IF(AND(175&gt;='EDT Y TAREAS'!AK31,175&lt;'EDT Y TAREAS'!AL31),'EDT Y TAREAS'!AF31/'EDT Y TAREAS'!M31,0),IF(AND(175&gt;='EDT Y TAREAS'!AK33,175&lt;'EDT Y TAREAS'!AL33),'EDT Y TAREAS'!AF33/'EDT Y TAREAS'!M33,0),IF(AND(175&gt;='EDT Y TAREAS'!AK34,175&lt;'EDT Y TAREAS'!AL34),'EDT Y TAREAS'!AF34/'EDT Y TAREAS'!M34,0),IF(AND(175&gt;='EDT Y TAREAS'!AK35,175&lt;'EDT Y TAREAS'!AL35),'EDT Y TAREAS'!AF35/'EDT Y TAREAS'!M35,0),IF(AND(175&gt;='EDT Y TAREAS'!AK37,175&lt;'EDT Y TAREAS'!AL37),'EDT Y TAREAS'!AF37/'EDT Y TAREAS'!M37,0),IF(AND(175&gt;='EDT Y TAREAS'!AK39,175&lt;'EDT Y TAREAS'!AL39),'EDT Y TAREAS'!AF39/'EDT Y TAREAS'!M39,0),IF(AND(175&gt;='EDT Y TAREAS'!AK40,175&lt;'EDT Y TAREAS'!AL40),'EDT Y TAREAS'!AF40/'EDT Y TAREAS'!M40,0),IF(AND(175&gt;='EDT Y TAREAS'!AK42,175&lt;'EDT Y TAREAS'!AL42),'EDT Y TAREAS'!AF42/'EDT Y TAREAS'!M42,0),IF(AND(175&gt;='EDT Y TAREAS'!AK45,175&lt;'EDT Y TAREAS'!AL45),'EDT Y TAREAS'!AF45/'EDT Y TAREAS'!M45,0),IF(AND(175&gt;='EDT Y TAREAS'!AK49,175&lt;'EDT Y TAREAS'!AL49),'EDT Y TAREAS'!AF49/'EDT Y TAREAS'!M49,0),IF(AND(175&gt;='EDT Y TAREAS'!AK52,175&lt;'EDT Y TAREAS'!AL52),'EDT Y TAREAS'!AF52/'EDT Y TAREAS'!M52,0))</x:f>
        <x:v>0</x:v>
      </x:c>
      <x:c r="E215" s="35" t="n">
        <x:f>SUM(IF(AND(175&gt;='EDT Y TAREAS'!AK29,175&lt;'EDT Y TAREAS'!AL29),'EDT Y TAREAS'!AG29/'EDT Y TAREAS'!M29,0),IF(AND(175&gt;='EDT Y TAREAS'!AK30,175&lt;'EDT Y TAREAS'!AL30),'EDT Y TAREAS'!AG30/'EDT Y TAREAS'!M30,0),IF(AND(175&gt;='EDT Y TAREAS'!AK31,175&lt;'EDT Y TAREAS'!AL31),'EDT Y TAREAS'!AG31/'EDT Y TAREAS'!M31,0),IF(AND(175&gt;='EDT Y TAREAS'!AK32,175&lt;'EDT Y TAREAS'!AL32),'EDT Y TAREAS'!AG32/'EDT Y TAREAS'!M32,0),IF(AND(175&gt;='EDT Y TAREAS'!AK41,175&lt;'EDT Y TAREAS'!AL41),'EDT Y TAREAS'!AG41/'EDT Y TAREAS'!M41,0),IF(AND(175&gt;='EDT Y TAREAS'!AK45,175&lt;'EDT Y TAREAS'!AL45),'EDT Y TAREAS'!AG45/'EDT Y TAREAS'!M45,0),IF(AND(175&gt;='EDT Y TAREAS'!AK48,175&lt;'EDT Y TAREAS'!AL48),'EDT Y TAREAS'!AG48/'EDT Y TAREAS'!M48,0))</x:f>
        <x:v>0</x:v>
      </x:c>
      <x:c r="F215" s="35" t="n">
        <x:f>SUM(IF(AND(175&gt;='EDT Y TAREAS'!AK10,175&lt;'EDT Y TAREAS'!AL10),'EDT Y TAREAS'!AH10/'EDT Y TAREAS'!M10,0),IF(AND(175&gt;='EDT Y TAREAS'!AK12,175&lt;'EDT Y TAREAS'!AL12),'EDT Y TAREAS'!AH12/'EDT Y TAREAS'!M12,0),IF(AND(175&gt;='EDT Y TAREAS'!AK22,175&lt;'EDT Y TAREAS'!AL22),'EDT Y TAREAS'!AH22/'EDT Y TAREAS'!M22,0),IF(AND(175&gt;='EDT Y TAREAS'!AK23,175&lt;'EDT Y TAREAS'!AL23),'EDT Y TAREAS'!AH23/'EDT Y TAREAS'!M23,0),IF(AND(175&gt;='EDT Y TAREAS'!AK29,175&lt;'EDT Y TAREAS'!AL29),'EDT Y TAREAS'!AH29/'EDT Y TAREAS'!M29,0),IF(AND(175&gt;='EDT Y TAREAS'!AK30,175&lt;'EDT Y TAREAS'!AL30),'EDT Y TAREAS'!AH30/'EDT Y TAREAS'!M30,0),IF(AND(175&gt;='EDT Y TAREAS'!AK32,175&lt;'EDT Y TAREAS'!AL32),'EDT Y TAREAS'!AH32/'EDT Y TAREAS'!M32,0),IF(AND(175&gt;='EDT Y TAREAS'!AK41,175&lt;'EDT Y TAREAS'!AL41),'EDT Y TAREAS'!AH41/'EDT Y TAREAS'!M41,0),IF(AND(175&gt;='EDT Y TAREAS'!AK44,175&lt;'EDT Y TAREAS'!AL44),'EDT Y TAREAS'!AH44/'EDT Y TAREAS'!M44,0),IF(AND(175&gt;='EDT Y TAREAS'!AK46,175&lt;'EDT Y TAREAS'!AL46),'EDT Y TAREAS'!AH46/'EDT Y TAREAS'!M46,0),IF(AND(175&gt;='EDT Y TAREAS'!AK48,175&lt;'EDT Y TAREAS'!AL48),'EDT Y TAREAS'!AH48/'EDT Y TAREAS'!M48,0))</x:f>
        <x:v>0</x:v>
      </x:c>
      <x:c r="G215" s="35" t="n">
        <x:f>SUM(IF(AND(175&gt;='EDT Y TAREAS'!AK20,175&lt;'EDT Y TAREAS'!AL20),'EDT Y TAREAS'!AI20/'EDT Y TAREAS'!M20,0),IF(AND(175&gt;='EDT Y TAREAS'!AK25,175&lt;'EDT Y TAREAS'!AL25),'EDT Y TAREAS'!AI25/'EDT Y TAREAS'!M25,0),IF(AND(175&gt;='EDT Y TAREAS'!AK33,175&lt;'EDT Y TAREAS'!AL33),'EDT Y TAREAS'!AI33/'EDT Y TAREAS'!M33,0),IF(AND(175&gt;='EDT Y TAREAS'!AK34,175&lt;'EDT Y TAREAS'!AL34),'EDT Y TAREAS'!AI34/'EDT Y TAREAS'!M34,0),IF(AND(175&gt;='EDT Y TAREAS'!AK36,175&lt;'EDT Y TAREAS'!AL36),'EDT Y TAREAS'!AI36/'EDT Y TAREAS'!M36,0),IF(AND(175&gt;='EDT Y TAREAS'!AK39,175&lt;'EDT Y TAREAS'!AL39),'EDT Y TAREAS'!AI39/'EDT Y TAREAS'!M39,0),IF(AND(175&gt;='EDT Y TAREAS'!AK40,175&lt;'EDT Y TAREAS'!AL40),'EDT Y TAREAS'!AI40/'EDT Y TAREAS'!M40,0),IF(AND(175&gt;='EDT Y TAREAS'!AK42,175&lt;'EDT Y TAREAS'!AL42),'EDT Y TAREAS'!AI42/'EDT Y TAREAS'!M42,0),IF(AND(175&gt;='EDT Y TAREAS'!AK43,175&lt;'EDT Y TAREAS'!AL43),'EDT Y TAREAS'!AI43/'EDT Y TAREAS'!M43,0),IF(AND(175&gt;='EDT Y TAREAS'!AK44,175&lt;'EDT Y TAREAS'!AL44),'EDT Y TAREAS'!AI44/'EDT Y TAREAS'!M44,0),IF(AND(175&gt;='EDT Y TAREAS'!AK45,175&lt;'EDT Y TAREAS'!AL45),'EDT Y TAREAS'!AI45/'EDT Y TAREAS'!M45,0),IF(AND(175&gt;='EDT Y TAREAS'!AK46,175&lt;'EDT Y TAREAS'!AL46),'EDT Y TAREAS'!AI46/'EDT Y TAREAS'!M46,0),IF(AND(175&gt;='EDT Y TAREAS'!AK48,175&lt;'EDT Y TAREAS'!AL48),'EDT Y TAREAS'!AI48/'EDT Y TAREAS'!M48,0),IF(AND(175&gt;='EDT Y TAREAS'!AK50,175&lt;'EDT Y TAREAS'!AL50),'EDT Y TAREAS'!AI50/'EDT Y TAREAS'!M50,0),IF(AND(175&gt;='EDT Y TAREAS'!AK52,175&lt;'EDT Y TAREAS'!AL52),'EDT Y TAREAS'!AI52/'EDT Y TAREAS'!M52,0))</x:f>
        <x:v>0</x:v>
      </x:c>
      <x:c r="H215" s="35" t="n">
        <x:f>SUM(IF(AND(175&gt;='EDT Y TAREAS'!AK11,175&lt;'EDT Y TAREAS'!AL11),'EDT Y TAREAS'!AJ11/'EDT Y TAREAS'!M11,0),IF(AND(175&gt;='EDT Y TAREAS'!AK24,175&lt;'EDT Y TAREAS'!AL24),'EDT Y TAREAS'!AJ24/'EDT Y TAREAS'!M24,0),IF(AND(175&gt;='EDT Y TAREAS'!AK27,175&lt;'EDT Y TAREAS'!AL27),'EDT Y TAREAS'!AJ27/'EDT Y TAREAS'!M27,0),IF(AND(175&gt;='EDT Y TAREAS'!AK28,175&lt;'EDT Y TAREAS'!AL28),'EDT Y TAREAS'!AJ28/'EDT Y TAREAS'!M28,0),IF(AND(175&gt;='EDT Y TAREAS'!AK33,175&lt;'EDT Y TAREAS'!AL33),'EDT Y TAREAS'!AJ33/'EDT Y TAREAS'!M33,0),IF(AND(175&gt;='EDT Y TAREAS'!AK35,175&lt;'EDT Y TAREAS'!AL35),'EDT Y TAREAS'!AJ35/'EDT Y TAREAS'!M35,0),IF(AND(175&gt;='EDT Y TAREAS'!AK36,175&lt;'EDT Y TAREAS'!AL36),'EDT Y TAREAS'!AJ36/'EDT Y TAREAS'!M36,0),IF(AND(175&gt;='EDT Y TAREAS'!AK37,175&lt;'EDT Y TAREAS'!AL37),'EDT Y TAREAS'!AJ37/'EDT Y TAREAS'!M37,0),IF(AND(175&gt;='EDT Y TAREAS'!AK40,175&lt;'EDT Y TAREAS'!AL40),'EDT Y TAREAS'!AJ40/'EDT Y TAREAS'!M40,0),IF(AND(175&gt;='EDT Y TAREAS'!AK42,175&lt;'EDT Y TAREAS'!AL42),'EDT Y TAREAS'!AJ42/'EDT Y TAREAS'!M42,0),IF(AND(175&gt;='EDT Y TAREAS'!AK49,175&lt;'EDT Y TAREAS'!AL49),'EDT Y TAREAS'!AJ49/'EDT Y TAREAS'!M49,0),IF(AND(175&gt;='EDT Y TAREAS'!AK50,175&lt;'EDT Y TAREAS'!AL50),'EDT Y TAREAS'!AJ50/'EDT Y TAREAS'!M50,0),IF(AND(175&gt;='EDT Y TAREAS'!AK51,175&lt;'EDT Y TAREAS'!AL51),'EDT Y TAREAS'!AJ51/'EDT Y TAREAS'!M51,0),IF(AND(175&gt;='EDT Y TAREAS'!AK52,175&lt;'EDT Y TAREAS'!AL52),'EDT Y TAREAS'!AJ52/'EDT Y TAREAS'!M52,0))</x:f>
        <x:v>0</x:v>
      </x:c>
      <x:c r="I215" s="10" t="n">
        <x:f>WORKDAY('RESUMEN'!$D$3-1,A215,'RESUMEN'!$J$6:$J$25)</x:f>
        <x:v>46573</x:v>
      </x:c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  <x:c r="AL215" s="3"/>
      <x:c r="AM215" s="3"/>
      <x:c r="AN215" s="3"/>
      <x:c r="AO215" s="3"/>
    </x:row>
    <x:row r="216" ht="24" customHeight="1">
      <x:c r="A216" s="3" t="n">
        <x:v>177</x:v>
      </x:c>
      <x:c r="B216" s="35" t="n">
        <x:f>SUM(IF(AND(176&gt;='EDT Y TAREAS'!AK6,176&lt;'EDT Y TAREAS'!AL6),'EDT Y TAREAS'!AD6/'EDT Y TAREAS'!M6,0),IF(AND(176&gt;='EDT Y TAREAS'!AK7,176&lt;'EDT Y TAREAS'!AL7),'EDT Y TAREAS'!AD7/'EDT Y TAREAS'!M7,0),IF(AND(176&gt;='EDT Y TAREAS'!AK8,176&lt;'EDT Y TAREAS'!AL8),'EDT Y TAREAS'!AD8/'EDT Y TAREAS'!M8,0),IF(AND(176&gt;='EDT Y TAREAS'!AK9,176&lt;'EDT Y TAREAS'!AL9),'EDT Y TAREAS'!AD9/'EDT Y TAREAS'!M9,0),IF(AND(176&gt;='EDT Y TAREAS'!AK10,176&lt;'EDT Y TAREAS'!AL10),'EDT Y TAREAS'!AD10/'EDT Y TAREAS'!M10,0),IF(AND(176&gt;='EDT Y TAREAS'!AK11,176&lt;'EDT Y TAREAS'!AL11),'EDT Y TAREAS'!AD11/'EDT Y TAREAS'!M11,0),IF(AND(176&gt;='EDT Y TAREAS'!AK12,176&lt;'EDT Y TAREAS'!AL12),'EDT Y TAREAS'!AD12/'EDT Y TAREAS'!M12,0),IF(AND(176&gt;='EDT Y TAREAS'!AK13,176&lt;'EDT Y TAREAS'!AL13),'EDT Y TAREAS'!AD13/'EDT Y TAREAS'!M13,0),IF(AND(176&gt;='EDT Y TAREAS'!AK14,176&lt;'EDT Y TAREAS'!AL14),'EDT Y TAREAS'!AD14/'EDT Y TAREAS'!M14,0),IF(AND(176&gt;='EDT Y TAREAS'!AK15,176&lt;'EDT Y TAREAS'!AL15),'EDT Y TAREAS'!AD15/'EDT Y TAREAS'!M15,0),IF(AND(176&gt;='EDT Y TAREAS'!AK16,176&lt;'EDT Y TAREAS'!AL16),'EDT Y TAREAS'!AD16/'EDT Y TAREAS'!M16,0),IF(AND(176&gt;='EDT Y TAREAS'!AK17,176&lt;'EDT Y TAREAS'!AL17),'EDT Y TAREAS'!AD17/'EDT Y TAREAS'!M17,0),IF(AND(176&gt;='EDT Y TAREAS'!AK18,176&lt;'EDT Y TAREAS'!AL18),'EDT Y TAREAS'!AD18/'EDT Y TAREAS'!M18,0),IF(AND(176&gt;='EDT Y TAREAS'!AK19,176&lt;'EDT Y TAREAS'!AL19),'EDT Y TAREAS'!AD19/'EDT Y TAREAS'!M19,0),IF(AND(176&gt;='EDT Y TAREAS'!AK20,176&lt;'EDT Y TAREAS'!AL20),'EDT Y TAREAS'!AD20/'EDT Y TAREAS'!M20,0),IF(AND(176&gt;='EDT Y TAREAS'!AK21,176&lt;'EDT Y TAREAS'!AL21),'EDT Y TAREAS'!AD21/'EDT Y TAREAS'!M21,0),IF(AND(176&gt;='EDT Y TAREAS'!AK22,176&lt;'EDT Y TAREAS'!AL22),'EDT Y TAREAS'!AD22/'EDT Y TAREAS'!M22,0),IF(AND(176&gt;='EDT Y TAREAS'!AK23,176&lt;'EDT Y TAREAS'!AL23),'EDT Y TAREAS'!AD23/'EDT Y TAREAS'!M23,0),IF(AND(176&gt;='EDT Y TAREAS'!AK26,176&lt;'EDT Y TAREAS'!AL26),'EDT Y TAREAS'!AD26/'EDT Y TAREAS'!M26,0),IF(AND(176&gt;='EDT Y TAREAS'!AK28,176&lt;'EDT Y TAREAS'!AL28),'EDT Y TAREAS'!AD28/'EDT Y TAREAS'!M28,0),IF(AND(176&gt;='EDT Y TAREAS'!AK30,176&lt;'EDT Y TAREAS'!AL30),'EDT Y TAREAS'!AD30/'EDT Y TAREAS'!M30,0),IF(AND(176&gt;='EDT Y TAREAS'!AK32,176&lt;'EDT Y TAREAS'!AL32),'EDT Y TAREAS'!AD32/'EDT Y TAREAS'!M32,0),IF(AND(176&gt;='EDT Y TAREAS'!AK34,176&lt;'EDT Y TAREAS'!AL34),'EDT Y TAREAS'!AD34/'EDT Y TAREAS'!M34,0),IF(AND(176&gt;='EDT Y TAREAS'!AK38,176&lt;'EDT Y TAREAS'!AL38),'EDT Y TAREAS'!AD38/'EDT Y TAREAS'!M38,0),IF(AND(176&gt;='EDT Y TAREAS'!AK39,176&lt;'EDT Y TAREAS'!AL39),'EDT Y TAREAS'!AD39/'EDT Y TAREAS'!M39,0),IF(AND(176&gt;='EDT Y TAREAS'!AK43,176&lt;'EDT Y TAREAS'!AL43),'EDT Y TAREAS'!AD43/'EDT Y TAREAS'!M43,0),IF(AND(176&gt;='EDT Y TAREAS'!AK44,176&lt;'EDT Y TAREAS'!AL44),'EDT Y TAREAS'!AD44/'EDT Y TAREAS'!M44,0),IF(AND(176&gt;='EDT Y TAREAS'!AK45,176&lt;'EDT Y TAREAS'!AL45),'EDT Y TAREAS'!AD45/'EDT Y TAREAS'!M45,0),IF(AND(176&gt;='EDT Y TAREAS'!AK46,176&lt;'EDT Y TAREAS'!AL46),'EDT Y TAREAS'!AD46/'EDT Y TAREAS'!M46,0),IF(AND(176&gt;='EDT Y TAREAS'!AK47,176&lt;'EDT Y TAREAS'!AL47),'EDT Y TAREAS'!AD47/'EDT Y TAREAS'!M47,0),IF(AND(176&gt;='EDT Y TAREAS'!AK49,176&lt;'EDT Y TAREAS'!AL49),'EDT Y TAREAS'!AD49/'EDT Y TAREAS'!M49,0),IF(AND(176&gt;='EDT Y TAREAS'!AK50,176&lt;'EDT Y TAREAS'!AL50),'EDT Y TAREAS'!AD50/'EDT Y TAREAS'!M50,0),IF(AND(176&gt;='EDT Y TAREAS'!AK51,176&lt;'EDT Y TAREAS'!AL51),'EDT Y TAREAS'!AD51/'EDT Y TAREAS'!M51,0),IF(AND(176&gt;='EDT Y TAREAS'!AK52,176&lt;'EDT Y TAREAS'!AL52),'EDT Y TAREAS'!AD52/'EDT Y TAREAS'!M52,0))</x:f>
        <x:v>0</x:v>
      </x:c>
      <x:c r="C216" s="35" t="n">
        <x:f>SUM(IF(AND(176&gt;='EDT Y TAREAS'!AK6,176&lt;'EDT Y TAREAS'!AL6),'EDT Y TAREAS'!AE6/'EDT Y TAREAS'!M6,0),IF(AND(176&gt;='EDT Y TAREAS'!AK8,176&lt;'EDT Y TAREAS'!AL8),'EDT Y TAREAS'!AE8/'EDT Y TAREAS'!M8,0),IF(AND(176&gt;='EDT Y TAREAS'!AK9,176&lt;'EDT Y TAREAS'!AL9),'EDT Y TAREAS'!AE9/'EDT Y TAREAS'!M9,0),IF(AND(176&gt;='EDT Y TAREAS'!AK10,176&lt;'EDT Y TAREAS'!AL10),'EDT Y TAREAS'!AE10/'EDT Y TAREAS'!M10,0),IF(AND(176&gt;='EDT Y TAREAS'!AK12,176&lt;'EDT Y TAREAS'!AL12),'EDT Y TAREAS'!AE12/'EDT Y TAREAS'!M12,0),IF(AND(176&gt;='EDT Y TAREAS'!AK16,176&lt;'EDT Y TAREAS'!AL16),'EDT Y TAREAS'!AE16/'EDT Y TAREAS'!M16,0),IF(AND(176&gt;='EDT Y TAREAS'!AK21,176&lt;'EDT Y TAREAS'!AL21),'EDT Y TAREAS'!AE21/'EDT Y TAREAS'!M21,0),IF(AND(176&gt;='EDT Y TAREAS'!AK23,176&lt;'EDT Y TAREAS'!AL23),'EDT Y TAREAS'!AE23/'EDT Y TAREAS'!M23,0),IF(AND(176&gt;='EDT Y TAREAS'!AK37,176&lt;'EDT Y TAREAS'!AL37),'EDT Y TAREAS'!AE37/'EDT Y TAREAS'!M37,0),IF(AND(176&gt;='EDT Y TAREAS'!AK38,176&lt;'EDT Y TAREAS'!AL38),'EDT Y TAREAS'!AE38/'EDT Y TAREAS'!M38,0),IF(AND(176&gt;='EDT Y TAREAS'!AK41,176&lt;'EDT Y TAREAS'!AL41),'EDT Y TAREAS'!AE41/'EDT Y TAREAS'!M41,0),IF(AND(176&gt;='EDT Y TAREAS'!AK43,176&lt;'EDT Y TAREAS'!AL43),'EDT Y TAREAS'!AE43/'EDT Y TAREAS'!M43,0),IF(AND(176&gt;='EDT Y TAREAS'!AK44,176&lt;'EDT Y TAREAS'!AL44),'EDT Y TAREAS'!AE44/'EDT Y TAREAS'!M44,0),IF(AND(176&gt;='EDT Y TAREAS'!AK46,176&lt;'EDT Y TAREAS'!AL46),'EDT Y TAREAS'!AE46/'EDT Y TAREAS'!M46,0),IF(AND(176&gt;='EDT Y TAREAS'!AK47,176&lt;'EDT Y TAREAS'!AL47),'EDT Y TAREAS'!AE47/'EDT Y TAREAS'!M47,0),IF(AND(176&gt;='EDT Y TAREAS'!AK51,176&lt;'EDT Y TAREAS'!AL51),'EDT Y TAREAS'!AE51/'EDT Y TAREAS'!M51,0),IF(AND(176&gt;='EDT Y TAREAS'!AK52,176&lt;'EDT Y TAREAS'!AL52),'EDT Y TAREAS'!AE52/'EDT Y TAREAS'!M52,0))</x:f>
        <x:v>0</x:v>
      </x:c>
      <x:c r="D216" s="35" t="n">
        <x:f>SUM(IF(AND(176&gt;='EDT Y TAREAS'!AK11,176&lt;'EDT Y TAREAS'!AL11),'EDT Y TAREAS'!AF11/'EDT Y TAREAS'!M11,0),IF(AND(176&gt;='EDT Y TAREAS'!AK24,176&lt;'EDT Y TAREAS'!AL24),'EDT Y TAREAS'!AF24/'EDT Y TAREAS'!M24,0),IF(AND(176&gt;='EDT Y TAREAS'!AK25,176&lt;'EDT Y TAREAS'!AL25),'EDT Y TAREAS'!AF25/'EDT Y TAREAS'!M25,0),IF(AND(176&gt;='EDT Y TAREAS'!AK26,176&lt;'EDT Y TAREAS'!AL26),'EDT Y TAREAS'!AF26/'EDT Y TAREAS'!M26,0),IF(AND(176&gt;='EDT Y TAREAS'!AK27,176&lt;'EDT Y TAREAS'!AL27),'EDT Y TAREAS'!AF27/'EDT Y TAREAS'!M27,0),IF(AND(176&gt;='EDT Y TAREAS'!AK28,176&lt;'EDT Y TAREAS'!AL28),'EDT Y TAREAS'!AF28/'EDT Y TAREAS'!M28,0),IF(AND(176&gt;='EDT Y TAREAS'!AK31,176&lt;'EDT Y TAREAS'!AL31),'EDT Y TAREAS'!AF31/'EDT Y TAREAS'!M31,0),IF(AND(176&gt;='EDT Y TAREAS'!AK33,176&lt;'EDT Y TAREAS'!AL33),'EDT Y TAREAS'!AF33/'EDT Y TAREAS'!M33,0),IF(AND(176&gt;='EDT Y TAREAS'!AK34,176&lt;'EDT Y TAREAS'!AL34),'EDT Y TAREAS'!AF34/'EDT Y TAREAS'!M34,0),IF(AND(176&gt;='EDT Y TAREAS'!AK35,176&lt;'EDT Y TAREAS'!AL35),'EDT Y TAREAS'!AF35/'EDT Y TAREAS'!M35,0),IF(AND(176&gt;='EDT Y TAREAS'!AK37,176&lt;'EDT Y TAREAS'!AL37),'EDT Y TAREAS'!AF37/'EDT Y TAREAS'!M37,0),IF(AND(176&gt;='EDT Y TAREAS'!AK39,176&lt;'EDT Y TAREAS'!AL39),'EDT Y TAREAS'!AF39/'EDT Y TAREAS'!M39,0),IF(AND(176&gt;='EDT Y TAREAS'!AK40,176&lt;'EDT Y TAREAS'!AL40),'EDT Y TAREAS'!AF40/'EDT Y TAREAS'!M40,0),IF(AND(176&gt;='EDT Y TAREAS'!AK42,176&lt;'EDT Y TAREAS'!AL42),'EDT Y TAREAS'!AF42/'EDT Y TAREAS'!M42,0),IF(AND(176&gt;='EDT Y TAREAS'!AK45,176&lt;'EDT Y TAREAS'!AL45),'EDT Y TAREAS'!AF45/'EDT Y TAREAS'!M45,0),IF(AND(176&gt;='EDT Y TAREAS'!AK49,176&lt;'EDT Y TAREAS'!AL49),'EDT Y TAREAS'!AF49/'EDT Y TAREAS'!M49,0),IF(AND(176&gt;='EDT Y TAREAS'!AK52,176&lt;'EDT Y TAREAS'!AL52),'EDT Y TAREAS'!AF52/'EDT Y TAREAS'!M52,0))</x:f>
        <x:v>0</x:v>
      </x:c>
      <x:c r="E216" s="35" t="n">
        <x:f>SUM(IF(AND(176&gt;='EDT Y TAREAS'!AK29,176&lt;'EDT Y TAREAS'!AL29),'EDT Y TAREAS'!AG29/'EDT Y TAREAS'!M29,0),IF(AND(176&gt;='EDT Y TAREAS'!AK30,176&lt;'EDT Y TAREAS'!AL30),'EDT Y TAREAS'!AG30/'EDT Y TAREAS'!M30,0),IF(AND(176&gt;='EDT Y TAREAS'!AK31,176&lt;'EDT Y TAREAS'!AL31),'EDT Y TAREAS'!AG31/'EDT Y TAREAS'!M31,0),IF(AND(176&gt;='EDT Y TAREAS'!AK32,176&lt;'EDT Y TAREAS'!AL32),'EDT Y TAREAS'!AG32/'EDT Y TAREAS'!M32,0),IF(AND(176&gt;='EDT Y TAREAS'!AK41,176&lt;'EDT Y TAREAS'!AL41),'EDT Y TAREAS'!AG41/'EDT Y TAREAS'!M41,0),IF(AND(176&gt;='EDT Y TAREAS'!AK45,176&lt;'EDT Y TAREAS'!AL45),'EDT Y TAREAS'!AG45/'EDT Y TAREAS'!M45,0),IF(AND(176&gt;='EDT Y TAREAS'!AK48,176&lt;'EDT Y TAREAS'!AL48),'EDT Y TAREAS'!AG48/'EDT Y TAREAS'!M48,0))</x:f>
        <x:v>0</x:v>
      </x:c>
      <x:c r="F216" s="35" t="n">
        <x:f>SUM(IF(AND(176&gt;='EDT Y TAREAS'!AK10,176&lt;'EDT Y TAREAS'!AL10),'EDT Y TAREAS'!AH10/'EDT Y TAREAS'!M10,0),IF(AND(176&gt;='EDT Y TAREAS'!AK12,176&lt;'EDT Y TAREAS'!AL12),'EDT Y TAREAS'!AH12/'EDT Y TAREAS'!M12,0),IF(AND(176&gt;='EDT Y TAREAS'!AK22,176&lt;'EDT Y TAREAS'!AL22),'EDT Y TAREAS'!AH22/'EDT Y TAREAS'!M22,0),IF(AND(176&gt;='EDT Y TAREAS'!AK23,176&lt;'EDT Y TAREAS'!AL23),'EDT Y TAREAS'!AH23/'EDT Y TAREAS'!M23,0),IF(AND(176&gt;='EDT Y TAREAS'!AK29,176&lt;'EDT Y TAREAS'!AL29),'EDT Y TAREAS'!AH29/'EDT Y TAREAS'!M29,0),IF(AND(176&gt;='EDT Y TAREAS'!AK30,176&lt;'EDT Y TAREAS'!AL30),'EDT Y TAREAS'!AH30/'EDT Y TAREAS'!M30,0),IF(AND(176&gt;='EDT Y TAREAS'!AK32,176&lt;'EDT Y TAREAS'!AL32),'EDT Y TAREAS'!AH32/'EDT Y TAREAS'!M32,0),IF(AND(176&gt;='EDT Y TAREAS'!AK41,176&lt;'EDT Y TAREAS'!AL41),'EDT Y TAREAS'!AH41/'EDT Y TAREAS'!M41,0),IF(AND(176&gt;='EDT Y TAREAS'!AK44,176&lt;'EDT Y TAREAS'!AL44),'EDT Y TAREAS'!AH44/'EDT Y TAREAS'!M44,0),IF(AND(176&gt;='EDT Y TAREAS'!AK46,176&lt;'EDT Y TAREAS'!AL46),'EDT Y TAREAS'!AH46/'EDT Y TAREAS'!M46,0),IF(AND(176&gt;='EDT Y TAREAS'!AK48,176&lt;'EDT Y TAREAS'!AL48),'EDT Y TAREAS'!AH48/'EDT Y TAREAS'!M48,0))</x:f>
        <x:v>0</x:v>
      </x:c>
      <x:c r="G216" s="35" t="n">
        <x:f>SUM(IF(AND(176&gt;='EDT Y TAREAS'!AK20,176&lt;'EDT Y TAREAS'!AL20),'EDT Y TAREAS'!AI20/'EDT Y TAREAS'!M20,0),IF(AND(176&gt;='EDT Y TAREAS'!AK25,176&lt;'EDT Y TAREAS'!AL25),'EDT Y TAREAS'!AI25/'EDT Y TAREAS'!M25,0),IF(AND(176&gt;='EDT Y TAREAS'!AK33,176&lt;'EDT Y TAREAS'!AL33),'EDT Y TAREAS'!AI33/'EDT Y TAREAS'!M33,0),IF(AND(176&gt;='EDT Y TAREAS'!AK34,176&lt;'EDT Y TAREAS'!AL34),'EDT Y TAREAS'!AI34/'EDT Y TAREAS'!M34,0),IF(AND(176&gt;='EDT Y TAREAS'!AK36,176&lt;'EDT Y TAREAS'!AL36),'EDT Y TAREAS'!AI36/'EDT Y TAREAS'!M36,0),IF(AND(176&gt;='EDT Y TAREAS'!AK39,176&lt;'EDT Y TAREAS'!AL39),'EDT Y TAREAS'!AI39/'EDT Y TAREAS'!M39,0),IF(AND(176&gt;='EDT Y TAREAS'!AK40,176&lt;'EDT Y TAREAS'!AL40),'EDT Y TAREAS'!AI40/'EDT Y TAREAS'!M40,0),IF(AND(176&gt;='EDT Y TAREAS'!AK42,176&lt;'EDT Y TAREAS'!AL42),'EDT Y TAREAS'!AI42/'EDT Y TAREAS'!M42,0),IF(AND(176&gt;='EDT Y TAREAS'!AK43,176&lt;'EDT Y TAREAS'!AL43),'EDT Y TAREAS'!AI43/'EDT Y TAREAS'!M43,0),IF(AND(176&gt;='EDT Y TAREAS'!AK44,176&lt;'EDT Y TAREAS'!AL44),'EDT Y TAREAS'!AI44/'EDT Y TAREAS'!M44,0),IF(AND(176&gt;='EDT Y TAREAS'!AK45,176&lt;'EDT Y TAREAS'!AL45),'EDT Y TAREAS'!AI45/'EDT Y TAREAS'!M45,0),IF(AND(176&gt;='EDT Y TAREAS'!AK46,176&lt;'EDT Y TAREAS'!AL46),'EDT Y TAREAS'!AI46/'EDT Y TAREAS'!M46,0),IF(AND(176&gt;='EDT Y TAREAS'!AK48,176&lt;'EDT Y TAREAS'!AL48),'EDT Y TAREAS'!AI48/'EDT Y TAREAS'!M48,0),IF(AND(176&gt;='EDT Y TAREAS'!AK50,176&lt;'EDT Y TAREAS'!AL50),'EDT Y TAREAS'!AI50/'EDT Y TAREAS'!M50,0),IF(AND(176&gt;='EDT Y TAREAS'!AK52,176&lt;'EDT Y TAREAS'!AL52),'EDT Y TAREAS'!AI52/'EDT Y TAREAS'!M52,0))</x:f>
        <x:v>0</x:v>
      </x:c>
      <x:c r="H216" s="35" t="n">
        <x:f>SUM(IF(AND(176&gt;='EDT Y TAREAS'!AK11,176&lt;'EDT Y TAREAS'!AL11),'EDT Y TAREAS'!AJ11/'EDT Y TAREAS'!M11,0),IF(AND(176&gt;='EDT Y TAREAS'!AK24,176&lt;'EDT Y TAREAS'!AL24),'EDT Y TAREAS'!AJ24/'EDT Y TAREAS'!M24,0),IF(AND(176&gt;='EDT Y TAREAS'!AK27,176&lt;'EDT Y TAREAS'!AL27),'EDT Y TAREAS'!AJ27/'EDT Y TAREAS'!M27,0),IF(AND(176&gt;='EDT Y TAREAS'!AK28,176&lt;'EDT Y TAREAS'!AL28),'EDT Y TAREAS'!AJ28/'EDT Y TAREAS'!M28,0),IF(AND(176&gt;='EDT Y TAREAS'!AK33,176&lt;'EDT Y TAREAS'!AL33),'EDT Y TAREAS'!AJ33/'EDT Y TAREAS'!M33,0),IF(AND(176&gt;='EDT Y TAREAS'!AK35,176&lt;'EDT Y TAREAS'!AL35),'EDT Y TAREAS'!AJ35/'EDT Y TAREAS'!M35,0),IF(AND(176&gt;='EDT Y TAREAS'!AK36,176&lt;'EDT Y TAREAS'!AL36),'EDT Y TAREAS'!AJ36/'EDT Y TAREAS'!M36,0),IF(AND(176&gt;='EDT Y TAREAS'!AK37,176&lt;'EDT Y TAREAS'!AL37),'EDT Y TAREAS'!AJ37/'EDT Y TAREAS'!M37,0),IF(AND(176&gt;='EDT Y TAREAS'!AK40,176&lt;'EDT Y TAREAS'!AL40),'EDT Y TAREAS'!AJ40/'EDT Y TAREAS'!M40,0),IF(AND(176&gt;='EDT Y TAREAS'!AK42,176&lt;'EDT Y TAREAS'!AL42),'EDT Y TAREAS'!AJ42/'EDT Y TAREAS'!M42,0),IF(AND(176&gt;='EDT Y TAREAS'!AK49,176&lt;'EDT Y TAREAS'!AL49),'EDT Y TAREAS'!AJ49/'EDT Y TAREAS'!M49,0),IF(AND(176&gt;='EDT Y TAREAS'!AK50,176&lt;'EDT Y TAREAS'!AL50),'EDT Y TAREAS'!AJ50/'EDT Y TAREAS'!M50,0),IF(AND(176&gt;='EDT Y TAREAS'!AK51,176&lt;'EDT Y TAREAS'!AL51),'EDT Y TAREAS'!AJ51/'EDT Y TAREAS'!M51,0),IF(AND(176&gt;='EDT Y TAREAS'!AK52,176&lt;'EDT Y TAREAS'!AL52),'EDT Y TAREAS'!AJ52/'EDT Y TAREAS'!M52,0))</x:f>
        <x:v>0</x:v>
      </x:c>
      <x:c r="I216" s="10" t="n">
        <x:f>WORKDAY('RESUMEN'!$D$3-1,A216,'RESUMEN'!$J$6:$J$25)</x:f>
        <x:v>46574</x:v>
      </x:c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  <x:c r="AL216" s="3"/>
      <x:c r="AM216" s="3"/>
      <x:c r="AN216" s="3"/>
      <x:c r="AO216" s="3"/>
    </x:row>
    <x:row r="217" ht="24" customHeight="1">
      <x:c r="A217" s="3" t="n">
        <x:v>178</x:v>
      </x:c>
      <x:c r="B217" s="35" t="n">
        <x:f>SUM(IF(AND(177&gt;='EDT Y TAREAS'!AK6,177&lt;'EDT Y TAREAS'!AL6),'EDT Y TAREAS'!AD6/'EDT Y TAREAS'!M6,0),IF(AND(177&gt;='EDT Y TAREAS'!AK7,177&lt;'EDT Y TAREAS'!AL7),'EDT Y TAREAS'!AD7/'EDT Y TAREAS'!M7,0),IF(AND(177&gt;='EDT Y TAREAS'!AK8,177&lt;'EDT Y TAREAS'!AL8),'EDT Y TAREAS'!AD8/'EDT Y TAREAS'!M8,0),IF(AND(177&gt;='EDT Y TAREAS'!AK9,177&lt;'EDT Y TAREAS'!AL9),'EDT Y TAREAS'!AD9/'EDT Y TAREAS'!M9,0),IF(AND(177&gt;='EDT Y TAREAS'!AK10,177&lt;'EDT Y TAREAS'!AL10),'EDT Y TAREAS'!AD10/'EDT Y TAREAS'!M10,0),IF(AND(177&gt;='EDT Y TAREAS'!AK11,177&lt;'EDT Y TAREAS'!AL11),'EDT Y TAREAS'!AD11/'EDT Y TAREAS'!M11,0),IF(AND(177&gt;='EDT Y TAREAS'!AK12,177&lt;'EDT Y TAREAS'!AL12),'EDT Y TAREAS'!AD12/'EDT Y TAREAS'!M12,0),IF(AND(177&gt;='EDT Y TAREAS'!AK13,177&lt;'EDT Y TAREAS'!AL13),'EDT Y TAREAS'!AD13/'EDT Y TAREAS'!M13,0),IF(AND(177&gt;='EDT Y TAREAS'!AK14,177&lt;'EDT Y TAREAS'!AL14),'EDT Y TAREAS'!AD14/'EDT Y TAREAS'!M14,0),IF(AND(177&gt;='EDT Y TAREAS'!AK15,177&lt;'EDT Y TAREAS'!AL15),'EDT Y TAREAS'!AD15/'EDT Y TAREAS'!M15,0),IF(AND(177&gt;='EDT Y TAREAS'!AK16,177&lt;'EDT Y TAREAS'!AL16),'EDT Y TAREAS'!AD16/'EDT Y TAREAS'!M16,0),IF(AND(177&gt;='EDT Y TAREAS'!AK17,177&lt;'EDT Y TAREAS'!AL17),'EDT Y TAREAS'!AD17/'EDT Y TAREAS'!M17,0),IF(AND(177&gt;='EDT Y TAREAS'!AK18,177&lt;'EDT Y TAREAS'!AL18),'EDT Y TAREAS'!AD18/'EDT Y TAREAS'!M18,0),IF(AND(177&gt;='EDT Y TAREAS'!AK19,177&lt;'EDT Y TAREAS'!AL19),'EDT Y TAREAS'!AD19/'EDT Y TAREAS'!M19,0),IF(AND(177&gt;='EDT Y TAREAS'!AK20,177&lt;'EDT Y TAREAS'!AL20),'EDT Y TAREAS'!AD20/'EDT Y TAREAS'!M20,0),IF(AND(177&gt;='EDT Y TAREAS'!AK21,177&lt;'EDT Y TAREAS'!AL21),'EDT Y TAREAS'!AD21/'EDT Y TAREAS'!M21,0),IF(AND(177&gt;='EDT Y TAREAS'!AK22,177&lt;'EDT Y TAREAS'!AL22),'EDT Y TAREAS'!AD22/'EDT Y TAREAS'!M22,0),IF(AND(177&gt;='EDT Y TAREAS'!AK23,177&lt;'EDT Y TAREAS'!AL23),'EDT Y TAREAS'!AD23/'EDT Y TAREAS'!M23,0),IF(AND(177&gt;='EDT Y TAREAS'!AK26,177&lt;'EDT Y TAREAS'!AL26),'EDT Y TAREAS'!AD26/'EDT Y TAREAS'!M26,0),IF(AND(177&gt;='EDT Y TAREAS'!AK28,177&lt;'EDT Y TAREAS'!AL28),'EDT Y TAREAS'!AD28/'EDT Y TAREAS'!M28,0),IF(AND(177&gt;='EDT Y TAREAS'!AK30,177&lt;'EDT Y TAREAS'!AL30),'EDT Y TAREAS'!AD30/'EDT Y TAREAS'!M30,0),IF(AND(177&gt;='EDT Y TAREAS'!AK32,177&lt;'EDT Y TAREAS'!AL32),'EDT Y TAREAS'!AD32/'EDT Y TAREAS'!M32,0),IF(AND(177&gt;='EDT Y TAREAS'!AK34,177&lt;'EDT Y TAREAS'!AL34),'EDT Y TAREAS'!AD34/'EDT Y TAREAS'!M34,0),IF(AND(177&gt;='EDT Y TAREAS'!AK38,177&lt;'EDT Y TAREAS'!AL38),'EDT Y TAREAS'!AD38/'EDT Y TAREAS'!M38,0),IF(AND(177&gt;='EDT Y TAREAS'!AK39,177&lt;'EDT Y TAREAS'!AL39),'EDT Y TAREAS'!AD39/'EDT Y TAREAS'!M39,0),IF(AND(177&gt;='EDT Y TAREAS'!AK43,177&lt;'EDT Y TAREAS'!AL43),'EDT Y TAREAS'!AD43/'EDT Y TAREAS'!M43,0),IF(AND(177&gt;='EDT Y TAREAS'!AK44,177&lt;'EDT Y TAREAS'!AL44),'EDT Y TAREAS'!AD44/'EDT Y TAREAS'!M44,0),IF(AND(177&gt;='EDT Y TAREAS'!AK45,177&lt;'EDT Y TAREAS'!AL45),'EDT Y TAREAS'!AD45/'EDT Y TAREAS'!M45,0),IF(AND(177&gt;='EDT Y TAREAS'!AK46,177&lt;'EDT Y TAREAS'!AL46),'EDT Y TAREAS'!AD46/'EDT Y TAREAS'!M46,0),IF(AND(177&gt;='EDT Y TAREAS'!AK47,177&lt;'EDT Y TAREAS'!AL47),'EDT Y TAREAS'!AD47/'EDT Y TAREAS'!M47,0),IF(AND(177&gt;='EDT Y TAREAS'!AK49,177&lt;'EDT Y TAREAS'!AL49),'EDT Y TAREAS'!AD49/'EDT Y TAREAS'!M49,0),IF(AND(177&gt;='EDT Y TAREAS'!AK50,177&lt;'EDT Y TAREAS'!AL50),'EDT Y TAREAS'!AD50/'EDT Y TAREAS'!M50,0),IF(AND(177&gt;='EDT Y TAREAS'!AK51,177&lt;'EDT Y TAREAS'!AL51),'EDT Y TAREAS'!AD51/'EDT Y TAREAS'!M51,0),IF(AND(177&gt;='EDT Y TAREAS'!AK52,177&lt;'EDT Y TAREAS'!AL52),'EDT Y TAREAS'!AD52/'EDT Y TAREAS'!M52,0))</x:f>
        <x:v>0</x:v>
      </x:c>
      <x:c r="C217" s="35" t="n">
        <x:f>SUM(IF(AND(177&gt;='EDT Y TAREAS'!AK6,177&lt;'EDT Y TAREAS'!AL6),'EDT Y TAREAS'!AE6/'EDT Y TAREAS'!M6,0),IF(AND(177&gt;='EDT Y TAREAS'!AK8,177&lt;'EDT Y TAREAS'!AL8),'EDT Y TAREAS'!AE8/'EDT Y TAREAS'!M8,0),IF(AND(177&gt;='EDT Y TAREAS'!AK9,177&lt;'EDT Y TAREAS'!AL9),'EDT Y TAREAS'!AE9/'EDT Y TAREAS'!M9,0),IF(AND(177&gt;='EDT Y TAREAS'!AK10,177&lt;'EDT Y TAREAS'!AL10),'EDT Y TAREAS'!AE10/'EDT Y TAREAS'!M10,0),IF(AND(177&gt;='EDT Y TAREAS'!AK12,177&lt;'EDT Y TAREAS'!AL12),'EDT Y TAREAS'!AE12/'EDT Y TAREAS'!M12,0),IF(AND(177&gt;='EDT Y TAREAS'!AK16,177&lt;'EDT Y TAREAS'!AL16),'EDT Y TAREAS'!AE16/'EDT Y TAREAS'!M16,0),IF(AND(177&gt;='EDT Y TAREAS'!AK21,177&lt;'EDT Y TAREAS'!AL21),'EDT Y TAREAS'!AE21/'EDT Y TAREAS'!M21,0),IF(AND(177&gt;='EDT Y TAREAS'!AK23,177&lt;'EDT Y TAREAS'!AL23),'EDT Y TAREAS'!AE23/'EDT Y TAREAS'!M23,0),IF(AND(177&gt;='EDT Y TAREAS'!AK37,177&lt;'EDT Y TAREAS'!AL37),'EDT Y TAREAS'!AE37/'EDT Y TAREAS'!M37,0),IF(AND(177&gt;='EDT Y TAREAS'!AK38,177&lt;'EDT Y TAREAS'!AL38),'EDT Y TAREAS'!AE38/'EDT Y TAREAS'!M38,0),IF(AND(177&gt;='EDT Y TAREAS'!AK41,177&lt;'EDT Y TAREAS'!AL41),'EDT Y TAREAS'!AE41/'EDT Y TAREAS'!M41,0),IF(AND(177&gt;='EDT Y TAREAS'!AK43,177&lt;'EDT Y TAREAS'!AL43),'EDT Y TAREAS'!AE43/'EDT Y TAREAS'!M43,0),IF(AND(177&gt;='EDT Y TAREAS'!AK44,177&lt;'EDT Y TAREAS'!AL44),'EDT Y TAREAS'!AE44/'EDT Y TAREAS'!M44,0),IF(AND(177&gt;='EDT Y TAREAS'!AK46,177&lt;'EDT Y TAREAS'!AL46),'EDT Y TAREAS'!AE46/'EDT Y TAREAS'!M46,0),IF(AND(177&gt;='EDT Y TAREAS'!AK47,177&lt;'EDT Y TAREAS'!AL47),'EDT Y TAREAS'!AE47/'EDT Y TAREAS'!M47,0),IF(AND(177&gt;='EDT Y TAREAS'!AK51,177&lt;'EDT Y TAREAS'!AL51),'EDT Y TAREAS'!AE51/'EDT Y TAREAS'!M51,0),IF(AND(177&gt;='EDT Y TAREAS'!AK52,177&lt;'EDT Y TAREAS'!AL52),'EDT Y TAREAS'!AE52/'EDT Y TAREAS'!M52,0))</x:f>
        <x:v>0</x:v>
      </x:c>
      <x:c r="D217" s="35" t="n">
        <x:f>SUM(IF(AND(177&gt;='EDT Y TAREAS'!AK11,177&lt;'EDT Y TAREAS'!AL11),'EDT Y TAREAS'!AF11/'EDT Y TAREAS'!M11,0),IF(AND(177&gt;='EDT Y TAREAS'!AK24,177&lt;'EDT Y TAREAS'!AL24),'EDT Y TAREAS'!AF24/'EDT Y TAREAS'!M24,0),IF(AND(177&gt;='EDT Y TAREAS'!AK25,177&lt;'EDT Y TAREAS'!AL25),'EDT Y TAREAS'!AF25/'EDT Y TAREAS'!M25,0),IF(AND(177&gt;='EDT Y TAREAS'!AK26,177&lt;'EDT Y TAREAS'!AL26),'EDT Y TAREAS'!AF26/'EDT Y TAREAS'!M26,0),IF(AND(177&gt;='EDT Y TAREAS'!AK27,177&lt;'EDT Y TAREAS'!AL27),'EDT Y TAREAS'!AF27/'EDT Y TAREAS'!M27,0),IF(AND(177&gt;='EDT Y TAREAS'!AK28,177&lt;'EDT Y TAREAS'!AL28),'EDT Y TAREAS'!AF28/'EDT Y TAREAS'!M28,0),IF(AND(177&gt;='EDT Y TAREAS'!AK31,177&lt;'EDT Y TAREAS'!AL31),'EDT Y TAREAS'!AF31/'EDT Y TAREAS'!M31,0),IF(AND(177&gt;='EDT Y TAREAS'!AK33,177&lt;'EDT Y TAREAS'!AL33),'EDT Y TAREAS'!AF33/'EDT Y TAREAS'!M33,0),IF(AND(177&gt;='EDT Y TAREAS'!AK34,177&lt;'EDT Y TAREAS'!AL34),'EDT Y TAREAS'!AF34/'EDT Y TAREAS'!M34,0),IF(AND(177&gt;='EDT Y TAREAS'!AK35,177&lt;'EDT Y TAREAS'!AL35),'EDT Y TAREAS'!AF35/'EDT Y TAREAS'!M35,0),IF(AND(177&gt;='EDT Y TAREAS'!AK37,177&lt;'EDT Y TAREAS'!AL37),'EDT Y TAREAS'!AF37/'EDT Y TAREAS'!M37,0),IF(AND(177&gt;='EDT Y TAREAS'!AK39,177&lt;'EDT Y TAREAS'!AL39),'EDT Y TAREAS'!AF39/'EDT Y TAREAS'!M39,0),IF(AND(177&gt;='EDT Y TAREAS'!AK40,177&lt;'EDT Y TAREAS'!AL40),'EDT Y TAREAS'!AF40/'EDT Y TAREAS'!M40,0),IF(AND(177&gt;='EDT Y TAREAS'!AK42,177&lt;'EDT Y TAREAS'!AL42),'EDT Y TAREAS'!AF42/'EDT Y TAREAS'!M42,0),IF(AND(177&gt;='EDT Y TAREAS'!AK45,177&lt;'EDT Y TAREAS'!AL45),'EDT Y TAREAS'!AF45/'EDT Y TAREAS'!M45,0),IF(AND(177&gt;='EDT Y TAREAS'!AK49,177&lt;'EDT Y TAREAS'!AL49),'EDT Y TAREAS'!AF49/'EDT Y TAREAS'!M49,0),IF(AND(177&gt;='EDT Y TAREAS'!AK52,177&lt;'EDT Y TAREAS'!AL52),'EDT Y TAREAS'!AF52/'EDT Y TAREAS'!M52,0))</x:f>
        <x:v>0</x:v>
      </x:c>
      <x:c r="E217" s="35" t="n">
        <x:f>SUM(IF(AND(177&gt;='EDT Y TAREAS'!AK29,177&lt;'EDT Y TAREAS'!AL29),'EDT Y TAREAS'!AG29/'EDT Y TAREAS'!M29,0),IF(AND(177&gt;='EDT Y TAREAS'!AK30,177&lt;'EDT Y TAREAS'!AL30),'EDT Y TAREAS'!AG30/'EDT Y TAREAS'!M30,0),IF(AND(177&gt;='EDT Y TAREAS'!AK31,177&lt;'EDT Y TAREAS'!AL31),'EDT Y TAREAS'!AG31/'EDT Y TAREAS'!M31,0),IF(AND(177&gt;='EDT Y TAREAS'!AK32,177&lt;'EDT Y TAREAS'!AL32),'EDT Y TAREAS'!AG32/'EDT Y TAREAS'!M32,0),IF(AND(177&gt;='EDT Y TAREAS'!AK41,177&lt;'EDT Y TAREAS'!AL41),'EDT Y TAREAS'!AG41/'EDT Y TAREAS'!M41,0),IF(AND(177&gt;='EDT Y TAREAS'!AK45,177&lt;'EDT Y TAREAS'!AL45),'EDT Y TAREAS'!AG45/'EDT Y TAREAS'!M45,0),IF(AND(177&gt;='EDT Y TAREAS'!AK48,177&lt;'EDT Y TAREAS'!AL48),'EDT Y TAREAS'!AG48/'EDT Y TAREAS'!M48,0))</x:f>
        <x:v>0</x:v>
      </x:c>
      <x:c r="F217" s="35" t="n">
        <x:f>SUM(IF(AND(177&gt;='EDT Y TAREAS'!AK10,177&lt;'EDT Y TAREAS'!AL10),'EDT Y TAREAS'!AH10/'EDT Y TAREAS'!M10,0),IF(AND(177&gt;='EDT Y TAREAS'!AK12,177&lt;'EDT Y TAREAS'!AL12),'EDT Y TAREAS'!AH12/'EDT Y TAREAS'!M12,0),IF(AND(177&gt;='EDT Y TAREAS'!AK22,177&lt;'EDT Y TAREAS'!AL22),'EDT Y TAREAS'!AH22/'EDT Y TAREAS'!M22,0),IF(AND(177&gt;='EDT Y TAREAS'!AK23,177&lt;'EDT Y TAREAS'!AL23),'EDT Y TAREAS'!AH23/'EDT Y TAREAS'!M23,0),IF(AND(177&gt;='EDT Y TAREAS'!AK29,177&lt;'EDT Y TAREAS'!AL29),'EDT Y TAREAS'!AH29/'EDT Y TAREAS'!M29,0),IF(AND(177&gt;='EDT Y TAREAS'!AK30,177&lt;'EDT Y TAREAS'!AL30),'EDT Y TAREAS'!AH30/'EDT Y TAREAS'!M30,0),IF(AND(177&gt;='EDT Y TAREAS'!AK32,177&lt;'EDT Y TAREAS'!AL32),'EDT Y TAREAS'!AH32/'EDT Y TAREAS'!M32,0),IF(AND(177&gt;='EDT Y TAREAS'!AK41,177&lt;'EDT Y TAREAS'!AL41),'EDT Y TAREAS'!AH41/'EDT Y TAREAS'!M41,0),IF(AND(177&gt;='EDT Y TAREAS'!AK44,177&lt;'EDT Y TAREAS'!AL44),'EDT Y TAREAS'!AH44/'EDT Y TAREAS'!M44,0),IF(AND(177&gt;='EDT Y TAREAS'!AK46,177&lt;'EDT Y TAREAS'!AL46),'EDT Y TAREAS'!AH46/'EDT Y TAREAS'!M46,0),IF(AND(177&gt;='EDT Y TAREAS'!AK48,177&lt;'EDT Y TAREAS'!AL48),'EDT Y TAREAS'!AH48/'EDT Y TAREAS'!M48,0))</x:f>
        <x:v>0</x:v>
      </x:c>
      <x:c r="G217" s="35" t="n">
        <x:f>SUM(IF(AND(177&gt;='EDT Y TAREAS'!AK20,177&lt;'EDT Y TAREAS'!AL20),'EDT Y TAREAS'!AI20/'EDT Y TAREAS'!M20,0),IF(AND(177&gt;='EDT Y TAREAS'!AK25,177&lt;'EDT Y TAREAS'!AL25),'EDT Y TAREAS'!AI25/'EDT Y TAREAS'!M25,0),IF(AND(177&gt;='EDT Y TAREAS'!AK33,177&lt;'EDT Y TAREAS'!AL33),'EDT Y TAREAS'!AI33/'EDT Y TAREAS'!M33,0),IF(AND(177&gt;='EDT Y TAREAS'!AK34,177&lt;'EDT Y TAREAS'!AL34),'EDT Y TAREAS'!AI34/'EDT Y TAREAS'!M34,0),IF(AND(177&gt;='EDT Y TAREAS'!AK36,177&lt;'EDT Y TAREAS'!AL36),'EDT Y TAREAS'!AI36/'EDT Y TAREAS'!M36,0),IF(AND(177&gt;='EDT Y TAREAS'!AK39,177&lt;'EDT Y TAREAS'!AL39),'EDT Y TAREAS'!AI39/'EDT Y TAREAS'!M39,0),IF(AND(177&gt;='EDT Y TAREAS'!AK40,177&lt;'EDT Y TAREAS'!AL40),'EDT Y TAREAS'!AI40/'EDT Y TAREAS'!M40,0),IF(AND(177&gt;='EDT Y TAREAS'!AK42,177&lt;'EDT Y TAREAS'!AL42),'EDT Y TAREAS'!AI42/'EDT Y TAREAS'!M42,0),IF(AND(177&gt;='EDT Y TAREAS'!AK43,177&lt;'EDT Y TAREAS'!AL43),'EDT Y TAREAS'!AI43/'EDT Y TAREAS'!M43,0),IF(AND(177&gt;='EDT Y TAREAS'!AK44,177&lt;'EDT Y TAREAS'!AL44),'EDT Y TAREAS'!AI44/'EDT Y TAREAS'!M44,0),IF(AND(177&gt;='EDT Y TAREAS'!AK45,177&lt;'EDT Y TAREAS'!AL45),'EDT Y TAREAS'!AI45/'EDT Y TAREAS'!M45,0),IF(AND(177&gt;='EDT Y TAREAS'!AK46,177&lt;'EDT Y TAREAS'!AL46),'EDT Y TAREAS'!AI46/'EDT Y TAREAS'!M46,0),IF(AND(177&gt;='EDT Y TAREAS'!AK48,177&lt;'EDT Y TAREAS'!AL48),'EDT Y TAREAS'!AI48/'EDT Y TAREAS'!M48,0),IF(AND(177&gt;='EDT Y TAREAS'!AK50,177&lt;'EDT Y TAREAS'!AL50),'EDT Y TAREAS'!AI50/'EDT Y TAREAS'!M50,0),IF(AND(177&gt;='EDT Y TAREAS'!AK52,177&lt;'EDT Y TAREAS'!AL52),'EDT Y TAREAS'!AI52/'EDT Y TAREAS'!M52,0))</x:f>
        <x:v>0</x:v>
      </x:c>
      <x:c r="H217" s="35" t="n">
        <x:f>SUM(IF(AND(177&gt;='EDT Y TAREAS'!AK11,177&lt;'EDT Y TAREAS'!AL11),'EDT Y TAREAS'!AJ11/'EDT Y TAREAS'!M11,0),IF(AND(177&gt;='EDT Y TAREAS'!AK24,177&lt;'EDT Y TAREAS'!AL24),'EDT Y TAREAS'!AJ24/'EDT Y TAREAS'!M24,0),IF(AND(177&gt;='EDT Y TAREAS'!AK27,177&lt;'EDT Y TAREAS'!AL27),'EDT Y TAREAS'!AJ27/'EDT Y TAREAS'!M27,0),IF(AND(177&gt;='EDT Y TAREAS'!AK28,177&lt;'EDT Y TAREAS'!AL28),'EDT Y TAREAS'!AJ28/'EDT Y TAREAS'!M28,0),IF(AND(177&gt;='EDT Y TAREAS'!AK33,177&lt;'EDT Y TAREAS'!AL33),'EDT Y TAREAS'!AJ33/'EDT Y TAREAS'!M33,0),IF(AND(177&gt;='EDT Y TAREAS'!AK35,177&lt;'EDT Y TAREAS'!AL35),'EDT Y TAREAS'!AJ35/'EDT Y TAREAS'!M35,0),IF(AND(177&gt;='EDT Y TAREAS'!AK36,177&lt;'EDT Y TAREAS'!AL36),'EDT Y TAREAS'!AJ36/'EDT Y TAREAS'!M36,0),IF(AND(177&gt;='EDT Y TAREAS'!AK37,177&lt;'EDT Y TAREAS'!AL37),'EDT Y TAREAS'!AJ37/'EDT Y TAREAS'!M37,0),IF(AND(177&gt;='EDT Y TAREAS'!AK40,177&lt;'EDT Y TAREAS'!AL40),'EDT Y TAREAS'!AJ40/'EDT Y TAREAS'!M40,0),IF(AND(177&gt;='EDT Y TAREAS'!AK42,177&lt;'EDT Y TAREAS'!AL42),'EDT Y TAREAS'!AJ42/'EDT Y TAREAS'!M42,0),IF(AND(177&gt;='EDT Y TAREAS'!AK49,177&lt;'EDT Y TAREAS'!AL49),'EDT Y TAREAS'!AJ49/'EDT Y TAREAS'!M49,0),IF(AND(177&gt;='EDT Y TAREAS'!AK50,177&lt;'EDT Y TAREAS'!AL50),'EDT Y TAREAS'!AJ50/'EDT Y TAREAS'!M50,0),IF(AND(177&gt;='EDT Y TAREAS'!AK51,177&lt;'EDT Y TAREAS'!AL51),'EDT Y TAREAS'!AJ51/'EDT Y TAREAS'!M51,0),IF(AND(177&gt;='EDT Y TAREAS'!AK52,177&lt;'EDT Y TAREAS'!AL52),'EDT Y TAREAS'!AJ52/'EDT Y TAREAS'!M52,0))</x:f>
        <x:v>0</x:v>
      </x:c>
      <x:c r="I217" s="10" t="n">
        <x:f>WORKDAY('RESUMEN'!$D$3-1,A217,'RESUMEN'!$J$6:$J$25)</x:f>
        <x:v>46575</x:v>
      </x:c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  <x:c r="AM217" s="3"/>
      <x:c r="AN217" s="3"/>
      <x:c r="AO217" s="3"/>
    </x:row>
    <x:row r="218" ht="24" customHeight="1">
      <x:c r="A218" s="3" t="n">
        <x:v>179</x:v>
      </x:c>
      <x:c r="B218" s="35" t="n">
        <x:f>SUM(IF(AND(178&gt;='EDT Y TAREAS'!AK6,178&lt;'EDT Y TAREAS'!AL6),'EDT Y TAREAS'!AD6/'EDT Y TAREAS'!M6,0),IF(AND(178&gt;='EDT Y TAREAS'!AK7,178&lt;'EDT Y TAREAS'!AL7),'EDT Y TAREAS'!AD7/'EDT Y TAREAS'!M7,0),IF(AND(178&gt;='EDT Y TAREAS'!AK8,178&lt;'EDT Y TAREAS'!AL8),'EDT Y TAREAS'!AD8/'EDT Y TAREAS'!M8,0),IF(AND(178&gt;='EDT Y TAREAS'!AK9,178&lt;'EDT Y TAREAS'!AL9),'EDT Y TAREAS'!AD9/'EDT Y TAREAS'!M9,0),IF(AND(178&gt;='EDT Y TAREAS'!AK10,178&lt;'EDT Y TAREAS'!AL10),'EDT Y TAREAS'!AD10/'EDT Y TAREAS'!M10,0),IF(AND(178&gt;='EDT Y TAREAS'!AK11,178&lt;'EDT Y TAREAS'!AL11),'EDT Y TAREAS'!AD11/'EDT Y TAREAS'!M11,0),IF(AND(178&gt;='EDT Y TAREAS'!AK12,178&lt;'EDT Y TAREAS'!AL12),'EDT Y TAREAS'!AD12/'EDT Y TAREAS'!M12,0),IF(AND(178&gt;='EDT Y TAREAS'!AK13,178&lt;'EDT Y TAREAS'!AL13),'EDT Y TAREAS'!AD13/'EDT Y TAREAS'!M13,0),IF(AND(178&gt;='EDT Y TAREAS'!AK14,178&lt;'EDT Y TAREAS'!AL14),'EDT Y TAREAS'!AD14/'EDT Y TAREAS'!M14,0),IF(AND(178&gt;='EDT Y TAREAS'!AK15,178&lt;'EDT Y TAREAS'!AL15),'EDT Y TAREAS'!AD15/'EDT Y TAREAS'!M15,0),IF(AND(178&gt;='EDT Y TAREAS'!AK16,178&lt;'EDT Y TAREAS'!AL16),'EDT Y TAREAS'!AD16/'EDT Y TAREAS'!M16,0),IF(AND(178&gt;='EDT Y TAREAS'!AK17,178&lt;'EDT Y TAREAS'!AL17),'EDT Y TAREAS'!AD17/'EDT Y TAREAS'!M17,0),IF(AND(178&gt;='EDT Y TAREAS'!AK18,178&lt;'EDT Y TAREAS'!AL18),'EDT Y TAREAS'!AD18/'EDT Y TAREAS'!M18,0),IF(AND(178&gt;='EDT Y TAREAS'!AK19,178&lt;'EDT Y TAREAS'!AL19),'EDT Y TAREAS'!AD19/'EDT Y TAREAS'!M19,0),IF(AND(178&gt;='EDT Y TAREAS'!AK20,178&lt;'EDT Y TAREAS'!AL20),'EDT Y TAREAS'!AD20/'EDT Y TAREAS'!M20,0),IF(AND(178&gt;='EDT Y TAREAS'!AK21,178&lt;'EDT Y TAREAS'!AL21),'EDT Y TAREAS'!AD21/'EDT Y TAREAS'!M21,0),IF(AND(178&gt;='EDT Y TAREAS'!AK22,178&lt;'EDT Y TAREAS'!AL22),'EDT Y TAREAS'!AD22/'EDT Y TAREAS'!M22,0),IF(AND(178&gt;='EDT Y TAREAS'!AK23,178&lt;'EDT Y TAREAS'!AL23),'EDT Y TAREAS'!AD23/'EDT Y TAREAS'!M23,0),IF(AND(178&gt;='EDT Y TAREAS'!AK26,178&lt;'EDT Y TAREAS'!AL26),'EDT Y TAREAS'!AD26/'EDT Y TAREAS'!M26,0),IF(AND(178&gt;='EDT Y TAREAS'!AK28,178&lt;'EDT Y TAREAS'!AL28),'EDT Y TAREAS'!AD28/'EDT Y TAREAS'!M28,0),IF(AND(178&gt;='EDT Y TAREAS'!AK30,178&lt;'EDT Y TAREAS'!AL30),'EDT Y TAREAS'!AD30/'EDT Y TAREAS'!M30,0),IF(AND(178&gt;='EDT Y TAREAS'!AK32,178&lt;'EDT Y TAREAS'!AL32),'EDT Y TAREAS'!AD32/'EDT Y TAREAS'!M32,0),IF(AND(178&gt;='EDT Y TAREAS'!AK34,178&lt;'EDT Y TAREAS'!AL34),'EDT Y TAREAS'!AD34/'EDT Y TAREAS'!M34,0),IF(AND(178&gt;='EDT Y TAREAS'!AK38,178&lt;'EDT Y TAREAS'!AL38),'EDT Y TAREAS'!AD38/'EDT Y TAREAS'!M38,0),IF(AND(178&gt;='EDT Y TAREAS'!AK39,178&lt;'EDT Y TAREAS'!AL39),'EDT Y TAREAS'!AD39/'EDT Y TAREAS'!M39,0),IF(AND(178&gt;='EDT Y TAREAS'!AK43,178&lt;'EDT Y TAREAS'!AL43),'EDT Y TAREAS'!AD43/'EDT Y TAREAS'!M43,0),IF(AND(178&gt;='EDT Y TAREAS'!AK44,178&lt;'EDT Y TAREAS'!AL44),'EDT Y TAREAS'!AD44/'EDT Y TAREAS'!M44,0),IF(AND(178&gt;='EDT Y TAREAS'!AK45,178&lt;'EDT Y TAREAS'!AL45),'EDT Y TAREAS'!AD45/'EDT Y TAREAS'!M45,0),IF(AND(178&gt;='EDT Y TAREAS'!AK46,178&lt;'EDT Y TAREAS'!AL46),'EDT Y TAREAS'!AD46/'EDT Y TAREAS'!M46,0),IF(AND(178&gt;='EDT Y TAREAS'!AK47,178&lt;'EDT Y TAREAS'!AL47),'EDT Y TAREAS'!AD47/'EDT Y TAREAS'!M47,0),IF(AND(178&gt;='EDT Y TAREAS'!AK49,178&lt;'EDT Y TAREAS'!AL49),'EDT Y TAREAS'!AD49/'EDT Y TAREAS'!M49,0),IF(AND(178&gt;='EDT Y TAREAS'!AK50,178&lt;'EDT Y TAREAS'!AL50),'EDT Y TAREAS'!AD50/'EDT Y TAREAS'!M50,0),IF(AND(178&gt;='EDT Y TAREAS'!AK51,178&lt;'EDT Y TAREAS'!AL51),'EDT Y TAREAS'!AD51/'EDT Y TAREAS'!M51,0),IF(AND(178&gt;='EDT Y TAREAS'!AK52,178&lt;'EDT Y TAREAS'!AL52),'EDT Y TAREAS'!AD52/'EDT Y TAREAS'!M52,0))</x:f>
        <x:v>0</x:v>
      </x:c>
      <x:c r="C218" s="35" t="n">
        <x:f>SUM(IF(AND(178&gt;='EDT Y TAREAS'!AK6,178&lt;'EDT Y TAREAS'!AL6),'EDT Y TAREAS'!AE6/'EDT Y TAREAS'!M6,0),IF(AND(178&gt;='EDT Y TAREAS'!AK8,178&lt;'EDT Y TAREAS'!AL8),'EDT Y TAREAS'!AE8/'EDT Y TAREAS'!M8,0),IF(AND(178&gt;='EDT Y TAREAS'!AK9,178&lt;'EDT Y TAREAS'!AL9),'EDT Y TAREAS'!AE9/'EDT Y TAREAS'!M9,0),IF(AND(178&gt;='EDT Y TAREAS'!AK10,178&lt;'EDT Y TAREAS'!AL10),'EDT Y TAREAS'!AE10/'EDT Y TAREAS'!M10,0),IF(AND(178&gt;='EDT Y TAREAS'!AK12,178&lt;'EDT Y TAREAS'!AL12),'EDT Y TAREAS'!AE12/'EDT Y TAREAS'!M12,0),IF(AND(178&gt;='EDT Y TAREAS'!AK16,178&lt;'EDT Y TAREAS'!AL16),'EDT Y TAREAS'!AE16/'EDT Y TAREAS'!M16,0),IF(AND(178&gt;='EDT Y TAREAS'!AK21,178&lt;'EDT Y TAREAS'!AL21),'EDT Y TAREAS'!AE21/'EDT Y TAREAS'!M21,0),IF(AND(178&gt;='EDT Y TAREAS'!AK23,178&lt;'EDT Y TAREAS'!AL23),'EDT Y TAREAS'!AE23/'EDT Y TAREAS'!M23,0),IF(AND(178&gt;='EDT Y TAREAS'!AK37,178&lt;'EDT Y TAREAS'!AL37),'EDT Y TAREAS'!AE37/'EDT Y TAREAS'!M37,0),IF(AND(178&gt;='EDT Y TAREAS'!AK38,178&lt;'EDT Y TAREAS'!AL38),'EDT Y TAREAS'!AE38/'EDT Y TAREAS'!M38,0),IF(AND(178&gt;='EDT Y TAREAS'!AK41,178&lt;'EDT Y TAREAS'!AL41),'EDT Y TAREAS'!AE41/'EDT Y TAREAS'!M41,0),IF(AND(178&gt;='EDT Y TAREAS'!AK43,178&lt;'EDT Y TAREAS'!AL43),'EDT Y TAREAS'!AE43/'EDT Y TAREAS'!M43,0),IF(AND(178&gt;='EDT Y TAREAS'!AK44,178&lt;'EDT Y TAREAS'!AL44),'EDT Y TAREAS'!AE44/'EDT Y TAREAS'!M44,0),IF(AND(178&gt;='EDT Y TAREAS'!AK46,178&lt;'EDT Y TAREAS'!AL46),'EDT Y TAREAS'!AE46/'EDT Y TAREAS'!M46,0),IF(AND(178&gt;='EDT Y TAREAS'!AK47,178&lt;'EDT Y TAREAS'!AL47),'EDT Y TAREAS'!AE47/'EDT Y TAREAS'!M47,0),IF(AND(178&gt;='EDT Y TAREAS'!AK51,178&lt;'EDT Y TAREAS'!AL51),'EDT Y TAREAS'!AE51/'EDT Y TAREAS'!M51,0),IF(AND(178&gt;='EDT Y TAREAS'!AK52,178&lt;'EDT Y TAREAS'!AL52),'EDT Y TAREAS'!AE52/'EDT Y TAREAS'!M52,0))</x:f>
        <x:v>0</x:v>
      </x:c>
      <x:c r="D218" s="35" t="n">
        <x:f>SUM(IF(AND(178&gt;='EDT Y TAREAS'!AK11,178&lt;'EDT Y TAREAS'!AL11),'EDT Y TAREAS'!AF11/'EDT Y TAREAS'!M11,0),IF(AND(178&gt;='EDT Y TAREAS'!AK24,178&lt;'EDT Y TAREAS'!AL24),'EDT Y TAREAS'!AF24/'EDT Y TAREAS'!M24,0),IF(AND(178&gt;='EDT Y TAREAS'!AK25,178&lt;'EDT Y TAREAS'!AL25),'EDT Y TAREAS'!AF25/'EDT Y TAREAS'!M25,0),IF(AND(178&gt;='EDT Y TAREAS'!AK26,178&lt;'EDT Y TAREAS'!AL26),'EDT Y TAREAS'!AF26/'EDT Y TAREAS'!M26,0),IF(AND(178&gt;='EDT Y TAREAS'!AK27,178&lt;'EDT Y TAREAS'!AL27),'EDT Y TAREAS'!AF27/'EDT Y TAREAS'!M27,0),IF(AND(178&gt;='EDT Y TAREAS'!AK28,178&lt;'EDT Y TAREAS'!AL28),'EDT Y TAREAS'!AF28/'EDT Y TAREAS'!M28,0),IF(AND(178&gt;='EDT Y TAREAS'!AK31,178&lt;'EDT Y TAREAS'!AL31),'EDT Y TAREAS'!AF31/'EDT Y TAREAS'!M31,0),IF(AND(178&gt;='EDT Y TAREAS'!AK33,178&lt;'EDT Y TAREAS'!AL33),'EDT Y TAREAS'!AF33/'EDT Y TAREAS'!M33,0),IF(AND(178&gt;='EDT Y TAREAS'!AK34,178&lt;'EDT Y TAREAS'!AL34),'EDT Y TAREAS'!AF34/'EDT Y TAREAS'!M34,0),IF(AND(178&gt;='EDT Y TAREAS'!AK35,178&lt;'EDT Y TAREAS'!AL35),'EDT Y TAREAS'!AF35/'EDT Y TAREAS'!M35,0),IF(AND(178&gt;='EDT Y TAREAS'!AK37,178&lt;'EDT Y TAREAS'!AL37),'EDT Y TAREAS'!AF37/'EDT Y TAREAS'!M37,0),IF(AND(178&gt;='EDT Y TAREAS'!AK39,178&lt;'EDT Y TAREAS'!AL39),'EDT Y TAREAS'!AF39/'EDT Y TAREAS'!M39,0),IF(AND(178&gt;='EDT Y TAREAS'!AK40,178&lt;'EDT Y TAREAS'!AL40),'EDT Y TAREAS'!AF40/'EDT Y TAREAS'!M40,0),IF(AND(178&gt;='EDT Y TAREAS'!AK42,178&lt;'EDT Y TAREAS'!AL42),'EDT Y TAREAS'!AF42/'EDT Y TAREAS'!M42,0),IF(AND(178&gt;='EDT Y TAREAS'!AK45,178&lt;'EDT Y TAREAS'!AL45),'EDT Y TAREAS'!AF45/'EDT Y TAREAS'!M45,0),IF(AND(178&gt;='EDT Y TAREAS'!AK49,178&lt;'EDT Y TAREAS'!AL49),'EDT Y TAREAS'!AF49/'EDT Y TAREAS'!M49,0),IF(AND(178&gt;='EDT Y TAREAS'!AK52,178&lt;'EDT Y TAREAS'!AL52),'EDT Y TAREAS'!AF52/'EDT Y TAREAS'!M52,0))</x:f>
        <x:v>0</x:v>
      </x:c>
      <x:c r="E218" s="35" t="n">
        <x:f>SUM(IF(AND(178&gt;='EDT Y TAREAS'!AK29,178&lt;'EDT Y TAREAS'!AL29),'EDT Y TAREAS'!AG29/'EDT Y TAREAS'!M29,0),IF(AND(178&gt;='EDT Y TAREAS'!AK30,178&lt;'EDT Y TAREAS'!AL30),'EDT Y TAREAS'!AG30/'EDT Y TAREAS'!M30,0),IF(AND(178&gt;='EDT Y TAREAS'!AK31,178&lt;'EDT Y TAREAS'!AL31),'EDT Y TAREAS'!AG31/'EDT Y TAREAS'!M31,0),IF(AND(178&gt;='EDT Y TAREAS'!AK32,178&lt;'EDT Y TAREAS'!AL32),'EDT Y TAREAS'!AG32/'EDT Y TAREAS'!M32,0),IF(AND(178&gt;='EDT Y TAREAS'!AK41,178&lt;'EDT Y TAREAS'!AL41),'EDT Y TAREAS'!AG41/'EDT Y TAREAS'!M41,0),IF(AND(178&gt;='EDT Y TAREAS'!AK45,178&lt;'EDT Y TAREAS'!AL45),'EDT Y TAREAS'!AG45/'EDT Y TAREAS'!M45,0),IF(AND(178&gt;='EDT Y TAREAS'!AK48,178&lt;'EDT Y TAREAS'!AL48),'EDT Y TAREAS'!AG48/'EDT Y TAREAS'!M48,0))</x:f>
        <x:v>0</x:v>
      </x:c>
      <x:c r="F218" s="35" t="n">
        <x:f>SUM(IF(AND(178&gt;='EDT Y TAREAS'!AK10,178&lt;'EDT Y TAREAS'!AL10),'EDT Y TAREAS'!AH10/'EDT Y TAREAS'!M10,0),IF(AND(178&gt;='EDT Y TAREAS'!AK12,178&lt;'EDT Y TAREAS'!AL12),'EDT Y TAREAS'!AH12/'EDT Y TAREAS'!M12,0),IF(AND(178&gt;='EDT Y TAREAS'!AK22,178&lt;'EDT Y TAREAS'!AL22),'EDT Y TAREAS'!AH22/'EDT Y TAREAS'!M22,0),IF(AND(178&gt;='EDT Y TAREAS'!AK23,178&lt;'EDT Y TAREAS'!AL23),'EDT Y TAREAS'!AH23/'EDT Y TAREAS'!M23,0),IF(AND(178&gt;='EDT Y TAREAS'!AK29,178&lt;'EDT Y TAREAS'!AL29),'EDT Y TAREAS'!AH29/'EDT Y TAREAS'!M29,0),IF(AND(178&gt;='EDT Y TAREAS'!AK30,178&lt;'EDT Y TAREAS'!AL30),'EDT Y TAREAS'!AH30/'EDT Y TAREAS'!M30,0),IF(AND(178&gt;='EDT Y TAREAS'!AK32,178&lt;'EDT Y TAREAS'!AL32),'EDT Y TAREAS'!AH32/'EDT Y TAREAS'!M32,0),IF(AND(178&gt;='EDT Y TAREAS'!AK41,178&lt;'EDT Y TAREAS'!AL41),'EDT Y TAREAS'!AH41/'EDT Y TAREAS'!M41,0),IF(AND(178&gt;='EDT Y TAREAS'!AK44,178&lt;'EDT Y TAREAS'!AL44),'EDT Y TAREAS'!AH44/'EDT Y TAREAS'!M44,0),IF(AND(178&gt;='EDT Y TAREAS'!AK46,178&lt;'EDT Y TAREAS'!AL46),'EDT Y TAREAS'!AH46/'EDT Y TAREAS'!M46,0),IF(AND(178&gt;='EDT Y TAREAS'!AK48,178&lt;'EDT Y TAREAS'!AL48),'EDT Y TAREAS'!AH48/'EDT Y TAREAS'!M48,0))</x:f>
        <x:v>0</x:v>
      </x:c>
      <x:c r="G218" s="35" t="n">
        <x:f>SUM(IF(AND(178&gt;='EDT Y TAREAS'!AK20,178&lt;'EDT Y TAREAS'!AL20),'EDT Y TAREAS'!AI20/'EDT Y TAREAS'!M20,0),IF(AND(178&gt;='EDT Y TAREAS'!AK25,178&lt;'EDT Y TAREAS'!AL25),'EDT Y TAREAS'!AI25/'EDT Y TAREAS'!M25,0),IF(AND(178&gt;='EDT Y TAREAS'!AK33,178&lt;'EDT Y TAREAS'!AL33),'EDT Y TAREAS'!AI33/'EDT Y TAREAS'!M33,0),IF(AND(178&gt;='EDT Y TAREAS'!AK34,178&lt;'EDT Y TAREAS'!AL34),'EDT Y TAREAS'!AI34/'EDT Y TAREAS'!M34,0),IF(AND(178&gt;='EDT Y TAREAS'!AK36,178&lt;'EDT Y TAREAS'!AL36),'EDT Y TAREAS'!AI36/'EDT Y TAREAS'!M36,0),IF(AND(178&gt;='EDT Y TAREAS'!AK39,178&lt;'EDT Y TAREAS'!AL39),'EDT Y TAREAS'!AI39/'EDT Y TAREAS'!M39,0),IF(AND(178&gt;='EDT Y TAREAS'!AK40,178&lt;'EDT Y TAREAS'!AL40),'EDT Y TAREAS'!AI40/'EDT Y TAREAS'!M40,0),IF(AND(178&gt;='EDT Y TAREAS'!AK42,178&lt;'EDT Y TAREAS'!AL42),'EDT Y TAREAS'!AI42/'EDT Y TAREAS'!M42,0),IF(AND(178&gt;='EDT Y TAREAS'!AK43,178&lt;'EDT Y TAREAS'!AL43),'EDT Y TAREAS'!AI43/'EDT Y TAREAS'!M43,0),IF(AND(178&gt;='EDT Y TAREAS'!AK44,178&lt;'EDT Y TAREAS'!AL44),'EDT Y TAREAS'!AI44/'EDT Y TAREAS'!M44,0),IF(AND(178&gt;='EDT Y TAREAS'!AK45,178&lt;'EDT Y TAREAS'!AL45),'EDT Y TAREAS'!AI45/'EDT Y TAREAS'!M45,0),IF(AND(178&gt;='EDT Y TAREAS'!AK46,178&lt;'EDT Y TAREAS'!AL46),'EDT Y TAREAS'!AI46/'EDT Y TAREAS'!M46,0),IF(AND(178&gt;='EDT Y TAREAS'!AK48,178&lt;'EDT Y TAREAS'!AL48),'EDT Y TAREAS'!AI48/'EDT Y TAREAS'!M48,0),IF(AND(178&gt;='EDT Y TAREAS'!AK50,178&lt;'EDT Y TAREAS'!AL50),'EDT Y TAREAS'!AI50/'EDT Y TAREAS'!M50,0),IF(AND(178&gt;='EDT Y TAREAS'!AK52,178&lt;'EDT Y TAREAS'!AL52),'EDT Y TAREAS'!AI52/'EDT Y TAREAS'!M52,0))</x:f>
        <x:v>0</x:v>
      </x:c>
      <x:c r="H218" s="35" t="n">
        <x:f>SUM(IF(AND(178&gt;='EDT Y TAREAS'!AK11,178&lt;'EDT Y TAREAS'!AL11),'EDT Y TAREAS'!AJ11/'EDT Y TAREAS'!M11,0),IF(AND(178&gt;='EDT Y TAREAS'!AK24,178&lt;'EDT Y TAREAS'!AL24),'EDT Y TAREAS'!AJ24/'EDT Y TAREAS'!M24,0),IF(AND(178&gt;='EDT Y TAREAS'!AK27,178&lt;'EDT Y TAREAS'!AL27),'EDT Y TAREAS'!AJ27/'EDT Y TAREAS'!M27,0),IF(AND(178&gt;='EDT Y TAREAS'!AK28,178&lt;'EDT Y TAREAS'!AL28),'EDT Y TAREAS'!AJ28/'EDT Y TAREAS'!M28,0),IF(AND(178&gt;='EDT Y TAREAS'!AK33,178&lt;'EDT Y TAREAS'!AL33),'EDT Y TAREAS'!AJ33/'EDT Y TAREAS'!M33,0),IF(AND(178&gt;='EDT Y TAREAS'!AK35,178&lt;'EDT Y TAREAS'!AL35),'EDT Y TAREAS'!AJ35/'EDT Y TAREAS'!M35,0),IF(AND(178&gt;='EDT Y TAREAS'!AK36,178&lt;'EDT Y TAREAS'!AL36),'EDT Y TAREAS'!AJ36/'EDT Y TAREAS'!M36,0),IF(AND(178&gt;='EDT Y TAREAS'!AK37,178&lt;'EDT Y TAREAS'!AL37),'EDT Y TAREAS'!AJ37/'EDT Y TAREAS'!M37,0),IF(AND(178&gt;='EDT Y TAREAS'!AK40,178&lt;'EDT Y TAREAS'!AL40),'EDT Y TAREAS'!AJ40/'EDT Y TAREAS'!M40,0),IF(AND(178&gt;='EDT Y TAREAS'!AK42,178&lt;'EDT Y TAREAS'!AL42),'EDT Y TAREAS'!AJ42/'EDT Y TAREAS'!M42,0),IF(AND(178&gt;='EDT Y TAREAS'!AK49,178&lt;'EDT Y TAREAS'!AL49),'EDT Y TAREAS'!AJ49/'EDT Y TAREAS'!M49,0),IF(AND(178&gt;='EDT Y TAREAS'!AK50,178&lt;'EDT Y TAREAS'!AL50),'EDT Y TAREAS'!AJ50/'EDT Y TAREAS'!M50,0),IF(AND(178&gt;='EDT Y TAREAS'!AK51,178&lt;'EDT Y TAREAS'!AL51),'EDT Y TAREAS'!AJ51/'EDT Y TAREAS'!M51,0),IF(AND(178&gt;='EDT Y TAREAS'!AK52,178&lt;'EDT Y TAREAS'!AL52),'EDT Y TAREAS'!AJ52/'EDT Y TAREAS'!M52,0))</x:f>
        <x:v>0</x:v>
      </x:c>
      <x:c r="I218" s="10" t="n">
        <x:f>WORKDAY('RESUMEN'!$D$3-1,A218,'RESUMEN'!$J$6:$J$25)</x:f>
        <x:v>46576</x:v>
      </x:c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  <x:c r="AM218" s="3"/>
      <x:c r="AN218" s="3"/>
      <x:c r="AO218" s="3"/>
    </x:row>
    <x:row r="219" ht="24" customHeight="1">
      <x:c r="A219" s="3" t="n">
        <x:v>180</x:v>
      </x:c>
      <x:c r="B219" s="35" t="n">
        <x:f>SUM(IF(AND(179&gt;='EDT Y TAREAS'!AK6,179&lt;'EDT Y TAREAS'!AL6),'EDT Y TAREAS'!AD6/'EDT Y TAREAS'!M6,0),IF(AND(179&gt;='EDT Y TAREAS'!AK7,179&lt;'EDT Y TAREAS'!AL7),'EDT Y TAREAS'!AD7/'EDT Y TAREAS'!M7,0),IF(AND(179&gt;='EDT Y TAREAS'!AK8,179&lt;'EDT Y TAREAS'!AL8),'EDT Y TAREAS'!AD8/'EDT Y TAREAS'!M8,0),IF(AND(179&gt;='EDT Y TAREAS'!AK9,179&lt;'EDT Y TAREAS'!AL9),'EDT Y TAREAS'!AD9/'EDT Y TAREAS'!M9,0),IF(AND(179&gt;='EDT Y TAREAS'!AK10,179&lt;'EDT Y TAREAS'!AL10),'EDT Y TAREAS'!AD10/'EDT Y TAREAS'!M10,0),IF(AND(179&gt;='EDT Y TAREAS'!AK11,179&lt;'EDT Y TAREAS'!AL11),'EDT Y TAREAS'!AD11/'EDT Y TAREAS'!M11,0),IF(AND(179&gt;='EDT Y TAREAS'!AK12,179&lt;'EDT Y TAREAS'!AL12),'EDT Y TAREAS'!AD12/'EDT Y TAREAS'!M12,0),IF(AND(179&gt;='EDT Y TAREAS'!AK13,179&lt;'EDT Y TAREAS'!AL13),'EDT Y TAREAS'!AD13/'EDT Y TAREAS'!M13,0),IF(AND(179&gt;='EDT Y TAREAS'!AK14,179&lt;'EDT Y TAREAS'!AL14),'EDT Y TAREAS'!AD14/'EDT Y TAREAS'!M14,0),IF(AND(179&gt;='EDT Y TAREAS'!AK15,179&lt;'EDT Y TAREAS'!AL15),'EDT Y TAREAS'!AD15/'EDT Y TAREAS'!M15,0),IF(AND(179&gt;='EDT Y TAREAS'!AK16,179&lt;'EDT Y TAREAS'!AL16),'EDT Y TAREAS'!AD16/'EDT Y TAREAS'!M16,0),IF(AND(179&gt;='EDT Y TAREAS'!AK17,179&lt;'EDT Y TAREAS'!AL17),'EDT Y TAREAS'!AD17/'EDT Y TAREAS'!M17,0),IF(AND(179&gt;='EDT Y TAREAS'!AK18,179&lt;'EDT Y TAREAS'!AL18),'EDT Y TAREAS'!AD18/'EDT Y TAREAS'!M18,0),IF(AND(179&gt;='EDT Y TAREAS'!AK19,179&lt;'EDT Y TAREAS'!AL19),'EDT Y TAREAS'!AD19/'EDT Y TAREAS'!M19,0),IF(AND(179&gt;='EDT Y TAREAS'!AK20,179&lt;'EDT Y TAREAS'!AL20),'EDT Y TAREAS'!AD20/'EDT Y TAREAS'!M20,0),IF(AND(179&gt;='EDT Y TAREAS'!AK21,179&lt;'EDT Y TAREAS'!AL21),'EDT Y TAREAS'!AD21/'EDT Y TAREAS'!M21,0),IF(AND(179&gt;='EDT Y TAREAS'!AK22,179&lt;'EDT Y TAREAS'!AL22),'EDT Y TAREAS'!AD22/'EDT Y TAREAS'!M22,0),IF(AND(179&gt;='EDT Y TAREAS'!AK23,179&lt;'EDT Y TAREAS'!AL23),'EDT Y TAREAS'!AD23/'EDT Y TAREAS'!M23,0),IF(AND(179&gt;='EDT Y TAREAS'!AK26,179&lt;'EDT Y TAREAS'!AL26),'EDT Y TAREAS'!AD26/'EDT Y TAREAS'!M26,0),IF(AND(179&gt;='EDT Y TAREAS'!AK28,179&lt;'EDT Y TAREAS'!AL28),'EDT Y TAREAS'!AD28/'EDT Y TAREAS'!M28,0),IF(AND(179&gt;='EDT Y TAREAS'!AK30,179&lt;'EDT Y TAREAS'!AL30),'EDT Y TAREAS'!AD30/'EDT Y TAREAS'!M30,0),IF(AND(179&gt;='EDT Y TAREAS'!AK32,179&lt;'EDT Y TAREAS'!AL32),'EDT Y TAREAS'!AD32/'EDT Y TAREAS'!M32,0),IF(AND(179&gt;='EDT Y TAREAS'!AK34,179&lt;'EDT Y TAREAS'!AL34),'EDT Y TAREAS'!AD34/'EDT Y TAREAS'!M34,0),IF(AND(179&gt;='EDT Y TAREAS'!AK38,179&lt;'EDT Y TAREAS'!AL38),'EDT Y TAREAS'!AD38/'EDT Y TAREAS'!M38,0),IF(AND(179&gt;='EDT Y TAREAS'!AK39,179&lt;'EDT Y TAREAS'!AL39),'EDT Y TAREAS'!AD39/'EDT Y TAREAS'!M39,0),IF(AND(179&gt;='EDT Y TAREAS'!AK43,179&lt;'EDT Y TAREAS'!AL43),'EDT Y TAREAS'!AD43/'EDT Y TAREAS'!M43,0),IF(AND(179&gt;='EDT Y TAREAS'!AK44,179&lt;'EDT Y TAREAS'!AL44),'EDT Y TAREAS'!AD44/'EDT Y TAREAS'!M44,0),IF(AND(179&gt;='EDT Y TAREAS'!AK45,179&lt;'EDT Y TAREAS'!AL45),'EDT Y TAREAS'!AD45/'EDT Y TAREAS'!M45,0),IF(AND(179&gt;='EDT Y TAREAS'!AK46,179&lt;'EDT Y TAREAS'!AL46),'EDT Y TAREAS'!AD46/'EDT Y TAREAS'!M46,0),IF(AND(179&gt;='EDT Y TAREAS'!AK47,179&lt;'EDT Y TAREAS'!AL47),'EDT Y TAREAS'!AD47/'EDT Y TAREAS'!M47,0),IF(AND(179&gt;='EDT Y TAREAS'!AK49,179&lt;'EDT Y TAREAS'!AL49),'EDT Y TAREAS'!AD49/'EDT Y TAREAS'!M49,0),IF(AND(179&gt;='EDT Y TAREAS'!AK50,179&lt;'EDT Y TAREAS'!AL50),'EDT Y TAREAS'!AD50/'EDT Y TAREAS'!M50,0),IF(AND(179&gt;='EDT Y TAREAS'!AK51,179&lt;'EDT Y TAREAS'!AL51),'EDT Y TAREAS'!AD51/'EDT Y TAREAS'!M51,0),IF(AND(179&gt;='EDT Y TAREAS'!AK52,179&lt;'EDT Y TAREAS'!AL52),'EDT Y TAREAS'!AD52/'EDT Y TAREAS'!M52,0))</x:f>
        <x:v>0</x:v>
      </x:c>
      <x:c r="C219" s="35" t="n">
        <x:f>SUM(IF(AND(179&gt;='EDT Y TAREAS'!AK6,179&lt;'EDT Y TAREAS'!AL6),'EDT Y TAREAS'!AE6/'EDT Y TAREAS'!M6,0),IF(AND(179&gt;='EDT Y TAREAS'!AK8,179&lt;'EDT Y TAREAS'!AL8),'EDT Y TAREAS'!AE8/'EDT Y TAREAS'!M8,0),IF(AND(179&gt;='EDT Y TAREAS'!AK9,179&lt;'EDT Y TAREAS'!AL9),'EDT Y TAREAS'!AE9/'EDT Y TAREAS'!M9,0),IF(AND(179&gt;='EDT Y TAREAS'!AK10,179&lt;'EDT Y TAREAS'!AL10),'EDT Y TAREAS'!AE10/'EDT Y TAREAS'!M10,0),IF(AND(179&gt;='EDT Y TAREAS'!AK12,179&lt;'EDT Y TAREAS'!AL12),'EDT Y TAREAS'!AE12/'EDT Y TAREAS'!M12,0),IF(AND(179&gt;='EDT Y TAREAS'!AK16,179&lt;'EDT Y TAREAS'!AL16),'EDT Y TAREAS'!AE16/'EDT Y TAREAS'!M16,0),IF(AND(179&gt;='EDT Y TAREAS'!AK21,179&lt;'EDT Y TAREAS'!AL21),'EDT Y TAREAS'!AE21/'EDT Y TAREAS'!M21,0),IF(AND(179&gt;='EDT Y TAREAS'!AK23,179&lt;'EDT Y TAREAS'!AL23),'EDT Y TAREAS'!AE23/'EDT Y TAREAS'!M23,0),IF(AND(179&gt;='EDT Y TAREAS'!AK37,179&lt;'EDT Y TAREAS'!AL37),'EDT Y TAREAS'!AE37/'EDT Y TAREAS'!M37,0),IF(AND(179&gt;='EDT Y TAREAS'!AK38,179&lt;'EDT Y TAREAS'!AL38),'EDT Y TAREAS'!AE38/'EDT Y TAREAS'!M38,0),IF(AND(179&gt;='EDT Y TAREAS'!AK41,179&lt;'EDT Y TAREAS'!AL41),'EDT Y TAREAS'!AE41/'EDT Y TAREAS'!M41,0),IF(AND(179&gt;='EDT Y TAREAS'!AK43,179&lt;'EDT Y TAREAS'!AL43),'EDT Y TAREAS'!AE43/'EDT Y TAREAS'!M43,0),IF(AND(179&gt;='EDT Y TAREAS'!AK44,179&lt;'EDT Y TAREAS'!AL44),'EDT Y TAREAS'!AE44/'EDT Y TAREAS'!M44,0),IF(AND(179&gt;='EDT Y TAREAS'!AK46,179&lt;'EDT Y TAREAS'!AL46),'EDT Y TAREAS'!AE46/'EDT Y TAREAS'!M46,0),IF(AND(179&gt;='EDT Y TAREAS'!AK47,179&lt;'EDT Y TAREAS'!AL47),'EDT Y TAREAS'!AE47/'EDT Y TAREAS'!M47,0),IF(AND(179&gt;='EDT Y TAREAS'!AK51,179&lt;'EDT Y TAREAS'!AL51),'EDT Y TAREAS'!AE51/'EDT Y TAREAS'!M51,0),IF(AND(179&gt;='EDT Y TAREAS'!AK52,179&lt;'EDT Y TAREAS'!AL52),'EDT Y TAREAS'!AE52/'EDT Y TAREAS'!M52,0))</x:f>
        <x:v>0</x:v>
      </x:c>
      <x:c r="D219" s="35" t="n">
        <x:f>SUM(IF(AND(179&gt;='EDT Y TAREAS'!AK11,179&lt;'EDT Y TAREAS'!AL11),'EDT Y TAREAS'!AF11/'EDT Y TAREAS'!M11,0),IF(AND(179&gt;='EDT Y TAREAS'!AK24,179&lt;'EDT Y TAREAS'!AL24),'EDT Y TAREAS'!AF24/'EDT Y TAREAS'!M24,0),IF(AND(179&gt;='EDT Y TAREAS'!AK25,179&lt;'EDT Y TAREAS'!AL25),'EDT Y TAREAS'!AF25/'EDT Y TAREAS'!M25,0),IF(AND(179&gt;='EDT Y TAREAS'!AK26,179&lt;'EDT Y TAREAS'!AL26),'EDT Y TAREAS'!AF26/'EDT Y TAREAS'!M26,0),IF(AND(179&gt;='EDT Y TAREAS'!AK27,179&lt;'EDT Y TAREAS'!AL27),'EDT Y TAREAS'!AF27/'EDT Y TAREAS'!M27,0),IF(AND(179&gt;='EDT Y TAREAS'!AK28,179&lt;'EDT Y TAREAS'!AL28),'EDT Y TAREAS'!AF28/'EDT Y TAREAS'!M28,0),IF(AND(179&gt;='EDT Y TAREAS'!AK31,179&lt;'EDT Y TAREAS'!AL31),'EDT Y TAREAS'!AF31/'EDT Y TAREAS'!M31,0),IF(AND(179&gt;='EDT Y TAREAS'!AK33,179&lt;'EDT Y TAREAS'!AL33),'EDT Y TAREAS'!AF33/'EDT Y TAREAS'!M33,0),IF(AND(179&gt;='EDT Y TAREAS'!AK34,179&lt;'EDT Y TAREAS'!AL34),'EDT Y TAREAS'!AF34/'EDT Y TAREAS'!M34,0),IF(AND(179&gt;='EDT Y TAREAS'!AK35,179&lt;'EDT Y TAREAS'!AL35),'EDT Y TAREAS'!AF35/'EDT Y TAREAS'!M35,0),IF(AND(179&gt;='EDT Y TAREAS'!AK37,179&lt;'EDT Y TAREAS'!AL37),'EDT Y TAREAS'!AF37/'EDT Y TAREAS'!M37,0),IF(AND(179&gt;='EDT Y TAREAS'!AK39,179&lt;'EDT Y TAREAS'!AL39),'EDT Y TAREAS'!AF39/'EDT Y TAREAS'!M39,0),IF(AND(179&gt;='EDT Y TAREAS'!AK40,179&lt;'EDT Y TAREAS'!AL40),'EDT Y TAREAS'!AF40/'EDT Y TAREAS'!M40,0),IF(AND(179&gt;='EDT Y TAREAS'!AK42,179&lt;'EDT Y TAREAS'!AL42),'EDT Y TAREAS'!AF42/'EDT Y TAREAS'!M42,0),IF(AND(179&gt;='EDT Y TAREAS'!AK45,179&lt;'EDT Y TAREAS'!AL45),'EDT Y TAREAS'!AF45/'EDT Y TAREAS'!M45,0),IF(AND(179&gt;='EDT Y TAREAS'!AK49,179&lt;'EDT Y TAREAS'!AL49),'EDT Y TAREAS'!AF49/'EDT Y TAREAS'!M49,0),IF(AND(179&gt;='EDT Y TAREAS'!AK52,179&lt;'EDT Y TAREAS'!AL52),'EDT Y TAREAS'!AF52/'EDT Y TAREAS'!M52,0))</x:f>
        <x:v>0</x:v>
      </x:c>
      <x:c r="E219" s="35" t="n">
        <x:f>SUM(IF(AND(179&gt;='EDT Y TAREAS'!AK29,179&lt;'EDT Y TAREAS'!AL29),'EDT Y TAREAS'!AG29/'EDT Y TAREAS'!M29,0),IF(AND(179&gt;='EDT Y TAREAS'!AK30,179&lt;'EDT Y TAREAS'!AL30),'EDT Y TAREAS'!AG30/'EDT Y TAREAS'!M30,0),IF(AND(179&gt;='EDT Y TAREAS'!AK31,179&lt;'EDT Y TAREAS'!AL31),'EDT Y TAREAS'!AG31/'EDT Y TAREAS'!M31,0),IF(AND(179&gt;='EDT Y TAREAS'!AK32,179&lt;'EDT Y TAREAS'!AL32),'EDT Y TAREAS'!AG32/'EDT Y TAREAS'!M32,0),IF(AND(179&gt;='EDT Y TAREAS'!AK41,179&lt;'EDT Y TAREAS'!AL41),'EDT Y TAREAS'!AG41/'EDT Y TAREAS'!M41,0),IF(AND(179&gt;='EDT Y TAREAS'!AK45,179&lt;'EDT Y TAREAS'!AL45),'EDT Y TAREAS'!AG45/'EDT Y TAREAS'!M45,0),IF(AND(179&gt;='EDT Y TAREAS'!AK48,179&lt;'EDT Y TAREAS'!AL48),'EDT Y TAREAS'!AG48/'EDT Y TAREAS'!M48,0))</x:f>
        <x:v>0</x:v>
      </x:c>
      <x:c r="F219" s="35" t="n">
        <x:f>SUM(IF(AND(179&gt;='EDT Y TAREAS'!AK10,179&lt;'EDT Y TAREAS'!AL10),'EDT Y TAREAS'!AH10/'EDT Y TAREAS'!M10,0),IF(AND(179&gt;='EDT Y TAREAS'!AK12,179&lt;'EDT Y TAREAS'!AL12),'EDT Y TAREAS'!AH12/'EDT Y TAREAS'!M12,0),IF(AND(179&gt;='EDT Y TAREAS'!AK22,179&lt;'EDT Y TAREAS'!AL22),'EDT Y TAREAS'!AH22/'EDT Y TAREAS'!M22,0),IF(AND(179&gt;='EDT Y TAREAS'!AK23,179&lt;'EDT Y TAREAS'!AL23),'EDT Y TAREAS'!AH23/'EDT Y TAREAS'!M23,0),IF(AND(179&gt;='EDT Y TAREAS'!AK29,179&lt;'EDT Y TAREAS'!AL29),'EDT Y TAREAS'!AH29/'EDT Y TAREAS'!M29,0),IF(AND(179&gt;='EDT Y TAREAS'!AK30,179&lt;'EDT Y TAREAS'!AL30),'EDT Y TAREAS'!AH30/'EDT Y TAREAS'!M30,0),IF(AND(179&gt;='EDT Y TAREAS'!AK32,179&lt;'EDT Y TAREAS'!AL32),'EDT Y TAREAS'!AH32/'EDT Y TAREAS'!M32,0),IF(AND(179&gt;='EDT Y TAREAS'!AK41,179&lt;'EDT Y TAREAS'!AL41),'EDT Y TAREAS'!AH41/'EDT Y TAREAS'!M41,0),IF(AND(179&gt;='EDT Y TAREAS'!AK44,179&lt;'EDT Y TAREAS'!AL44),'EDT Y TAREAS'!AH44/'EDT Y TAREAS'!M44,0),IF(AND(179&gt;='EDT Y TAREAS'!AK46,179&lt;'EDT Y TAREAS'!AL46),'EDT Y TAREAS'!AH46/'EDT Y TAREAS'!M46,0),IF(AND(179&gt;='EDT Y TAREAS'!AK48,179&lt;'EDT Y TAREAS'!AL48),'EDT Y TAREAS'!AH48/'EDT Y TAREAS'!M48,0))</x:f>
        <x:v>0</x:v>
      </x:c>
      <x:c r="G219" s="35" t="n">
        <x:f>SUM(IF(AND(179&gt;='EDT Y TAREAS'!AK20,179&lt;'EDT Y TAREAS'!AL20),'EDT Y TAREAS'!AI20/'EDT Y TAREAS'!M20,0),IF(AND(179&gt;='EDT Y TAREAS'!AK25,179&lt;'EDT Y TAREAS'!AL25),'EDT Y TAREAS'!AI25/'EDT Y TAREAS'!M25,0),IF(AND(179&gt;='EDT Y TAREAS'!AK33,179&lt;'EDT Y TAREAS'!AL33),'EDT Y TAREAS'!AI33/'EDT Y TAREAS'!M33,0),IF(AND(179&gt;='EDT Y TAREAS'!AK34,179&lt;'EDT Y TAREAS'!AL34),'EDT Y TAREAS'!AI34/'EDT Y TAREAS'!M34,0),IF(AND(179&gt;='EDT Y TAREAS'!AK36,179&lt;'EDT Y TAREAS'!AL36),'EDT Y TAREAS'!AI36/'EDT Y TAREAS'!M36,0),IF(AND(179&gt;='EDT Y TAREAS'!AK39,179&lt;'EDT Y TAREAS'!AL39),'EDT Y TAREAS'!AI39/'EDT Y TAREAS'!M39,0),IF(AND(179&gt;='EDT Y TAREAS'!AK40,179&lt;'EDT Y TAREAS'!AL40),'EDT Y TAREAS'!AI40/'EDT Y TAREAS'!M40,0),IF(AND(179&gt;='EDT Y TAREAS'!AK42,179&lt;'EDT Y TAREAS'!AL42),'EDT Y TAREAS'!AI42/'EDT Y TAREAS'!M42,0),IF(AND(179&gt;='EDT Y TAREAS'!AK43,179&lt;'EDT Y TAREAS'!AL43),'EDT Y TAREAS'!AI43/'EDT Y TAREAS'!M43,0),IF(AND(179&gt;='EDT Y TAREAS'!AK44,179&lt;'EDT Y TAREAS'!AL44),'EDT Y TAREAS'!AI44/'EDT Y TAREAS'!M44,0),IF(AND(179&gt;='EDT Y TAREAS'!AK45,179&lt;'EDT Y TAREAS'!AL45),'EDT Y TAREAS'!AI45/'EDT Y TAREAS'!M45,0),IF(AND(179&gt;='EDT Y TAREAS'!AK46,179&lt;'EDT Y TAREAS'!AL46),'EDT Y TAREAS'!AI46/'EDT Y TAREAS'!M46,0),IF(AND(179&gt;='EDT Y TAREAS'!AK48,179&lt;'EDT Y TAREAS'!AL48),'EDT Y TAREAS'!AI48/'EDT Y TAREAS'!M48,0),IF(AND(179&gt;='EDT Y TAREAS'!AK50,179&lt;'EDT Y TAREAS'!AL50),'EDT Y TAREAS'!AI50/'EDT Y TAREAS'!M50,0),IF(AND(179&gt;='EDT Y TAREAS'!AK52,179&lt;'EDT Y TAREAS'!AL52),'EDT Y TAREAS'!AI52/'EDT Y TAREAS'!M52,0))</x:f>
        <x:v>0</x:v>
      </x:c>
      <x:c r="H219" s="35" t="n">
        <x:f>SUM(IF(AND(179&gt;='EDT Y TAREAS'!AK11,179&lt;'EDT Y TAREAS'!AL11),'EDT Y TAREAS'!AJ11/'EDT Y TAREAS'!M11,0),IF(AND(179&gt;='EDT Y TAREAS'!AK24,179&lt;'EDT Y TAREAS'!AL24),'EDT Y TAREAS'!AJ24/'EDT Y TAREAS'!M24,0),IF(AND(179&gt;='EDT Y TAREAS'!AK27,179&lt;'EDT Y TAREAS'!AL27),'EDT Y TAREAS'!AJ27/'EDT Y TAREAS'!M27,0),IF(AND(179&gt;='EDT Y TAREAS'!AK28,179&lt;'EDT Y TAREAS'!AL28),'EDT Y TAREAS'!AJ28/'EDT Y TAREAS'!M28,0),IF(AND(179&gt;='EDT Y TAREAS'!AK33,179&lt;'EDT Y TAREAS'!AL33),'EDT Y TAREAS'!AJ33/'EDT Y TAREAS'!M33,0),IF(AND(179&gt;='EDT Y TAREAS'!AK35,179&lt;'EDT Y TAREAS'!AL35),'EDT Y TAREAS'!AJ35/'EDT Y TAREAS'!M35,0),IF(AND(179&gt;='EDT Y TAREAS'!AK36,179&lt;'EDT Y TAREAS'!AL36),'EDT Y TAREAS'!AJ36/'EDT Y TAREAS'!M36,0),IF(AND(179&gt;='EDT Y TAREAS'!AK37,179&lt;'EDT Y TAREAS'!AL37),'EDT Y TAREAS'!AJ37/'EDT Y TAREAS'!M37,0),IF(AND(179&gt;='EDT Y TAREAS'!AK40,179&lt;'EDT Y TAREAS'!AL40),'EDT Y TAREAS'!AJ40/'EDT Y TAREAS'!M40,0),IF(AND(179&gt;='EDT Y TAREAS'!AK42,179&lt;'EDT Y TAREAS'!AL42),'EDT Y TAREAS'!AJ42/'EDT Y TAREAS'!M42,0),IF(AND(179&gt;='EDT Y TAREAS'!AK49,179&lt;'EDT Y TAREAS'!AL49),'EDT Y TAREAS'!AJ49/'EDT Y TAREAS'!M49,0),IF(AND(179&gt;='EDT Y TAREAS'!AK50,179&lt;'EDT Y TAREAS'!AL50),'EDT Y TAREAS'!AJ50/'EDT Y TAREAS'!M50,0),IF(AND(179&gt;='EDT Y TAREAS'!AK51,179&lt;'EDT Y TAREAS'!AL51),'EDT Y TAREAS'!AJ51/'EDT Y TAREAS'!M51,0),IF(AND(179&gt;='EDT Y TAREAS'!AK52,179&lt;'EDT Y TAREAS'!AL52),'EDT Y TAREAS'!AJ52/'EDT Y TAREAS'!M52,0))</x:f>
        <x:v>0</x:v>
      </x:c>
      <x:c r="I219" s="10" t="n">
        <x:f>WORKDAY('RESUMEN'!$D$3-1,A219,'RESUMEN'!$J$6:$J$25)</x:f>
        <x:v>46577</x:v>
      </x:c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  <x:c r="AM219" s="3"/>
      <x:c r="AN219" s="3"/>
      <x:c r="AO219" s="3"/>
    </x:row>
    <x:row r="220" ht="24" customHeight="1">
      <x:c r="A220" s="3" t="n">
        <x:v>181</x:v>
      </x:c>
      <x:c r="B220" s="35" t="n">
        <x:f>SUM(IF(AND(180&gt;='EDT Y TAREAS'!AK6,180&lt;'EDT Y TAREAS'!AL6),'EDT Y TAREAS'!AD6/'EDT Y TAREAS'!M6,0),IF(AND(180&gt;='EDT Y TAREAS'!AK7,180&lt;'EDT Y TAREAS'!AL7),'EDT Y TAREAS'!AD7/'EDT Y TAREAS'!M7,0),IF(AND(180&gt;='EDT Y TAREAS'!AK8,180&lt;'EDT Y TAREAS'!AL8),'EDT Y TAREAS'!AD8/'EDT Y TAREAS'!M8,0),IF(AND(180&gt;='EDT Y TAREAS'!AK9,180&lt;'EDT Y TAREAS'!AL9),'EDT Y TAREAS'!AD9/'EDT Y TAREAS'!M9,0),IF(AND(180&gt;='EDT Y TAREAS'!AK10,180&lt;'EDT Y TAREAS'!AL10),'EDT Y TAREAS'!AD10/'EDT Y TAREAS'!M10,0),IF(AND(180&gt;='EDT Y TAREAS'!AK11,180&lt;'EDT Y TAREAS'!AL11),'EDT Y TAREAS'!AD11/'EDT Y TAREAS'!M11,0),IF(AND(180&gt;='EDT Y TAREAS'!AK12,180&lt;'EDT Y TAREAS'!AL12),'EDT Y TAREAS'!AD12/'EDT Y TAREAS'!M12,0),IF(AND(180&gt;='EDT Y TAREAS'!AK13,180&lt;'EDT Y TAREAS'!AL13),'EDT Y TAREAS'!AD13/'EDT Y TAREAS'!M13,0),IF(AND(180&gt;='EDT Y TAREAS'!AK14,180&lt;'EDT Y TAREAS'!AL14),'EDT Y TAREAS'!AD14/'EDT Y TAREAS'!M14,0),IF(AND(180&gt;='EDT Y TAREAS'!AK15,180&lt;'EDT Y TAREAS'!AL15),'EDT Y TAREAS'!AD15/'EDT Y TAREAS'!M15,0),IF(AND(180&gt;='EDT Y TAREAS'!AK16,180&lt;'EDT Y TAREAS'!AL16),'EDT Y TAREAS'!AD16/'EDT Y TAREAS'!M16,0),IF(AND(180&gt;='EDT Y TAREAS'!AK17,180&lt;'EDT Y TAREAS'!AL17),'EDT Y TAREAS'!AD17/'EDT Y TAREAS'!M17,0),IF(AND(180&gt;='EDT Y TAREAS'!AK18,180&lt;'EDT Y TAREAS'!AL18),'EDT Y TAREAS'!AD18/'EDT Y TAREAS'!M18,0),IF(AND(180&gt;='EDT Y TAREAS'!AK19,180&lt;'EDT Y TAREAS'!AL19),'EDT Y TAREAS'!AD19/'EDT Y TAREAS'!M19,0),IF(AND(180&gt;='EDT Y TAREAS'!AK20,180&lt;'EDT Y TAREAS'!AL20),'EDT Y TAREAS'!AD20/'EDT Y TAREAS'!M20,0),IF(AND(180&gt;='EDT Y TAREAS'!AK21,180&lt;'EDT Y TAREAS'!AL21),'EDT Y TAREAS'!AD21/'EDT Y TAREAS'!M21,0),IF(AND(180&gt;='EDT Y TAREAS'!AK22,180&lt;'EDT Y TAREAS'!AL22),'EDT Y TAREAS'!AD22/'EDT Y TAREAS'!M22,0),IF(AND(180&gt;='EDT Y TAREAS'!AK23,180&lt;'EDT Y TAREAS'!AL23),'EDT Y TAREAS'!AD23/'EDT Y TAREAS'!M23,0),IF(AND(180&gt;='EDT Y TAREAS'!AK26,180&lt;'EDT Y TAREAS'!AL26),'EDT Y TAREAS'!AD26/'EDT Y TAREAS'!M26,0),IF(AND(180&gt;='EDT Y TAREAS'!AK28,180&lt;'EDT Y TAREAS'!AL28),'EDT Y TAREAS'!AD28/'EDT Y TAREAS'!M28,0),IF(AND(180&gt;='EDT Y TAREAS'!AK30,180&lt;'EDT Y TAREAS'!AL30),'EDT Y TAREAS'!AD30/'EDT Y TAREAS'!M30,0),IF(AND(180&gt;='EDT Y TAREAS'!AK32,180&lt;'EDT Y TAREAS'!AL32),'EDT Y TAREAS'!AD32/'EDT Y TAREAS'!M32,0),IF(AND(180&gt;='EDT Y TAREAS'!AK34,180&lt;'EDT Y TAREAS'!AL34),'EDT Y TAREAS'!AD34/'EDT Y TAREAS'!M34,0),IF(AND(180&gt;='EDT Y TAREAS'!AK38,180&lt;'EDT Y TAREAS'!AL38),'EDT Y TAREAS'!AD38/'EDT Y TAREAS'!M38,0),IF(AND(180&gt;='EDT Y TAREAS'!AK39,180&lt;'EDT Y TAREAS'!AL39),'EDT Y TAREAS'!AD39/'EDT Y TAREAS'!M39,0),IF(AND(180&gt;='EDT Y TAREAS'!AK43,180&lt;'EDT Y TAREAS'!AL43),'EDT Y TAREAS'!AD43/'EDT Y TAREAS'!M43,0),IF(AND(180&gt;='EDT Y TAREAS'!AK44,180&lt;'EDT Y TAREAS'!AL44),'EDT Y TAREAS'!AD44/'EDT Y TAREAS'!M44,0),IF(AND(180&gt;='EDT Y TAREAS'!AK45,180&lt;'EDT Y TAREAS'!AL45),'EDT Y TAREAS'!AD45/'EDT Y TAREAS'!M45,0),IF(AND(180&gt;='EDT Y TAREAS'!AK46,180&lt;'EDT Y TAREAS'!AL46),'EDT Y TAREAS'!AD46/'EDT Y TAREAS'!M46,0),IF(AND(180&gt;='EDT Y TAREAS'!AK47,180&lt;'EDT Y TAREAS'!AL47),'EDT Y TAREAS'!AD47/'EDT Y TAREAS'!M47,0),IF(AND(180&gt;='EDT Y TAREAS'!AK49,180&lt;'EDT Y TAREAS'!AL49),'EDT Y TAREAS'!AD49/'EDT Y TAREAS'!M49,0),IF(AND(180&gt;='EDT Y TAREAS'!AK50,180&lt;'EDT Y TAREAS'!AL50),'EDT Y TAREAS'!AD50/'EDT Y TAREAS'!M50,0),IF(AND(180&gt;='EDT Y TAREAS'!AK51,180&lt;'EDT Y TAREAS'!AL51),'EDT Y TAREAS'!AD51/'EDT Y TAREAS'!M51,0),IF(AND(180&gt;='EDT Y TAREAS'!AK52,180&lt;'EDT Y TAREAS'!AL52),'EDT Y TAREAS'!AD52/'EDT Y TAREAS'!M52,0))</x:f>
        <x:v>0</x:v>
      </x:c>
      <x:c r="C220" s="35" t="n">
        <x:f>SUM(IF(AND(180&gt;='EDT Y TAREAS'!AK6,180&lt;'EDT Y TAREAS'!AL6),'EDT Y TAREAS'!AE6/'EDT Y TAREAS'!M6,0),IF(AND(180&gt;='EDT Y TAREAS'!AK8,180&lt;'EDT Y TAREAS'!AL8),'EDT Y TAREAS'!AE8/'EDT Y TAREAS'!M8,0),IF(AND(180&gt;='EDT Y TAREAS'!AK9,180&lt;'EDT Y TAREAS'!AL9),'EDT Y TAREAS'!AE9/'EDT Y TAREAS'!M9,0),IF(AND(180&gt;='EDT Y TAREAS'!AK10,180&lt;'EDT Y TAREAS'!AL10),'EDT Y TAREAS'!AE10/'EDT Y TAREAS'!M10,0),IF(AND(180&gt;='EDT Y TAREAS'!AK12,180&lt;'EDT Y TAREAS'!AL12),'EDT Y TAREAS'!AE12/'EDT Y TAREAS'!M12,0),IF(AND(180&gt;='EDT Y TAREAS'!AK16,180&lt;'EDT Y TAREAS'!AL16),'EDT Y TAREAS'!AE16/'EDT Y TAREAS'!M16,0),IF(AND(180&gt;='EDT Y TAREAS'!AK21,180&lt;'EDT Y TAREAS'!AL21),'EDT Y TAREAS'!AE21/'EDT Y TAREAS'!M21,0),IF(AND(180&gt;='EDT Y TAREAS'!AK23,180&lt;'EDT Y TAREAS'!AL23),'EDT Y TAREAS'!AE23/'EDT Y TAREAS'!M23,0),IF(AND(180&gt;='EDT Y TAREAS'!AK37,180&lt;'EDT Y TAREAS'!AL37),'EDT Y TAREAS'!AE37/'EDT Y TAREAS'!M37,0),IF(AND(180&gt;='EDT Y TAREAS'!AK38,180&lt;'EDT Y TAREAS'!AL38),'EDT Y TAREAS'!AE38/'EDT Y TAREAS'!M38,0),IF(AND(180&gt;='EDT Y TAREAS'!AK41,180&lt;'EDT Y TAREAS'!AL41),'EDT Y TAREAS'!AE41/'EDT Y TAREAS'!M41,0),IF(AND(180&gt;='EDT Y TAREAS'!AK43,180&lt;'EDT Y TAREAS'!AL43),'EDT Y TAREAS'!AE43/'EDT Y TAREAS'!M43,0),IF(AND(180&gt;='EDT Y TAREAS'!AK44,180&lt;'EDT Y TAREAS'!AL44),'EDT Y TAREAS'!AE44/'EDT Y TAREAS'!M44,0),IF(AND(180&gt;='EDT Y TAREAS'!AK46,180&lt;'EDT Y TAREAS'!AL46),'EDT Y TAREAS'!AE46/'EDT Y TAREAS'!M46,0),IF(AND(180&gt;='EDT Y TAREAS'!AK47,180&lt;'EDT Y TAREAS'!AL47),'EDT Y TAREAS'!AE47/'EDT Y TAREAS'!M47,0),IF(AND(180&gt;='EDT Y TAREAS'!AK51,180&lt;'EDT Y TAREAS'!AL51),'EDT Y TAREAS'!AE51/'EDT Y TAREAS'!M51,0),IF(AND(180&gt;='EDT Y TAREAS'!AK52,180&lt;'EDT Y TAREAS'!AL52),'EDT Y TAREAS'!AE52/'EDT Y TAREAS'!M52,0))</x:f>
        <x:v>0</x:v>
      </x:c>
      <x:c r="D220" s="35" t="n">
        <x:f>SUM(IF(AND(180&gt;='EDT Y TAREAS'!AK11,180&lt;'EDT Y TAREAS'!AL11),'EDT Y TAREAS'!AF11/'EDT Y TAREAS'!M11,0),IF(AND(180&gt;='EDT Y TAREAS'!AK24,180&lt;'EDT Y TAREAS'!AL24),'EDT Y TAREAS'!AF24/'EDT Y TAREAS'!M24,0),IF(AND(180&gt;='EDT Y TAREAS'!AK25,180&lt;'EDT Y TAREAS'!AL25),'EDT Y TAREAS'!AF25/'EDT Y TAREAS'!M25,0),IF(AND(180&gt;='EDT Y TAREAS'!AK26,180&lt;'EDT Y TAREAS'!AL26),'EDT Y TAREAS'!AF26/'EDT Y TAREAS'!M26,0),IF(AND(180&gt;='EDT Y TAREAS'!AK27,180&lt;'EDT Y TAREAS'!AL27),'EDT Y TAREAS'!AF27/'EDT Y TAREAS'!M27,0),IF(AND(180&gt;='EDT Y TAREAS'!AK28,180&lt;'EDT Y TAREAS'!AL28),'EDT Y TAREAS'!AF28/'EDT Y TAREAS'!M28,0),IF(AND(180&gt;='EDT Y TAREAS'!AK31,180&lt;'EDT Y TAREAS'!AL31),'EDT Y TAREAS'!AF31/'EDT Y TAREAS'!M31,0),IF(AND(180&gt;='EDT Y TAREAS'!AK33,180&lt;'EDT Y TAREAS'!AL33),'EDT Y TAREAS'!AF33/'EDT Y TAREAS'!M33,0),IF(AND(180&gt;='EDT Y TAREAS'!AK34,180&lt;'EDT Y TAREAS'!AL34),'EDT Y TAREAS'!AF34/'EDT Y TAREAS'!M34,0),IF(AND(180&gt;='EDT Y TAREAS'!AK35,180&lt;'EDT Y TAREAS'!AL35),'EDT Y TAREAS'!AF35/'EDT Y TAREAS'!M35,0),IF(AND(180&gt;='EDT Y TAREAS'!AK37,180&lt;'EDT Y TAREAS'!AL37),'EDT Y TAREAS'!AF37/'EDT Y TAREAS'!M37,0),IF(AND(180&gt;='EDT Y TAREAS'!AK39,180&lt;'EDT Y TAREAS'!AL39),'EDT Y TAREAS'!AF39/'EDT Y TAREAS'!M39,0),IF(AND(180&gt;='EDT Y TAREAS'!AK40,180&lt;'EDT Y TAREAS'!AL40),'EDT Y TAREAS'!AF40/'EDT Y TAREAS'!M40,0),IF(AND(180&gt;='EDT Y TAREAS'!AK42,180&lt;'EDT Y TAREAS'!AL42),'EDT Y TAREAS'!AF42/'EDT Y TAREAS'!M42,0),IF(AND(180&gt;='EDT Y TAREAS'!AK45,180&lt;'EDT Y TAREAS'!AL45),'EDT Y TAREAS'!AF45/'EDT Y TAREAS'!M45,0),IF(AND(180&gt;='EDT Y TAREAS'!AK49,180&lt;'EDT Y TAREAS'!AL49),'EDT Y TAREAS'!AF49/'EDT Y TAREAS'!M49,0),IF(AND(180&gt;='EDT Y TAREAS'!AK52,180&lt;'EDT Y TAREAS'!AL52),'EDT Y TAREAS'!AF52/'EDT Y TAREAS'!M52,0))</x:f>
        <x:v>0</x:v>
      </x:c>
      <x:c r="E220" s="35" t="n">
        <x:f>SUM(IF(AND(180&gt;='EDT Y TAREAS'!AK29,180&lt;'EDT Y TAREAS'!AL29),'EDT Y TAREAS'!AG29/'EDT Y TAREAS'!M29,0),IF(AND(180&gt;='EDT Y TAREAS'!AK30,180&lt;'EDT Y TAREAS'!AL30),'EDT Y TAREAS'!AG30/'EDT Y TAREAS'!M30,0),IF(AND(180&gt;='EDT Y TAREAS'!AK31,180&lt;'EDT Y TAREAS'!AL31),'EDT Y TAREAS'!AG31/'EDT Y TAREAS'!M31,0),IF(AND(180&gt;='EDT Y TAREAS'!AK32,180&lt;'EDT Y TAREAS'!AL32),'EDT Y TAREAS'!AG32/'EDT Y TAREAS'!M32,0),IF(AND(180&gt;='EDT Y TAREAS'!AK41,180&lt;'EDT Y TAREAS'!AL41),'EDT Y TAREAS'!AG41/'EDT Y TAREAS'!M41,0),IF(AND(180&gt;='EDT Y TAREAS'!AK45,180&lt;'EDT Y TAREAS'!AL45),'EDT Y TAREAS'!AG45/'EDT Y TAREAS'!M45,0),IF(AND(180&gt;='EDT Y TAREAS'!AK48,180&lt;'EDT Y TAREAS'!AL48),'EDT Y TAREAS'!AG48/'EDT Y TAREAS'!M48,0))</x:f>
        <x:v>0</x:v>
      </x:c>
      <x:c r="F220" s="35" t="n">
        <x:f>SUM(IF(AND(180&gt;='EDT Y TAREAS'!AK10,180&lt;'EDT Y TAREAS'!AL10),'EDT Y TAREAS'!AH10/'EDT Y TAREAS'!M10,0),IF(AND(180&gt;='EDT Y TAREAS'!AK12,180&lt;'EDT Y TAREAS'!AL12),'EDT Y TAREAS'!AH12/'EDT Y TAREAS'!M12,0),IF(AND(180&gt;='EDT Y TAREAS'!AK22,180&lt;'EDT Y TAREAS'!AL22),'EDT Y TAREAS'!AH22/'EDT Y TAREAS'!M22,0),IF(AND(180&gt;='EDT Y TAREAS'!AK23,180&lt;'EDT Y TAREAS'!AL23),'EDT Y TAREAS'!AH23/'EDT Y TAREAS'!M23,0),IF(AND(180&gt;='EDT Y TAREAS'!AK29,180&lt;'EDT Y TAREAS'!AL29),'EDT Y TAREAS'!AH29/'EDT Y TAREAS'!M29,0),IF(AND(180&gt;='EDT Y TAREAS'!AK30,180&lt;'EDT Y TAREAS'!AL30),'EDT Y TAREAS'!AH30/'EDT Y TAREAS'!M30,0),IF(AND(180&gt;='EDT Y TAREAS'!AK32,180&lt;'EDT Y TAREAS'!AL32),'EDT Y TAREAS'!AH32/'EDT Y TAREAS'!M32,0),IF(AND(180&gt;='EDT Y TAREAS'!AK41,180&lt;'EDT Y TAREAS'!AL41),'EDT Y TAREAS'!AH41/'EDT Y TAREAS'!M41,0),IF(AND(180&gt;='EDT Y TAREAS'!AK44,180&lt;'EDT Y TAREAS'!AL44),'EDT Y TAREAS'!AH44/'EDT Y TAREAS'!M44,0),IF(AND(180&gt;='EDT Y TAREAS'!AK46,180&lt;'EDT Y TAREAS'!AL46),'EDT Y TAREAS'!AH46/'EDT Y TAREAS'!M46,0),IF(AND(180&gt;='EDT Y TAREAS'!AK48,180&lt;'EDT Y TAREAS'!AL48),'EDT Y TAREAS'!AH48/'EDT Y TAREAS'!M48,0))</x:f>
        <x:v>0</x:v>
      </x:c>
      <x:c r="G220" s="35" t="n">
        <x:f>SUM(IF(AND(180&gt;='EDT Y TAREAS'!AK20,180&lt;'EDT Y TAREAS'!AL20),'EDT Y TAREAS'!AI20/'EDT Y TAREAS'!M20,0),IF(AND(180&gt;='EDT Y TAREAS'!AK25,180&lt;'EDT Y TAREAS'!AL25),'EDT Y TAREAS'!AI25/'EDT Y TAREAS'!M25,0),IF(AND(180&gt;='EDT Y TAREAS'!AK33,180&lt;'EDT Y TAREAS'!AL33),'EDT Y TAREAS'!AI33/'EDT Y TAREAS'!M33,0),IF(AND(180&gt;='EDT Y TAREAS'!AK34,180&lt;'EDT Y TAREAS'!AL34),'EDT Y TAREAS'!AI34/'EDT Y TAREAS'!M34,0),IF(AND(180&gt;='EDT Y TAREAS'!AK36,180&lt;'EDT Y TAREAS'!AL36),'EDT Y TAREAS'!AI36/'EDT Y TAREAS'!M36,0),IF(AND(180&gt;='EDT Y TAREAS'!AK39,180&lt;'EDT Y TAREAS'!AL39),'EDT Y TAREAS'!AI39/'EDT Y TAREAS'!M39,0),IF(AND(180&gt;='EDT Y TAREAS'!AK40,180&lt;'EDT Y TAREAS'!AL40),'EDT Y TAREAS'!AI40/'EDT Y TAREAS'!M40,0),IF(AND(180&gt;='EDT Y TAREAS'!AK42,180&lt;'EDT Y TAREAS'!AL42),'EDT Y TAREAS'!AI42/'EDT Y TAREAS'!M42,0),IF(AND(180&gt;='EDT Y TAREAS'!AK43,180&lt;'EDT Y TAREAS'!AL43),'EDT Y TAREAS'!AI43/'EDT Y TAREAS'!M43,0),IF(AND(180&gt;='EDT Y TAREAS'!AK44,180&lt;'EDT Y TAREAS'!AL44),'EDT Y TAREAS'!AI44/'EDT Y TAREAS'!M44,0),IF(AND(180&gt;='EDT Y TAREAS'!AK45,180&lt;'EDT Y TAREAS'!AL45),'EDT Y TAREAS'!AI45/'EDT Y TAREAS'!M45,0),IF(AND(180&gt;='EDT Y TAREAS'!AK46,180&lt;'EDT Y TAREAS'!AL46),'EDT Y TAREAS'!AI46/'EDT Y TAREAS'!M46,0),IF(AND(180&gt;='EDT Y TAREAS'!AK48,180&lt;'EDT Y TAREAS'!AL48),'EDT Y TAREAS'!AI48/'EDT Y TAREAS'!M48,0),IF(AND(180&gt;='EDT Y TAREAS'!AK50,180&lt;'EDT Y TAREAS'!AL50),'EDT Y TAREAS'!AI50/'EDT Y TAREAS'!M50,0),IF(AND(180&gt;='EDT Y TAREAS'!AK52,180&lt;'EDT Y TAREAS'!AL52),'EDT Y TAREAS'!AI52/'EDT Y TAREAS'!M52,0))</x:f>
        <x:v>0</x:v>
      </x:c>
      <x:c r="H220" s="35" t="n">
        <x:f>SUM(IF(AND(180&gt;='EDT Y TAREAS'!AK11,180&lt;'EDT Y TAREAS'!AL11),'EDT Y TAREAS'!AJ11/'EDT Y TAREAS'!M11,0),IF(AND(180&gt;='EDT Y TAREAS'!AK24,180&lt;'EDT Y TAREAS'!AL24),'EDT Y TAREAS'!AJ24/'EDT Y TAREAS'!M24,0),IF(AND(180&gt;='EDT Y TAREAS'!AK27,180&lt;'EDT Y TAREAS'!AL27),'EDT Y TAREAS'!AJ27/'EDT Y TAREAS'!M27,0),IF(AND(180&gt;='EDT Y TAREAS'!AK28,180&lt;'EDT Y TAREAS'!AL28),'EDT Y TAREAS'!AJ28/'EDT Y TAREAS'!M28,0),IF(AND(180&gt;='EDT Y TAREAS'!AK33,180&lt;'EDT Y TAREAS'!AL33),'EDT Y TAREAS'!AJ33/'EDT Y TAREAS'!M33,0),IF(AND(180&gt;='EDT Y TAREAS'!AK35,180&lt;'EDT Y TAREAS'!AL35),'EDT Y TAREAS'!AJ35/'EDT Y TAREAS'!M35,0),IF(AND(180&gt;='EDT Y TAREAS'!AK36,180&lt;'EDT Y TAREAS'!AL36),'EDT Y TAREAS'!AJ36/'EDT Y TAREAS'!M36,0),IF(AND(180&gt;='EDT Y TAREAS'!AK37,180&lt;'EDT Y TAREAS'!AL37),'EDT Y TAREAS'!AJ37/'EDT Y TAREAS'!M37,0),IF(AND(180&gt;='EDT Y TAREAS'!AK40,180&lt;'EDT Y TAREAS'!AL40),'EDT Y TAREAS'!AJ40/'EDT Y TAREAS'!M40,0),IF(AND(180&gt;='EDT Y TAREAS'!AK42,180&lt;'EDT Y TAREAS'!AL42),'EDT Y TAREAS'!AJ42/'EDT Y TAREAS'!M42,0),IF(AND(180&gt;='EDT Y TAREAS'!AK49,180&lt;'EDT Y TAREAS'!AL49),'EDT Y TAREAS'!AJ49/'EDT Y TAREAS'!M49,0),IF(AND(180&gt;='EDT Y TAREAS'!AK50,180&lt;'EDT Y TAREAS'!AL50),'EDT Y TAREAS'!AJ50/'EDT Y TAREAS'!M50,0),IF(AND(180&gt;='EDT Y TAREAS'!AK51,180&lt;'EDT Y TAREAS'!AL51),'EDT Y TAREAS'!AJ51/'EDT Y TAREAS'!M51,0),IF(AND(180&gt;='EDT Y TAREAS'!AK52,180&lt;'EDT Y TAREAS'!AL52),'EDT Y TAREAS'!AJ52/'EDT Y TAREAS'!M52,0))</x:f>
        <x:v>0</x:v>
      </x:c>
      <x:c r="I220" s="10" t="n">
        <x:f>WORKDAY('RESUMEN'!$D$3-1,A220,'RESUMEN'!$J$6:$J$25)</x:f>
        <x:v>46580</x:v>
      </x:c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  <x:c r="AM220" s="3"/>
      <x:c r="AN220" s="3"/>
      <x:c r="AO220" s="3"/>
    </x:row>
    <x:row r="221" ht="24" customHeight="1">
      <x:c r="A221" s="3" t="n">
        <x:v>182</x:v>
      </x:c>
      <x:c r="B221" s="35" t="n">
        <x:f>SUM(IF(AND(181&gt;='EDT Y TAREAS'!AK6,181&lt;'EDT Y TAREAS'!AL6),'EDT Y TAREAS'!AD6/'EDT Y TAREAS'!M6,0),IF(AND(181&gt;='EDT Y TAREAS'!AK7,181&lt;'EDT Y TAREAS'!AL7),'EDT Y TAREAS'!AD7/'EDT Y TAREAS'!M7,0),IF(AND(181&gt;='EDT Y TAREAS'!AK8,181&lt;'EDT Y TAREAS'!AL8),'EDT Y TAREAS'!AD8/'EDT Y TAREAS'!M8,0),IF(AND(181&gt;='EDT Y TAREAS'!AK9,181&lt;'EDT Y TAREAS'!AL9),'EDT Y TAREAS'!AD9/'EDT Y TAREAS'!M9,0),IF(AND(181&gt;='EDT Y TAREAS'!AK10,181&lt;'EDT Y TAREAS'!AL10),'EDT Y TAREAS'!AD10/'EDT Y TAREAS'!M10,0),IF(AND(181&gt;='EDT Y TAREAS'!AK11,181&lt;'EDT Y TAREAS'!AL11),'EDT Y TAREAS'!AD11/'EDT Y TAREAS'!M11,0),IF(AND(181&gt;='EDT Y TAREAS'!AK12,181&lt;'EDT Y TAREAS'!AL12),'EDT Y TAREAS'!AD12/'EDT Y TAREAS'!M12,0),IF(AND(181&gt;='EDT Y TAREAS'!AK13,181&lt;'EDT Y TAREAS'!AL13),'EDT Y TAREAS'!AD13/'EDT Y TAREAS'!M13,0),IF(AND(181&gt;='EDT Y TAREAS'!AK14,181&lt;'EDT Y TAREAS'!AL14),'EDT Y TAREAS'!AD14/'EDT Y TAREAS'!M14,0),IF(AND(181&gt;='EDT Y TAREAS'!AK15,181&lt;'EDT Y TAREAS'!AL15),'EDT Y TAREAS'!AD15/'EDT Y TAREAS'!M15,0),IF(AND(181&gt;='EDT Y TAREAS'!AK16,181&lt;'EDT Y TAREAS'!AL16),'EDT Y TAREAS'!AD16/'EDT Y TAREAS'!M16,0),IF(AND(181&gt;='EDT Y TAREAS'!AK17,181&lt;'EDT Y TAREAS'!AL17),'EDT Y TAREAS'!AD17/'EDT Y TAREAS'!M17,0),IF(AND(181&gt;='EDT Y TAREAS'!AK18,181&lt;'EDT Y TAREAS'!AL18),'EDT Y TAREAS'!AD18/'EDT Y TAREAS'!M18,0),IF(AND(181&gt;='EDT Y TAREAS'!AK19,181&lt;'EDT Y TAREAS'!AL19),'EDT Y TAREAS'!AD19/'EDT Y TAREAS'!M19,0),IF(AND(181&gt;='EDT Y TAREAS'!AK20,181&lt;'EDT Y TAREAS'!AL20),'EDT Y TAREAS'!AD20/'EDT Y TAREAS'!M20,0),IF(AND(181&gt;='EDT Y TAREAS'!AK21,181&lt;'EDT Y TAREAS'!AL21),'EDT Y TAREAS'!AD21/'EDT Y TAREAS'!M21,0),IF(AND(181&gt;='EDT Y TAREAS'!AK22,181&lt;'EDT Y TAREAS'!AL22),'EDT Y TAREAS'!AD22/'EDT Y TAREAS'!M22,0),IF(AND(181&gt;='EDT Y TAREAS'!AK23,181&lt;'EDT Y TAREAS'!AL23),'EDT Y TAREAS'!AD23/'EDT Y TAREAS'!M23,0),IF(AND(181&gt;='EDT Y TAREAS'!AK26,181&lt;'EDT Y TAREAS'!AL26),'EDT Y TAREAS'!AD26/'EDT Y TAREAS'!M26,0),IF(AND(181&gt;='EDT Y TAREAS'!AK28,181&lt;'EDT Y TAREAS'!AL28),'EDT Y TAREAS'!AD28/'EDT Y TAREAS'!M28,0),IF(AND(181&gt;='EDT Y TAREAS'!AK30,181&lt;'EDT Y TAREAS'!AL30),'EDT Y TAREAS'!AD30/'EDT Y TAREAS'!M30,0),IF(AND(181&gt;='EDT Y TAREAS'!AK32,181&lt;'EDT Y TAREAS'!AL32),'EDT Y TAREAS'!AD32/'EDT Y TAREAS'!M32,0),IF(AND(181&gt;='EDT Y TAREAS'!AK34,181&lt;'EDT Y TAREAS'!AL34),'EDT Y TAREAS'!AD34/'EDT Y TAREAS'!M34,0),IF(AND(181&gt;='EDT Y TAREAS'!AK38,181&lt;'EDT Y TAREAS'!AL38),'EDT Y TAREAS'!AD38/'EDT Y TAREAS'!M38,0),IF(AND(181&gt;='EDT Y TAREAS'!AK39,181&lt;'EDT Y TAREAS'!AL39),'EDT Y TAREAS'!AD39/'EDT Y TAREAS'!M39,0),IF(AND(181&gt;='EDT Y TAREAS'!AK43,181&lt;'EDT Y TAREAS'!AL43),'EDT Y TAREAS'!AD43/'EDT Y TAREAS'!M43,0),IF(AND(181&gt;='EDT Y TAREAS'!AK44,181&lt;'EDT Y TAREAS'!AL44),'EDT Y TAREAS'!AD44/'EDT Y TAREAS'!M44,0),IF(AND(181&gt;='EDT Y TAREAS'!AK45,181&lt;'EDT Y TAREAS'!AL45),'EDT Y TAREAS'!AD45/'EDT Y TAREAS'!M45,0),IF(AND(181&gt;='EDT Y TAREAS'!AK46,181&lt;'EDT Y TAREAS'!AL46),'EDT Y TAREAS'!AD46/'EDT Y TAREAS'!M46,0),IF(AND(181&gt;='EDT Y TAREAS'!AK47,181&lt;'EDT Y TAREAS'!AL47),'EDT Y TAREAS'!AD47/'EDT Y TAREAS'!M47,0),IF(AND(181&gt;='EDT Y TAREAS'!AK49,181&lt;'EDT Y TAREAS'!AL49),'EDT Y TAREAS'!AD49/'EDT Y TAREAS'!M49,0),IF(AND(181&gt;='EDT Y TAREAS'!AK50,181&lt;'EDT Y TAREAS'!AL50),'EDT Y TAREAS'!AD50/'EDT Y TAREAS'!M50,0),IF(AND(181&gt;='EDT Y TAREAS'!AK51,181&lt;'EDT Y TAREAS'!AL51),'EDT Y TAREAS'!AD51/'EDT Y TAREAS'!M51,0),IF(AND(181&gt;='EDT Y TAREAS'!AK52,181&lt;'EDT Y TAREAS'!AL52),'EDT Y TAREAS'!AD52/'EDT Y TAREAS'!M52,0))</x:f>
        <x:v>0</x:v>
      </x:c>
      <x:c r="C221" s="35" t="n">
        <x:f>SUM(IF(AND(181&gt;='EDT Y TAREAS'!AK6,181&lt;'EDT Y TAREAS'!AL6),'EDT Y TAREAS'!AE6/'EDT Y TAREAS'!M6,0),IF(AND(181&gt;='EDT Y TAREAS'!AK8,181&lt;'EDT Y TAREAS'!AL8),'EDT Y TAREAS'!AE8/'EDT Y TAREAS'!M8,0),IF(AND(181&gt;='EDT Y TAREAS'!AK9,181&lt;'EDT Y TAREAS'!AL9),'EDT Y TAREAS'!AE9/'EDT Y TAREAS'!M9,0),IF(AND(181&gt;='EDT Y TAREAS'!AK10,181&lt;'EDT Y TAREAS'!AL10),'EDT Y TAREAS'!AE10/'EDT Y TAREAS'!M10,0),IF(AND(181&gt;='EDT Y TAREAS'!AK12,181&lt;'EDT Y TAREAS'!AL12),'EDT Y TAREAS'!AE12/'EDT Y TAREAS'!M12,0),IF(AND(181&gt;='EDT Y TAREAS'!AK16,181&lt;'EDT Y TAREAS'!AL16),'EDT Y TAREAS'!AE16/'EDT Y TAREAS'!M16,0),IF(AND(181&gt;='EDT Y TAREAS'!AK21,181&lt;'EDT Y TAREAS'!AL21),'EDT Y TAREAS'!AE21/'EDT Y TAREAS'!M21,0),IF(AND(181&gt;='EDT Y TAREAS'!AK23,181&lt;'EDT Y TAREAS'!AL23),'EDT Y TAREAS'!AE23/'EDT Y TAREAS'!M23,0),IF(AND(181&gt;='EDT Y TAREAS'!AK37,181&lt;'EDT Y TAREAS'!AL37),'EDT Y TAREAS'!AE37/'EDT Y TAREAS'!M37,0),IF(AND(181&gt;='EDT Y TAREAS'!AK38,181&lt;'EDT Y TAREAS'!AL38),'EDT Y TAREAS'!AE38/'EDT Y TAREAS'!M38,0),IF(AND(181&gt;='EDT Y TAREAS'!AK41,181&lt;'EDT Y TAREAS'!AL41),'EDT Y TAREAS'!AE41/'EDT Y TAREAS'!M41,0),IF(AND(181&gt;='EDT Y TAREAS'!AK43,181&lt;'EDT Y TAREAS'!AL43),'EDT Y TAREAS'!AE43/'EDT Y TAREAS'!M43,0),IF(AND(181&gt;='EDT Y TAREAS'!AK44,181&lt;'EDT Y TAREAS'!AL44),'EDT Y TAREAS'!AE44/'EDT Y TAREAS'!M44,0),IF(AND(181&gt;='EDT Y TAREAS'!AK46,181&lt;'EDT Y TAREAS'!AL46),'EDT Y TAREAS'!AE46/'EDT Y TAREAS'!M46,0),IF(AND(181&gt;='EDT Y TAREAS'!AK47,181&lt;'EDT Y TAREAS'!AL47),'EDT Y TAREAS'!AE47/'EDT Y TAREAS'!M47,0),IF(AND(181&gt;='EDT Y TAREAS'!AK51,181&lt;'EDT Y TAREAS'!AL51),'EDT Y TAREAS'!AE51/'EDT Y TAREAS'!M51,0),IF(AND(181&gt;='EDT Y TAREAS'!AK52,181&lt;'EDT Y TAREAS'!AL52),'EDT Y TAREAS'!AE52/'EDT Y TAREAS'!M52,0))</x:f>
        <x:v>0</x:v>
      </x:c>
      <x:c r="D221" s="35" t="n">
        <x:f>SUM(IF(AND(181&gt;='EDT Y TAREAS'!AK11,181&lt;'EDT Y TAREAS'!AL11),'EDT Y TAREAS'!AF11/'EDT Y TAREAS'!M11,0),IF(AND(181&gt;='EDT Y TAREAS'!AK24,181&lt;'EDT Y TAREAS'!AL24),'EDT Y TAREAS'!AF24/'EDT Y TAREAS'!M24,0),IF(AND(181&gt;='EDT Y TAREAS'!AK25,181&lt;'EDT Y TAREAS'!AL25),'EDT Y TAREAS'!AF25/'EDT Y TAREAS'!M25,0),IF(AND(181&gt;='EDT Y TAREAS'!AK26,181&lt;'EDT Y TAREAS'!AL26),'EDT Y TAREAS'!AF26/'EDT Y TAREAS'!M26,0),IF(AND(181&gt;='EDT Y TAREAS'!AK27,181&lt;'EDT Y TAREAS'!AL27),'EDT Y TAREAS'!AF27/'EDT Y TAREAS'!M27,0),IF(AND(181&gt;='EDT Y TAREAS'!AK28,181&lt;'EDT Y TAREAS'!AL28),'EDT Y TAREAS'!AF28/'EDT Y TAREAS'!M28,0),IF(AND(181&gt;='EDT Y TAREAS'!AK31,181&lt;'EDT Y TAREAS'!AL31),'EDT Y TAREAS'!AF31/'EDT Y TAREAS'!M31,0),IF(AND(181&gt;='EDT Y TAREAS'!AK33,181&lt;'EDT Y TAREAS'!AL33),'EDT Y TAREAS'!AF33/'EDT Y TAREAS'!M33,0),IF(AND(181&gt;='EDT Y TAREAS'!AK34,181&lt;'EDT Y TAREAS'!AL34),'EDT Y TAREAS'!AF34/'EDT Y TAREAS'!M34,0),IF(AND(181&gt;='EDT Y TAREAS'!AK35,181&lt;'EDT Y TAREAS'!AL35),'EDT Y TAREAS'!AF35/'EDT Y TAREAS'!M35,0),IF(AND(181&gt;='EDT Y TAREAS'!AK37,181&lt;'EDT Y TAREAS'!AL37),'EDT Y TAREAS'!AF37/'EDT Y TAREAS'!M37,0),IF(AND(181&gt;='EDT Y TAREAS'!AK39,181&lt;'EDT Y TAREAS'!AL39),'EDT Y TAREAS'!AF39/'EDT Y TAREAS'!M39,0),IF(AND(181&gt;='EDT Y TAREAS'!AK40,181&lt;'EDT Y TAREAS'!AL40),'EDT Y TAREAS'!AF40/'EDT Y TAREAS'!M40,0),IF(AND(181&gt;='EDT Y TAREAS'!AK42,181&lt;'EDT Y TAREAS'!AL42),'EDT Y TAREAS'!AF42/'EDT Y TAREAS'!M42,0),IF(AND(181&gt;='EDT Y TAREAS'!AK45,181&lt;'EDT Y TAREAS'!AL45),'EDT Y TAREAS'!AF45/'EDT Y TAREAS'!M45,0),IF(AND(181&gt;='EDT Y TAREAS'!AK49,181&lt;'EDT Y TAREAS'!AL49),'EDT Y TAREAS'!AF49/'EDT Y TAREAS'!M49,0),IF(AND(181&gt;='EDT Y TAREAS'!AK52,181&lt;'EDT Y TAREAS'!AL52),'EDT Y TAREAS'!AF52/'EDT Y TAREAS'!M52,0))</x:f>
        <x:v>0</x:v>
      </x:c>
      <x:c r="E221" s="35" t="n">
        <x:f>SUM(IF(AND(181&gt;='EDT Y TAREAS'!AK29,181&lt;'EDT Y TAREAS'!AL29),'EDT Y TAREAS'!AG29/'EDT Y TAREAS'!M29,0),IF(AND(181&gt;='EDT Y TAREAS'!AK30,181&lt;'EDT Y TAREAS'!AL30),'EDT Y TAREAS'!AG30/'EDT Y TAREAS'!M30,0),IF(AND(181&gt;='EDT Y TAREAS'!AK31,181&lt;'EDT Y TAREAS'!AL31),'EDT Y TAREAS'!AG31/'EDT Y TAREAS'!M31,0),IF(AND(181&gt;='EDT Y TAREAS'!AK32,181&lt;'EDT Y TAREAS'!AL32),'EDT Y TAREAS'!AG32/'EDT Y TAREAS'!M32,0),IF(AND(181&gt;='EDT Y TAREAS'!AK41,181&lt;'EDT Y TAREAS'!AL41),'EDT Y TAREAS'!AG41/'EDT Y TAREAS'!M41,0),IF(AND(181&gt;='EDT Y TAREAS'!AK45,181&lt;'EDT Y TAREAS'!AL45),'EDT Y TAREAS'!AG45/'EDT Y TAREAS'!M45,0),IF(AND(181&gt;='EDT Y TAREAS'!AK48,181&lt;'EDT Y TAREAS'!AL48),'EDT Y TAREAS'!AG48/'EDT Y TAREAS'!M48,0))</x:f>
        <x:v>0</x:v>
      </x:c>
      <x:c r="F221" s="35" t="n">
        <x:f>SUM(IF(AND(181&gt;='EDT Y TAREAS'!AK10,181&lt;'EDT Y TAREAS'!AL10),'EDT Y TAREAS'!AH10/'EDT Y TAREAS'!M10,0),IF(AND(181&gt;='EDT Y TAREAS'!AK12,181&lt;'EDT Y TAREAS'!AL12),'EDT Y TAREAS'!AH12/'EDT Y TAREAS'!M12,0),IF(AND(181&gt;='EDT Y TAREAS'!AK22,181&lt;'EDT Y TAREAS'!AL22),'EDT Y TAREAS'!AH22/'EDT Y TAREAS'!M22,0),IF(AND(181&gt;='EDT Y TAREAS'!AK23,181&lt;'EDT Y TAREAS'!AL23),'EDT Y TAREAS'!AH23/'EDT Y TAREAS'!M23,0),IF(AND(181&gt;='EDT Y TAREAS'!AK29,181&lt;'EDT Y TAREAS'!AL29),'EDT Y TAREAS'!AH29/'EDT Y TAREAS'!M29,0),IF(AND(181&gt;='EDT Y TAREAS'!AK30,181&lt;'EDT Y TAREAS'!AL30),'EDT Y TAREAS'!AH30/'EDT Y TAREAS'!M30,0),IF(AND(181&gt;='EDT Y TAREAS'!AK32,181&lt;'EDT Y TAREAS'!AL32),'EDT Y TAREAS'!AH32/'EDT Y TAREAS'!M32,0),IF(AND(181&gt;='EDT Y TAREAS'!AK41,181&lt;'EDT Y TAREAS'!AL41),'EDT Y TAREAS'!AH41/'EDT Y TAREAS'!M41,0),IF(AND(181&gt;='EDT Y TAREAS'!AK44,181&lt;'EDT Y TAREAS'!AL44),'EDT Y TAREAS'!AH44/'EDT Y TAREAS'!M44,0),IF(AND(181&gt;='EDT Y TAREAS'!AK46,181&lt;'EDT Y TAREAS'!AL46),'EDT Y TAREAS'!AH46/'EDT Y TAREAS'!M46,0),IF(AND(181&gt;='EDT Y TAREAS'!AK48,181&lt;'EDT Y TAREAS'!AL48),'EDT Y TAREAS'!AH48/'EDT Y TAREAS'!M48,0))</x:f>
        <x:v>0</x:v>
      </x:c>
      <x:c r="G221" s="35" t="n">
        <x:f>SUM(IF(AND(181&gt;='EDT Y TAREAS'!AK20,181&lt;'EDT Y TAREAS'!AL20),'EDT Y TAREAS'!AI20/'EDT Y TAREAS'!M20,0),IF(AND(181&gt;='EDT Y TAREAS'!AK25,181&lt;'EDT Y TAREAS'!AL25),'EDT Y TAREAS'!AI25/'EDT Y TAREAS'!M25,0),IF(AND(181&gt;='EDT Y TAREAS'!AK33,181&lt;'EDT Y TAREAS'!AL33),'EDT Y TAREAS'!AI33/'EDT Y TAREAS'!M33,0),IF(AND(181&gt;='EDT Y TAREAS'!AK34,181&lt;'EDT Y TAREAS'!AL34),'EDT Y TAREAS'!AI34/'EDT Y TAREAS'!M34,0),IF(AND(181&gt;='EDT Y TAREAS'!AK36,181&lt;'EDT Y TAREAS'!AL36),'EDT Y TAREAS'!AI36/'EDT Y TAREAS'!M36,0),IF(AND(181&gt;='EDT Y TAREAS'!AK39,181&lt;'EDT Y TAREAS'!AL39),'EDT Y TAREAS'!AI39/'EDT Y TAREAS'!M39,0),IF(AND(181&gt;='EDT Y TAREAS'!AK40,181&lt;'EDT Y TAREAS'!AL40),'EDT Y TAREAS'!AI40/'EDT Y TAREAS'!M40,0),IF(AND(181&gt;='EDT Y TAREAS'!AK42,181&lt;'EDT Y TAREAS'!AL42),'EDT Y TAREAS'!AI42/'EDT Y TAREAS'!M42,0),IF(AND(181&gt;='EDT Y TAREAS'!AK43,181&lt;'EDT Y TAREAS'!AL43),'EDT Y TAREAS'!AI43/'EDT Y TAREAS'!M43,0),IF(AND(181&gt;='EDT Y TAREAS'!AK44,181&lt;'EDT Y TAREAS'!AL44),'EDT Y TAREAS'!AI44/'EDT Y TAREAS'!M44,0),IF(AND(181&gt;='EDT Y TAREAS'!AK45,181&lt;'EDT Y TAREAS'!AL45),'EDT Y TAREAS'!AI45/'EDT Y TAREAS'!M45,0),IF(AND(181&gt;='EDT Y TAREAS'!AK46,181&lt;'EDT Y TAREAS'!AL46),'EDT Y TAREAS'!AI46/'EDT Y TAREAS'!M46,0),IF(AND(181&gt;='EDT Y TAREAS'!AK48,181&lt;'EDT Y TAREAS'!AL48),'EDT Y TAREAS'!AI48/'EDT Y TAREAS'!M48,0),IF(AND(181&gt;='EDT Y TAREAS'!AK50,181&lt;'EDT Y TAREAS'!AL50),'EDT Y TAREAS'!AI50/'EDT Y TAREAS'!M50,0),IF(AND(181&gt;='EDT Y TAREAS'!AK52,181&lt;'EDT Y TAREAS'!AL52),'EDT Y TAREAS'!AI52/'EDT Y TAREAS'!M52,0))</x:f>
        <x:v>0</x:v>
      </x:c>
      <x:c r="H221" s="35" t="n">
        <x:f>SUM(IF(AND(181&gt;='EDT Y TAREAS'!AK11,181&lt;'EDT Y TAREAS'!AL11),'EDT Y TAREAS'!AJ11/'EDT Y TAREAS'!M11,0),IF(AND(181&gt;='EDT Y TAREAS'!AK24,181&lt;'EDT Y TAREAS'!AL24),'EDT Y TAREAS'!AJ24/'EDT Y TAREAS'!M24,0),IF(AND(181&gt;='EDT Y TAREAS'!AK27,181&lt;'EDT Y TAREAS'!AL27),'EDT Y TAREAS'!AJ27/'EDT Y TAREAS'!M27,0),IF(AND(181&gt;='EDT Y TAREAS'!AK28,181&lt;'EDT Y TAREAS'!AL28),'EDT Y TAREAS'!AJ28/'EDT Y TAREAS'!M28,0),IF(AND(181&gt;='EDT Y TAREAS'!AK33,181&lt;'EDT Y TAREAS'!AL33),'EDT Y TAREAS'!AJ33/'EDT Y TAREAS'!M33,0),IF(AND(181&gt;='EDT Y TAREAS'!AK35,181&lt;'EDT Y TAREAS'!AL35),'EDT Y TAREAS'!AJ35/'EDT Y TAREAS'!M35,0),IF(AND(181&gt;='EDT Y TAREAS'!AK36,181&lt;'EDT Y TAREAS'!AL36),'EDT Y TAREAS'!AJ36/'EDT Y TAREAS'!M36,0),IF(AND(181&gt;='EDT Y TAREAS'!AK37,181&lt;'EDT Y TAREAS'!AL37),'EDT Y TAREAS'!AJ37/'EDT Y TAREAS'!M37,0),IF(AND(181&gt;='EDT Y TAREAS'!AK40,181&lt;'EDT Y TAREAS'!AL40),'EDT Y TAREAS'!AJ40/'EDT Y TAREAS'!M40,0),IF(AND(181&gt;='EDT Y TAREAS'!AK42,181&lt;'EDT Y TAREAS'!AL42),'EDT Y TAREAS'!AJ42/'EDT Y TAREAS'!M42,0),IF(AND(181&gt;='EDT Y TAREAS'!AK49,181&lt;'EDT Y TAREAS'!AL49),'EDT Y TAREAS'!AJ49/'EDT Y TAREAS'!M49,0),IF(AND(181&gt;='EDT Y TAREAS'!AK50,181&lt;'EDT Y TAREAS'!AL50),'EDT Y TAREAS'!AJ50/'EDT Y TAREAS'!M50,0),IF(AND(181&gt;='EDT Y TAREAS'!AK51,181&lt;'EDT Y TAREAS'!AL51),'EDT Y TAREAS'!AJ51/'EDT Y TAREAS'!M51,0),IF(AND(181&gt;='EDT Y TAREAS'!AK52,181&lt;'EDT Y TAREAS'!AL52),'EDT Y TAREAS'!AJ52/'EDT Y TAREAS'!M52,0))</x:f>
        <x:v>0</x:v>
      </x:c>
      <x:c r="I221" s="10" t="n">
        <x:f>WORKDAY('RESUMEN'!$D$3-1,A221,'RESUMEN'!$J$6:$J$25)</x:f>
        <x:v>46581</x:v>
      </x:c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  <x:c r="AM221" s="3"/>
      <x:c r="AN221" s="3"/>
      <x:c r="AO221" s="3"/>
    </x:row>
    <x:row r="222" ht="24" customHeight="1">
      <x:c r="A222" s="3" t="n">
        <x:v>183</x:v>
      </x:c>
      <x:c r="B222" s="35" t="n">
        <x:f>SUM(IF(AND(182&gt;='EDT Y TAREAS'!AK6,182&lt;'EDT Y TAREAS'!AL6),'EDT Y TAREAS'!AD6/'EDT Y TAREAS'!M6,0),IF(AND(182&gt;='EDT Y TAREAS'!AK7,182&lt;'EDT Y TAREAS'!AL7),'EDT Y TAREAS'!AD7/'EDT Y TAREAS'!M7,0),IF(AND(182&gt;='EDT Y TAREAS'!AK8,182&lt;'EDT Y TAREAS'!AL8),'EDT Y TAREAS'!AD8/'EDT Y TAREAS'!M8,0),IF(AND(182&gt;='EDT Y TAREAS'!AK9,182&lt;'EDT Y TAREAS'!AL9),'EDT Y TAREAS'!AD9/'EDT Y TAREAS'!M9,0),IF(AND(182&gt;='EDT Y TAREAS'!AK10,182&lt;'EDT Y TAREAS'!AL10),'EDT Y TAREAS'!AD10/'EDT Y TAREAS'!M10,0),IF(AND(182&gt;='EDT Y TAREAS'!AK11,182&lt;'EDT Y TAREAS'!AL11),'EDT Y TAREAS'!AD11/'EDT Y TAREAS'!M11,0),IF(AND(182&gt;='EDT Y TAREAS'!AK12,182&lt;'EDT Y TAREAS'!AL12),'EDT Y TAREAS'!AD12/'EDT Y TAREAS'!M12,0),IF(AND(182&gt;='EDT Y TAREAS'!AK13,182&lt;'EDT Y TAREAS'!AL13),'EDT Y TAREAS'!AD13/'EDT Y TAREAS'!M13,0),IF(AND(182&gt;='EDT Y TAREAS'!AK14,182&lt;'EDT Y TAREAS'!AL14),'EDT Y TAREAS'!AD14/'EDT Y TAREAS'!M14,0),IF(AND(182&gt;='EDT Y TAREAS'!AK15,182&lt;'EDT Y TAREAS'!AL15),'EDT Y TAREAS'!AD15/'EDT Y TAREAS'!M15,0),IF(AND(182&gt;='EDT Y TAREAS'!AK16,182&lt;'EDT Y TAREAS'!AL16),'EDT Y TAREAS'!AD16/'EDT Y TAREAS'!M16,0),IF(AND(182&gt;='EDT Y TAREAS'!AK17,182&lt;'EDT Y TAREAS'!AL17),'EDT Y TAREAS'!AD17/'EDT Y TAREAS'!M17,0),IF(AND(182&gt;='EDT Y TAREAS'!AK18,182&lt;'EDT Y TAREAS'!AL18),'EDT Y TAREAS'!AD18/'EDT Y TAREAS'!M18,0),IF(AND(182&gt;='EDT Y TAREAS'!AK19,182&lt;'EDT Y TAREAS'!AL19),'EDT Y TAREAS'!AD19/'EDT Y TAREAS'!M19,0),IF(AND(182&gt;='EDT Y TAREAS'!AK20,182&lt;'EDT Y TAREAS'!AL20),'EDT Y TAREAS'!AD20/'EDT Y TAREAS'!M20,0),IF(AND(182&gt;='EDT Y TAREAS'!AK21,182&lt;'EDT Y TAREAS'!AL21),'EDT Y TAREAS'!AD21/'EDT Y TAREAS'!M21,0),IF(AND(182&gt;='EDT Y TAREAS'!AK22,182&lt;'EDT Y TAREAS'!AL22),'EDT Y TAREAS'!AD22/'EDT Y TAREAS'!M22,0),IF(AND(182&gt;='EDT Y TAREAS'!AK23,182&lt;'EDT Y TAREAS'!AL23),'EDT Y TAREAS'!AD23/'EDT Y TAREAS'!M23,0),IF(AND(182&gt;='EDT Y TAREAS'!AK26,182&lt;'EDT Y TAREAS'!AL26),'EDT Y TAREAS'!AD26/'EDT Y TAREAS'!M26,0),IF(AND(182&gt;='EDT Y TAREAS'!AK28,182&lt;'EDT Y TAREAS'!AL28),'EDT Y TAREAS'!AD28/'EDT Y TAREAS'!M28,0),IF(AND(182&gt;='EDT Y TAREAS'!AK30,182&lt;'EDT Y TAREAS'!AL30),'EDT Y TAREAS'!AD30/'EDT Y TAREAS'!M30,0),IF(AND(182&gt;='EDT Y TAREAS'!AK32,182&lt;'EDT Y TAREAS'!AL32),'EDT Y TAREAS'!AD32/'EDT Y TAREAS'!M32,0),IF(AND(182&gt;='EDT Y TAREAS'!AK34,182&lt;'EDT Y TAREAS'!AL34),'EDT Y TAREAS'!AD34/'EDT Y TAREAS'!M34,0),IF(AND(182&gt;='EDT Y TAREAS'!AK38,182&lt;'EDT Y TAREAS'!AL38),'EDT Y TAREAS'!AD38/'EDT Y TAREAS'!M38,0),IF(AND(182&gt;='EDT Y TAREAS'!AK39,182&lt;'EDT Y TAREAS'!AL39),'EDT Y TAREAS'!AD39/'EDT Y TAREAS'!M39,0),IF(AND(182&gt;='EDT Y TAREAS'!AK43,182&lt;'EDT Y TAREAS'!AL43),'EDT Y TAREAS'!AD43/'EDT Y TAREAS'!M43,0),IF(AND(182&gt;='EDT Y TAREAS'!AK44,182&lt;'EDT Y TAREAS'!AL44),'EDT Y TAREAS'!AD44/'EDT Y TAREAS'!M44,0),IF(AND(182&gt;='EDT Y TAREAS'!AK45,182&lt;'EDT Y TAREAS'!AL45),'EDT Y TAREAS'!AD45/'EDT Y TAREAS'!M45,0),IF(AND(182&gt;='EDT Y TAREAS'!AK46,182&lt;'EDT Y TAREAS'!AL46),'EDT Y TAREAS'!AD46/'EDT Y TAREAS'!M46,0),IF(AND(182&gt;='EDT Y TAREAS'!AK47,182&lt;'EDT Y TAREAS'!AL47),'EDT Y TAREAS'!AD47/'EDT Y TAREAS'!M47,0),IF(AND(182&gt;='EDT Y TAREAS'!AK49,182&lt;'EDT Y TAREAS'!AL49),'EDT Y TAREAS'!AD49/'EDT Y TAREAS'!M49,0),IF(AND(182&gt;='EDT Y TAREAS'!AK50,182&lt;'EDT Y TAREAS'!AL50),'EDT Y TAREAS'!AD50/'EDT Y TAREAS'!M50,0),IF(AND(182&gt;='EDT Y TAREAS'!AK51,182&lt;'EDT Y TAREAS'!AL51),'EDT Y TAREAS'!AD51/'EDT Y TAREAS'!M51,0),IF(AND(182&gt;='EDT Y TAREAS'!AK52,182&lt;'EDT Y TAREAS'!AL52),'EDT Y TAREAS'!AD52/'EDT Y TAREAS'!M52,0))</x:f>
        <x:v>0</x:v>
      </x:c>
      <x:c r="C222" s="35" t="n">
        <x:f>SUM(IF(AND(182&gt;='EDT Y TAREAS'!AK6,182&lt;'EDT Y TAREAS'!AL6),'EDT Y TAREAS'!AE6/'EDT Y TAREAS'!M6,0),IF(AND(182&gt;='EDT Y TAREAS'!AK8,182&lt;'EDT Y TAREAS'!AL8),'EDT Y TAREAS'!AE8/'EDT Y TAREAS'!M8,0),IF(AND(182&gt;='EDT Y TAREAS'!AK9,182&lt;'EDT Y TAREAS'!AL9),'EDT Y TAREAS'!AE9/'EDT Y TAREAS'!M9,0),IF(AND(182&gt;='EDT Y TAREAS'!AK10,182&lt;'EDT Y TAREAS'!AL10),'EDT Y TAREAS'!AE10/'EDT Y TAREAS'!M10,0),IF(AND(182&gt;='EDT Y TAREAS'!AK12,182&lt;'EDT Y TAREAS'!AL12),'EDT Y TAREAS'!AE12/'EDT Y TAREAS'!M12,0),IF(AND(182&gt;='EDT Y TAREAS'!AK16,182&lt;'EDT Y TAREAS'!AL16),'EDT Y TAREAS'!AE16/'EDT Y TAREAS'!M16,0),IF(AND(182&gt;='EDT Y TAREAS'!AK21,182&lt;'EDT Y TAREAS'!AL21),'EDT Y TAREAS'!AE21/'EDT Y TAREAS'!M21,0),IF(AND(182&gt;='EDT Y TAREAS'!AK23,182&lt;'EDT Y TAREAS'!AL23),'EDT Y TAREAS'!AE23/'EDT Y TAREAS'!M23,0),IF(AND(182&gt;='EDT Y TAREAS'!AK37,182&lt;'EDT Y TAREAS'!AL37),'EDT Y TAREAS'!AE37/'EDT Y TAREAS'!M37,0),IF(AND(182&gt;='EDT Y TAREAS'!AK38,182&lt;'EDT Y TAREAS'!AL38),'EDT Y TAREAS'!AE38/'EDT Y TAREAS'!M38,0),IF(AND(182&gt;='EDT Y TAREAS'!AK41,182&lt;'EDT Y TAREAS'!AL41),'EDT Y TAREAS'!AE41/'EDT Y TAREAS'!M41,0),IF(AND(182&gt;='EDT Y TAREAS'!AK43,182&lt;'EDT Y TAREAS'!AL43),'EDT Y TAREAS'!AE43/'EDT Y TAREAS'!M43,0),IF(AND(182&gt;='EDT Y TAREAS'!AK44,182&lt;'EDT Y TAREAS'!AL44),'EDT Y TAREAS'!AE44/'EDT Y TAREAS'!M44,0),IF(AND(182&gt;='EDT Y TAREAS'!AK46,182&lt;'EDT Y TAREAS'!AL46),'EDT Y TAREAS'!AE46/'EDT Y TAREAS'!M46,0),IF(AND(182&gt;='EDT Y TAREAS'!AK47,182&lt;'EDT Y TAREAS'!AL47),'EDT Y TAREAS'!AE47/'EDT Y TAREAS'!M47,0),IF(AND(182&gt;='EDT Y TAREAS'!AK51,182&lt;'EDT Y TAREAS'!AL51),'EDT Y TAREAS'!AE51/'EDT Y TAREAS'!M51,0),IF(AND(182&gt;='EDT Y TAREAS'!AK52,182&lt;'EDT Y TAREAS'!AL52),'EDT Y TAREAS'!AE52/'EDT Y TAREAS'!M52,0))</x:f>
        <x:v>0</x:v>
      </x:c>
      <x:c r="D222" s="35" t="n">
        <x:f>SUM(IF(AND(182&gt;='EDT Y TAREAS'!AK11,182&lt;'EDT Y TAREAS'!AL11),'EDT Y TAREAS'!AF11/'EDT Y TAREAS'!M11,0),IF(AND(182&gt;='EDT Y TAREAS'!AK24,182&lt;'EDT Y TAREAS'!AL24),'EDT Y TAREAS'!AF24/'EDT Y TAREAS'!M24,0),IF(AND(182&gt;='EDT Y TAREAS'!AK25,182&lt;'EDT Y TAREAS'!AL25),'EDT Y TAREAS'!AF25/'EDT Y TAREAS'!M25,0),IF(AND(182&gt;='EDT Y TAREAS'!AK26,182&lt;'EDT Y TAREAS'!AL26),'EDT Y TAREAS'!AF26/'EDT Y TAREAS'!M26,0),IF(AND(182&gt;='EDT Y TAREAS'!AK27,182&lt;'EDT Y TAREAS'!AL27),'EDT Y TAREAS'!AF27/'EDT Y TAREAS'!M27,0),IF(AND(182&gt;='EDT Y TAREAS'!AK28,182&lt;'EDT Y TAREAS'!AL28),'EDT Y TAREAS'!AF28/'EDT Y TAREAS'!M28,0),IF(AND(182&gt;='EDT Y TAREAS'!AK31,182&lt;'EDT Y TAREAS'!AL31),'EDT Y TAREAS'!AF31/'EDT Y TAREAS'!M31,0),IF(AND(182&gt;='EDT Y TAREAS'!AK33,182&lt;'EDT Y TAREAS'!AL33),'EDT Y TAREAS'!AF33/'EDT Y TAREAS'!M33,0),IF(AND(182&gt;='EDT Y TAREAS'!AK34,182&lt;'EDT Y TAREAS'!AL34),'EDT Y TAREAS'!AF34/'EDT Y TAREAS'!M34,0),IF(AND(182&gt;='EDT Y TAREAS'!AK35,182&lt;'EDT Y TAREAS'!AL35),'EDT Y TAREAS'!AF35/'EDT Y TAREAS'!M35,0),IF(AND(182&gt;='EDT Y TAREAS'!AK37,182&lt;'EDT Y TAREAS'!AL37),'EDT Y TAREAS'!AF37/'EDT Y TAREAS'!M37,0),IF(AND(182&gt;='EDT Y TAREAS'!AK39,182&lt;'EDT Y TAREAS'!AL39),'EDT Y TAREAS'!AF39/'EDT Y TAREAS'!M39,0),IF(AND(182&gt;='EDT Y TAREAS'!AK40,182&lt;'EDT Y TAREAS'!AL40),'EDT Y TAREAS'!AF40/'EDT Y TAREAS'!M40,0),IF(AND(182&gt;='EDT Y TAREAS'!AK42,182&lt;'EDT Y TAREAS'!AL42),'EDT Y TAREAS'!AF42/'EDT Y TAREAS'!M42,0),IF(AND(182&gt;='EDT Y TAREAS'!AK45,182&lt;'EDT Y TAREAS'!AL45),'EDT Y TAREAS'!AF45/'EDT Y TAREAS'!M45,0),IF(AND(182&gt;='EDT Y TAREAS'!AK49,182&lt;'EDT Y TAREAS'!AL49),'EDT Y TAREAS'!AF49/'EDT Y TAREAS'!M49,0),IF(AND(182&gt;='EDT Y TAREAS'!AK52,182&lt;'EDT Y TAREAS'!AL52),'EDT Y TAREAS'!AF52/'EDT Y TAREAS'!M52,0))</x:f>
        <x:v>0</x:v>
      </x:c>
      <x:c r="E222" s="35" t="n">
        <x:f>SUM(IF(AND(182&gt;='EDT Y TAREAS'!AK29,182&lt;'EDT Y TAREAS'!AL29),'EDT Y TAREAS'!AG29/'EDT Y TAREAS'!M29,0),IF(AND(182&gt;='EDT Y TAREAS'!AK30,182&lt;'EDT Y TAREAS'!AL30),'EDT Y TAREAS'!AG30/'EDT Y TAREAS'!M30,0),IF(AND(182&gt;='EDT Y TAREAS'!AK31,182&lt;'EDT Y TAREAS'!AL31),'EDT Y TAREAS'!AG31/'EDT Y TAREAS'!M31,0),IF(AND(182&gt;='EDT Y TAREAS'!AK32,182&lt;'EDT Y TAREAS'!AL32),'EDT Y TAREAS'!AG32/'EDT Y TAREAS'!M32,0),IF(AND(182&gt;='EDT Y TAREAS'!AK41,182&lt;'EDT Y TAREAS'!AL41),'EDT Y TAREAS'!AG41/'EDT Y TAREAS'!M41,0),IF(AND(182&gt;='EDT Y TAREAS'!AK45,182&lt;'EDT Y TAREAS'!AL45),'EDT Y TAREAS'!AG45/'EDT Y TAREAS'!M45,0),IF(AND(182&gt;='EDT Y TAREAS'!AK48,182&lt;'EDT Y TAREAS'!AL48),'EDT Y TAREAS'!AG48/'EDT Y TAREAS'!M48,0))</x:f>
        <x:v>0</x:v>
      </x:c>
      <x:c r="F222" s="35" t="n">
        <x:f>SUM(IF(AND(182&gt;='EDT Y TAREAS'!AK10,182&lt;'EDT Y TAREAS'!AL10),'EDT Y TAREAS'!AH10/'EDT Y TAREAS'!M10,0),IF(AND(182&gt;='EDT Y TAREAS'!AK12,182&lt;'EDT Y TAREAS'!AL12),'EDT Y TAREAS'!AH12/'EDT Y TAREAS'!M12,0),IF(AND(182&gt;='EDT Y TAREAS'!AK22,182&lt;'EDT Y TAREAS'!AL22),'EDT Y TAREAS'!AH22/'EDT Y TAREAS'!M22,0),IF(AND(182&gt;='EDT Y TAREAS'!AK23,182&lt;'EDT Y TAREAS'!AL23),'EDT Y TAREAS'!AH23/'EDT Y TAREAS'!M23,0),IF(AND(182&gt;='EDT Y TAREAS'!AK29,182&lt;'EDT Y TAREAS'!AL29),'EDT Y TAREAS'!AH29/'EDT Y TAREAS'!M29,0),IF(AND(182&gt;='EDT Y TAREAS'!AK30,182&lt;'EDT Y TAREAS'!AL30),'EDT Y TAREAS'!AH30/'EDT Y TAREAS'!M30,0),IF(AND(182&gt;='EDT Y TAREAS'!AK32,182&lt;'EDT Y TAREAS'!AL32),'EDT Y TAREAS'!AH32/'EDT Y TAREAS'!M32,0),IF(AND(182&gt;='EDT Y TAREAS'!AK41,182&lt;'EDT Y TAREAS'!AL41),'EDT Y TAREAS'!AH41/'EDT Y TAREAS'!M41,0),IF(AND(182&gt;='EDT Y TAREAS'!AK44,182&lt;'EDT Y TAREAS'!AL44),'EDT Y TAREAS'!AH44/'EDT Y TAREAS'!M44,0),IF(AND(182&gt;='EDT Y TAREAS'!AK46,182&lt;'EDT Y TAREAS'!AL46),'EDT Y TAREAS'!AH46/'EDT Y TAREAS'!M46,0),IF(AND(182&gt;='EDT Y TAREAS'!AK48,182&lt;'EDT Y TAREAS'!AL48),'EDT Y TAREAS'!AH48/'EDT Y TAREAS'!M48,0))</x:f>
        <x:v>0</x:v>
      </x:c>
      <x:c r="G222" s="35" t="n">
        <x:f>SUM(IF(AND(182&gt;='EDT Y TAREAS'!AK20,182&lt;'EDT Y TAREAS'!AL20),'EDT Y TAREAS'!AI20/'EDT Y TAREAS'!M20,0),IF(AND(182&gt;='EDT Y TAREAS'!AK25,182&lt;'EDT Y TAREAS'!AL25),'EDT Y TAREAS'!AI25/'EDT Y TAREAS'!M25,0),IF(AND(182&gt;='EDT Y TAREAS'!AK33,182&lt;'EDT Y TAREAS'!AL33),'EDT Y TAREAS'!AI33/'EDT Y TAREAS'!M33,0),IF(AND(182&gt;='EDT Y TAREAS'!AK34,182&lt;'EDT Y TAREAS'!AL34),'EDT Y TAREAS'!AI34/'EDT Y TAREAS'!M34,0),IF(AND(182&gt;='EDT Y TAREAS'!AK36,182&lt;'EDT Y TAREAS'!AL36),'EDT Y TAREAS'!AI36/'EDT Y TAREAS'!M36,0),IF(AND(182&gt;='EDT Y TAREAS'!AK39,182&lt;'EDT Y TAREAS'!AL39),'EDT Y TAREAS'!AI39/'EDT Y TAREAS'!M39,0),IF(AND(182&gt;='EDT Y TAREAS'!AK40,182&lt;'EDT Y TAREAS'!AL40),'EDT Y TAREAS'!AI40/'EDT Y TAREAS'!M40,0),IF(AND(182&gt;='EDT Y TAREAS'!AK42,182&lt;'EDT Y TAREAS'!AL42),'EDT Y TAREAS'!AI42/'EDT Y TAREAS'!M42,0),IF(AND(182&gt;='EDT Y TAREAS'!AK43,182&lt;'EDT Y TAREAS'!AL43),'EDT Y TAREAS'!AI43/'EDT Y TAREAS'!M43,0),IF(AND(182&gt;='EDT Y TAREAS'!AK44,182&lt;'EDT Y TAREAS'!AL44),'EDT Y TAREAS'!AI44/'EDT Y TAREAS'!M44,0),IF(AND(182&gt;='EDT Y TAREAS'!AK45,182&lt;'EDT Y TAREAS'!AL45),'EDT Y TAREAS'!AI45/'EDT Y TAREAS'!M45,0),IF(AND(182&gt;='EDT Y TAREAS'!AK46,182&lt;'EDT Y TAREAS'!AL46),'EDT Y TAREAS'!AI46/'EDT Y TAREAS'!M46,0),IF(AND(182&gt;='EDT Y TAREAS'!AK48,182&lt;'EDT Y TAREAS'!AL48),'EDT Y TAREAS'!AI48/'EDT Y TAREAS'!M48,0),IF(AND(182&gt;='EDT Y TAREAS'!AK50,182&lt;'EDT Y TAREAS'!AL50),'EDT Y TAREAS'!AI50/'EDT Y TAREAS'!M50,0),IF(AND(182&gt;='EDT Y TAREAS'!AK52,182&lt;'EDT Y TAREAS'!AL52),'EDT Y TAREAS'!AI52/'EDT Y TAREAS'!M52,0))</x:f>
        <x:v>0</x:v>
      </x:c>
      <x:c r="H222" s="35" t="n">
        <x:f>SUM(IF(AND(182&gt;='EDT Y TAREAS'!AK11,182&lt;'EDT Y TAREAS'!AL11),'EDT Y TAREAS'!AJ11/'EDT Y TAREAS'!M11,0),IF(AND(182&gt;='EDT Y TAREAS'!AK24,182&lt;'EDT Y TAREAS'!AL24),'EDT Y TAREAS'!AJ24/'EDT Y TAREAS'!M24,0),IF(AND(182&gt;='EDT Y TAREAS'!AK27,182&lt;'EDT Y TAREAS'!AL27),'EDT Y TAREAS'!AJ27/'EDT Y TAREAS'!M27,0),IF(AND(182&gt;='EDT Y TAREAS'!AK28,182&lt;'EDT Y TAREAS'!AL28),'EDT Y TAREAS'!AJ28/'EDT Y TAREAS'!M28,0),IF(AND(182&gt;='EDT Y TAREAS'!AK33,182&lt;'EDT Y TAREAS'!AL33),'EDT Y TAREAS'!AJ33/'EDT Y TAREAS'!M33,0),IF(AND(182&gt;='EDT Y TAREAS'!AK35,182&lt;'EDT Y TAREAS'!AL35),'EDT Y TAREAS'!AJ35/'EDT Y TAREAS'!M35,0),IF(AND(182&gt;='EDT Y TAREAS'!AK36,182&lt;'EDT Y TAREAS'!AL36),'EDT Y TAREAS'!AJ36/'EDT Y TAREAS'!M36,0),IF(AND(182&gt;='EDT Y TAREAS'!AK37,182&lt;'EDT Y TAREAS'!AL37),'EDT Y TAREAS'!AJ37/'EDT Y TAREAS'!M37,0),IF(AND(182&gt;='EDT Y TAREAS'!AK40,182&lt;'EDT Y TAREAS'!AL40),'EDT Y TAREAS'!AJ40/'EDT Y TAREAS'!M40,0),IF(AND(182&gt;='EDT Y TAREAS'!AK42,182&lt;'EDT Y TAREAS'!AL42),'EDT Y TAREAS'!AJ42/'EDT Y TAREAS'!M42,0),IF(AND(182&gt;='EDT Y TAREAS'!AK49,182&lt;'EDT Y TAREAS'!AL49),'EDT Y TAREAS'!AJ49/'EDT Y TAREAS'!M49,0),IF(AND(182&gt;='EDT Y TAREAS'!AK50,182&lt;'EDT Y TAREAS'!AL50),'EDT Y TAREAS'!AJ50/'EDT Y TAREAS'!M50,0),IF(AND(182&gt;='EDT Y TAREAS'!AK51,182&lt;'EDT Y TAREAS'!AL51),'EDT Y TAREAS'!AJ51/'EDT Y TAREAS'!M51,0),IF(AND(182&gt;='EDT Y TAREAS'!AK52,182&lt;'EDT Y TAREAS'!AL52),'EDT Y TAREAS'!AJ52/'EDT Y TAREAS'!M52,0))</x:f>
        <x:v>0</x:v>
      </x:c>
      <x:c r="I222" s="10" t="n">
        <x:f>WORKDAY('RESUMEN'!$D$3-1,A222,'RESUMEN'!$J$6:$J$25)</x:f>
        <x:v>46582</x:v>
      </x:c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  <x:c r="AM222" s="3"/>
      <x:c r="AN222" s="3"/>
      <x:c r="AO222" s="3"/>
    </x:row>
    <x:row r="223" ht="24" customHeight="1">
      <x:c r="A223" s="3" t="n">
        <x:v>184</x:v>
      </x:c>
      <x:c r="B223" s="35" t="n">
        <x:f>SUM(IF(AND(183&gt;='EDT Y TAREAS'!AK6,183&lt;'EDT Y TAREAS'!AL6),'EDT Y TAREAS'!AD6/'EDT Y TAREAS'!M6,0),IF(AND(183&gt;='EDT Y TAREAS'!AK7,183&lt;'EDT Y TAREAS'!AL7),'EDT Y TAREAS'!AD7/'EDT Y TAREAS'!M7,0),IF(AND(183&gt;='EDT Y TAREAS'!AK8,183&lt;'EDT Y TAREAS'!AL8),'EDT Y TAREAS'!AD8/'EDT Y TAREAS'!M8,0),IF(AND(183&gt;='EDT Y TAREAS'!AK9,183&lt;'EDT Y TAREAS'!AL9),'EDT Y TAREAS'!AD9/'EDT Y TAREAS'!M9,0),IF(AND(183&gt;='EDT Y TAREAS'!AK10,183&lt;'EDT Y TAREAS'!AL10),'EDT Y TAREAS'!AD10/'EDT Y TAREAS'!M10,0),IF(AND(183&gt;='EDT Y TAREAS'!AK11,183&lt;'EDT Y TAREAS'!AL11),'EDT Y TAREAS'!AD11/'EDT Y TAREAS'!M11,0),IF(AND(183&gt;='EDT Y TAREAS'!AK12,183&lt;'EDT Y TAREAS'!AL12),'EDT Y TAREAS'!AD12/'EDT Y TAREAS'!M12,0),IF(AND(183&gt;='EDT Y TAREAS'!AK13,183&lt;'EDT Y TAREAS'!AL13),'EDT Y TAREAS'!AD13/'EDT Y TAREAS'!M13,0),IF(AND(183&gt;='EDT Y TAREAS'!AK14,183&lt;'EDT Y TAREAS'!AL14),'EDT Y TAREAS'!AD14/'EDT Y TAREAS'!M14,0),IF(AND(183&gt;='EDT Y TAREAS'!AK15,183&lt;'EDT Y TAREAS'!AL15),'EDT Y TAREAS'!AD15/'EDT Y TAREAS'!M15,0),IF(AND(183&gt;='EDT Y TAREAS'!AK16,183&lt;'EDT Y TAREAS'!AL16),'EDT Y TAREAS'!AD16/'EDT Y TAREAS'!M16,0),IF(AND(183&gt;='EDT Y TAREAS'!AK17,183&lt;'EDT Y TAREAS'!AL17),'EDT Y TAREAS'!AD17/'EDT Y TAREAS'!M17,0),IF(AND(183&gt;='EDT Y TAREAS'!AK18,183&lt;'EDT Y TAREAS'!AL18),'EDT Y TAREAS'!AD18/'EDT Y TAREAS'!M18,0),IF(AND(183&gt;='EDT Y TAREAS'!AK19,183&lt;'EDT Y TAREAS'!AL19),'EDT Y TAREAS'!AD19/'EDT Y TAREAS'!M19,0),IF(AND(183&gt;='EDT Y TAREAS'!AK20,183&lt;'EDT Y TAREAS'!AL20),'EDT Y TAREAS'!AD20/'EDT Y TAREAS'!M20,0),IF(AND(183&gt;='EDT Y TAREAS'!AK21,183&lt;'EDT Y TAREAS'!AL21),'EDT Y TAREAS'!AD21/'EDT Y TAREAS'!M21,0),IF(AND(183&gt;='EDT Y TAREAS'!AK22,183&lt;'EDT Y TAREAS'!AL22),'EDT Y TAREAS'!AD22/'EDT Y TAREAS'!M22,0),IF(AND(183&gt;='EDT Y TAREAS'!AK23,183&lt;'EDT Y TAREAS'!AL23),'EDT Y TAREAS'!AD23/'EDT Y TAREAS'!M23,0),IF(AND(183&gt;='EDT Y TAREAS'!AK26,183&lt;'EDT Y TAREAS'!AL26),'EDT Y TAREAS'!AD26/'EDT Y TAREAS'!M26,0),IF(AND(183&gt;='EDT Y TAREAS'!AK28,183&lt;'EDT Y TAREAS'!AL28),'EDT Y TAREAS'!AD28/'EDT Y TAREAS'!M28,0),IF(AND(183&gt;='EDT Y TAREAS'!AK30,183&lt;'EDT Y TAREAS'!AL30),'EDT Y TAREAS'!AD30/'EDT Y TAREAS'!M30,0),IF(AND(183&gt;='EDT Y TAREAS'!AK32,183&lt;'EDT Y TAREAS'!AL32),'EDT Y TAREAS'!AD32/'EDT Y TAREAS'!M32,0),IF(AND(183&gt;='EDT Y TAREAS'!AK34,183&lt;'EDT Y TAREAS'!AL34),'EDT Y TAREAS'!AD34/'EDT Y TAREAS'!M34,0),IF(AND(183&gt;='EDT Y TAREAS'!AK38,183&lt;'EDT Y TAREAS'!AL38),'EDT Y TAREAS'!AD38/'EDT Y TAREAS'!M38,0),IF(AND(183&gt;='EDT Y TAREAS'!AK39,183&lt;'EDT Y TAREAS'!AL39),'EDT Y TAREAS'!AD39/'EDT Y TAREAS'!M39,0),IF(AND(183&gt;='EDT Y TAREAS'!AK43,183&lt;'EDT Y TAREAS'!AL43),'EDT Y TAREAS'!AD43/'EDT Y TAREAS'!M43,0),IF(AND(183&gt;='EDT Y TAREAS'!AK44,183&lt;'EDT Y TAREAS'!AL44),'EDT Y TAREAS'!AD44/'EDT Y TAREAS'!M44,0),IF(AND(183&gt;='EDT Y TAREAS'!AK45,183&lt;'EDT Y TAREAS'!AL45),'EDT Y TAREAS'!AD45/'EDT Y TAREAS'!M45,0),IF(AND(183&gt;='EDT Y TAREAS'!AK46,183&lt;'EDT Y TAREAS'!AL46),'EDT Y TAREAS'!AD46/'EDT Y TAREAS'!M46,0),IF(AND(183&gt;='EDT Y TAREAS'!AK47,183&lt;'EDT Y TAREAS'!AL47),'EDT Y TAREAS'!AD47/'EDT Y TAREAS'!M47,0),IF(AND(183&gt;='EDT Y TAREAS'!AK49,183&lt;'EDT Y TAREAS'!AL49),'EDT Y TAREAS'!AD49/'EDT Y TAREAS'!M49,0),IF(AND(183&gt;='EDT Y TAREAS'!AK50,183&lt;'EDT Y TAREAS'!AL50),'EDT Y TAREAS'!AD50/'EDT Y TAREAS'!M50,0),IF(AND(183&gt;='EDT Y TAREAS'!AK51,183&lt;'EDT Y TAREAS'!AL51),'EDT Y TAREAS'!AD51/'EDT Y TAREAS'!M51,0),IF(AND(183&gt;='EDT Y TAREAS'!AK52,183&lt;'EDT Y TAREAS'!AL52),'EDT Y TAREAS'!AD52/'EDT Y TAREAS'!M52,0))</x:f>
        <x:v>0</x:v>
      </x:c>
      <x:c r="C223" s="35" t="n">
        <x:f>SUM(IF(AND(183&gt;='EDT Y TAREAS'!AK6,183&lt;'EDT Y TAREAS'!AL6),'EDT Y TAREAS'!AE6/'EDT Y TAREAS'!M6,0),IF(AND(183&gt;='EDT Y TAREAS'!AK8,183&lt;'EDT Y TAREAS'!AL8),'EDT Y TAREAS'!AE8/'EDT Y TAREAS'!M8,0),IF(AND(183&gt;='EDT Y TAREAS'!AK9,183&lt;'EDT Y TAREAS'!AL9),'EDT Y TAREAS'!AE9/'EDT Y TAREAS'!M9,0),IF(AND(183&gt;='EDT Y TAREAS'!AK10,183&lt;'EDT Y TAREAS'!AL10),'EDT Y TAREAS'!AE10/'EDT Y TAREAS'!M10,0),IF(AND(183&gt;='EDT Y TAREAS'!AK12,183&lt;'EDT Y TAREAS'!AL12),'EDT Y TAREAS'!AE12/'EDT Y TAREAS'!M12,0),IF(AND(183&gt;='EDT Y TAREAS'!AK16,183&lt;'EDT Y TAREAS'!AL16),'EDT Y TAREAS'!AE16/'EDT Y TAREAS'!M16,0),IF(AND(183&gt;='EDT Y TAREAS'!AK21,183&lt;'EDT Y TAREAS'!AL21),'EDT Y TAREAS'!AE21/'EDT Y TAREAS'!M21,0),IF(AND(183&gt;='EDT Y TAREAS'!AK23,183&lt;'EDT Y TAREAS'!AL23),'EDT Y TAREAS'!AE23/'EDT Y TAREAS'!M23,0),IF(AND(183&gt;='EDT Y TAREAS'!AK37,183&lt;'EDT Y TAREAS'!AL37),'EDT Y TAREAS'!AE37/'EDT Y TAREAS'!M37,0),IF(AND(183&gt;='EDT Y TAREAS'!AK38,183&lt;'EDT Y TAREAS'!AL38),'EDT Y TAREAS'!AE38/'EDT Y TAREAS'!M38,0),IF(AND(183&gt;='EDT Y TAREAS'!AK41,183&lt;'EDT Y TAREAS'!AL41),'EDT Y TAREAS'!AE41/'EDT Y TAREAS'!M41,0),IF(AND(183&gt;='EDT Y TAREAS'!AK43,183&lt;'EDT Y TAREAS'!AL43),'EDT Y TAREAS'!AE43/'EDT Y TAREAS'!M43,0),IF(AND(183&gt;='EDT Y TAREAS'!AK44,183&lt;'EDT Y TAREAS'!AL44),'EDT Y TAREAS'!AE44/'EDT Y TAREAS'!M44,0),IF(AND(183&gt;='EDT Y TAREAS'!AK46,183&lt;'EDT Y TAREAS'!AL46),'EDT Y TAREAS'!AE46/'EDT Y TAREAS'!M46,0),IF(AND(183&gt;='EDT Y TAREAS'!AK47,183&lt;'EDT Y TAREAS'!AL47),'EDT Y TAREAS'!AE47/'EDT Y TAREAS'!M47,0),IF(AND(183&gt;='EDT Y TAREAS'!AK51,183&lt;'EDT Y TAREAS'!AL51),'EDT Y TAREAS'!AE51/'EDT Y TAREAS'!M51,0),IF(AND(183&gt;='EDT Y TAREAS'!AK52,183&lt;'EDT Y TAREAS'!AL52),'EDT Y TAREAS'!AE52/'EDT Y TAREAS'!M52,0))</x:f>
        <x:v>0</x:v>
      </x:c>
      <x:c r="D223" s="35" t="n">
        <x:f>SUM(IF(AND(183&gt;='EDT Y TAREAS'!AK11,183&lt;'EDT Y TAREAS'!AL11),'EDT Y TAREAS'!AF11/'EDT Y TAREAS'!M11,0),IF(AND(183&gt;='EDT Y TAREAS'!AK24,183&lt;'EDT Y TAREAS'!AL24),'EDT Y TAREAS'!AF24/'EDT Y TAREAS'!M24,0),IF(AND(183&gt;='EDT Y TAREAS'!AK25,183&lt;'EDT Y TAREAS'!AL25),'EDT Y TAREAS'!AF25/'EDT Y TAREAS'!M25,0),IF(AND(183&gt;='EDT Y TAREAS'!AK26,183&lt;'EDT Y TAREAS'!AL26),'EDT Y TAREAS'!AF26/'EDT Y TAREAS'!M26,0),IF(AND(183&gt;='EDT Y TAREAS'!AK27,183&lt;'EDT Y TAREAS'!AL27),'EDT Y TAREAS'!AF27/'EDT Y TAREAS'!M27,0),IF(AND(183&gt;='EDT Y TAREAS'!AK28,183&lt;'EDT Y TAREAS'!AL28),'EDT Y TAREAS'!AF28/'EDT Y TAREAS'!M28,0),IF(AND(183&gt;='EDT Y TAREAS'!AK31,183&lt;'EDT Y TAREAS'!AL31),'EDT Y TAREAS'!AF31/'EDT Y TAREAS'!M31,0),IF(AND(183&gt;='EDT Y TAREAS'!AK33,183&lt;'EDT Y TAREAS'!AL33),'EDT Y TAREAS'!AF33/'EDT Y TAREAS'!M33,0),IF(AND(183&gt;='EDT Y TAREAS'!AK34,183&lt;'EDT Y TAREAS'!AL34),'EDT Y TAREAS'!AF34/'EDT Y TAREAS'!M34,0),IF(AND(183&gt;='EDT Y TAREAS'!AK35,183&lt;'EDT Y TAREAS'!AL35),'EDT Y TAREAS'!AF35/'EDT Y TAREAS'!M35,0),IF(AND(183&gt;='EDT Y TAREAS'!AK37,183&lt;'EDT Y TAREAS'!AL37),'EDT Y TAREAS'!AF37/'EDT Y TAREAS'!M37,0),IF(AND(183&gt;='EDT Y TAREAS'!AK39,183&lt;'EDT Y TAREAS'!AL39),'EDT Y TAREAS'!AF39/'EDT Y TAREAS'!M39,0),IF(AND(183&gt;='EDT Y TAREAS'!AK40,183&lt;'EDT Y TAREAS'!AL40),'EDT Y TAREAS'!AF40/'EDT Y TAREAS'!M40,0),IF(AND(183&gt;='EDT Y TAREAS'!AK42,183&lt;'EDT Y TAREAS'!AL42),'EDT Y TAREAS'!AF42/'EDT Y TAREAS'!M42,0),IF(AND(183&gt;='EDT Y TAREAS'!AK45,183&lt;'EDT Y TAREAS'!AL45),'EDT Y TAREAS'!AF45/'EDT Y TAREAS'!M45,0),IF(AND(183&gt;='EDT Y TAREAS'!AK49,183&lt;'EDT Y TAREAS'!AL49),'EDT Y TAREAS'!AF49/'EDT Y TAREAS'!M49,0),IF(AND(183&gt;='EDT Y TAREAS'!AK52,183&lt;'EDT Y TAREAS'!AL52),'EDT Y TAREAS'!AF52/'EDT Y TAREAS'!M52,0))</x:f>
        <x:v>0</x:v>
      </x:c>
      <x:c r="E223" s="35" t="n">
        <x:f>SUM(IF(AND(183&gt;='EDT Y TAREAS'!AK29,183&lt;'EDT Y TAREAS'!AL29),'EDT Y TAREAS'!AG29/'EDT Y TAREAS'!M29,0),IF(AND(183&gt;='EDT Y TAREAS'!AK30,183&lt;'EDT Y TAREAS'!AL30),'EDT Y TAREAS'!AG30/'EDT Y TAREAS'!M30,0),IF(AND(183&gt;='EDT Y TAREAS'!AK31,183&lt;'EDT Y TAREAS'!AL31),'EDT Y TAREAS'!AG31/'EDT Y TAREAS'!M31,0),IF(AND(183&gt;='EDT Y TAREAS'!AK32,183&lt;'EDT Y TAREAS'!AL32),'EDT Y TAREAS'!AG32/'EDT Y TAREAS'!M32,0),IF(AND(183&gt;='EDT Y TAREAS'!AK41,183&lt;'EDT Y TAREAS'!AL41),'EDT Y TAREAS'!AG41/'EDT Y TAREAS'!M41,0),IF(AND(183&gt;='EDT Y TAREAS'!AK45,183&lt;'EDT Y TAREAS'!AL45),'EDT Y TAREAS'!AG45/'EDT Y TAREAS'!M45,0),IF(AND(183&gt;='EDT Y TAREAS'!AK48,183&lt;'EDT Y TAREAS'!AL48),'EDT Y TAREAS'!AG48/'EDT Y TAREAS'!M48,0))</x:f>
        <x:v>0</x:v>
      </x:c>
      <x:c r="F223" s="35" t="n">
        <x:f>SUM(IF(AND(183&gt;='EDT Y TAREAS'!AK10,183&lt;'EDT Y TAREAS'!AL10),'EDT Y TAREAS'!AH10/'EDT Y TAREAS'!M10,0),IF(AND(183&gt;='EDT Y TAREAS'!AK12,183&lt;'EDT Y TAREAS'!AL12),'EDT Y TAREAS'!AH12/'EDT Y TAREAS'!M12,0),IF(AND(183&gt;='EDT Y TAREAS'!AK22,183&lt;'EDT Y TAREAS'!AL22),'EDT Y TAREAS'!AH22/'EDT Y TAREAS'!M22,0),IF(AND(183&gt;='EDT Y TAREAS'!AK23,183&lt;'EDT Y TAREAS'!AL23),'EDT Y TAREAS'!AH23/'EDT Y TAREAS'!M23,0),IF(AND(183&gt;='EDT Y TAREAS'!AK29,183&lt;'EDT Y TAREAS'!AL29),'EDT Y TAREAS'!AH29/'EDT Y TAREAS'!M29,0),IF(AND(183&gt;='EDT Y TAREAS'!AK30,183&lt;'EDT Y TAREAS'!AL30),'EDT Y TAREAS'!AH30/'EDT Y TAREAS'!M30,0),IF(AND(183&gt;='EDT Y TAREAS'!AK32,183&lt;'EDT Y TAREAS'!AL32),'EDT Y TAREAS'!AH32/'EDT Y TAREAS'!M32,0),IF(AND(183&gt;='EDT Y TAREAS'!AK41,183&lt;'EDT Y TAREAS'!AL41),'EDT Y TAREAS'!AH41/'EDT Y TAREAS'!M41,0),IF(AND(183&gt;='EDT Y TAREAS'!AK44,183&lt;'EDT Y TAREAS'!AL44),'EDT Y TAREAS'!AH44/'EDT Y TAREAS'!M44,0),IF(AND(183&gt;='EDT Y TAREAS'!AK46,183&lt;'EDT Y TAREAS'!AL46),'EDT Y TAREAS'!AH46/'EDT Y TAREAS'!M46,0),IF(AND(183&gt;='EDT Y TAREAS'!AK48,183&lt;'EDT Y TAREAS'!AL48),'EDT Y TAREAS'!AH48/'EDT Y TAREAS'!M48,0))</x:f>
        <x:v>0</x:v>
      </x:c>
      <x:c r="G223" s="35" t="n">
        <x:f>SUM(IF(AND(183&gt;='EDT Y TAREAS'!AK20,183&lt;'EDT Y TAREAS'!AL20),'EDT Y TAREAS'!AI20/'EDT Y TAREAS'!M20,0),IF(AND(183&gt;='EDT Y TAREAS'!AK25,183&lt;'EDT Y TAREAS'!AL25),'EDT Y TAREAS'!AI25/'EDT Y TAREAS'!M25,0),IF(AND(183&gt;='EDT Y TAREAS'!AK33,183&lt;'EDT Y TAREAS'!AL33),'EDT Y TAREAS'!AI33/'EDT Y TAREAS'!M33,0),IF(AND(183&gt;='EDT Y TAREAS'!AK34,183&lt;'EDT Y TAREAS'!AL34),'EDT Y TAREAS'!AI34/'EDT Y TAREAS'!M34,0),IF(AND(183&gt;='EDT Y TAREAS'!AK36,183&lt;'EDT Y TAREAS'!AL36),'EDT Y TAREAS'!AI36/'EDT Y TAREAS'!M36,0),IF(AND(183&gt;='EDT Y TAREAS'!AK39,183&lt;'EDT Y TAREAS'!AL39),'EDT Y TAREAS'!AI39/'EDT Y TAREAS'!M39,0),IF(AND(183&gt;='EDT Y TAREAS'!AK40,183&lt;'EDT Y TAREAS'!AL40),'EDT Y TAREAS'!AI40/'EDT Y TAREAS'!M40,0),IF(AND(183&gt;='EDT Y TAREAS'!AK42,183&lt;'EDT Y TAREAS'!AL42),'EDT Y TAREAS'!AI42/'EDT Y TAREAS'!M42,0),IF(AND(183&gt;='EDT Y TAREAS'!AK43,183&lt;'EDT Y TAREAS'!AL43),'EDT Y TAREAS'!AI43/'EDT Y TAREAS'!M43,0),IF(AND(183&gt;='EDT Y TAREAS'!AK44,183&lt;'EDT Y TAREAS'!AL44),'EDT Y TAREAS'!AI44/'EDT Y TAREAS'!M44,0),IF(AND(183&gt;='EDT Y TAREAS'!AK45,183&lt;'EDT Y TAREAS'!AL45),'EDT Y TAREAS'!AI45/'EDT Y TAREAS'!M45,0),IF(AND(183&gt;='EDT Y TAREAS'!AK46,183&lt;'EDT Y TAREAS'!AL46),'EDT Y TAREAS'!AI46/'EDT Y TAREAS'!M46,0),IF(AND(183&gt;='EDT Y TAREAS'!AK48,183&lt;'EDT Y TAREAS'!AL48),'EDT Y TAREAS'!AI48/'EDT Y TAREAS'!M48,0),IF(AND(183&gt;='EDT Y TAREAS'!AK50,183&lt;'EDT Y TAREAS'!AL50),'EDT Y TAREAS'!AI50/'EDT Y TAREAS'!M50,0),IF(AND(183&gt;='EDT Y TAREAS'!AK52,183&lt;'EDT Y TAREAS'!AL52),'EDT Y TAREAS'!AI52/'EDT Y TAREAS'!M52,0))</x:f>
        <x:v>0</x:v>
      </x:c>
      <x:c r="H223" s="35" t="n">
        <x:f>SUM(IF(AND(183&gt;='EDT Y TAREAS'!AK11,183&lt;'EDT Y TAREAS'!AL11),'EDT Y TAREAS'!AJ11/'EDT Y TAREAS'!M11,0),IF(AND(183&gt;='EDT Y TAREAS'!AK24,183&lt;'EDT Y TAREAS'!AL24),'EDT Y TAREAS'!AJ24/'EDT Y TAREAS'!M24,0),IF(AND(183&gt;='EDT Y TAREAS'!AK27,183&lt;'EDT Y TAREAS'!AL27),'EDT Y TAREAS'!AJ27/'EDT Y TAREAS'!M27,0),IF(AND(183&gt;='EDT Y TAREAS'!AK28,183&lt;'EDT Y TAREAS'!AL28),'EDT Y TAREAS'!AJ28/'EDT Y TAREAS'!M28,0),IF(AND(183&gt;='EDT Y TAREAS'!AK33,183&lt;'EDT Y TAREAS'!AL33),'EDT Y TAREAS'!AJ33/'EDT Y TAREAS'!M33,0),IF(AND(183&gt;='EDT Y TAREAS'!AK35,183&lt;'EDT Y TAREAS'!AL35),'EDT Y TAREAS'!AJ35/'EDT Y TAREAS'!M35,0),IF(AND(183&gt;='EDT Y TAREAS'!AK36,183&lt;'EDT Y TAREAS'!AL36),'EDT Y TAREAS'!AJ36/'EDT Y TAREAS'!M36,0),IF(AND(183&gt;='EDT Y TAREAS'!AK37,183&lt;'EDT Y TAREAS'!AL37),'EDT Y TAREAS'!AJ37/'EDT Y TAREAS'!M37,0),IF(AND(183&gt;='EDT Y TAREAS'!AK40,183&lt;'EDT Y TAREAS'!AL40),'EDT Y TAREAS'!AJ40/'EDT Y TAREAS'!M40,0),IF(AND(183&gt;='EDT Y TAREAS'!AK42,183&lt;'EDT Y TAREAS'!AL42),'EDT Y TAREAS'!AJ42/'EDT Y TAREAS'!M42,0),IF(AND(183&gt;='EDT Y TAREAS'!AK49,183&lt;'EDT Y TAREAS'!AL49),'EDT Y TAREAS'!AJ49/'EDT Y TAREAS'!M49,0),IF(AND(183&gt;='EDT Y TAREAS'!AK50,183&lt;'EDT Y TAREAS'!AL50),'EDT Y TAREAS'!AJ50/'EDT Y TAREAS'!M50,0),IF(AND(183&gt;='EDT Y TAREAS'!AK51,183&lt;'EDT Y TAREAS'!AL51),'EDT Y TAREAS'!AJ51/'EDT Y TAREAS'!M51,0),IF(AND(183&gt;='EDT Y TAREAS'!AK52,183&lt;'EDT Y TAREAS'!AL52),'EDT Y TAREAS'!AJ52/'EDT Y TAREAS'!M52,0))</x:f>
        <x:v>0</x:v>
      </x:c>
      <x:c r="I223" s="10" t="n">
        <x:f>WORKDAY('RESUMEN'!$D$3-1,A223,'RESUMEN'!$J$6:$J$25)</x:f>
        <x:v>46583</x:v>
      </x:c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  <x:c r="AM223" s="3"/>
      <x:c r="AN223" s="3"/>
      <x:c r="AO223" s="3"/>
    </x:row>
    <x:row r="224" ht="24" customHeight="1">
      <x:c r="A224" s="3" t="n">
        <x:v>185</x:v>
      </x:c>
      <x:c r="B224" s="35" t="n">
        <x:f>SUM(IF(AND(184&gt;='EDT Y TAREAS'!AK6,184&lt;'EDT Y TAREAS'!AL6),'EDT Y TAREAS'!AD6/'EDT Y TAREAS'!M6,0),IF(AND(184&gt;='EDT Y TAREAS'!AK7,184&lt;'EDT Y TAREAS'!AL7),'EDT Y TAREAS'!AD7/'EDT Y TAREAS'!M7,0),IF(AND(184&gt;='EDT Y TAREAS'!AK8,184&lt;'EDT Y TAREAS'!AL8),'EDT Y TAREAS'!AD8/'EDT Y TAREAS'!M8,0),IF(AND(184&gt;='EDT Y TAREAS'!AK9,184&lt;'EDT Y TAREAS'!AL9),'EDT Y TAREAS'!AD9/'EDT Y TAREAS'!M9,0),IF(AND(184&gt;='EDT Y TAREAS'!AK10,184&lt;'EDT Y TAREAS'!AL10),'EDT Y TAREAS'!AD10/'EDT Y TAREAS'!M10,0),IF(AND(184&gt;='EDT Y TAREAS'!AK11,184&lt;'EDT Y TAREAS'!AL11),'EDT Y TAREAS'!AD11/'EDT Y TAREAS'!M11,0),IF(AND(184&gt;='EDT Y TAREAS'!AK12,184&lt;'EDT Y TAREAS'!AL12),'EDT Y TAREAS'!AD12/'EDT Y TAREAS'!M12,0),IF(AND(184&gt;='EDT Y TAREAS'!AK13,184&lt;'EDT Y TAREAS'!AL13),'EDT Y TAREAS'!AD13/'EDT Y TAREAS'!M13,0),IF(AND(184&gt;='EDT Y TAREAS'!AK14,184&lt;'EDT Y TAREAS'!AL14),'EDT Y TAREAS'!AD14/'EDT Y TAREAS'!M14,0),IF(AND(184&gt;='EDT Y TAREAS'!AK15,184&lt;'EDT Y TAREAS'!AL15),'EDT Y TAREAS'!AD15/'EDT Y TAREAS'!M15,0),IF(AND(184&gt;='EDT Y TAREAS'!AK16,184&lt;'EDT Y TAREAS'!AL16),'EDT Y TAREAS'!AD16/'EDT Y TAREAS'!M16,0),IF(AND(184&gt;='EDT Y TAREAS'!AK17,184&lt;'EDT Y TAREAS'!AL17),'EDT Y TAREAS'!AD17/'EDT Y TAREAS'!M17,0),IF(AND(184&gt;='EDT Y TAREAS'!AK18,184&lt;'EDT Y TAREAS'!AL18),'EDT Y TAREAS'!AD18/'EDT Y TAREAS'!M18,0),IF(AND(184&gt;='EDT Y TAREAS'!AK19,184&lt;'EDT Y TAREAS'!AL19),'EDT Y TAREAS'!AD19/'EDT Y TAREAS'!M19,0),IF(AND(184&gt;='EDT Y TAREAS'!AK20,184&lt;'EDT Y TAREAS'!AL20),'EDT Y TAREAS'!AD20/'EDT Y TAREAS'!M20,0),IF(AND(184&gt;='EDT Y TAREAS'!AK21,184&lt;'EDT Y TAREAS'!AL21),'EDT Y TAREAS'!AD21/'EDT Y TAREAS'!M21,0),IF(AND(184&gt;='EDT Y TAREAS'!AK22,184&lt;'EDT Y TAREAS'!AL22),'EDT Y TAREAS'!AD22/'EDT Y TAREAS'!M22,0),IF(AND(184&gt;='EDT Y TAREAS'!AK23,184&lt;'EDT Y TAREAS'!AL23),'EDT Y TAREAS'!AD23/'EDT Y TAREAS'!M23,0),IF(AND(184&gt;='EDT Y TAREAS'!AK26,184&lt;'EDT Y TAREAS'!AL26),'EDT Y TAREAS'!AD26/'EDT Y TAREAS'!M26,0),IF(AND(184&gt;='EDT Y TAREAS'!AK28,184&lt;'EDT Y TAREAS'!AL28),'EDT Y TAREAS'!AD28/'EDT Y TAREAS'!M28,0),IF(AND(184&gt;='EDT Y TAREAS'!AK30,184&lt;'EDT Y TAREAS'!AL30),'EDT Y TAREAS'!AD30/'EDT Y TAREAS'!M30,0),IF(AND(184&gt;='EDT Y TAREAS'!AK32,184&lt;'EDT Y TAREAS'!AL32),'EDT Y TAREAS'!AD32/'EDT Y TAREAS'!M32,0),IF(AND(184&gt;='EDT Y TAREAS'!AK34,184&lt;'EDT Y TAREAS'!AL34),'EDT Y TAREAS'!AD34/'EDT Y TAREAS'!M34,0),IF(AND(184&gt;='EDT Y TAREAS'!AK38,184&lt;'EDT Y TAREAS'!AL38),'EDT Y TAREAS'!AD38/'EDT Y TAREAS'!M38,0),IF(AND(184&gt;='EDT Y TAREAS'!AK39,184&lt;'EDT Y TAREAS'!AL39),'EDT Y TAREAS'!AD39/'EDT Y TAREAS'!M39,0),IF(AND(184&gt;='EDT Y TAREAS'!AK43,184&lt;'EDT Y TAREAS'!AL43),'EDT Y TAREAS'!AD43/'EDT Y TAREAS'!M43,0),IF(AND(184&gt;='EDT Y TAREAS'!AK44,184&lt;'EDT Y TAREAS'!AL44),'EDT Y TAREAS'!AD44/'EDT Y TAREAS'!M44,0),IF(AND(184&gt;='EDT Y TAREAS'!AK45,184&lt;'EDT Y TAREAS'!AL45),'EDT Y TAREAS'!AD45/'EDT Y TAREAS'!M45,0),IF(AND(184&gt;='EDT Y TAREAS'!AK46,184&lt;'EDT Y TAREAS'!AL46),'EDT Y TAREAS'!AD46/'EDT Y TAREAS'!M46,0),IF(AND(184&gt;='EDT Y TAREAS'!AK47,184&lt;'EDT Y TAREAS'!AL47),'EDT Y TAREAS'!AD47/'EDT Y TAREAS'!M47,0),IF(AND(184&gt;='EDT Y TAREAS'!AK49,184&lt;'EDT Y TAREAS'!AL49),'EDT Y TAREAS'!AD49/'EDT Y TAREAS'!M49,0),IF(AND(184&gt;='EDT Y TAREAS'!AK50,184&lt;'EDT Y TAREAS'!AL50),'EDT Y TAREAS'!AD50/'EDT Y TAREAS'!M50,0),IF(AND(184&gt;='EDT Y TAREAS'!AK51,184&lt;'EDT Y TAREAS'!AL51),'EDT Y TAREAS'!AD51/'EDT Y TAREAS'!M51,0),IF(AND(184&gt;='EDT Y TAREAS'!AK52,184&lt;'EDT Y TAREAS'!AL52),'EDT Y TAREAS'!AD52/'EDT Y TAREAS'!M52,0))</x:f>
        <x:v>0</x:v>
      </x:c>
      <x:c r="C224" s="35" t="n">
        <x:f>SUM(IF(AND(184&gt;='EDT Y TAREAS'!AK6,184&lt;'EDT Y TAREAS'!AL6),'EDT Y TAREAS'!AE6/'EDT Y TAREAS'!M6,0),IF(AND(184&gt;='EDT Y TAREAS'!AK8,184&lt;'EDT Y TAREAS'!AL8),'EDT Y TAREAS'!AE8/'EDT Y TAREAS'!M8,0),IF(AND(184&gt;='EDT Y TAREAS'!AK9,184&lt;'EDT Y TAREAS'!AL9),'EDT Y TAREAS'!AE9/'EDT Y TAREAS'!M9,0),IF(AND(184&gt;='EDT Y TAREAS'!AK10,184&lt;'EDT Y TAREAS'!AL10),'EDT Y TAREAS'!AE10/'EDT Y TAREAS'!M10,0),IF(AND(184&gt;='EDT Y TAREAS'!AK12,184&lt;'EDT Y TAREAS'!AL12),'EDT Y TAREAS'!AE12/'EDT Y TAREAS'!M12,0),IF(AND(184&gt;='EDT Y TAREAS'!AK16,184&lt;'EDT Y TAREAS'!AL16),'EDT Y TAREAS'!AE16/'EDT Y TAREAS'!M16,0),IF(AND(184&gt;='EDT Y TAREAS'!AK21,184&lt;'EDT Y TAREAS'!AL21),'EDT Y TAREAS'!AE21/'EDT Y TAREAS'!M21,0),IF(AND(184&gt;='EDT Y TAREAS'!AK23,184&lt;'EDT Y TAREAS'!AL23),'EDT Y TAREAS'!AE23/'EDT Y TAREAS'!M23,0),IF(AND(184&gt;='EDT Y TAREAS'!AK37,184&lt;'EDT Y TAREAS'!AL37),'EDT Y TAREAS'!AE37/'EDT Y TAREAS'!M37,0),IF(AND(184&gt;='EDT Y TAREAS'!AK38,184&lt;'EDT Y TAREAS'!AL38),'EDT Y TAREAS'!AE38/'EDT Y TAREAS'!M38,0),IF(AND(184&gt;='EDT Y TAREAS'!AK41,184&lt;'EDT Y TAREAS'!AL41),'EDT Y TAREAS'!AE41/'EDT Y TAREAS'!M41,0),IF(AND(184&gt;='EDT Y TAREAS'!AK43,184&lt;'EDT Y TAREAS'!AL43),'EDT Y TAREAS'!AE43/'EDT Y TAREAS'!M43,0),IF(AND(184&gt;='EDT Y TAREAS'!AK44,184&lt;'EDT Y TAREAS'!AL44),'EDT Y TAREAS'!AE44/'EDT Y TAREAS'!M44,0),IF(AND(184&gt;='EDT Y TAREAS'!AK46,184&lt;'EDT Y TAREAS'!AL46),'EDT Y TAREAS'!AE46/'EDT Y TAREAS'!M46,0),IF(AND(184&gt;='EDT Y TAREAS'!AK47,184&lt;'EDT Y TAREAS'!AL47),'EDT Y TAREAS'!AE47/'EDT Y TAREAS'!M47,0),IF(AND(184&gt;='EDT Y TAREAS'!AK51,184&lt;'EDT Y TAREAS'!AL51),'EDT Y TAREAS'!AE51/'EDT Y TAREAS'!M51,0),IF(AND(184&gt;='EDT Y TAREAS'!AK52,184&lt;'EDT Y TAREAS'!AL52),'EDT Y TAREAS'!AE52/'EDT Y TAREAS'!M52,0))</x:f>
        <x:v>0</x:v>
      </x:c>
      <x:c r="D224" s="35" t="n">
        <x:f>SUM(IF(AND(184&gt;='EDT Y TAREAS'!AK11,184&lt;'EDT Y TAREAS'!AL11),'EDT Y TAREAS'!AF11/'EDT Y TAREAS'!M11,0),IF(AND(184&gt;='EDT Y TAREAS'!AK24,184&lt;'EDT Y TAREAS'!AL24),'EDT Y TAREAS'!AF24/'EDT Y TAREAS'!M24,0),IF(AND(184&gt;='EDT Y TAREAS'!AK25,184&lt;'EDT Y TAREAS'!AL25),'EDT Y TAREAS'!AF25/'EDT Y TAREAS'!M25,0),IF(AND(184&gt;='EDT Y TAREAS'!AK26,184&lt;'EDT Y TAREAS'!AL26),'EDT Y TAREAS'!AF26/'EDT Y TAREAS'!M26,0),IF(AND(184&gt;='EDT Y TAREAS'!AK27,184&lt;'EDT Y TAREAS'!AL27),'EDT Y TAREAS'!AF27/'EDT Y TAREAS'!M27,0),IF(AND(184&gt;='EDT Y TAREAS'!AK28,184&lt;'EDT Y TAREAS'!AL28),'EDT Y TAREAS'!AF28/'EDT Y TAREAS'!M28,0),IF(AND(184&gt;='EDT Y TAREAS'!AK31,184&lt;'EDT Y TAREAS'!AL31),'EDT Y TAREAS'!AF31/'EDT Y TAREAS'!M31,0),IF(AND(184&gt;='EDT Y TAREAS'!AK33,184&lt;'EDT Y TAREAS'!AL33),'EDT Y TAREAS'!AF33/'EDT Y TAREAS'!M33,0),IF(AND(184&gt;='EDT Y TAREAS'!AK34,184&lt;'EDT Y TAREAS'!AL34),'EDT Y TAREAS'!AF34/'EDT Y TAREAS'!M34,0),IF(AND(184&gt;='EDT Y TAREAS'!AK35,184&lt;'EDT Y TAREAS'!AL35),'EDT Y TAREAS'!AF35/'EDT Y TAREAS'!M35,0),IF(AND(184&gt;='EDT Y TAREAS'!AK37,184&lt;'EDT Y TAREAS'!AL37),'EDT Y TAREAS'!AF37/'EDT Y TAREAS'!M37,0),IF(AND(184&gt;='EDT Y TAREAS'!AK39,184&lt;'EDT Y TAREAS'!AL39),'EDT Y TAREAS'!AF39/'EDT Y TAREAS'!M39,0),IF(AND(184&gt;='EDT Y TAREAS'!AK40,184&lt;'EDT Y TAREAS'!AL40),'EDT Y TAREAS'!AF40/'EDT Y TAREAS'!M40,0),IF(AND(184&gt;='EDT Y TAREAS'!AK42,184&lt;'EDT Y TAREAS'!AL42),'EDT Y TAREAS'!AF42/'EDT Y TAREAS'!M42,0),IF(AND(184&gt;='EDT Y TAREAS'!AK45,184&lt;'EDT Y TAREAS'!AL45),'EDT Y TAREAS'!AF45/'EDT Y TAREAS'!M45,0),IF(AND(184&gt;='EDT Y TAREAS'!AK49,184&lt;'EDT Y TAREAS'!AL49),'EDT Y TAREAS'!AF49/'EDT Y TAREAS'!M49,0),IF(AND(184&gt;='EDT Y TAREAS'!AK52,184&lt;'EDT Y TAREAS'!AL52),'EDT Y TAREAS'!AF52/'EDT Y TAREAS'!M52,0))</x:f>
        <x:v>0</x:v>
      </x:c>
      <x:c r="E224" s="35" t="n">
        <x:f>SUM(IF(AND(184&gt;='EDT Y TAREAS'!AK29,184&lt;'EDT Y TAREAS'!AL29),'EDT Y TAREAS'!AG29/'EDT Y TAREAS'!M29,0),IF(AND(184&gt;='EDT Y TAREAS'!AK30,184&lt;'EDT Y TAREAS'!AL30),'EDT Y TAREAS'!AG30/'EDT Y TAREAS'!M30,0),IF(AND(184&gt;='EDT Y TAREAS'!AK31,184&lt;'EDT Y TAREAS'!AL31),'EDT Y TAREAS'!AG31/'EDT Y TAREAS'!M31,0),IF(AND(184&gt;='EDT Y TAREAS'!AK32,184&lt;'EDT Y TAREAS'!AL32),'EDT Y TAREAS'!AG32/'EDT Y TAREAS'!M32,0),IF(AND(184&gt;='EDT Y TAREAS'!AK41,184&lt;'EDT Y TAREAS'!AL41),'EDT Y TAREAS'!AG41/'EDT Y TAREAS'!M41,0),IF(AND(184&gt;='EDT Y TAREAS'!AK45,184&lt;'EDT Y TAREAS'!AL45),'EDT Y TAREAS'!AG45/'EDT Y TAREAS'!M45,0),IF(AND(184&gt;='EDT Y TAREAS'!AK48,184&lt;'EDT Y TAREAS'!AL48),'EDT Y TAREAS'!AG48/'EDT Y TAREAS'!M48,0))</x:f>
        <x:v>0</x:v>
      </x:c>
      <x:c r="F224" s="35" t="n">
        <x:f>SUM(IF(AND(184&gt;='EDT Y TAREAS'!AK10,184&lt;'EDT Y TAREAS'!AL10),'EDT Y TAREAS'!AH10/'EDT Y TAREAS'!M10,0),IF(AND(184&gt;='EDT Y TAREAS'!AK12,184&lt;'EDT Y TAREAS'!AL12),'EDT Y TAREAS'!AH12/'EDT Y TAREAS'!M12,0),IF(AND(184&gt;='EDT Y TAREAS'!AK22,184&lt;'EDT Y TAREAS'!AL22),'EDT Y TAREAS'!AH22/'EDT Y TAREAS'!M22,0),IF(AND(184&gt;='EDT Y TAREAS'!AK23,184&lt;'EDT Y TAREAS'!AL23),'EDT Y TAREAS'!AH23/'EDT Y TAREAS'!M23,0),IF(AND(184&gt;='EDT Y TAREAS'!AK29,184&lt;'EDT Y TAREAS'!AL29),'EDT Y TAREAS'!AH29/'EDT Y TAREAS'!M29,0),IF(AND(184&gt;='EDT Y TAREAS'!AK30,184&lt;'EDT Y TAREAS'!AL30),'EDT Y TAREAS'!AH30/'EDT Y TAREAS'!M30,0),IF(AND(184&gt;='EDT Y TAREAS'!AK32,184&lt;'EDT Y TAREAS'!AL32),'EDT Y TAREAS'!AH32/'EDT Y TAREAS'!M32,0),IF(AND(184&gt;='EDT Y TAREAS'!AK41,184&lt;'EDT Y TAREAS'!AL41),'EDT Y TAREAS'!AH41/'EDT Y TAREAS'!M41,0),IF(AND(184&gt;='EDT Y TAREAS'!AK44,184&lt;'EDT Y TAREAS'!AL44),'EDT Y TAREAS'!AH44/'EDT Y TAREAS'!M44,0),IF(AND(184&gt;='EDT Y TAREAS'!AK46,184&lt;'EDT Y TAREAS'!AL46),'EDT Y TAREAS'!AH46/'EDT Y TAREAS'!M46,0),IF(AND(184&gt;='EDT Y TAREAS'!AK48,184&lt;'EDT Y TAREAS'!AL48),'EDT Y TAREAS'!AH48/'EDT Y TAREAS'!M48,0))</x:f>
        <x:v>0</x:v>
      </x:c>
      <x:c r="G224" s="35" t="n">
        <x:f>SUM(IF(AND(184&gt;='EDT Y TAREAS'!AK20,184&lt;'EDT Y TAREAS'!AL20),'EDT Y TAREAS'!AI20/'EDT Y TAREAS'!M20,0),IF(AND(184&gt;='EDT Y TAREAS'!AK25,184&lt;'EDT Y TAREAS'!AL25),'EDT Y TAREAS'!AI25/'EDT Y TAREAS'!M25,0),IF(AND(184&gt;='EDT Y TAREAS'!AK33,184&lt;'EDT Y TAREAS'!AL33),'EDT Y TAREAS'!AI33/'EDT Y TAREAS'!M33,0),IF(AND(184&gt;='EDT Y TAREAS'!AK34,184&lt;'EDT Y TAREAS'!AL34),'EDT Y TAREAS'!AI34/'EDT Y TAREAS'!M34,0),IF(AND(184&gt;='EDT Y TAREAS'!AK36,184&lt;'EDT Y TAREAS'!AL36),'EDT Y TAREAS'!AI36/'EDT Y TAREAS'!M36,0),IF(AND(184&gt;='EDT Y TAREAS'!AK39,184&lt;'EDT Y TAREAS'!AL39),'EDT Y TAREAS'!AI39/'EDT Y TAREAS'!M39,0),IF(AND(184&gt;='EDT Y TAREAS'!AK40,184&lt;'EDT Y TAREAS'!AL40),'EDT Y TAREAS'!AI40/'EDT Y TAREAS'!M40,0),IF(AND(184&gt;='EDT Y TAREAS'!AK42,184&lt;'EDT Y TAREAS'!AL42),'EDT Y TAREAS'!AI42/'EDT Y TAREAS'!M42,0),IF(AND(184&gt;='EDT Y TAREAS'!AK43,184&lt;'EDT Y TAREAS'!AL43),'EDT Y TAREAS'!AI43/'EDT Y TAREAS'!M43,0),IF(AND(184&gt;='EDT Y TAREAS'!AK44,184&lt;'EDT Y TAREAS'!AL44),'EDT Y TAREAS'!AI44/'EDT Y TAREAS'!M44,0),IF(AND(184&gt;='EDT Y TAREAS'!AK45,184&lt;'EDT Y TAREAS'!AL45),'EDT Y TAREAS'!AI45/'EDT Y TAREAS'!M45,0),IF(AND(184&gt;='EDT Y TAREAS'!AK46,184&lt;'EDT Y TAREAS'!AL46),'EDT Y TAREAS'!AI46/'EDT Y TAREAS'!M46,0),IF(AND(184&gt;='EDT Y TAREAS'!AK48,184&lt;'EDT Y TAREAS'!AL48),'EDT Y TAREAS'!AI48/'EDT Y TAREAS'!M48,0),IF(AND(184&gt;='EDT Y TAREAS'!AK50,184&lt;'EDT Y TAREAS'!AL50),'EDT Y TAREAS'!AI50/'EDT Y TAREAS'!M50,0),IF(AND(184&gt;='EDT Y TAREAS'!AK52,184&lt;'EDT Y TAREAS'!AL52),'EDT Y TAREAS'!AI52/'EDT Y TAREAS'!M52,0))</x:f>
        <x:v>0</x:v>
      </x:c>
      <x:c r="H224" s="35" t="n">
        <x:f>SUM(IF(AND(184&gt;='EDT Y TAREAS'!AK11,184&lt;'EDT Y TAREAS'!AL11),'EDT Y TAREAS'!AJ11/'EDT Y TAREAS'!M11,0),IF(AND(184&gt;='EDT Y TAREAS'!AK24,184&lt;'EDT Y TAREAS'!AL24),'EDT Y TAREAS'!AJ24/'EDT Y TAREAS'!M24,0),IF(AND(184&gt;='EDT Y TAREAS'!AK27,184&lt;'EDT Y TAREAS'!AL27),'EDT Y TAREAS'!AJ27/'EDT Y TAREAS'!M27,0),IF(AND(184&gt;='EDT Y TAREAS'!AK28,184&lt;'EDT Y TAREAS'!AL28),'EDT Y TAREAS'!AJ28/'EDT Y TAREAS'!M28,0),IF(AND(184&gt;='EDT Y TAREAS'!AK33,184&lt;'EDT Y TAREAS'!AL33),'EDT Y TAREAS'!AJ33/'EDT Y TAREAS'!M33,0),IF(AND(184&gt;='EDT Y TAREAS'!AK35,184&lt;'EDT Y TAREAS'!AL35),'EDT Y TAREAS'!AJ35/'EDT Y TAREAS'!M35,0),IF(AND(184&gt;='EDT Y TAREAS'!AK36,184&lt;'EDT Y TAREAS'!AL36),'EDT Y TAREAS'!AJ36/'EDT Y TAREAS'!M36,0),IF(AND(184&gt;='EDT Y TAREAS'!AK37,184&lt;'EDT Y TAREAS'!AL37),'EDT Y TAREAS'!AJ37/'EDT Y TAREAS'!M37,0),IF(AND(184&gt;='EDT Y TAREAS'!AK40,184&lt;'EDT Y TAREAS'!AL40),'EDT Y TAREAS'!AJ40/'EDT Y TAREAS'!M40,0),IF(AND(184&gt;='EDT Y TAREAS'!AK42,184&lt;'EDT Y TAREAS'!AL42),'EDT Y TAREAS'!AJ42/'EDT Y TAREAS'!M42,0),IF(AND(184&gt;='EDT Y TAREAS'!AK49,184&lt;'EDT Y TAREAS'!AL49),'EDT Y TAREAS'!AJ49/'EDT Y TAREAS'!M49,0),IF(AND(184&gt;='EDT Y TAREAS'!AK50,184&lt;'EDT Y TAREAS'!AL50),'EDT Y TAREAS'!AJ50/'EDT Y TAREAS'!M50,0),IF(AND(184&gt;='EDT Y TAREAS'!AK51,184&lt;'EDT Y TAREAS'!AL51),'EDT Y TAREAS'!AJ51/'EDT Y TAREAS'!M51,0),IF(AND(184&gt;='EDT Y TAREAS'!AK52,184&lt;'EDT Y TAREAS'!AL52),'EDT Y TAREAS'!AJ52/'EDT Y TAREAS'!M52,0))</x:f>
        <x:v>0</x:v>
      </x:c>
      <x:c r="I224" s="10" t="n">
        <x:f>WORKDAY('RESUMEN'!$D$3-1,A224,'RESUMEN'!$J$6:$J$25)</x:f>
        <x:v>46584</x:v>
      </x:c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  <x:c r="AM224" s="3"/>
      <x:c r="AN224" s="3"/>
      <x:c r="AO224" s="3"/>
    </x:row>
    <x:row r="225" ht="24" customHeight="1">
      <x:c r="A225" s="3" t="n">
        <x:v>186</x:v>
      </x:c>
      <x:c r="B225" s="35" t="n">
        <x:f>SUM(IF(AND(185&gt;='EDT Y TAREAS'!AK6,185&lt;'EDT Y TAREAS'!AL6),'EDT Y TAREAS'!AD6/'EDT Y TAREAS'!M6,0),IF(AND(185&gt;='EDT Y TAREAS'!AK7,185&lt;'EDT Y TAREAS'!AL7),'EDT Y TAREAS'!AD7/'EDT Y TAREAS'!M7,0),IF(AND(185&gt;='EDT Y TAREAS'!AK8,185&lt;'EDT Y TAREAS'!AL8),'EDT Y TAREAS'!AD8/'EDT Y TAREAS'!M8,0),IF(AND(185&gt;='EDT Y TAREAS'!AK9,185&lt;'EDT Y TAREAS'!AL9),'EDT Y TAREAS'!AD9/'EDT Y TAREAS'!M9,0),IF(AND(185&gt;='EDT Y TAREAS'!AK10,185&lt;'EDT Y TAREAS'!AL10),'EDT Y TAREAS'!AD10/'EDT Y TAREAS'!M10,0),IF(AND(185&gt;='EDT Y TAREAS'!AK11,185&lt;'EDT Y TAREAS'!AL11),'EDT Y TAREAS'!AD11/'EDT Y TAREAS'!M11,0),IF(AND(185&gt;='EDT Y TAREAS'!AK12,185&lt;'EDT Y TAREAS'!AL12),'EDT Y TAREAS'!AD12/'EDT Y TAREAS'!M12,0),IF(AND(185&gt;='EDT Y TAREAS'!AK13,185&lt;'EDT Y TAREAS'!AL13),'EDT Y TAREAS'!AD13/'EDT Y TAREAS'!M13,0),IF(AND(185&gt;='EDT Y TAREAS'!AK14,185&lt;'EDT Y TAREAS'!AL14),'EDT Y TAREAS'!AD14/'EDT Y TAREAS'!M14,0),IF(AND(185&gt;='EDT Y TAREAS'!AK15,185&lt;'EDT Y TAREAS'!AL15),'EDT Y TAREAS'!AD15/'EDT Y TAREAS'!M15,0),IF(AND(185&gt;='EDT Y TAREAS'!AK16,185&lt;'EDT Y TAREAS'!AL16),'EDT Y TAREAS'!AD16/'EDT Y TAREAS'!M16,0),IF(AND(185&gt;='EDT Y TAREAS'!AK17,185&lt;'EDT Y TAREAS'!AL17),'EDT Y TAREAS'!AD17/'EDT Y TAREAS'!M17,0),IF(AND(185&gt;='EDT Y TAREAS'!AK18,185&lt;'EDT Y TAREAS'!AL18),'EDT Y TAREAS'!AD18/'EDT Y TAREAS'!M18,0),IF(AND(185&gt;='EDT Y TAREAS'!AK19,185&lt;'EDT Y TAREAS'!AL19),'EDT Y TAREAS'!AD19/'EDT Y TAREAS'!M19,0),IF(AND(185&gt;='EDT Y TAREAS'!AK20,185&lt;'EDT Y TAREAS'!AL20),'EDT Y TAREAS'!AD20/'EDT Y TAREAS'!M20,0),IF(AND(185&gt;='EDT Y TAREAS'!AK21,185&lt;'EDT Y TAREAS'!AL21),'EDT Y TAREAS'!AD21/'EDT Y TAREAS'!M21,0),IF(AND(185&gt;='EDT Y TAREAS'!AK22,185&lt;'EDT Y TAREAS'!AL22),'EDT Y TAREAS'!AD22/'EDT Y TAREAS'!M22,0),IF(AND(185&gt;='EDT Y TAREAS'!AK23,185&lt;'EDT Y TAREAS'!AL23),'EDT Y TAREAS'!AD23/'EDT Y TAREAS'!M23,0),IF(AND(185&gt;='EDT Y TAREAS'!AK26,185&lt;'EDT Y TAREAS'!AL26),'EDT Y TAREAS'!AD26/'EDT Y TAREAS'!M26,0),IF(AND(185&gt;='EDT Y TAREAS'!AK28,185&lt;'EDT Y TAREAS'!AL28),'EDT Y TAREAS'!AD28/'EDT Y TAREAS'!M28,0),IF(AND(185&gt;='EDT Y TAREAS'!AK30,185&lt;'EDT Y TAREAS'!AL30),'EDT Y TAREAS'!AD30/'EDT Y TAREAS'!M30,0),IF(AND(185&gt;='EDT Y TAREAS'!AK32,185&lt;'EDT Y TAREAS'!AL32),'EDT Y TAREAS'!AD32/'EDT Y TAREAS'!M32,0),IF(AND(185&gt;='EDT Y TAREAS'!AK34,185&lt;'EDT Y TAREAS'!AL34),'EDT Y TAREAS'!AD34/'EDT Y TAREAS'!M34,0),IF(AND(185&gt;='EDT Y TAREAS'!AK38,185&lt;'EDT Y TAREAS'!AL38),'EDT Y TAREAS'!AD38/'EDT Y TAREAS'!M38,0),IF(AND(185&gt;='EDT Y TAREAS'!AK39,185&lt;'EDT Y TAREAS'!AL39),'EDT Y TAREAS'!AD39/'EDT Y TAREAS'!M39,0),IF(AND(185&gt;='EDT Y TAREAS'!AK43,185&lt;'EDT Y TAREAS'!AL43),'EDT Y TAREAS'!AD43/'EDT Y TAREAS'!M43,0),IF(AND(185&gt;='EDT Y TAREAS'!AK44,185&lt;'EDT Y TAREAS'!AL44),'EDT Y TAREAS'!AD44/'EDT Y TAREAS'!M44,0),IF(AND(185&gt;='EDT Y TAREAS'!AK45,185&lt;'EDT Y TAREAS'!AL45),'EDT Y TAREAS'!AD45/'EDT Y TAREAS'!M45,0),IF(AND(185&gt;='EDT Y TAREAS'!AK46,185&lt;'EDT Y TAREAS'!AL46),'EDT Y TAREAS'!AD46/'EDT Y TAREAS'!M46,0),IF(AND(185&gt;='EDT Y TAREAS'!AK47,185&lt;'EDT Y TAREAS'!AL47),'EDT Y TAREAS'!AD47/'EDT Y TAREAS'!M47,0),IF(AND(185&gt;='EDT Y TAREAS'!AK49,185&lt;'EDT Y TAREAS'!AL49),'EDT Y TAREAS'!AD49/'EDT Y TAREAS'!M49,0),IF(AND(185&gt;='EDT Y TAREAS'!AK50,185&lt;'EDT Y TAREAS'!AL50),'EDT Y TAREAS'!AD50/'EDT Y TAREAS'!M50,0),IF(AND(185&gt;='EDT Y TAREAS'!AK51,185&lt;'EDT Y TAREAS'!AL51),'EDT Y TAREAS'!AD51/'EDT Y TAREAS'!M51,0),IF(AND(185&gt;='EDT Y TAREAS'!AK52,185&lt;'EDT Y TAREAS'!AL52),'EDT Y TAREAS'!AD52/'EDT Y TAREAS'!M52,0))</x:f>
        <x:v>0</x:v>
      </x:c>
      <x:c r="C225" s="35" t="n">
        <x:f>SUM(IF(AND(185&gt;='EDT Y TAREAS'!AK6,185&lt;'EDT Y TAREAS'!AL6),'EDT Y TAREAS'!AE6/'EDT Y TAREAS'!M6,0),IF(AND(185&gt;='EDT Y TAREAS'!AK8,185&lt;'EDT Y TAREAS'!AL8),'EDT Y TAREAS'!AE8/'EDT Y TAREAS'!M8,0),IF(AND(185&gt;='EDT Y TAREAS'!AK9,185&lt;'EDT Y TAREAS'!AL9),'EDT Y TAREAS'!AE9/'EDT Y TAREAS'!M9,0),IF(AND(185&gt;='EDT Y TAREAS'!AK10,185&lt;'EDT Y TAREAS'!AL10),'EDT Y TAREAS'!AE10/'EDT Y TAREAS'!M10,0),IF(AND(185&gt;='EDT Y TAREAS'!AK12,185&lt;'EDT Y TAREAS'!AL12),'EDT Y TAREAS'!AE12/'EDT Y TAREAS'!M12,0),IF(AND(185&gt;='EDT Y TAREAS'!AK16,185&lt;'EDT Y TAREAS'!AL16),'EDT Y TAREAS'!AE16/'EDT Y TAREAS'!M16,0),IF(AND(185&gt;='EDT Y TAREAS'!AK21,185&lt;'EDT Y TAREAS'!AL21),'EDT Y TAREAS'!AE21/'EDT Y TAREAS'!M21,0),IF(AND(185&gt;='EDT Y TAREAS'!AK23,185&lt;'EDT Y TAREAS'!AL23),'EDT Y TAREAS'!AE23/'EDT Y TAREAS'!M23,0),IF(AND(185&gt;='EDT Y TAREAS'!AK37,185&lt;'EDT Y TAREAS'!AL37),'EDT Y TAREAS'!AE37/'EDT Y TAREAS'!M37,0),IF(AND(185&gt;='EDT Y TAREAS'!AK38,185&lt;'EDT Y TAREAS'!AL38),'EDT Y TAREAS'!AE38/'EDT Y TAREAS'!M38,0),IF(AND(185&gt;='EDT Y TAREAS'!AK41,185&lt;'EDT Y TAREAS'!AL41),'EDT Y TAREAS'!AE41/'EDT Y TAREAS'!M41,0),IF(AND(185&gt;='EDT Y TAREAS'!AK43,185&lt;'EDT Y TAREAS'!AL43),'EDT Y TAREAS'!AE43/'EDT Y TAREAS'!M43,0),IF(AND(185&gt;='EDT Y TAREAS'!AK44,185&lt;'EDT Y TAREAS'!AL44),'EDT Y TAREAS'!AE44/'EDT Y TAREAS'!M44,0),IF(AND(185&gt;='EDT Y TAREAS'!AK46,185&lt;'EDT Y TAREAS'!AL46),'EDT Y TAREAS'!AE46/'EDT Y TAREAS'!M46,0),IF(AND(185&gt;='EDT Y TAREAS'!AK47,185&lt;'EDT Y TAREAS'!AL47),'EDT Y TAREAS'!AE47/'EDT Y TAREAS'!M47,0),IF(AND(185&gt;='EDT Y TAREAS'!AK51,185&lt;'EDT Y TAREAS'!AL51),'EDT Y TAREAS'!AE51/'EDT Y TAREAS'!M51,0),IF(AND(185&gt;='EDT Y TAREAS'!AK52,185&lt;'EDT Y TAREAS'!AL52),'EDT Y TAREAS'!AE52/'EDT Y TAREAS'!M52,0))</x:f>
        <x:v>0</x:v>
      </x:c>
      <x:c r="D225" s="35" t="n">
        <x:f>SUM(IF(AND(185&gt;='EDT Y TAREAS'!AK11,185&lt;'EDT Y TAREAS'!AL11),'EDT Y TAREAS'!AF11/'EDT Y TAREAS'!M11,0),IF(AND(185&gt;='EDT Y TAREAS'!AK24,185&lt;'EDT Y TAREAS'!AL24),'EDT Y TAREAS'!AF24/'EDT Y TAREAS'!M24,0),IF(AND(185&gt;='EDT Y TAREAS'!AK25,185&lt;'EDT Y TAREAS'!AL25),'EDT Y TAREAS'!AF25/'EDT Y TAREAS'!M25,0),IF(AND(185&gt;='EDT Y TAREAS'!AK26,185&lt;'EDT Y TAREAS'!AL26),'EDT Y TAREAS'!AF26/'EDT Y TAREAS'!M26,0),IF(AND(185&gt;='EDT Y TAREAS'!AK27,185&lt;'EDT Y TAREAS'!AL27),'EDT Y TAREAS'!AF27/'EDT Y TAREAS'!M27,0),IF(AND(185&gt;='EDT Y TAREAS'!AK28,185&lt;'EDT Y TAREAS'!AL28),'EDT Y TAREAS'!AF28/'EDT Y TAREAS'!M28,0),IF(AND(185&gt;='EDT Y TAREAS'!AK31,185&lt;'EDT Y TAREAS'!AL31),'EDT Y TAREAS'!AF31/'EDT Y TAREAS'!M31,0),IF(AND(185&gt;='EDT Y TAREAS'!AK33,185&lt;'EDT Y TAREAS'!AL33),'EDT Y TAREAS'!AF33/'EDT Y TAREAS'!M33,0),IF(AND(185&gt;='EDT Y TAREAS'!AK34,185&lt;'EDT Y TAREAS'!AL34),'EDT Y TAREAS'!AF34/'EDT Y TAREAS'!M34,0),IF(AND(185&gt;='EDT Y TAREAS'!AK35,185&lt;'EDT Y TAREAS'!AL35),'EDT Y TAREAS'!AF35/'EDT Y TAREAS'!M35,0),IF(AND(185&gt;='EDT Y TAREAS'!AK37,185&lt;'EDT Y TAREAS'!AL37),'EDT Y TAREAS'!AF37/'EDT Y TAREAS'!M37,0),IF(AND(185&gt;='EDT Y TAREAS'!AK39,185&lt;'EDT Y TAREAS'!AL39),'EDT Y TAREAS'!AF39/'EDT Y TAREAS'!M39,0),IF(AND(185&gt;='EDT Y TAREAS'!AK40,185&lt;'EDT Y TAREAS'!AL40),'EDT Y TAREAS'!AF40/'EDT Y TAREAS'!M40,0),IF(AND(185&gt;='EDT Y TAREAS'!AK42,185&lt;'EDT Y TAREAS'!AL42),'EDT Y TAREAS'!AF42/'EDT Y TAREAS'!M42,0),IF(AND(185&gt;='EDT Y TAREAS'!AK45,185&lt;'EDT Y TAREAS'!AL45),'EDT Y TAREAS'!AF45/'EDT Y TAREAS'!M45,0),IF(AND(185&gt;='EDT Y TAREAS'!AK49,185&lt;'EDT Y TAREAS'!AL49),'EDT Y TAREAS'!AF49/'EDT Y TAREAS'!M49,0),IF(AND(185&gt;='EDT Y TAREAS'!AK52,185&lt;'EDT Y TAREAS'!AL52),'EDT Y TAREAS'!AF52/'EDT Y TAREAS'!M52,0))</x:f>
        <x:v>0</x:v>
      </x:c>
      <x:c r="E225" s="35" t="n">
        <x:f>SUM(IF(AND(185&gt;='EDT Y TAREAS'!AK29,185&lt;'EDT Y TAREAS'!AL29),'EDT Y TAREAS'!AG29/'EDT Y TAREAS'!M29,0),IF(AND(185&gt;='EDT Y TAREAS'!AK30,185&lt;'EDT Y TAREAS'!AL30),'EDT Y TAREAS'!AG30/'EDT Y TAREAS'!M30,0),IF(AND(185&gt;='EDT Y TAREAS'!AK31,185&lt;'EDT Y TAREAS'!AL31),'EDT Y TAREAS'!AG31/'EDT Y TAREAS'!M31,0),IF(AND(185&gt;='EDT Y TAREAS'!AK32,185&lt;'EDT Y TAREAS'!AL32),'EDT Y TAREAS'!AG32/'EDT Y TAREAS'!M32,0),IF(AND(185&gt;='EDT Y TAREAS'!AK41,185&lt;'EDT Y TAREAS'!AL41),'EDT Y TAREAS'!AG41/'EDT Y TAREAS'!M41,0),IF(AND(185&gt;='EDT Y TAREAS'!AK45,185&lt;'EDT Y TAREAS'!AL45),'EDT Y TAREAS'!AG45/'EDT Y TAREAS'!M45,0),IF(AND(185&gt;='EDT Y TAREAS'!AK48,185&lt;'EDT Y TAREAS'!AL48),'EDT Y TAREAS'!AG48/'EDT Y TAREAS'!M48,0))</x:f>
        <x:v>0</x:v>
      </x:c>
      <x:c r="F225" s="35" t="n">
        <x:f>SUM(IF(AND(185&gt;='EDT Y TAREAS'!AK10,185&lt;'EDT Y TAREAS'!AL10),'EDT Y TAREAS'!AH10/'EDT Y TAREAS'!M10,0),IF(AND(185&gt;='EDT Y TAREAS'!AK12,185&lt;'EDT Y TAREAS'!AL12),'EDT Y TAREAS'!AH12/'EDT Y TAREAS'!M12,0),IF(AND(185&gt;='EDT Y TAREAS'!AK22,185&lt;'EDT Y TAREAS'!AL22),'EDT Y TAREAS'!AH22/'EDT Y TAREAS'!M22,0),IF(AND(185&gt;='EDT Y TAREAS'!AK23,185&lt;'EDT Y TAREAS'!AL23),'EDT Y TAREAS'!AH23/'EDT Y TAREAS'!M23,0),IF(AND(185&gt;='EDT Y TAREAS'!AK29,185&lt;'EDT Y TAREAS'!AL29),'EDT Y TAREAS'!AH29/'EDT Y TAREAS'!M29,0),IF(AND(185&gt;='EDT Y TAREAS'!AK30,185&lt;'EDT Y TAREAS'!AL30),'EDT Y TAREAS'!AH30/'EDT Y TAREAS'!M30,0),IF(AND(185&gt;='EDT Y TAREAS'!AK32,185&lt;'EDT Y TAREAS'!AL32),'EDT Y TAREAS'!AH32/'EDT Y TAREAS'!M32,0),IF(AND(185&gt;='EDT Y TAREAS'!AK41,185&lt;'EDT Y TAREAS'!AL41),'EDT Y TAREAS'!AH41/'EDT Y TAREAS'!M41,0),IF(AND(185&gt;='EDT Y TAREAS'!AK44,185&lt;'EDT Y TAREAS'!AL44),'EDT Y TAREAS'!AH44/'EDT Y TAREAS'!M44,0),IF(AND(185&gt;='EDT Y TAREAS'!AK46,185&lt;'EDT Y TAREAS'!AL46),'EDT Y TAREAS'!AH46/'EDT Y TAREAS'!M46,0),IF(AND(185&gt;='EDT Y TAREAS'!AK48,185&lt;'EDT Y TAREAS'!AL48),'EDT Y TAREAS'!AH48/'EDT Y TAREAS'!M48,0))</x:f>
        <x:v>0</x:v>
      </x:c>
      <x:c r="G225" s="35" t="n">
        <x:f>SUM(IF(AND(185&gt;='EDT Y TAREAS'!AK20,185&lt;'EDT Y TAREAS'!AL20),'EDT Y TAREAS'!AI20/'EDT Y TAREAS'!M20,0),IF(AND(185&gt;='EDT Y TAREAS'!AK25,185&lt;'EDT Y TAREAS'!AL25),'EDT Y TAREAS'!AI25/'EDT Y TAREAS'!M25,0),IF(AND(185&gt;='EDT Y TAREAS'!AK33,185&lt;'EDT Y TAREAS'!AL33),'EDT Y TAREAS'!AI33/'EDT Y TAREAS'!M33,0),IF(AND(185&gt;='EDT Y TAREAS'!AK34,185&lt;'EDT Y TAREAS'!AL34),'EDT Y TAREAS'!AI34/'EDT Y TAREAS'!M34,0),IF(AND(185&gt;='EDT Y TAREAS'!AK36,185&lt;'EDT Y TAREAS'!AL36),'EDT Y TAREAS'!AI36/'EDT Y TAREAS'!M36,0),IF(AND(185&gt;='EDT Y TAREAS'!AK39,185&lt;'EDT Y TAREAS'!AL39),'EDT Y TAREAS'!AI39/'EDT Y TAREAS'!M39,0),IF(AND(185&gt;='EDT Y TAREAS'!AK40,185&lt;'EDT Y TAREAS'!AL40),'EDT Y TAREAS'!AI40/'EDT Y TAREAS'!M40,0),IF(AND(185&gt;='EDT Y TAREAS'!AK42,185&lt;'EDT Y TAREAS'!AL42),'EDT Y TAREAS'!AI42/'EDT Y TAREAS'!M42,0),IF(AND(185&gt;='EDT Y TAREAS'!AK43,185&lt;'EDT Y TAREAS'!AL43),'EDT Y TAREAS'!AI43/'EDT Y TAREAS'!M43,0),IF(AND(185&gt;='EDT Y TAREAS'!AK44,185&lt;'EDT Y TAREAS'!AL44),'EDT Y TAREAS'!AI44/'EDT Y TAREAS'!M44,0),IF(AND(185&gt;='EDT Y TAREAS'!AK45,185&lt;'EDT Y TAREAS'!AL45),'EDT Y TAREAS'!AI45/'EDT Y TAREAS'!M45,0),IF(AND(185&gt;='EDT Y TAREAS'!AK46,185&lt;'EDT Y TAREAS'!AL46),'EDT Y TAREAS'!AI46/'EDT Y TAREAS'!M46,0),IF(AND(185&gt;='EDT Y TAREAS'!AK48,185&lt;'EDT Y TAREAS'!AL48),'EDT Y TAREAS'!AI48/'EDT Y TAREAS'!M48,0),IF(AND(185&gt;='EDT Y TAREAS'!AK50,185&lt;'EDT Y TAREAS'!AL50),'EDT Y TAREAS'!AI50/'EDT Y TAREAS'!M50,0),IF(AND(185&gt;='EDT Y TAREAS'!AK52,185&lt;'EDT Y TAREAS'!AL52),'EDT Y TAREAS'!AI52/'EDT Y TAREAS'!M52,0))</x:f>
        <x:v>0</x:v>
      </x:c>
      <x:c r="H225" s="35" t="n">
        <x:f>SUM(IF(AND(185&gt;='EDT Y TAREAS'!AK11,185&lt;'EDT Y TAREAS'!AL11),'EDT Y TAREAS'!AJ11/'EDT Y TAREAS'!M11,0),IF(AND(185&gt;='EDT Y TAREAS'!AK24,185&lt;'EDT Y TAREAS'!AL24),'EDT Y TAREAS'!AJ24/'EDT Y TAREAS'!M24,0),IF(AND(185&gt;='EDT Y TAREAS'!AK27,185&lt;'EDT Y TAREAS'!AL27),'EDT Y TAREAS'!AJ27/'EDT Y TAREAS'!M27,0),IF(AND(185&gt;='EDT Y TAREAS'!AK28,185&lt;'EDT Y TAREAS'!AL28),'EDT Y TAREAS'!AJ28/'EDT Y TAREAS'!M28,0),IF(AND(185&gt;='EDT Y TAREAS'!AK33,185&lt;'EDT Y TAREAS'!AL33),'EDT Y TAREAS'!AJ33/'EDT Y TAREAS'!M33,0),IF(AND(185&gt;='EDT Y TAREAS'!AK35,185&lt;'EDT Y TAREAS'!AL35),'EDT Y TAREAS'!AJ35/'EDT Y TAREAS'!M35,0),IF(AND(185&gt;='EDT Y TAREAS'!AK36,185&lt;'EDT Y TAREAS'!AL36),'EDT Y TAREAS'!AJ36/'EDT Y TAREAS'!M36,0),IF(AND(185&gt;='EDT Y TAREAS'!AK37,185&lt;'EDT Y TAREAS'!AL37),'EDT Y TAREAS'!AJ37/'EDT Y TAREAS'!M37,0),IF(AND(185&gt;='EDT Y TAREAS'!AK40,185&lt;'EDT Y TAREAS'!AL40),'EDT Y TAREAS'!AJ40/'EDT Y TAREAS'!M40,0),IF(AND(185&gt;='EDT Y TAREAS'!AK42,185&lt;'EDT Y TAREAS'!AL42),'EDT Y TAREAS'!AJ42/'EDT Y TAREAS'!M42,0),IF(AND(185&gt;='EDT Y TAREAS'!AK49,185&lt;'EDT Y TAREAS'!AL49),'EDT Y TAREAS'!AJ49/'EDT Y TAREAS'!M49,0),IF(AND(185&gt;='EDT Y TAREAS'!AK50,185&lt;'EDT Y TAREAS'!AL50),'EDT Y TAREAS'!AJ50/'EDT Y TAREAS'!M50,0),IF(AND(185&gt;='EDT Y TAREAS'!AK51,185&lt;'EDT Y TAREAS'!AL51),'EDT Y TAREAS'!AJ51/'EDT Y TAREAS'!M51,0),IF(AND(185&gt;='EDT Y TAREAS'!AK52,185&lt;'EDT Y TAREAS'!AL52),'EDT Y TAREAS'!AJ52/'EDT Y TAREAS'!M52,0))</x:f>
        <x:v>0</x:v>
      </x:c>
      <x:c r="I225" s="10" t="n">
        <x:f>WORKDAY('RESUMEN'!$D$3-1,A225,'RESUMEN'!$J$6:$J$25)</x:f>
        <x:v>46587</x:v>
      </x:c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  <x:c r="AL225" s="3"/>
      <x:c r="AM225" s="3"/>
      <x:c r="AN225" s="3"/>
      <x:c r="AO225" s="3"/>
    </x:row>
    <x:row r="226" ht="24" customHeight="1">
      <x:c r="A226" s="3" t="n">
        <x:v>187</x:v>
      </x:c>
      <x:c r="B226" s="35" t="n">
        <x:f>SUM(IF(AND(186&gt;='EDT Y TAREAS'!AK6,186&lt;'EDT Y TAREAS'!AL6),'EDT Y TAREAS'!AD6/'EDT Y TAREAS'!M6,0),IF(AND(186&gt;='EDT Y TAREAS'!AK7,186&lt;'EDT Y TAREAS'!AL7),'EDT Y TAREAS'!AD7/'EDT Y TAREAS'!M7,0),IF(AND(186&gt;='EDT Y TAREAS'!AK8,186&lt;'EDT Y TAREAS'!AL8),'EDT Y TAREAS'!AD8/'EDT Y TAREAS'!M8,0),IF(AND(186&gt;='EDT Y TAREAS'!AK9,186&lt;'EDT Y TAREAS'!AL9),'EDT Y TAREAS'!AD9/'EDT Y TAREAS'!M9,0),IF(AND(186&gt;='EDT Y TAREAS'!AK10,186&lt;'EDT Y TAREAS'!AL10),'EDT Y TAREAS'!AD10/'EDT Y TAREAS'!M10,0),IF(AND(186&gt;='EDT Y TAREAS'!AK11,186&lt;'EDT Y TAREAS'!AL11),'EDT Y TAREAS'!AD11/'EDT Y TAREAS'!M11,0),IF(AND(186&gt;='EDT Y TAREAS'!AK12,186&lt;'EDT Y TAREAS'!AL12),'EDT Y TAREAS'!AD12/'EDT Y TAREAS'!M12,0),IF(AND(186&gt;='EDT Y TAREAS'!AK13,186&lt;'EDT Y TAREAS'!AL13),'EDT Y TAREAS'!AD13/'EDT Y TAREAS'!M13,0),IF(AND(186&gt;='EDT Y TAREAS'!AK14,186&lt;'EDT Y TAREAS'!AL14),'EDT Y TAREAS'!AD14/'EDT Y TAREAS'!M14,0),IF(AND(186&gt;='EDT Y TAREAS'!AK15,186&lt;'EDT Y TAREAS'!AL15),'EDT Y TAREAS'!AD15/'EDT Y TAREAS'!M15,0),IF(AND(186&gt;='EDT Y TAREAS'!AK16,186&lt;'EDT Y TAREAS'!AL16),'EDT Y TAREAS'!AD16/'EDT Y TAREAS'!M16,0),IF(AND(186&gt;='EDT Y TAREAS'!AK17,186&lt;'EDT Y TAREAS'!AL17),'EDT Y TAREAS'!AD17/'EDT Y TAREAS'!M17,0),IF(AND(186&gt;='EDT Y TAREAS'!AK18,186&lt;'EDT Y TAREAS'!AL18),'EDT Y TAREAS'!AD18/'EDT Y TAREAS'!M18,0),IF(AND(186&gt;='EDT Y TAREAS'!AK19,186&lt;'EDT Y TAREAS'!AL19),'EDT Y TAREAS'!AD19/'EDT Y TAREAS'!M19,0),IF(AND(186&gt;='EDT Y TAREAS'!AK20,186&lt;'EDT Y TAREAS'!AL20),'EDT Y TAREAS'!AD20/'EDT Y TAREAS'!M20,0),IF(AND(186&gt;='EDT Y TAREAS'!AK21,186&lt;'EDT Y TAREAS'!AL21),'EDT Y TAREAS'!AD21/'EDT Y TAREAS'!M21,0),IF(AND(186&gt;='EDT Y TAREAS'!AK22,186&lt;'EDT Y TAREAS'!AL22),'EDT Y TAREAS'!AD22/'EDT Y TAREAS'!M22,0),IF(AND(186&gt;='EDT Y TAREAS'!AK23,186&lt;'EDT Y TAREAS'!AL23),'EDT Y TAREAS'!AD23/'EDT Y TAREAS'!M23,0),IF(AND(186&gt;='EDT Y TAREAS'!AK26,186&lt;'EDT Y TAREAS'!AL26),'EDT Y TAREAS'!AD26/'EDT Y TAREAS'!M26,0),IF(AND(186&gt;='EDT Y TAREAS'!AK28,186&lt;'EDT Y TAREAS'!AL28),'EDT Y TAREAS'!AD28/'EDT Y TAREAS'!M28,0),IF(AND(186&gt;='EDT Y TAREAS'!AK30,186&lt;'EDT Y TAREAS'!AL30),'EDT Y TAREAS'!AD30/'EDT Y TAREAS'!M30,0),IF(AND(186&gt;='EDT Y TAREAS'!AK32,186&lt;'EDT Y TAREAS'!AL32),'EDT Y TAREAS'!AD32/'EDT Y TAREAS'!M32,0),IF(AND(186&gt;='EDT Y TAREAS'!AK34,186&lt;'EDT Y TAREAS'!AL34),'EDT Y TAREAS'!AD34/'EDT Y TAREAS'!M34,0),IF(AND(186&gt;='EDT Y TAREAS'!AK38,186&lt;'EDT Y TAREAS'!AL38),'EDT Y TAREAS'!AD38/'EDT Y TAREAS'!M38,0),IF(AND(186&gt;='EDT Y TAREAS'!AK39,186&lt;'EDT Y TAREAS'!AL39),'EDT Y TAREAS'!AD39/'EDT Y TAREAS'!M39,0),IF(AND(186&gt;='EDT Y TAREAS'!AK43,186&lt;'EDT Y TAREAS'!AL43),'EDT Y TAREAS'!AD43/'EDT Y TAREAS'!M43,0),IF(AND(186&gt;='EDT Y TAREAS'!AK44,186&lt;'EDT Y TAREAS'!AL44),'EDT Y TAREAS'!AD44/'EDT Y TAREAS'!M44,0),IF(AND(186&gt;='EDT Y TAREAS'!AK45,186&lt;'EDT Y TAREAS'!AL45),'EDT Y TAREAS'!AD45/'EDT Y TAREAS'!M45,0),IF(AND(186&gt;='EDT Y TAREAS'!AK46,186&lt;'EDT Y TAREAS'!AL46),'EDT Y TAREAS'!AD46/'EDT Y TAREAS'!M46,0),IF(AND(186&gt;='EDT Y TAREAS'!AK47,186&lt;'EDT Y TAREAS'!AL47),'EDT Y TAREAS'!AD47/'EDT Y TAREAS'!M47,0),IF(AND(186&gt;='EDT Y TAREAS'!AK49,186&lt;'EDT Y TAREAS'!AL49),'EDT Y TAREAS'!AD49/'EDT Y TAREAS'!M49,0),IF(AND(186&gt;='EDT Y TAREAS'!AK50,186&lt;'EDT Y TAREAS'!AL50),'EDT Y TAREAS'!AD50/'EDT Y TAREAS'!M50,0),IF(AND(186&gt;='EDT Y TAREAS'!AK51,186&lt;'EDT Y TAREAS'!AL51),'EDT Y TAREAS'!AD51/'EDT Y TAREAS'!M51,0),IF(AND(186&gt;='EDT Y TAREAS'!AK52,186&lt;'EDT Y TAREAS'!AL52),'EDT Y TAREAS'!AD52/'EDT Y TAREAS'!M52,0))</x:f>
        <x:v>0</x:v>
      </x:c>
      <x:c r="C226" s="35" t="n">
        <x:f>SUM(IF(AND(186&gt;='EDT Y TAREAS'!AK6,186&lt;'EDT Y TAREAS'!AL6),'EDT Y TAREAS'!AE6/'EDT Y TAREAS'!M6,0),IF(AND(186&gt;='EDT Y TAREAS'!AK8,186&lt;'EDT Y TAREAS'!AL8),'EDT Y TAREAS'!AE8/'EDT Y TAREAS'!M8,0),IF(AND(186&gt;='EDT Y TAREAS'!AK9,186&lt;'EDT Y TAREAS'!AL9),'EDT Y TAREAS'!AE9/'EDT Y TAREAS'!M9,0),IF(AND(186&gt;='EDT Y TAREAS'!AK10,186&lt;'EDT Y TAREAS'!AL10),'EDT Y TAREAS'!AE10/'EDT Y TAREAS'!M10,0),IF(AND(186&gt;='EDT Y TAREAS'!AK12,186&lt;'EDT Y TAREAS'!AL12),'EDT Y TAREAS'!AE12/'EDT Y TAREAS'!M12,0),IF(AND(186&gt;='EDT Y TAREAS'!AK16,186&lt;'EDT Y TAREAS'!AL16),'EDT Y TAREAS'!AE16/'EDT Y TAREAS'!M16,0),IF(AND(186&gt;='EDT Y TAREAS'!AK21,186&lt;'EDT Y TAREAS'!AL21),'EDT Y TAREAS'!AE21/'EDT Y TAREAS'!M21,0),IF(AND(186&gt;='EDT Y TAREAS'!AK23,186&lt;'EDT Y TAREAS'!AL23),'EDT Y TAREAS'!AE23/'EDT Y TAREAS'!M23,0),IF(AND(186&gt;='EDT Y TAREAS'!AK37,186&lt;'EDT Y TAREAS'!AL37),'EDT Y TAREAS'!AE37/'EDT Y TAREAS'!M37,0),IF(AND(186&gt;='EDT Y TAREAS'!AK38,186&lt;'EDT Y TAREAS'!AL38),'EDT Y TAREAS'!AE38/'EDT Y TAREAS'!M38,0),IF(AND(186&gt;='EDT Y TAREAS'!AK41,186&lt;'EDT Y TAREAS'!AL41),'EDT Y TAREAS'!AE41/'EDT Y TAREAS'!M41,0),IF(AND(186&gt;='EDT Y TAREAS'!AK43,186&lt;'EDT Y TAREAS'!AL43),'EDT Y TAREAS'!AE43/'EDT Y TAREAS'!M43,0),IF(AND(186&gt;='EDT Y TAREAS'!AK44,186&lt;'EDT Y TAREAS'!AL44),'EDT Y TAREAS'!AE44/'EDT Y TAREAS'!M44,0),IF(AND(186&gt;='EDT Y TAREAS'!AK46,186&lt;'EDT Y TAREAS'!AL46),'EDT Y TAREAS'!AE46/'EDT Y TAREAS'!M46,0),IF(AND(186&gt;='EDT Y TAREAS'!AK47,186&lt;'EDT Y TAREAS'!AL47),'EDT Y TAREAS'!AE47/'EDT Y TAREAS'!M47,0),IF(AND(186&gt;='EDT Y TAREAS'!AK51,186&lt;'EDT Y TAREAS'!AL51),'EDT Y TAREAS'!AE51/'EDT Y TAREAS'!M51,0),IF(AND(186&gt;='EDT Y TAREAS'!AK52,186&lt;'EDT Y TAREAS'!AL52),'EDT Y TAREAS'!AE52/'EDT Y TAREAS'!M52,0))</x:f>
        <x:v>0</x:v>
      </x:c>
      <x:c r="D226" s="35" t="n">
        <x:f>SUM(IF(AND(186&gt;='EDT Y TAREAS'!AK11,186&lt;'EDT Y TAREAS'!AL11),'EDT Y TAREAS'!AF11/'EDT Y TAREAS'!M11,0),IF(AND(186&gt;='EDT Y TAREAS'!AK24,186&lt;'EDT Y TAREAS'!AL24),'EDT Y TAREAS'!AF24/'EDT Y TAREAS'!M24,0),IF(AND(186&gt;='EDT Y TAREAS'!AK25,186&lt;'EDT Y TAREAS'!AL25),'EDT Y TAREAS'!AF25/'EDT Y TAREAS'!M25,0),IF(AND(186&gt;='EDT Y TAREAS'!AK26,186&lt;'EDT Y TAREAS'!AL26),'EDT Y TAREAS'!AF26/'EDT Y TAREAS'!M26,0),IF(AND(186&gt;='EDT Y TAREAS'!AK27,186&lt;'EDT Y TAREAS'!AL27),'EDT Y TAREAS'!AF27/'EDT Y TAREAS'!M27,0),IF(AND(186&gt;='EDT Y TAREAS'!AK28,186&lt;'EDT Y TAREAS'!AL28),'EDT Y TAREAS'!AF28/'EDT Y TAREAS'!M28,0),IF(AND(186&gt;='EDT Y TAREAS'!AK31,186&lt;'EDT Y TAREAS'!AL31),'EDT Y TAREAS'!AF31/'EDT Y TAREAS'!M31,0),IF(AND(186&gt;='EDT Y TAREAS'!AK33,186&lt;'EDT Y TAREAS'!AL33),'EDT Y TAREAS'!AF33/'EDT Y TAREAS'!M33,0),IF(AND(186&gt;='EDT Y TAREAS'!AK34,186&lt;'EDT Y TAREAS'!AL34),'EDT Y TAREAS'!AF34/'EDT Y TAREAS'!M34,0),IF(AND(186&gt;='EDT Y TAREAS'!AK35,186&lt;'EDT Y TAREAS'!AL35),'EDT Y TAREAS'!AF35/'EDT Y TAREAS'!M35,0),IF(AND(186&gt;='EDT Y TAREAS'!AK37,186&lt;'EDT Y TAREAS'!AL37),'EDT Y TAREAS'!AF37/'EDT Y TAREAS'!M37,0),IF(AND(186&gt;='EDT Y TAREAS'!AK39,186&lt;'EDT Y TAREAS'!AL39),'EDT Y TAREAS'!AF39/'EDT Y TAREAS'!M39,0),IF(AND(186&gt;='EDT Y TAREAS'!AK40,186&lt;'EDT Y TAREAS'!AL40),'EDT Y TAREAS'!AF40/'EDT Y TAREAS'!M40,0),IF(AND(186&gt;='EDT Y TAREAS'!AK42,186&lt;'EDT Y TAREAS'!AL42),'EDT Y TAREAS'!AF42/'EDT Y TAREAS'!M42,0),IF(AND(186&gt;='EDT Y TAREAS'!AK45,186&lt;'EDT Y TAREAS'!AL45),'EDT Y TAREAS'!AF45/'EDT Y TAREAS'!M45,0),IF(AND(186&gt;='EDT Y TAREAS'!AK49,186&lt;'EDT Y TAREAS'!AL49),'EDT Y TAREAS'!AF49/'EDT Y TAREAS'!M49,0),IF(AND(186&gt;='EDT Y TAREAS'!AK52,186&lt;'EDT Y TAREAS'!AL52),'EDT Y TAREAS'!AF52/'EDT Y TAREAS'!M52,0))</x:f>
        <x:v>0</x:v>
      </x:c>
      <x:c r="E226" s="35" t="n">
        <x:f>SUM(IF(AND(186&gt;='EDT Y TAREAS'!AK29,186&lt;'EDT Y TAREAS'!AL29),'EDT Y TAREAS'!AG29/'EDT Y TAREAS'!M29,0),IF(AND(186&gt;='EDT Y TAREAS'!AK30,186&lt;'EDT Y TAREAS'!AL30),'EDT Y TAREAS'!AG30/'EDT Y TAREAS'!M30,0),IF(AND(186&gt;='EDT Y TAREAS'!AK31,186&lt;'EDT Y TAREAS'!AL31),'EDT Y TAREAS'!AG31/'EDT Y TAREAS'!M31,0),IF(AND(186&gt;='EDT Y TAREAS'!AK32,186&lt;'EDT Y TAREAS'!AL32),'EDT Y TAREAS'!AG32/'EDT Y TAREAS'!M32,0),IF(AND(186&gt;='EDT Y TAREAS'!AK41,186&lt;'EDT Y TAREAS'!AL41),'EDT Y TAREAS'!AG41/'EDT Y TAREAS'!M41,0),IF(AND(186&gt;='EDT Y TAREAS'!AK45,186&lt;'EDT Y TAREAS'!AL45),'EDT Y TAREAS'!AG45/'EDT Y TAREAS'!M45,0),IF(AND(186&gt;='EDT Y TAREAS'!AK48,186&lt;'EDT Y TAREAS'!AL48),'EDT Y TAREAS'!AG48/'EDT Y TAREAS'!M48,0))</x:f>
        <x:v>0</x:v>
      </x:c>
      <x:c r="F226" s="35" t="n">
        <x:f>SUM(IF(AND(186&gt;='EDT Y TAREAS'!AK10,186&lt;'EDT Y TAREAS'!AL10),'EDT Y TAREAS'!AH10/'EDT Y TAREAS'!M10,0),IF(AND(186&gt;='EDT Y TAREAS'!AK12,186&lt;'EDT Y TAREAS'!AL12),'EDT Y TAREAS'!AH12/'EDT Y TAREAS'!M12,0),IF(AND(186&gt;='EDT Y TAREAS'!AK22,186&lt;'EDT Y TAREAS'!AL22),'EDT Y TAREAS'!AH22/'EDT Y TAREAS'!M22,0),IF(AND(186&gt;='EDT Y TAREAS'!AK23,186&lt;'EDT Y TAREAS'!AL23),'EDT Y TAREAS'!AH23/'EDT Y TAREAS'!M23,0),IF(AND(186&gt;='EDT Y TAREAS'!AK29,186&lt;'EDT Y TAREAS'!AL29),'EDT Y TAREAS'!AH29/'EDT Y TAREAS'!M29,0),IF(AND(186&gt;='EDT Y TAREAS'!AK30,186&lt;'EDT Y TAREAS'!AL30),'EDT Y TAREAS'!AH30/'EDT Y TAREAS'!M30,0),IF(AND(186&gt;='EDT Y TAREAS'!AK32,186&lt;'EDT Y TAREAS'!AL32),'EDT Y TAREAS'!AH32/'EDT Y TAREAS'!M32,0),IF(AND(186&gt;='EDT Y TAREAS'!AK41,186&lt;'EDT Y TAREAS'!AL41),'EDT Y TAREAS'!AH41/'EDT Y TAREAS'!M41,0),IF(AND(186&gt;='EDT Y TAREAS'!AK44,186&lt;'EDT Y TAREAS'!AL44),'EDT Y TAREAS'!AH44/'EDT Y TAREAS'!M44,0),IF(AND(186&gt;='EDT Y TAREAS'!AK46,186&lt;'EDT Y TAREAS'!AL46),'EDT Y TAREAS'!AH46/'EDT Y TAREAS'!M46,0),IF(AND(186&gt;='EDT Y TAREAS'!AK48,186&lt;'EDT Y TAREAS'!AL48),'EDT Y TAREAS'!AH48/'EDT Y TAREAS'!M48,0))</x:f>
        <x:v>0</x:v>
      </x:c>
      <x:c r="G226" s="35" t="n">
        <x:f>SUM(IF(AND(186&gt;='EDT Y TAREAS'!AK20,186&lt;'EDT Y TAREAS'!AL20),'EDT Y TAREAS'!AI20/'EDT Y TAREAS'!M20,0),IF(AND(186&gt;='EDT Y TAREAS'!AK25,186&lt;'EDT Y TAREAS'!AL25),'EDT Y TAREAS'!AI25/'EDT Y TAREAS'!M25,0),IF(AND(186&gt;='EDT Y TAREAS'!AK33,186&lt;'EDT Y TAREAS'!AL33),'EDT Y TAREAS'!AI33/'EDT Y TAREAS'!M33,0),IF(AND(186&gt;='EDT Y TAREAS'!AK34,186&lt;'EDT Y TAREAS'!AL34),'EDT Y TAREAS'!AI34/'EDT Y TAREAS'!M34,0),IF(AND(186&gt;='EDT Y TAREAS'!AK36,186&lt;'EDT Y TAREAS'!AL36),'EDT Y TAREAS'!AI36/'EDT Y TAREAS'!M36,0),IF(AND(186&gt;='EDT Y TAREAS'!AK39,186&lt;'EDT Y TAREAS'!AL39),'EDT Y TAREAS'!AI39/'EDT Y TAREAS'!M39,0),IF(AND(186&gt;='EDT Y TAREAS'!AK40,186&lt;'EDT Y TAREAS'!AL40),'EDT Y TAREAS'!AI40/'EDT Y TAREAS'!M40,0),IF(AND(186&gt;='EDT Y TAREAS'!AK42,186&lt;'EDT Y TAREAS'!AL42),'EDT Y TAREAS'!AI42/'EDT Y TAREAS'!M42,0),IF(AND(186&gt;='EDT Y TAREAS'!AK43,186&lt;'EDT Y TAREAS'!AL43),'EDT Y TAREAS'!AI43/'EDT Y TAREAS'!M43,0),IF(AND(186&gt;='EDT Y TAREAS'!AK44,186&lt;'EDT Y TAREAS'!AL44),'EDT Y TAREAS'!AI44/'EDT Y TAREAS'!M44,0),IF(AND(186&gt;='EDT Y TAREAS'!AK45,186&lt;'EDT Y TAREAS'!AL45),'EDT Y TAREAS'!AI45/'EDT Y TAREAS'!M45,0),IF(AND(186&gt;='EDT Y TAREAS'!AK46,186&lt;'EDT Y TAREAS'!AL46),'EDT Y TAREAS'!AI46/'EDT Y TAREAS'!M46,0),IF(AND(186&gt;='EDT Y TAREAS'!AK48,186&lt;'EDT Y TAREAS'!AL48),'EDT Y TAREAS'!AI48/'EDT Y TAREAS'!M48,0),IF(AND(186&gt;='EDT Y TAREAS'!AK50,186&lt;'EDT Y TAREAS'!AL50),'EDT Y TAREAS'!AI50/'EDT Y TAREAS'!M50,0),IF(AND(186&gt;='EDT Y TAREAS'!AK52,186&lt;'EDT Y TAREAS'!AL52),'EDT Y TAREAS'!AI52/'EDT Y TAREAS'!M52,0))</x:f>
        <x:v>0</x:v>
      </x:c>
      <x:c r="H226" s="35" t="n">
        <x:f>SUM(IF(AND(186&gt;='EDT Y TAREAS'!AK11,186&lt;'EDT Y TAREAS'!AL11),'EDT Y TAREAS'!AJ11/'EDT Y TAREAS'!M11,0),IF(AND(186&gt;='EDT Y TAREAS'!AK24,186&lt;'EDT Y TAREAS'!AL24),'EDT Y TAREAS'!AJ24/'EDT Y TAREAS'!M24,0),IF(AND(186&gt;='EDT Y TAREAS'!AK27,186&lt;'EDT Y TAREAS'!AL27),'EDT Y TAREAS'!AJ27/'EDT Y TAREAS'!M27,0),IF(AND(186&gt;='EDT Y TAREAS'!AK28,186&lt;'EDT Y TAREAS'!AL28),'EDT Y TAREAS'!AJ28/'EDT Y TAREAS'!M28,0),IF(AND(186&gt;='EDT Y TAREAS'!AK33,186&lt;'EDT Y TAREAS'!AL33),'EDT Y TAREAS'!AJ33/'EDT Y TAREAS'!M33,0),IF(AND(186&gt;='EDT Y TAREAS'!AK35,186&lt;'EDT Y TAREAS'!AL35),'EDT Y TAREAS'!AJ35/'EDT Y TAREAS'!M35,0),IF(AND(186&gt;='EDT Y TAREAS'!AK36,186&lt;'EDT Y TAREAS'!AL36),'EDT Y TAREAS'!AJ36/'EDT Y TAREAS'!M36,0),IF(AND(186&gt;='EDT Y TAREAS'!AK37,186&lt;'EDT Y TAREAS'!AL37),'EDT Y TAREAS'!AJ37/'EDT Y TAREAS'!M37,0),IF(AND(186&gt;='EDT Y TAREAS'!AK40,186&lt;'EDT Y TAREAS'!AL40),'EDT Y TAREAS'!AJ40/'EDT Y TAREAS'!M40,0),IF(AND(186&gt;='EDT Y TAREAS'!AK42,186&lt;'EDT Y TAREAS'!AL42),'EDT Y TAREAS'!AJ42/'EDT Y TAREAS'!M42,0),IF(AND(186&gt;='EDT Y TAREAS'!AK49,186&lt;'EDT Y TAREAS'!AL49),'EDT Y TAREAS'!AJ49/'EDT Y TAREAS'!M49,0),IF(AND(186&gt;='EDT Y TAREAS'!AK50,186&lt;'EDT Y TAREAS'!AL50),'EDT Y TAREAS'!AJ50/'EDT Y TAREAS'!M50,0),IF(AND(186&gt;='EDT Y TAREAS'!AK51,186&lt;'EDT Y TAREAS'!AL51),'EDT Y TAREAS'!AJ51/'EDT Y TAREAS'!M51,0),IF(AND(186&gt;='EDT Y TAREAS'!AK52,186&lt;'EDT Y TAREAS'!AL52),'EDT Y TAREAS'!AJ52/'EDT Y TAREAS'!M52,0))</x:f>
        <x:v>0</x:v>
      </x:c>
      <x:c r="I226" s="10" t="n">
        <x:f>WORKDAY('RESUMEN'!$D$3-1,A226,'RESUMEN'!$J$6:$J$25)</x:f>
        <x:v>46588</x:v>
      </x:c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  <x:c r="AL226" s="3"/>
      <x:c r="AM226" s="3"/>
      <x:c r="AN226" s="3"/>
      <x:c r="AO226" s="3"/>
    </x:row>
    <x:row r="227" ht="24" customHeight="1">
      <x:c r="A227" s="3" t="n">
        <x:v>188</x:v>
      </x:c>
      <x:c r="B227" s="35" t="n">
        <x:f>SUM(IF(AND(187&gt;='EDT Y TAREAS'!AK6,187&lt;'EDT Y TAREAS'!AL6),'EDT Y TAREAS'!AD6/'EDT Y TAREAS'!M6,0),IF(AND(187&gt;='EDT Y TAREAS'!AK7,187&lt;'EDT Y TAREAS'!AL7),'EDT Y TAREAS'!AD7/'EDT Y TAREAS'!M7,0),IF(AND(187&gt;='EDT Y TAREAS'!AK8,187&lt;'EDT Y TAREAS'!AL8),'EDT Y TAREAS'!AD8/'EDT Y TAREAS'!M8,0),IF(AND(187&gt;='EDT Y TAREAS'!AK9,187&lt;'EDT Y TAREAS'!AL9),'EDT Y TAREAS'!AD9/'EDT Y TAREAS'!M9,0),IF(AND(187&gt;='EDT Y TAREAS'!AK10,187&lt;'EDT Y TAREAS'!AL10),'EDT Y TAREAS'!AD10/'EDT Y TAREAS'!M10,0),IF(AND(187&gt;='EDT Y TAREAS'!AK11,187&lt;'EDT Y TAREAS'!AL11),'EDT Y TAREAS'!AD11/'EDT Y TAREAS'!M11,0),IF(AND(187&gt;='EDT Y TAREAS'!AK12,187&lt;'EDT Y TAREAS'!AL12),'EDT Y TAREAS'!AD12/'EDT Y TAREAS'!M12,0),IF(AND(187&gt;='EDT Y TAREAS'!AK13,187&lt;'EDT Y TAREAS'!AL13),'EDT Y TAREAS'!AD13/'EDT Y TAREAS'!M13,0),IF(AND(187&gt;='EDT Y TAREAS'!AK14,187&lt;'EDT Y TAREAS'!AL14),'EDT Y TAREAS'!AD14/'EDT Y TAREAS'!M14,0),IF(AND(187&gt;='EDT Y TAREAS'!AK15,187&lt;'EDT Y TAREAS'!AL15),'EDT Y TAREAS'!AD15/'EDT Y TAREAS'!M15,0),IF(AND(187&gt;='EDT Y TAREAS'!AK16,187&lt;'EDT Y TAREAS'!AL16),'EDT Y TAREAS'!AD16/'EDT Y TAREAS'!M16,0),IF(AND(187&gt;='EDT Y TAREAS'!AK17,187&lt;'EDT Y TAREAS'!AL17),'EDT Y TAREAS'!AD17/'EDT Y TAREAS'!M17,0),IF(AND(187&gt;='EDT Y TAREAS'!AK18,187&lt;'EDT Y TAREAS'!AL18),'EDT Y TAREAS'!AD18/'EDT Y TAREAS'!M18,0),IF(AND(187&gt;='EDT Y TAREAS'!AK19,187&lt;'EDT Y TAREAS'!AL19),'EDT Y TAREAS'!AD19/'EDT Y TAREAS'!M19,0),IF(AND(187&gt;='EDT Y TAREAS'!AK20,187&lt;'EDT Y TAREAS'!AL20),'EDT Y TAREAS'!AD20/'EDT Y TAREAS'!M20,0),IF(AND(187&gt;='EDT Y TAREAS'!AK21,187&lt;'EDT Y TAREAS'!AL21),'EDT Y TAREAS'!AD21/'EDT Y TAREAS'!M21,0),IF(AND(187&gt;='EDT Y TAREAS'!AK22,187&lt;'EDT Y TAREAS'!AL22),'EDT Y TAREAS'!AD22/'EDT Y TAREAS'!M22,0),IF(AND(187&gt;='EDT Y TAREAS'!AK23,187&lt;'EDT Y TAREAS'!AL23),'EDT Y TAREAS'!AD23/'EDT Y TAREAS'!M23,0),IF(AND(187&gt;='EDT Y TAREAS'!AK26,187&lt;'EDT Y TAREAS'!AL26),'EDT Y TAREAS'!AD26/'EDT Y TAREAS'!M26,0),IF(AND(187&gt;='EDT Y TAREAS'!AK28,187&lt;'EDT Y TAREAS'!AL28),'EDT Y TAREAS'!AD28/'EDT Y TAREAS'!M28,0),IF(AND(187&gt;='EDT Y TAREAS'!AK30,187&lt;'EDT Y TAREAS'!AL30),'EDT Y TAREAS'!AD30/'EDT Y TAREAS'!M30,0),IF(AND(187&gt;='EDT Y TAREAS'!AK32,187&lt;'EDT Y TAREAS'!AL32),'EDT Y TAREAS'!AD32/'EDT Y TAREAS'!M32,0),IF(AND(187&gt;='EDT Y TAREAS'!AK34,187&lt;'EDT Y TAREAS'!AL34),'EDT Y TAREAS'!AD34/'EDT Y TAREAS'!M34,0),IF(AND(187&gt;='EDT Y TAREAS'!AK38,187&lt;'EDT Y TAREAS'!AL38),'EDT Y TAREAS'!AD38/'EDT Y TAREAS'!M38,0),IF(AND(187&gt;='EDT Y TAREAS'!AK39,187&lt;'EDT Y TAREAS'!AL39),'EDT Y TAREAS'!AD39/'EDT Y TAREAS'!M39,0),IF(AND(187&gt;='EDT Y TAREAS'!AK43,187&lt;'EDT Y TAREAS'!AL43),'EDT Y TAREAS'!AD43/'EDT Y TAREAS'!M43,0),IF(AND(187&gt;='EDT Y TAREAS'!AK44,187&lt;'EDT Y TAREAS'!AL44),'EDT Y TAREAS'!AD44/'EDT Y TAREAS'!M44,0),IF(AND(187&gt;='EDT Y TAREAS'!AK45,187&lt;'EDT Y TAREAS'!AL45),'EDT Y TAREAS'!AD45/'EDT Y TAREAS'!M45,0),IF(AND(187&gt;='EDT Y TAREAS'!AK46,187&lt;'EDT Y TAREAS'!AL46),'EDT Y TAREAS'!AD46/'EDT Y TAREAS'!M46,0),IF(AND(187&gt;='EDT Y TAREAS'!AK47,187&lt;'EDT Y TAREAS'!AL47),'EDT Y TAREAS'!AD47/'EDT Y TAREAS'!M47,0),IF(AND(187&gt;='EDT Y TAREAS'!AK49,187&lt;'EDT Y TAREAS'!AL49),'EDT Y TAREAS'!AD49/'EDT Y TAREAS'!M49,0),IF(AND(187&gt;='EDT Y TAREAS'!AK50,187&lt;'EDT Y TAREAS'!AL50),'EDT Y TAREAS'!AD50/'EDT Y TAREAS'!M50,0),IF(AND(187&gt;='EDT Y TAREAS'!AK51,187&lt;'EDT Y TAREAS'!AL51),'EDT Y TAREAS'!AD51/'EDT Y TAREAS'!M51,0),IF(AND(187&gt;='EDT Y TAREAS'!AK52,187&lt;'EDT Y TAREAS'!AL52),'EDT Y TAREAS'!AD52/'EDT Y TAREAS'!M52,0))</x:f>
        <x:v>0</x:v>
      </x:c>
      <x:c r="C227" s="35" t="n">
        <x:f>SUM(IF(AND(187&gt;='EDT Y TAREAS'!AK6,187&lt;'EDT Y TAREAS'!AL6),'EDT Y TAREAS'!AE6/'EDT Y TAREAS'!M6,0),IF(AND(187&gt;='EDT Y TAREAS'!AK8,187&lt;'EDT Y TAREAS'!AL8),'EDT Y TAREAS'!AE8/'EDT Y TAREAS'!M8,0),IF(AND(187&gt;='EDT Y TAREAS'!AK9,187&lt;'EDT Y TAREAS'!AL9),'EDT Y TAREAS'!AE9/'EDT Y TAREAS'!M9,0),IF(AND(187&gt;='EDT Y TAREAS'!AK10,187&lt;'EDT Y TAREAS'!AL10),'EDT Y TAREAS'!AE10/'EDT Y TAREAS'!M10,0),IF(AND(187&gt;='EDT Y TAREAS'!AK12,187&lt;'EDT Y TAREAS'!AL12),'EDT Y TAREAS'!AE12/'EDT Y TAREAS'!M12,0),IF(AND(187&gt;='EDT Y TAREAS'!AK16,187&lt;'EDT Y TAREAS'!AL16),'EDT Y TAREAS'!AE16/'EDT Y TAREAS'!M16,0),IF(AND(187&gt;='EDT Y TAREAS'!AK21,187&lt;'EDT Y TAREAS'!AL21),'EDT Y TAREAS'!AE21/'EDT Y TAREAS'!M21,0),IF(AND(187&gt;='EDT Y TAREAS'!AK23,187&lt;'EDT Y TAREAS'!AL23),'EDT Y TAREAS'!AE23/'EDT Y TAREAS'!M23,0),IF(AND(187&gt;='EDT Y TAREAS'!AK37,187&lt;'EDT Y TAREAS'!AL37),'EDT Y TAREAS'!AE37/'EDT Y TAREAS'!M37,0),IF(AND(187&gt;='EDT Y TAREAS'!AK38,187&lt;'EDT Y TAREAS'!AL38),'EDT Y TAREAS'!AE38/'EDT Y TAREAS'!M38,0),IF(AND(187&gt;='EDT Y TAREAS'!AK41,187&lt;'EDT Y TAREAS'!AL41),'EDT Y TAREAS'!AE41/'EDT Y TAREAS'!M41,0),IF(AND(187&gt;='EDT Y TAREAS'!AK43,187&lt;'EDT Y TAREAS'!AL43),'EDT Y TAREAS'!AE43/'EDT Y TAREAS'!M43,0),IF(AND(187&gt;='EDT Y TAREAS'!AK44,187&lt;'EDT Y TAREAS'!AL44),'EDT Y TAREAS'!AE44/'EDT Y TAREAS'!M44,0),IF(AND(187&gt;='EDT Y TAREAS'!AK46,187&lt;'EDT Y TAREAS'!AL46),'EDT Y TAREAS'!AE46/'EDT Y TAREAS'!M46,0),IF(AND(187&gt;='EDT Y TAREAS'!AK47,187&lt;'EDT Y TAREAS'!AL47),'EDT Y TAREAS'!AE47/'EDT Y TAREAS'!M47,0),IF(AND(187&gt;='EDT Y TAREAS'!AK51,187&lt;'EDT Y TAREAS'!AL51),'EDT Y TAREAS'!AE51/'EDT Y TAREAS'!M51,0),IF(AND(187&gt;='EDT Y TAREAS'!AK52,187&lt;'EDT Y TAREAS'!AL52),'EDT Y TAREAS'!AE52/'EDT Y TAREAS'!M52,0))</x:f>
        <x:v>0</x:v>
      </x:c>
      <x:c r="D227" s="35" t="n">
        <x:f>SUM(IF(AND(187&gt;='EDT Y TAREAS'!AK11,187&lt;'EDT Y TAREAS'!AL11),'EDT Y TAREAS'!AF11/'EDT Y TAREAS'!M11,0),IF(AND(187&gt;='EDT Y TAREAS'!AK24,187&lt;'EDT Y TAREAS'!AL24),'EDT Y TAREAS'!AF24/'EDT Y TAREAS'!M24,0),IF(AND(187&gt;='EDT Y TAREAS'!AK25,187&lt;'EDT Y TAREAS'!AL25),'EDT Y TAREAS'!AF25/'EDT Y TAREAS'!M25,0),IF(AND(187&gt;='EDT Y TAREAS'!AK26,187&lt;'EDT Y TAREAS'!AL26),'EDT Y TAREAS'!AF26/'EDT Y TAREAS'!M26,0),IF(AND(187&gt;='EDT Y TAREAS'!AK27,187&lt;'EDT Y TAREAS'!AL27),'EDT Y TAREAS'!AF27/'EDT Y TAREAS'!M27,0),IF(AND(187&gt;='EDT Y TAREAS'!AK28,187&lt;'EDT Y TAREAS'!AL28),'EDT Y TAREAS'!AF28/'EDT Y TAREAS'!M28,0),IF(AND(187&gt;='EDT Y TAREAS'!AK31,187&lt;'EDT Y TAREAS'!AL31),'EDT Y TAREAS'!AF31/'EDT Y TAREAS'!M31,0),IF(AND(187&gt;='EDT Y TAREAS'!AK33,187&lt;'EDT Y TAREAS'!AL33),'EDT Y TAREAS'!AF33/'EDT Y TAREAS'!M33,0),IF(AND(187&gt;='EDT Y TAREAS'!AK34,187&lt;'EDT Y TAREAS'!AL34),'EDT Y TAREAS'!AF34/'EDT Y TAREAS'!M34,0),IF(AND(187&gt;='EDT Y TAREAS'!AK35,187&lt;'EDT Y TAREAS'!AL35),'EDT Y TAREAS'!AF35/'EDT Y TAREAS'!M35,0),IF(AND(187&gt;='EDT Y TAREAS'!AK37,187&lt;'EDT Y TAREAS'!AL37),'EDT Y TAREAS'!AF37/'EDT Y TAREAS'!M37,0),IF(AND(187&gt;='EDT Y TAREAS'!AK39,187&lt;'EDT Y TAREAS'!AL39),'EDT Y TAREAS'!AF39/'EDT Y TAREAS'!M39,0),IF(AND(187&gt;='EDT Y TAREAS'!AK40,187&lt;'EDT Y TAREAS'!AL40),'EDT Y TAREAS'!AF40/'EDT Y TAREAS'!M40,0),IF(AND(187&gt;='EDT Y TAREAS'!AK42,187&lt;'EDT Y TAREAS'!AL42),'EDT Y TAREAS'!AF42/'EDT Y TAREAS'!M42,0),IF(AND(187&gt;='EDT Y TAREAS'!AK45,187&lt;'EDT Y TAREAS'!AL45),'EDT Y TAREAS'!AF45/'EDT Y TAREAS'!M45,0),IF(AND(187&gt;='EDT Y TAREAS'!AK49,187&lt;'EDT Y TAREAS'!AL49),'EDT Y TAREAS'!AF49/'EDT Y TAREAS'!M49,0),IF(AND(187&gt;='EDT Y TAREAS'!AK52,187&lt;'EDT Y TAREAS'!AL52),'EDT Y TAREAS'!AF52/'EDT Y TAREAS'!M52,0))</x:f>
        <x:v>0</x:v>
      </x:c>
      <x:c r="E227" s="35" t="n">
        <x:f>SUM(IF(AND(187&gt;='EDT Y TAREAS'!AK29,187&lt;'EDT Y TAREAS'!AL29),'EDT Y TAREAS'!AG29/'EDT Y TAREAS'!M29,0),IF(AND(187&gt;='EDT Y TAREAS'!AK30,187&lt;'EDT Y TAREAS'!AL30),'EDT Y TAREAS'!AG30/'EDT Y TAREAS'!M30,0),IF(AND(187&gt;='EDT Y TAREAS'!AK31,187&lt;'EDT Y TAREAS'!AL31),'EDT Y TAREAS'!AG31/'EDT Y TAREAS'!M31,0),IF(AND(187&gt;='EDT Y TAREAS'!AK32,187&lt;'EDT Y TAREAS'!AL32),'EDT Y TAREAS'!AG32/'EDT Y TAREAS'!M32,0),IF(AND(187&gt;='EDT Y TAREAS'!AK41,187&lt;'EDT Y TAREAS'!AL41),'EDT Y TAREAS'!AG41/'EDT Y TAREAS'!M41,0),IF(AND(187&gt;='EDT Y TAREAS'!AK45,187&lt;'EDT Y TAREAS'!AL45),'EDT Y TAREAS'!AG45/'EDT Y TAREAS'!M45,0),IF(AND(187&gt;='EDT Y TAREAS'!AK48,187&lt;'EDT Y TAREAS'!AL48),'EDT Y TAREAS'!AG48/'EDT Y TAREAS'!M48,0))</x:f>
        <x:v>0</x:v>
      </x:c>
      <x:c r="F227" s="35" t="n">
        <x:f>SUM(IF(AND(187&gt;='EDT Y TAREAS'!AK10,187&lt;'EDT Y TAREAS'!AL10),'EDT Y TAREAS'!AH10/'EDT Y TAREAS'!M10,0),IF(AND(187&gt;='EDT Y TAREAS'!AK12,187&lt;'EDT Y TAREAS'!AL12),'EDT Y TAREAS'!AH12/'EDT Y TAREAS'!M12,0),IF(AND(187&gt;='EDT Y TAREAS'!AK22,187&lt;'EDT Y TAREAS'!AL22),'EDT Y TAREAS'!AH22/'EDT Y TAREAS'!M22,0),IF(AND(187&gt;='EDT Y TAREAS'!AK23,187&lt;'EDT Y TAREAS'!AL23),'EDT Y TAREAS'!AH23/'EDT Y TAREAS'!M23,0),IF(AND(187&gt;='EDT Y TAREAS'!AK29,187&lt;'EDT Y TAREAS'!AL29),'EDT Y TAREAS'!AH29/'EDT Y TAREAS'!M29,0),IF(AND(187&gt;='EDT Y TAREAS'!AK30,187&lt;'EDT Y TAREAS'!AL30),'EDT Y TAREAS'!AH30/'EDT Y TAREAS'!M30,0),IF(AND(187&gt;='EDT Y TAREAS'!AK32,187&lt;'EDT Y TAREAS'!AL32),'EDT Y TAREAS'!AH32/'EDT Y TAREAS'!M32,0),IF(AND(187&gt;='EDT Y TAREAS'!AK41,187&lt;'EDT Y TAREAS'!AL41),'EDT Y TAREAS'!AH41/'EDT Y TAREAS'!M41,0),IF(AND(187&gt;='EDT Y TAREAS'!AK44,187&lt;'EDT Y TAREAS'!AL44),'EDT Y TAREAS'!AH44/'EDT Y TAREAS'!M44,0),IF(AND(187&gt;='EDT Y TAREAS'!AK46,187&lt;'EDT Y TAREAS'!AL46),'EDT Y TAREAS'!AH46/'EDT Y TAREAS'!M46,0),IF(AND(187&gt;='EDT Y TAREAS'!AK48,187&lt;'EDT Y TAREAS'!AL48),'EDT Y TAREAS'!AH48/'EDT Y TAREAS'!M48,0))</x:f>
        <x:v>0</x:v>
      </x:c>
      <x:c r="G227" s="35" t="n">
        <x:f>SUM(IF(AND(187&gt;='EDT Y TAREAS'!AK20,187&lt;'EDT Y TAREAS'!AL20),'EDT Y TAREAS'!AI20/'EDT Y TAREAS'!M20,0),IF(AND(187&gt;='EDT Y TAREAS'!AK25,187&lt;'EDT Y TAREAS'!AL25),'EDT Y TAREAS'!AI25/'EDT Y TAREAS'!M25,0),IF(AND(187&gt;='EDT Y TAREAS'!AK33,187&lt;'EDT Y TAREAS'!AL33),'EDT Y TAREAS'!AI33/'EDT Y TAREAS'!M33,0),IF(AND(187&gt;='EDT Y TAREAS'!AK34,187&lt;'EDT Y TAREAS'!AL34),'EDT Y TAREAS'!AI34/'EDT Y TAREAS'!M34,0),IF(AND(187&gt;='EDT Y TAREAS'!AK36,187&lt;'EDT Y TAREAS'!AL36),'EDT Y TAREAS'!AI36/'EDT Y TAREAS'!M36,0),IF(AND(187&gt;='EDT Y TAREAS'!AK39,187&lt;'EDT Y TAREAS'!AL39),'EDT Y TAREAS'!AI39/'EDT Y TAREAS'!M39,0),IF(AND(187&gt;='EDT Y TAREAS'!AK40,187&lt;'EDT Y TAREAS'!AL40),'EDT Y TAREAS'!AI40/'EDT Y TAREAS'!M40,0),IF(AND(187&gt;='EDT Y TAREAS'!AK42,187&lt;'EDT Y TAREAS'!AL42),'EDT Y TAREAS'!AI42/'EDT Y TAREAS'!M42,0),IF(AND(187&gt;='EDT Y TAREAS'!AK43,187&lt;'EDT Y TAREAS'!AL43),'EDT Y TAREAS'!AI43/'EDT Y TAREAS'!M43,0),IF(AND(187&gt;='EDT Y TAREAS'!AK44,187&lt;'EDT Y TAREAS'!AL44),'EDT Y TAREAS'!AI44/'EDT Y TAREAS'!M44,0),IF(AND(187&gt;='EDT Y TAREAS'!AK45,187&lt;'EDT Y TAREAS'!AL45),'EDT Y TAREAS'!AI45/'EDT Y TAREAS'!M45,0),IF(AND(187&gt;='EDT Y TAREAS'!AK46,187&lt;'EDT Y TAREAS'!AL46),'EDT Y TAREAS'!AI46/'EDT Y TAREAS'!M46,0),IF(AND(187&gt;='EDT Y TAREAS'!AK48,187&lt;'EDT Y TAREAS'!AL48),'EDT Y TAREAS'!AI48/'EDT Y TAREAS'!M48,0),IF(AND(187&gt;='EDT Y TAREAS'!AK50,187&lt;'EDT Y TAREAS'!AL50),'EDT Y TAREAS'!AI50/'EDT Y TAREAS'!M50,0),IF(AND(187&gt;='EDT Y TAREAS'!AK52,187&lt;'EDT Y TAREAS'!AL52),'EDT Y TAREAS'!AI52/'EDT Y TAREAS'!M52,0))</x:f>
        <x:v>0</x:v>
      </x:c>
      <x:c r="H227" s="35" t="n">
        <x:f>SUM(IF(AND(187&gt;='EDT Y TAREAS'!AK11,187&lt;'EDT Y TAREAS'!AL11),'EDT Y TAREAS'!AJ11/'EDT Y TAREAS'!M11,0),IF(AND(187&gt;='EDT Y TAREAS'!AK24,187&lt;'EDT Y TAREAS'!AL24),'EDT Y TAREAS'!AJ24/'EDT Y TAREAS'!M24,0),IF(AND(187&gt;='EDT Y TAREAS'!AK27,187&lt;'EDT Y TAREAS'!AL27),'EDT Y TAREAS'!AJ27/'EDT Y TAREAS'!M27,0),IF(AND(187&gt;='EDT Y TAREAS'!AK28,187&lt;'EDT Y TAREAS'!AL28),'EDT Y TAREAS'!AJ28/'EDT Y TAREAS'!M28,0),IF(AND(187&gt;='EDT Y TAREAS'!AK33,187&lt;'EDT Y TAREAS'!AL33),'EDT Y TAREAS'!AJ33/'EDT Y TAREAS'!M33,0),IF(AND(187&gt;='EDT Y TAREAS'!AK35,187&lt;'EDT Y TAREAS'!AL35),'EDT Y TAREAS'!AJ35/'EDT Y TAREAS'!M35,0),IF(AND(187&gt;='EDT Y TAREAS'!AK36,187&lt;'EDT Y TAREAS'!AL36),'EDT Y TAREAS'!AJ36/'EDT Y TAREAS'!M36,0),IF(AND(187&gt;='EDT Y TAREAS'!AK37,187&lt;'EDT Y TAREAS'!AL37),'EDT Y TAREAS'!AJ37/'EDT Y TAREAS'!M37,0),IF(AND(187&gt;='EDT Y TAREAS'!AK40,187&lt;'EDT Y TAREAS'!AL40),'EDT Y TAREAS'!AJ40/'EDT Y TAREAS'!M40,0),IF(AND(187&gt;='EDT Y TAREAS'!AK42,187&lt;'EDT Y TAREAS'!AL42),'EDT Y TAREAS'!AJ42/'EDT Y TAREAS'!M42,0),IF(AND(187&gt;='EDT Y TAREAS'!AK49,187&lt;'EDT Y TAREAS'!AL49),'EDT Y TAREAS'!AJ49/'EDT Y TAREAS'!M49,0),IF(AND(187&gt;='EDT Y TAREAS'!AK50,187&lt;'EDT Y TAREAS'!AL50),'EDT Y TAREAS'!AJ50/'EDT Y TAREAS'!M50,0),IF(AND(187&gt;='EDT Y TAREAS'!AK51,187&lt;'EDT Y TAREAS'!AL51),'EDT Y TAREAS'!AJ51/'EDT Y TAREAS'!M51,0),IF(AND(187&gt;='EDT Y TAREAS'!AK52,187&lt;'EDT Y TAREAS'!AL52),'EDT Y TAREAS'!AJ52/'EDT Y TAREAS'!M52,0))</x:f>
        <x:v>0</x:v>
      </x:c>
      <x:c r="I227" s="10" t="n">
        <x:f>WORKDAY('RESUMEN'!$D$3-1,A227,'RESUMEN'!$J$6:$J$25)</x:f>
        <x:v>46589</x:v>
      </x:c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  <x:c r="AL227" s="3"/>
      <x:c r="AM227" s="3"/>
      <x:c r="AN227" s="3"/>
      <x:c r="AO227" s="3"/>
    </x:row>
    <x:row r="228" ht="24" customHeight="1">
      <x:c r="A228" s="3" t="n">
        <x:v>189</x:v>
      </x:c>
      <x:c r="B228" s="35" t="n">
        <x:f>SUM(IF(AND(188&gt;='EDT Y TAREAS'!AK6,188&lt;'EDT Y TAREAS'!AL6),'EDT Y TAREAS'!AD6/'EDT Y TAREAS'!M6,0),IF(AND(188&gt;='EDT Y TAREAS'!AK7,188&lt;'EDT Y TAREAS'!AL7),'EDT Y TAREAS'!AD7/'EDT Y TAREAS'!M7,0),IF(AND(188&gt;='EDT Y TAREAS'!AK8,188&lt;'EDT Y TAREAS'!AL8),'EDT Y TAREAS'!AD8/'EDT Y TAREAS'!M8,0),IF(AND(188&gt;='EDT Y TAREAS'!AK9,188&lt;'EDT Y TAREAS'!AL9),'EDT Y TAREAS'!AD9/'EDT Y TAREAS'!M9,0),IF(AND(188&gt;='EDT Y TAREAS'!AK10,188&lt;'EDT Y TAREAS'!AL10),'EDT Y TAREAS'!AD10/'EDT Y TAREAS'!M10,0),IF(AND(188&gt;='EDT Y TAREAS'!AK11,188&lt;'EDT Y TAREAS'!AL11),'EDT Y TAREAS'!AD11/'EDT Y TAREAS'!M11,0),IF(AND(188&gt;='EDT Y TAREAS'!AK12,188&lt;'EDT Y TAREAS'!AL12),'EDT Y TAREAS'!AD12/'EDT Y TAREAS'!M12,0),IF(AND(188&gt;='EDT Y TAREAS'!AK13,188&lt;'EDT Y TAREAS'!AL13),'EDT Y TAREAS'!AD13/'EDT Y TAREAS'!M13,0),IF(AND(188&gt;='EDT Y TAREAS'!AK14,188&lt;'EDT Y TAREAS'!AL14),'EDT Y TAREAS'!AD14/'EDT Y TAREAS'!M14,0),IF(AND(188&gt;='EDT Y TAREAS'!AK15,188&lt;'EDT Y TAREAS'!AL15),'EDT Y TAREAS'!AD15/'EDT Y TAREAS'!M15,0),IF(AND(188&gt;='EDT Y TAREAS'!AK16,188&lt;'EDT Y TAREAS'!AL16),'EDT Y TAREAS'!AD16/'EDT Y TAREAS'!M16,0),IF(AND(188&gt;='EDT Y TAREAS'!AK17,188&lt;'EDT Y TAREAS'!AL17),'EDT Y TAREAS'!AD17/'EDT Y TAREAS'!M17,0),IF(AND(188&gt;='EDT Y TAREAS'!AK18,188&lt;'EDT Y TAREAS'!AL18),'EDT Y TAREAS'!AD18/'EDT Y TAREAS'!M18,0),IF(AND(188&gt;='EDT Y TAREAS'!AK19,188&lt;'EDT Y TAREAS'!AL19),'EDT Y TAREAS'!AD19/'EDT Y TAREAS'!M19,0),IF(AND(188&gt;='EDT Y TAREAS'!AK20,188&lt;'EDT Y TAREAS'!AL20),'EDT Y TAREAS'!AD20/'EDT Y TAREAS'!M20,0),IF(AND(188&gt;='EDT Y TAREAS'!AK21,188&lt;'EDT Y TAREAS'!AL21),'EDT Y TAREAS'!AD21/'EDT Y TAREAS'!M21,0),IF(AND(188&gt;='EDT Y TAREAS'!AK22,188&lt;'EDT Y TAREAS'!AL22),'EDT Y TAREAS'!AD22/'EDT Y TAREAS'!M22,0),IF(AND(188&gt;='EDT Y TAREAS'!AK23,188&lt;'EDT Y TAREAS'!AL23),'EDT Y TAREAS'!AD23/'EDT Y TAREAS'!M23,0),IF(AND(188&gt;='EDT Y TAREAS'!AK26,188&lt;'EDT Y TAREAS'!AL26),'EDT Y TAREAS'!AD26/'EDT Y TAREAS'!M26,0),IF(AND(188&gt;='EDT Y TAREAS'!AK28,188&lt;'EDT Y TAREAS'!AL28),'EDT Y TAREAS'!AD28/'EDT Y TAREAS'!M28,0),IF(AND(188&gt;='EDT Y TAREAS'!AK30,188&lt;'EDT Y TAREAS'!AL30),'EDT Y TAREAS'!AD30/'EDT Y TAREAS'!M30,0),IF(AND(188&gt;='EDT Y TAREAS'!AK32,188&lt;'EDT Y TAREAS'!AL32),'EDT Y TAREAS'!AD32/'EDT Y TAREAS'!M32,0),IF(AND(188&gt;='EDT Y TAREAS'!AK34,188&lt;'EDT Y TAREAS'!AL34),'EDT Y TAREAS'!AD34/'EDT Y TAREAS'!M34,0),IF(AND(188&gt;='EDT Y TAREAS'!AK38,188&lt;'EDT Y TAREAS'!AL38),'EDT Y TAREAS'!AD38/'EDT Y TAREAS'!M38,0),IF(AND(188&gt;='EDT Y TAREAS'!AK39,188&lt;'EDT Y TAREAS'!AL39),'EDT Y TAREAS'!AD39/'EDT Y TAREAS'!M39,0),IF(AND(188&gt;='EDT Y TAREAS'!AK43,188&lt;'EDT Y TAREAS'!AL43),'EDT Y TAREAS'!AD43/'EDT Y TAREAS'!M43,0),IF(AND(188&gt;='EDT Y TAREAS'!AK44,188&lt;'EDT Y TAREAS'!AL44),'EDT Y TAREAS'!AD44/'EDT Y TAREAS'!M44,0),IF(AND(188&gt;='EDT Y TAREAS'!AK45,188&lt;'EDT Y TAREAS'!AL45),'EDT Y TAREAS'!AD45/'EDT Y TAREAS'!M45,0),IF(AND(188&gt;='EDT Y TAREAS'!AK46,188&lt;'EDT Y TAREAS'!AL46),'EDT Y TAREAS'!AD46/'EDT Y TAREAS'!M46,0),IF(AND(188&gt;='EDT Y TAREAS'!AK47,188&lt;'EDT Y TAREAS'!AL47),'EDT Y TAREAS'!AD47/'EDT Y TAREAS'!M47,0),IF(AND(188&gt;='EDT Y TAREAS'!AK49,188&lt;'EDT Y TAREAS'!AL49),'EDT Y TAREAS'!AD49/'EDT Y TAREAS'!M49,0),IF(AND(188&gt;='EDT Y TAREAS'!AK50,188&lt;'EDT Y TAREAS'!AL50),'EDT Y TAREAS'!AD50/'EDT Y TAREAS'!M50,0),IF(AND(188&gt;='EDT Y TAREAS'!AK51,188&lt;'EDT Y TAREAS'!AL51),'EDT Y TAREAS'!AD51/'EDT Y TAREAS'!M51,0),IF(AND(188&gt;='EDT Y TAREAS'!AK52,188&lt;'EDT Y TAREAS'!AL52),'EDT Y TAREAS'!AD52/'EDT Y TAREAS'!M52,0))</x:f>
        <x:v>0</x:v>
      </x:c>
      <x:c r="C228" s="35" t="n">
        <x:f>SUM(IF(AND(188&gt;='EDT Y TAREAS'!AK6,188&lt;'EDT Y TAREAS'!AL6),'EDT Y TAREAS'!AE6/'EDT Y TAREAS'!M6,0),IF(AND(188&gt;='EDT Y TAREAS'!AK8,188&lt;'EDT Y TAREAS'!AL8),'EDT Y TAREAS'!AE8/'EDT Y TAREAS'!M8,0),IF(AND(188&gt;='EDT Y TAREAS'!AK9,188&lt;'EDT Y TAREAS'!AL9),'EDT Y TAREAS'!AE9/'EDT Y TAREAS'!M9,0),IF(AND(188&gt;='EDT Y TAREAS'!AK10,188&lt;'EDT Y TAREAS'!AL10),'EDT Y TAREAS'!AE10/'EDT Y TAREAS'!M10,0),IF(AND(188&gt;='EDT Y TAREAS'!AK12,188&lt;'EDT Y TAREAS'!AL12),'EDT Y TAREAS'!AE12/'EDT Y TAREAS'!M12,0),IF(AND(188&gt;='EDT Y TAREAS'!AK16,188&lt;'EDT Y TAREAS'!AL16),'EDT Y TAREAS'!AE16/'EDT Y TAREAS'!M16,0),IF(AND(188&gt;='EDT Y TAREAS'!AK21,188&lt;'EDT Y TAREAS'!AL21),'EDT Y TAREAS'!AE21/'EDT Y TAREAS'!M21,0),IF(AND(188&gt;='EDT Y TAREAS'!AK23,188&lt;'EDT Y TAREAS'!AL23),'EDT Y TAREAS'!AE23/'EDT Y TAREAS'!M23,0),IF(AND(188&gt;='EDT Y TAREAS'!AK37,188&lt;'EDT Y TAREAS'!AL37),'EDT Y TAREAS'!AE37/'EDT Y TAREAS'!M37,0),IF(AND(188&gt;='EDT Y TAREAS'!AK38,188&lt;'EDT Y TAREAS'!AL38),'EDT Y TAREAS'!AE38/'EDT Y TAREAS'!M38,0),IF(AND(188&gt;='EDT Y TAREAS'!AK41,188&lt;'EDT Y TAREAS'!AL41),'EDT Y TAREAS'!AE41/'EDT Y TAREAS'!M41,0),IF(AND(188&gt;='EDT Y TAREAS'!AK43,188&lt;'EDT Y TAREAS'!AL43),'EDT Y TAREAS'!AE43/'EDT Y TAREAS'!M43,0),IF(AND(188&gt;='EDT Y TAREAS'!AK44,188&lt;'EDT Y TAREAS'!AL44),'EDT Y TAREAS'!AE44/'EDT Y TAREAS'!M44,0),IF(AND(188&gt;='EDT Y TAREAS'!AK46,188&lt;'EDT Y TAREAS'!AL46),'EDT Y TAREAS'!AE46/'EDT Y TAREAS'!M46,0),IF(AND(188&gt;='EDT Y TAREAS'!AK47,188&lt;'EDT Y TAREAS'!AL47),'EDT Y TAREAS'!AE47/'EDT Y TAREAS'!M47,0),IF(AND(188&gt;='EDT Y TAREAS'!AK51,188&lt;'EDT Y TAREAS'!AL51),'EDT Y TAREAS'!AE51/'EDT Y TAREAS'!M51,0),IF(AND(188&gt;='EDT Y TAREAS'!AK52,188&lt;'EDT Y TAREAS'!AL52),'EDT Y TAREAS'!AE52/'EDT Y TAREAS'!M52,0))</x:f>
        <x:v>0</x:v>
      </x:c>
      <x:c r="D228" s="35" t="n">
        <x:f>SUM(IF(AND(188&gt;='EDT Y TAREAS'!AK11,188&lt;'EDT Y TAREAS'!AL11),'EDT Y TAREAS'!AF11/'EDT Y TAREAS'!M11,0),IF(AND(188&gt;='EDT Y TAREAS'!AK24,188&lt;'EDT Y TAREAS'!AL24),'EDT Y TAREAS'!AF24/'EDT Y TAREAS'!M24,0),IF(AND(188&gt;='EDT Y TAREAS'!AK25,188&lt;'EDT Y TAREAS'!AL25),'EDT Y TAREAS'!AF25/'EDT Y TAREAS'!M25,0),IF(AND(188&gt;='EDT Y TAREAS'!AK26,188&lt;'EDT Y TAREAS'!AL26),'EDT Y TAREAS'!AF26/'EDT Y TAREAS'!M26,0),IF(AND(188&gt;='EDT Y TAREAS'!AK27,188&lt;'EDT Y TAREAS'!AL27),'EDT Y TAREAS'!AF27/'EDT Y TAREAS'!M27,0),IF(AND(188&gt;='EDT Y TAREAS'!AK28,188&lt;'EDT Y TAREAS'!AL28),'EDT Y TAREAS'!AF28/'EDT Y TAREAS'!M28,0),IF(AND(188&gt;='EDT Y TAREAS'!AK31,188&lt;'EDT Y TAREAS'!AL31),'EDT Y TAREAS'!AF31/'EDT Y TAREAS'!M31,0),IF(AND(188&gt;='EDT Y TAREAS'!AK33,188&lt;'EDT Y TAREAS'!AL33),'EDT Y TAREAS'!AF33/'EDT Y TAREAS'!M33,0),IF(AND(188&gt;='EDT Y TAREAS'!AK34,188&lt;'EDT Y TAREAS'!AL34),'EDT Y TAREAS'!AF34/'EDT Y TAREAS'!M34,0),IF(AND(188&gt;='EDT Y TAREAS'!AK35,188&lt;'EDT Y TAREAS'!AL35),'EDT Y TAREAS'!AF35/'EDT Y TAREAS'!M35,0),IF(AND(188&gt;='EDT Y TAREAS'!AK37,188&lt;'EDT Y TAREAS'!AL37),'EDT Y TAREAS'!AF37/'EDT Y TAREAS'!M37,0),IF(AND(188&gt;='EDT Y TAREAS'!AK39,188&lt;'EDT Y TAREAS'!AL39),'EDT Y TAREAS'!AF39/'EDT Y TAREAS'!M39,0),IF(AND(188&gt;='EDT Y TAREAS'!AK40,188&lt;'EDT Y TAREAS'!AL40),'EDT Y TAREAS'!AF40/'EDT Y TAREAS'!M40,0),IF(AND(188&gt;='EDT Y TAREAS'!AK42,188&lt;'EDT Y TAREAS'!AL42),'EDT Y TAREAS'!AF42/'EDT Y TAREAS'!M42,0),IF(AND(188&gt;='EDT Y TAREAS'!AK45,188&lt;'EDT Y TAREAS'!AL45),'EDT Y TAREAS'!AF45/'EDT Y TAREAS'!M45,0),IF(AND(188&gt;='EDT Y TAREAS'!AK49,188&lt;'EDT Y TAREAS'!AL49),'EDT Y TAREAS'!AF49/'EDT Y TAREAS'!M49,0),IF(AND(188&gt;='EDT Y TAREAS'!AK52,188&lt;'EDT Y TAREAS'!AL52),'EDT Y TAREAS'!AF52/'EDT Y TAREAS'!M52,0))</x:f>
        <x:v>0</x:v>
      </x:c>
      <x:c r="E228" s="35" t="n">
        <x:f>SUM(IF(AND(188&gt;='EDT Y TAREAS'!AK29,188&lt;'EDT Y TAREAS'!AL29),'EDT Y TAREAS'!AG29/'EDT Y TAREAS'!M29,0),IF(AND(188&gt;='EDT Y TAREAS'!AK30,188&lt;'EDT Y TAREAS'!AL30),'EDT Y TAREAS'!AG30/'EDT Y TAREAS'!M30,0),IF(AND(188&gt;='EDT Y TAREAS'!AK31,188&lt;'EDT Y TAREAS'!AL31),'EDT Y TAREAS'!AG31/'EDT Y TAREAS'!M31,0),IF(AND(188&gt;='EDT Y TAREAS'!AK32,188&lt;'EDT Y TAREAS'!AL32),'EDT Y TAREAS'!AG32/'EDT Y TAREAS'!M32,0),IF(AND(188&gt;='EDT Y TAREAS'!AK41,188&lt;'EDT Y TAREAS'!AL41),'EDT Y TAREAS'!AG41/'EDT Y TAREAS'!M41,0),IF(AND(188&gt;='EDT Y TAREAS'!AK45,188&lt;'EDT Y TAREAS'!AL45),'EDT Y TAREAS'!AG45/'EDT Y TAREAS'!M45,0),IF(AND(188&gt;='EDT Y TAREAS'!AK48,188&lt;'EDT Y TAREAS'!AL48),'EDT Y TAREAS'!AG48/'EDT Y TAREAS'!M48,0))</x:f>
        <x:v>0</x:v>
      </x:c>
      <x:c r="F228" s="35" t="n">
        <x:f>SUM(IF(AND(188&gt;='EDT Y TAREAS'!AK10,188&lt;'EDT Y TAREAS'!AL10),'EDT Y TAREAS'!AH10/'EDT Y TAREAS'!M10,0),IF(AND(188&gt;='EDT Y TAREAS'!AK12,188&lt;'EDT Y TAREAS'!AL12),'EDT Y TAREAS'!AH12/'EDT Y TAREAS'!M12,0),IF(AND(188&gt;='EDT Y TAREAS'!AK22,188&lt;'EDT Y TAREAS'!AL22),'EDT Y TAREAS'!AH22/'EDT Y TAREAS'!M22,0),IF(AND(188&gt;='EDT Y TAREAS'!AK23,188&lt;'EDT Y TAREAS'!AL23),'EDT Y TAREAS'!AH23/'EDT Y TAREAS'!M23,0),IF(AND(188&gt;='EDT Y TAREAS'!AK29,188&lt;'EDT Y TAREAS'!AL29),'EDT Y TAREAS'!AH29/'EDT Y TAREAS'!M29,0),IF(AND(188&gt;='EDT Y TAREAS'!AK30,188&lt;'EDT Y TAREAS'!AL30),'EDT Y TAREAS'!AH30/'EDT Y TAREAS'!M30,0),IF(AND(188&gt;='EDT Y TAREAS'!AK32,188&lt;'EDT Y TAREAS'!AL32),'EDT Y TAREAS'!AH32/'EDT Y TAREAS'!M32,0),IF(AND(188&gt;='EDT Y TAREAS'!AK41,188&lt;'EDT Y TAREAS'!AL41),'EDT Y TAREAS'!AH41/'EDT Y TAREAS'!M41,0),IF(AND(188&gt;='EDT Y TAREAS'!AK44,188&lt;'EDT Y TAREAS'!AL44),'EDT Y TAREAS'!AH44/'EDT Y TAREAS'!M44,0),IF(AND(188&gt;='EDT Y TAREAS'!AK46,188&lt;'EDT Y TAREAS'!AL46),'EDT Y TAREAS'!AH46/'EDT Y TAREAS'!M46,0),IF(AND(188&gt;='EDT Y TAREAS'!AK48,188&lt;'EDT Y TAREAS'!AL48),'EDT Y TAREAS'!AH48/'EDT Y TAREAS'!M48,0))</x:f>
        <x:v>0</x:v>
      </x:c>
      <x:c r="G228" s="35" t="n">
        <x:f>SUM(IF(AND(188&gt;='EDT Y TAREAS'!AK20,188&lt;'EDT Y TAREAS'!AL20),'EDT Y TAREAS'!AI20/'EDT Y TAREAS'!M20,0),IF(AND(188&gt;='EDT Y TAREAS'!AK25,188&lt;'EDT Y TAREAS'!AL25),'EDT Y TAREAS'!AI25/'EDT Y TAREAS'!M25,0),IF(AND(188&gt;='EDT Y TAREAS'!AK33,188&lt;'EDT Y TAREAS'!AL33),'EDT Y TAREAS'!AI33/'EDT Y TAREAS'!M33,0),IF(AND(188&gt;='EDT Y TAREAS'!AK34,188&lt;'EDT Y TAREAS'!AL34),'EDT Y TAREAS'!AI34/'EDT Y TAREAS'!M34,0),IF(AND(188&gt;='EDT Y TAREAS'!AK36,188&lt;'EDT Y TAREAS'!AL36),'EDT Y TAREAS'!AI36/'EDT Y TAREAS'!M36,0),IF(AND(188&gt;='EDT Y TAREAS'!AK39,188&lt;'EDT Y TAREAS'!AL39),'EDT Y TAREAS'!AI39/'EDT Y TAREAS'!M39,0),IF(AND(188&gt;='EDT Y TAREAS'!AK40,188&lt;'EDT Y TAREAS'!AL40),'EDT Y TAREAS'!AI40/'EDT Y TAREAS'!M40,0),IF(AND(188&gt;='EDT Y TAREAS'!AK42,188&lt;'EDT Y TAREAS'!AL42),'EDT Y TAREAS'!AI42/'EDT Y TAREAS'!M42,0),IF(AND(188&gt;='EDT Y TAREAS'!AK43,188&lt;'EDT Y TAREAS'!AL43),'EDT Y TAREAS'!AI43/'EDT Y TAREAS'!M43,0),IF(AND(188&gt;='EDT Y TAREAS'!AK44,188&lt;'EDT Y TAREAS'!AL44),'EDT Y TAREAS'!AI44/'EDT Y TAREAS'!M44,0),IF(AND(188&gt;='EDT Y TAREAS'!AK45,188&lt;'EDT Y TAREAS'!AL45),'EDT Y TAREAS'!AI45/'EDT Y TAREAS'!M45,0),IF(AND(188&gt;='EDT Y TAREAS'!AK46,188&lt;'EDT Y TAREAS'!AL46),'EDT Y TAREAS'!AI46/'EDT Y TAREAS'!M46,0),IF(AND(188&gt;='EDT Y TAREAS'!AK48,188&lt;'EDT Y TAREAS'!AL48),'EDT Y TAREAS'!AI48/'EDT Y TAREAS'!M48,0),IF(AND(188&gt;='EDT Y TAREAS'!AK50,188&lt;'EDT Y TAREAS'!AL50),'EDT Y TAREAS'!AI50/'EDT Y TAREAS'!M50,0),IF(AND(188&gt;='EDT Y TAREAS'!AK52,188&lt;'EDT Y TAREAS'!AL52),'EDT Y TAREAS'!AI52/'EDT Y TAREAS'!M52,0))</x:f>
        <x:v>0</x:v>
      </x:c>
      <x:c r="H228" s="35" t="n">
        <x:f>SUM(IF(AND(188&gt;='EDT Y TAREAS'!AK11,188&lt;'EDT Y TAREAS'!AL11),'EDT Y TAREAS'!AJ11/'EDT Y TAREAS'!M11,0),IF(AND(188&gt;='EDT Y TAREAS'!AK24,188&lt;'EDT Y TAREAS'!AL24),'EDT Y TAREAS'!AJ24/'EDT Y TAREAS'!M24,0),IF(AND(188&gt;='EDT Y TAREAS'!AK27,188&lt;'EDT Y TAREAS'!AL27),'EDT Y TAREAS'!AJ27/'EDT Y TAREAS'!M27,0),IF(AND(188&gt;='EDT Y TAREAS'!AK28,188&lt;'EDT Y TAREAS'!AL28),'EDT Y TAREAS'!AJ28/'EDT Y TAREAS'!M28,0),IF(AND(188&gt;='EDT Y TAREAS'!AK33,188&lt;'EDT Y TAREAS'!AL33),'EDT Y TAREAS'!AJ33/'EDT Y TAREAS'!M33,0),IF(AND(188&gt;='EDT Y TAREAS'!AK35,188&lt;'EDT Y TAREAS'!AL35),'EDT Y TAREAS'!AJ35/'EDT Y TAREAS'!M35,0),IF(AND(188&gt;='EDT Y TAREAS'!AK36,188&lt;'EDT Y TAREAS'!AL36),'EDT Y TAREAS'!AJ36/'EDT Y TAREAS'!M36,0),IF(AND(188&gt;='EDT Y TAREAS'!AK37,188&lt;'EDT Y TAREAS'!AL37),'EDT Y TAREAS'!AJ37/'EDT Y TAREAS'!M37,0),IF(AND(188&gt;='EDT Y TAREAS'!AK40,188&lt;'EDT Y TAREAS'!AL40),'EDT Y TAREAS'!AJ40/'EDT Y TAREAS'!M40,0),IF(AND(188&gt;='EDT Y TAREAS'!AK42,188&lt;'EDT Y TAREAS'!AL42),'EDT Y TAREAS'!AJ42/'EDT Y TAREAS'!M42,0),IF(AND(188&gt;='EDT Y TAREAS'!AK49,188&lt;'EDT Y TAREAS'!AL49),'EDT Y TAREAS'!AJ49/'EDT Y TAREAS'!M49,0),IF(AND(188&gt;='EDT Y TAREAS'!AK50,188&lt;'EDT Y TAREAS'!AL50),'EDT Y TAREAS'!AJ50/'EDT Y TAREAS'!M50,0),IF(AND(188&gt;='EDT Y TAREAS'!AK51,188&lt;'EDT Y TAREAS'!AL51),'EDT Y TAREAS'!AJ51/'EDT Y TAREAS'!M51,0),IF(AND(188&gt;='EDT Y TAREAS'!AK52,188&lt;'EDT Y TAREAS'!AL52),'EDT Y TAREAS'!AJ52/'EDT Y TAREAS'!M52,0))</x:f>
        <x:v>0</x:v>
      </x:c>
      <x:c r="I228" s="10" t="n">
        <x:f>WORKDAY('RESUMEN'!$D$3-1,A228,'RESUMEN'!$J$6:$J$25)</x:f>
        <x:v>46590</x:v>
      </x:c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  <x:c r="AL228" s="3"/>
      <x:c r="AM228" s="3"/>
      <x:c r="AN228" s="3"/>
      <x:c r="AO228" s="3"/>
    </x:row>
    <x:row r="229" ht="24" customHeight="1">
      <x:c r="A229" s="3" t="n">
        <x:v>190</x:v>
      </x:c>
      <x:c r="B229" s="35" t="n">
        <x:f>SUM(IF(AND(189&gt;='EDT Y TAREAS'!AK6,189&lt;'EDT Y TAREAS'!AL6),'EDT Y TAREAS'!AD6/'EDT Y TAREAS'!M6,0),IF(AND(189&gt;='EDT Y TAREAS'!AK7,189&lt;'EDT Y TAREAS'!AL7),'EDT Y TAREAS'!AD7/'EDT Y TAREAS'!M7,0),IF(AND(189&gt;='EDT Y TAREAS'!AK8,189&lt;'EDT Y TAREAS'!AL8),'EDT Y TAREAS'!AD8/'EDT Y TAREAS'!M8,0),IF(AND(189&gt;='EDT Y TAREAS'!AK9,189&lt;'EDT Y TAREAS'!AL9),'EDT Y TAREAS'!AD9/'EDT Y TAREAS'!M9,0),IF(AND(189&gt;='EDT Y TAREAS'!AK10,189&lt;'EDT Y TAREAS'!AL10),'EDT Y TAREAS'!AD10/'EDT Y TAREAS'!M10,0),IF(AND(189&gt;='EDT Y TAREAS'!AK11,189&lt;'EDT Y TAREAS'!AL11),'EDT Y TAREAS'!AD11/'EDT Y TAREAS'!M11,0),IF(AND(189&gt;='EDT Y TAREAS'!AK12,189&lt;'EDT Y TAREAS'!AL12),'EDT Y TAREAS'!AD12/'EDT Y TAREAS'!M12,0),IF(AND(189&gt;='EDT Y TAREAS'!AK13,189&lt;'EDT Y TAREAS'!AL13),'EDT Y TAREAS'!AD13/'EDT Y TAREAS'!M13,0),IF(AND(189&gt;='EDT Y TAREAS'!AK14,189&lt;'EDT Y TAREAS'!AL14),'EDT Y TAREAS'!AD14/'EDT Y TAREAS'!M14,0),IF(AND(189&gt;='EDT Y TAREAS'!AK15,189&lt;'EDT Y TAREAS'!AL15),'EDT Y TAREAS'!AD15/'EDT Y TAREAS'!M15,0),IF(AND(189&gt;='EDT Y TAREAS'!AK16,189&lt;'EDT Y TAREAS'!AL16),'EDT Y TAREAS'!AD16/'EDT Y TAREAS'!M16,0),IF(AND(189&gt;='EDT Y TAREAS'!AK17,189&lt;'EDT Y TAREAS'!AL17),'EDT Y TAREAS'!AD17/'EDT Y TAREAS'!M17,0),IF(AND(189&gt;='EDT Y TAREAS'!AK18,189&lt;'EDT Y TAREAS'!AL18),'EDT Y TAREAS'!AD18/'EDT Y TAREAS'!M18,0),IF(AND(189&gt;='EDT Y TAREAS'!AK19,189&lt;'EDT Y TAREAS'!AL19),'EDT Y TAREAS'!AD19/'EDT Y TAREAS'!M19,0),IF(AND(189&gt;='EDT Y TAREAS'!AK20,189&lt;'EDT Y TAREAS'!AL20),'EDT Y TAREAS'!AD20/'EDT Y TAREAS'!M20,0),IF(AND(189&gt;='EDT Y TAREAS'!AK21,189&lt;'EDT Y TAREAS'!AL21),'EDT Y TAREAS'!AD21/'EDT Y TAREAS'!M21,0),IF(AND(189&gt;='EDT Y TAREAS'!AK22,189&lt;'EDT Y TAREAS'!AL22),'EDT Y TAREAS'!AD22/'EDT Y TAREAS'!M22,0),IF(AND(189&gt;='EDT Y TAREAS'!AK23,189&lt;'EDT Y TAREAS'!AL23),'EDT Y TAREAS'!AD23/'EDT Y TAREAS'!M23,0),IF(AND(189&gt;='EDT Y TAREAS'!AK26,189&lt;'EDT Y TAREAS'!AL26),'EDT Y TAREAS'!AD26/'EDT Y TAREAS'!M26,0),IF(AND(189&gt;='EDT Y TAREAS'!AK28,189&lt;'EDT Y TAREAS'!AL28),'EDT Y TAREAS'!AD28/'EDT Y TAREAS'!M28,0),IF(AND(189&gt;='EDT Y TAREAS'!AK30,189&lt;'EDT Y TAREAS'!AL30),'EDT Y TAREAS'!AD30/'EDT Y TAREAS'!M30,0),IF(AND(189&gt;='EDT Y TAREAS'!AK32,189&lt;'EDT Y TAREAS'!AL32),'EDT Y TAREAS'!AD32/'EDT Y TAREAS'!M32,0),IF(AND(189&gt;='EDT Y TAREAS'!AK34,189&lt;'EDT Y TAREAS'!AL34),'EDT Y TAREAS'!AD34/'EDT Y TAREAS'!M34,0),IF(AND(189&gt;='EDT Y TAREAS'!AK38,189&lt;'EDT Y TAREAS'!AL38),'EDT Y TAREAS'!AD38/'EDT Y TAREAS'!M38,0),IF(AND(189&gt;='EDT Y TAREAS'!AK39,189&lt;'EDT Y TAREAS'!AL39),'EDT Y TAREAS'!AD39/'EDT Y TAREAS'!M39,0),IF(AND(189&gt;='EDT Y TAREAS'!AK43,189&lt;'EDT Y TAREAS'!AL43),'EDT Y TAREAS'!AD43/'EDT Y TAREAS'!M43,0),IF(AND(189&gt;='EDT Y TAREAS'!AK44,189&lt;'EDT Y TAREAS'!AL44),'EDT Y TAREAS'!AD44/'EDT Y TAREAS'!M44,0),IF(AND(189&gt;='EDT Y TAREAS'!AK45,189&lt;'EDT Y TAREAS'!AL45),'EDT Y TAREAS'!AD45/'EDT Y TAREAS'!M45,0),IF(AND(189&gt;='EDT Y TAREAS'!AK46,189&lt;'EDT Y TAREAS'!AL46),'EDT Y TAREAS'!AD46/'EDT Y TAREAS'!M46,0),IF(AND(189&gt;='EDT Y TAREAS'!AK47,189&lt;'EDT Y TAREAS'!AL47),'EDT Y TAREAS'!AD47/'EDT Y TAREAS'!M47,0),IF(AND(189&gt;='EDT Y TAREAS'!AK49,189&lt;'EDT Y TAREAS'!AL49),'EDT Y TAREAS'!AD49/'EDT Y TAREAS'!M49,0),IF(AND(189&gt;='EDT Y TAREAS'!AK50,189&lt;'EDT Y TAREAS'!AL50),'EDT Y TAREAS'!AD50/'EDT Y TAREAS'!M50,0),IF(AND(189&gt;='EDT Y TAREAS'!AK51,189&lt;'EDT Y TAREAS'!AL51),'EDT Y TAREAS'!AD51/'EDT Y TAREAS'!M51,0),IF(AND(189&gt;='EDT Y TAREAS'!AK52,189&lt;'EDT Y TAREAS'!AL52),'EDT Y TAREAS'!AD52/'EDT Y TAREAS'!M52,0))</x:f>
        <x:v>0</x:v>
      </x:c>
      <x:c r="C229" s="35" t="n">
        <x:f>SUM(IF(AND(189&gt;='EDT Y TAREAS'!AK6,189&lt;'EDT Y TAREAS'!AL6),'EDT Y TAREAS'!AE6/'EDT Y TAREAS'!M6,0),IF(AND(189&gt;='EDT Y TAREAS'!AK8,189&lt;'EDT Y TAREAS'!AL8),'EDT Y TAREAS'!AE8/'EDT Y TAREAS'!M8,0),IF(AND(189&gt;='EDT Y TAREAS'!AK9,189&lt;'EDT Y TAREAS'!AL9),'EDT Y TAREAS'!AE9/'EDT Y TAREAS'!M9,0),IF(AND(189&gt;='EDT Y TAREAS'!AK10,189&lt;'EDT Y TAREAS'!AL10),'EDT Y TAREAS'!AE10/'EDT Y TAREAS'!M10,0),IF(AND(189&gt;='EDT Y TAREAS'!AK12,189&lt;'EDT Y TAREAS'!AL12),'EDT Y TAREAS'!AE12/'EDT Y TAREAS'!M12,0),IF(AND(189&gt;='EDT Y TAREAS'!AK16,189&lt;'EDT Y TAREAS'!AL16),'EDT Y TAREAS'!AE16/'EDT Y TAREAS'!M16,0),IF(AND(189&gt;='EDT Y TAREAS'!AK21,189&lt;'EDT Y TAREAS'!AL21),'EDT Y TAREAS'!AE21/'EDT Y TAREAS'!M21,0),IF(AND(189&gt;='EDT Y TAREAS'!AK23,189&lt;'EDT Y TAREAS'!AL23),'EDT Y TAREAS'!AE23/'EDT Y TAREAS'!M23,0),IF(AND(189&gt;='EDT Y TAREAS'!AK37,189&lt;'EDT Y TAREAS'!AL37),'EDT Y TAREAS'!AE37/'EDT Y TAREAS'!M37,0),IF(AND(189&gt;='EDT Y TAREAS'!AK38,189&lt;'EDT Y TAREAS'!AL38),'EDT Y TAREAS'!AE38/'EDT Y TAREAS'!M38,0),IF(AND(189&gt;='EDT Y TAREAS'!AK41,189&lt;'EDT Y TAREAS'!AL41),'EDT Y TAREAS'!AE41/'EDT Y TAREAS'!M41,0),IF(AND(189&gt;='EDT Y TAREAS'!AK43,189&lt;'EDT Y TAREAS'!AL43),'EDT Y TAREAS'!AE43/'EDT Y TAREAS'!M43,0),IF(AND(189&gt;='EDT Y TAREAS'!AK44,189&lt;'EDT Y TAREAS'!AL44),'EDT Y TAREAS'!AE44/'EDT Y TAREAS'!M44,0),IF(AND(189&gt;='EDT Y TAREAS'!AK46,189&lt;'EDT Y TAREAS'!AL46),'EDT Y TAREAS'!AE46/'EDT Y TAREAS'!M46,0),IF(AND(189&gt;='EDT Y TAREAS'!AK47,189&lt;'EDT Y TAREAS'!AL47),'EDT Y TAREAS'!AE47/'EDT Y TAREAS'!M47,0),IF(AND(189&gt;='EDT Y TAREAS'!AK51,189&lt;'EDT Y TAREAS'!AL51),'EDT Y TAREAS'!AE51/'EDT Y TAREAS'!M51,0),IF(AND(189&gt;='EDT Y TAREAS'!AK52,189&lt;'EDT Y TAREAS'!AL52),'EDT Y TAREAS'!AE52/'EDT Y TAREAS'!M52,0))</x:f>
        <x:v>0</x:v>
      </x:c>
      <x:c r="D229" s="35" t="n">
        <x:f>SUM(IF(AND(189&gt;='EDT Y TAREAS'!AK11,189&lt;'EDT Y TAREAS'!AL11),'EDT Y TAREAS'!AF11/'EDT Y TAREAS'!M11,0),IF(AND(189&gt;='EDT Y TAREAS'!AK24,189&lt;'EDT Y TAREAS'!AL24),'EDT Y TAREAS'!AF24/'EDT Y TAREAS'!M24,0),IF(AND(189&gt;='EDT Y TAREAS'!AK25,189&lt;'EDT Y TAREAS'!AL25),'EDT Y TAREAS'!AF25/'EDT Y TAREAS'!M25,0),IF(AND(189&gt;='EDT Y TAREAS'!AK26,189&lt;'EDT Y TAREAS'!AL26),'EDT Y TAREAS'!AF26/'EDT Y TAREAS'!M26,0),IF(AND(189&gt;='EDT Y TAREAS'!AK27,189&lt;'EDT Y TAREAS'!AL27),'EDT Y TAREAS'!AF27/'EDT Y TAREAS'!M27,0),IF(AND(189&gt;='EDT Y TAREAS'!AK28,189&lt;'EDT Y TAREAS'!AL28),'EDT Y TAREAS'!AF28/'EDT Y TAREAS'!M28,0),IF(AND(189&gt;='EDT Y TAREAS'!AK31,189&lt;'EDT Y TAREAS'!AL31),'EDT Y TAREAS'!AF31/'EDT Y TAREAS'!M31,0),IF(AND(189&gt;='EDT Y TAREAS'!AK33,189&lt;'EDT Y TAREAS'!AL33),'EDT Y TAREAS'!AF33/'EDT Y TAREAS'!M33,0),IF(AND(189&gt;='EDT Y TAREAS'!AK34,189&lt;'EDT Y TAREAS'!AL34),'EDT Y TAREAS'!AF34/'EDT Y TAREAS'!M34,0),IF(AND(189&gt;='EDT Y TAREAS'!AK35,189&lt;'EDT Y TAREAS'!AL35),'EDT Y TAREAS'!AF35/'EDT Y TAREAS'!M35,0),IF(AND(189&gt;='EDT Y TAREAS'!AK37,189&lt;'EDT Y TAREAS'!AL37),'EDT Y TAREAS'!AF37/'EDT Y TAREAS'!M37,0),IF(AND(189&gt;='EDT Y TAREAS'!AK39,189&lt;'EDT Y TAREAS'!AL39),'EDT Y TAREAS'!AF39/'EDT Y TAREAS'!M39,0),IF(AND(189&gt;='EDT Y TAREAS'!AK40,189&lt;'EDT Y TAREAS'!AL40),'EDT Y TAREAS'!AF40/'EDT Y TAREAS'!M40,0),IF(AND(189&gt;='EDT Y TAREAS'!AK42,189&lt;'EDT Y TAREAS'!AL42),'EDT Y TAREAS'!AF42/'EDT Y TAREAS'!M42,0),IF(AND(189&gt;='EDT Y TAREAS'!AK45,189&lt;'EDT Y TAREAS'!AL45),'EDT Y TAREAS'!AF45/'EDT Y TAREAS'!M45,0),IF(AND(189&gt;='EDT Y TAREAS'!AK49,189&lt;'EDT Y TAREAS'!AL49),'EDT Y TAREAS'!AF49/'EDT Y TAREAS'!M49,0),IF(AND(189&gt;='EDT Y TAREAS'!AK52,189&lt;'EDT Y TAREAS'!AL52),'EDT Y TAREAS'!AF52/'EDT Y TAREAS'!M52,0))</x:f>
        <x:v>0</x:v>
      </x:c>
      <x:c r="E229" s="35" t="n">
        <x:f>SUM(IF(AND(189&gt;='EDT Y TAREAS'!AK29,189&lt;'EDT Y TAREAS'!AL29),'EDT Y TAREAS'!AG29/'EDT Y TAREAS'!M29,0),IF(AND(189&gt;='EDT Y TAREAS'!AK30,189&lt;'EDT Y TAREAS'!AL30),'EDT Y TAREAS'!AG30/'EDT Y TAREAS'!M30,0),IF(AND(189&gt;='EDT Y TAREAS'!AK31,189&lt;'EDT Y TAREAS'!AL31),'EDT Y TAREAS'!AG31/'EDT Y TAREAS'!M31,0),IF(AND(189&gt;='EDT Y TAREAS'!AK32,189&lt;'EDT Y TAREAS'!AL32),'EDT Y TAREAS'!AG32/'EDT Y TAREAS'!M32,0),IF(AND(189&gt;='EDT Y TAREAS'!AK41,189&lt;'EDT Y TAREAS'!AL41),'EDT Y TAREAS'!AG41/'EDT Y TAREAS'!M41,0),IF(AND(189&gt;='EDT Y TAREAS'!AK45,189&lt;'EDT Y TAREAS'!AL45),'EDT Y TAREAS'!AG45/'EDT Y TAREAS'!M45,0),IF(AND(189&gt;='EDT Y TAREAS'!AK48,189&lt;'EDT Y TAREAS'!AL48),'EDT Y TAREAS'!AG48/'EDT Y TAREAS'!M48,0))</x:f>
        <x:v>0</x:v>
      </x:c>
      <x:c r="F229" s="35" t="n">
        <x:f>SUM(IF(AND(189&gt;='EDT Y TAREAS'!AK10,189&lt;'EDT Y TAREAS'!AL10),'EDT Y TAREAS'!AH10/'EDT Y TAREAS'!M10,0),IF(AND(189&gt;='EDT Y TAREAS'!AK12,189&lt;'EDT Y TAREAS'!AL12),'EDT Y TAREAS'!AH12/'EDT Y TAREAS'!M12,0),IF(AND(189&gt;='EDT Y TAREAS'!AK22,189&lt;'EDT Y TAREAS'!AL22),'EDT Y TAREAS'!AH22/'EDT Y TAREAS'!M22,0),IF(AND(189&gt;='EDT Y TAREAS'!AK23,189&lt;'EDT Y TAREAS'!AL23),'EDT Y TAREAS'!AH23/'EDT Y TAREAS'!M23,0),IF(AND(189&gt;='EDT Y TAREAS'!AK29,189&lt;'EDT Y TAREAS'!AL29),'EDT Y TAREAS'!AH29/'EDT Y TAREAS'!M29,0),IF(AND(189&gt;='EDT Y TAREAS'!AK30,189&lt;'EDT Y TAREAS'!AL30),'EDT Y TAREAS'!AH30/'EDT Y TAREAS'!M30,0),IF(AND(189&gt;='EDT Y TAREAS'!AK32,189&lt;'EDT Y TAREAS'!AL32),'EDT Y TAREAS'!AH32/'EDT Y TAREAS'!M32,0),IF(AND(189&gt;='EDT Y TAREAS'!AK41,189&lt;'EDT Y TAREAS'!AL41),'EDT Y TAREAS'!AH41/'EDT Y TAREAS'!M41,0),IF(AND(189&gt;='EDT Y TAREAS'!AK44,189&lt;'EDT Y TAREAS'!AL44),'EDT Y TAREAS'!AH44/'EDT Y TAREAS'!M44,0),IF(AND(189&gt;='EDT Y TAREAS'!AK46,189&lt;'EDT Y TAREAS'!AL46),'EDT Y TAREAS'!AH46/'EDT Y TAREAS'!M46,0),IF(AND(189&gt;='EDT Y TAREAS'!AK48,189&lt;'EDT Y TAREAS'!AL48),'EDT Y TAREAS'!AH48/'EDT Y TAREAS'!M48,0))</x:f>
        <x:v>0</x:v>
      </x:c>
      <x:c r="G229" s="35" t="n">
        <x:f>SUM(IF(AND(189&gt;='EDT Y TAREAS'!AK20,189&lt;'EDT Y TAREAS'!AL20),'EDT Y TAREAS'!AI20/'EDT Y TAREAS'!M20,0),IF(AND(189&gt;='EDT Y TAREAS'!AK25,189&lt;'EDT Y TAREAS'!AL25),'EDT Y TAREAS'!AI25/'EDT Y TAREAS'!M25,0),IF(AND(189&gt;='EDT Y TAREAS'!AK33,189&lt;'EDT Y TAREAS'!AL33),'EDT Y TAREAS'!AI33/'EDT Y TAREAS'!M33,0),IF(AND(189&gt;='EDT Y TAREAS'!AK34,189&lt;'EDT Y TAREAS'!AL34),'EDT Y TAREAS'!AI34/'EDT Y TAREAS'!M34,0),IF(AND(189&gt;='EDT Y TAREAS'!AK36,189&lt;'EDT Y TAREAS'!AL36),'EDT Y TAREAS'!AI36/'EDT Y TAREAS'!M36,0),IF(AND(189&gt;='EDT Y TAREAS'!AK39,189&lt;'EDT Y TAREAS'!AL39),'EDT Y TAREAS'!AI39/'EDT Y TAREAS'!M39,0),IF(AND(189&gt;='EDT Y TAREAS'!AK40,189&lt;'EDT Y TAREAS'!AL40),'EDT Y TAREAS'!AI40/'EDT Y TAREAS'!M40,0),IF(AND(189&gt;='EDT Y TAREAS'!AK42,189&lt;'EDT Y TAREAS'!AL42),'EDT Y TAREAS'!AI42/'EDT Y TAREAS'!M42,0),IF(AND(189&gt;='EDT Y TAREAS'!AK43,189&lt;'EDT Y TAREAS'!AL43),'EDT Y TAREAS'!AI43/'EDT Y TAREAS'!M43,0),IF(AND(189&gt;='EDT Y TAREAS'!AK44,189&lt;'EDT Y TAREAS'!AL44),'EDT Y TAREAS'!AI44/'EDT Y TAREAS'!M44,0),IF(AND(189&gt;='EDT Y TAREAS'!AK45,189&lt;'EDT Y TAREAS'!AL45),'EDT Y TAREAS'!AI45/'EDT Y TAREAS'!M45,0),IF(AND(189&gt;='EDT Y TAREAS'!AK46,189&lt;'EDT Y TAREAS'!AL46),'EDT Y TAREAS'!AI46/'EDT Y TAREAS'!M46,0),IF(AND(189&gt;='EDT Y TAREAS'!AK48,189&lt;'EDT Y TAREAS'!AL48),'EDT Y TAREAS'!AI48/'EDT Y TAREAS'!M48,0),IF(AND(189&gt;='EDT Y TAREAS'!AK50,189&lt;'EDT Y TAREAS'!AL50),'EDT Y TAREAS'!AI50/'EDT Y TAREAS'!M50,0),IF(AND(189&gt;='EDT Y TAREAS'!AK52,189&lt;'EDT Y TAREAS'!AL52),'EDT Y TAREAS'!AI52/'EDT Y TAREAS'!M52,0))</x:f>
        <x:v>0</x:v>
      </x:c>
      <x:c r="H229" s="35" t="n">
        <x:f>SUM(IF(AND(189&gt;='EDT Y TAREAS'!AK11,189&lt;'EDT Y TAREAS'!AL11),'EDT Y TAREAS'!AJ11/'EDT Y TAREAS'!M11,0),IF(AND(189&gt;='EDT Y TAREAS'!AK24,189&lt;'EDT Y TAREAS'!AL24),'EDT Y TAREAS'!AJ24/'EDT Y TAREAS'!M24,0),IF(AND(189&gt;='EDT Y TAREAS'!AK27,189&lt;'EDT Y TAREAS'!AL27),'EDT Y TAREAS'!AJ27/'EDT Y TAREAS'!M27,0),IF(AND(189&gt;='EDT Y TAREAS'!AK28,189&lt;'EDT Y TAREAS'!AL28),'EDT Y TAREAS'!AJ28/'EDT Y TAREAS'!M28,0),IF(AND(189&gt;='EDT Y TAREAS'!AK33,189&lt;'EDT Y TAREAS'!AL33),'EDT Y TAREAS'!AJ33/'EDT Y TAREAS'!M33,0),IF(AND(189&gt;='EDT Y TAREAS'!AK35,189&lt;'EDT Y TAREAS'!AL35),'EDT Y TAREAS'!AJ35/'EDT Y TAREAS'!M35,0),IF(AND(189&gt;='EDT Y TAREAS'!AK36,189&lt;'EDT Y TAREAS'!AL36),'EDT Y TAREAS'!AJ36/'EDT Y TAREAS'!M36,0),IF(AND(189&gt;='EDT Y TAREAS'!AK37,189&lt;'EDT Y TAREAS'!AL37),'EDT Y TAREAS'!AJ37/'EDT Y TAREAS'!M37,0),IF(AND(189&gt;='EDT Y TAREAS'!AK40,189&lt;'EDT Y TAREAS'!AL40),'EDT Y TAREAS'!AJ40/'EDT Y TAREAS'!M40,0),IF(AND(189&gt;='EDT Y TAREAS'!AK42,189&lt;'EDT Y TAREAS'!AL42),'EDT Y TAREAS'!AJ42/'EDT Y TAREAS'!M42,0),IF(AND(189&gt;='EDT Y TAREAS'!AK49,189&lt;'EDT Y TAREAS'!AL49),'EDT Y TAREAS'!AJ49/'EDT Y TAREAS'!M49,0),IF(AND(189&gt;='EDT Y TAREAS'!AK50,189&lt;'EDT Y TAREAS'!AL50),'EDT Y TAREAS'!AJ50/'EDT Y TAREAS'!M50,0),IF(AND(189&gt;='EDT Y TAREAS'!AK51,189&lt;'EDT Y TAREAS'!AL51),'EDT Y TAREAS'!AJ51/'EDT Y TAREAS'!M51,0),IF(AND(189&gt;='EDT Y TAREAS'!AK52,189&lt;'EDT Y TAREAS'!AL52),'EDT Y TAREAS'!AJ52/'EDT Y TAREAS'!M52,0))</x:f>
        <x:v>0</x:v>
      </x:c>
      <x:c r="I229" s="10" t="n">
        <x:f>WORKDAY('RESUMEN'!$D$3-1,A229,'RESUMEN'!$J$6:$J$25)</x:f>
        <x:v>46591</x:v>
      </x:c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  <x:c r="AL229" s="3"/>
      <x:c r="AM229" s="3"/>
      <x:c r="AN229" s="3"/>
      <x:c r="AO229" s="3"/>
    </x:row>
    <x:row r="230" ht="24" customHeight="1">
      <x:c r="A230" s="3" t="n">
        <x:v>191</x:v>
      </x:c>
      <x:c r="B230" s="35" t="n">
        <x:f>SUM(IF(AND(190&gt;='EDT Y TAREAS'!AK6,190&lt;'EDT Y TAREAS'!AL6),'EDT Y TAREAS'!AD6/'EDT Y TAREAS'!M6,0),IF(AND(190&gt;='EDT Y TAREAS'!AK7,190&lt;'EDT Y TAREAS'!AL7),'EDT Y TAREAS'!AD7/'EDT Y TAREAS'!M7,0),IF(AND(190&gt;='EDT Y TAREAS'!AK8,190&lt;'EDT Y TAREAS'!AL8),'EDT Y TAREAS'!AD8/'EDT Y TAREAS'!M8,0),IF(AND(190&gt;='EDT Y TAREAS'!AK9,190&lt;'EDT Y TAREAS'!AL9),'EDT Y TAREAS'!AD9/'EDT Y TAREAS'!M9,0),IF(AND(190&gt;='EDT Y TAREAS'!AK10,190&lt;'EDT Y TAREAS'!AL10),'EDT Y TAREAS'!AD10/'EDT Y TAREAS'!M10,0),IF(AND(190&gt;='EDT Y TAREAS'!AK11,190&lt;'EDT Y TAREAS'!AL11),'EDT Y TAREAS'!AD11/'EDT Y TAREAS'!M11,0),IF(AND(190&gt;='EDT Y TAREAS'!AK12,190&lt;'EDT Y TAREAS'!AL12),'EDT Y TAREAS'!AD12/'EDT Y TAREAS'!M12,0),IF(AND(190&gt;='EDT Y TAREAS'!AK13,190&lt;'EDT Y TAREAS'!AL13),'EDT Y TAREAS'!AD13/'EDT Y TAREAS'!M13,0),IF(AND(190&gt;='EDT Y TAREAS'!AK14,190&lt;'EDT Y TAREAS'!AL14),'EDT Y TAREAS'!AD14/'EDT Y TAREAS'!M14,0),IF(AND(190&gt;='EDT Y TAREAS'!AK15,190&lt;'EDT Y TAREAS'!AL15),'EDT Y TAREAS'!AD15/'EDT Y TAREAS'!M15,0),IF(AND(190&gt;='EDT Y TAREAS'!AK16,190&lt;'EDT Y TAREAS'!AL16),'EDT Y TAREAS'!AD16/'EDT Y TAREAS'!M16,0),IF(AND(190&gt;='EDT Y TAREAS'!AK17,190&lt;'EDT Y TAREAS'!AL17),'EDT Y TAREAS'!AD17/'EDT Y TAREAS'!M17,0),IF(AND(190&gt;='EDT Y TAREAS'!AK18,190&lt;'EDT Y TAREAS'!AL18),'EDT Y TAREAS'!AD18/'EDT Y TAREAS'!M18,0),IF(AND(190&gt;='EDT Y TAREAS'!AK19,190&lt;'EDT Y TAREAS'!AL19),'EDT Y TAREAS'!AD19/'EDT Y TAREAS'!M19,0),IF(AND(190&gt;='EDT Y TAREAS'!AK20,190&lt;'EDT Y TAREAS'!AL20),'EDT Y TAREAS'!AD20/'EDT Y TAREAS'!M20,0),IF(AND(190&gt;='EDT Y TAREAS'!AK21,190&lt;'EDT Y TAREAS'!AL21),'EDT Y TAREAS'!AD21/'EDT Y TAREAS'!M21,0),IF(AND(190&gt;='EDT Y TAREAS'!AK22,190&lt;'EDT Y TAREAS'!AL22),'EDT Y TAREAS'!AD22/'EDT Y TAREAS'!M22,0),IF(AND(190&gt;='EDT Y TAREAS'!AK23,190&lt;'EDT Y TAREAS'!AL23),'EDT Y TAREAS'!AD23/'EDT Y TAREAS'!M23,0),IF(AND(190&gt;='EDT Y TAREAS'!AK26,190&lt;'EDT Y TAREAS'!AL26),'EDT Y TAREAS'!AD26/'EDT Y TAREAS'!M26,0),IF(AND(190&gt;='EDT Y TAREAS'!AK28,190&lt;'EDT Y TAREAS'!AL28),'EDT Y TAREAS'!AD28/'EDT Y TAREAS'!M28,0),IF(AND(190&gt;='EDT Y TAREAS'!AK30,190&lt;'EDT Y TAREAS'!AL30),'EDT Y TAREAS'!AD30/'EDT Y TAREAS'!M30,0),IF(AND(190&gt;='EDT Y TAREAS'!AK32,190&lt;'EDT Y TAREAS'!AL32),'EDT Y TAREAS'!AD32/'EDT Y TAREAS'!M32,0),IF(AND(190&gt;='EDT Y TAREAS'!AK34,190&lt;'EDT Y TAREAS'!AL34),'EDT Y TAREAS'!AD34/'EDT Y TAREAS'!M34,0),IF(AND(190&gt;='EDT Y TAREAS'!AK38,190&lt;'EDT Y TAREAS'!AL38),'EDT Y TAREAS'!AD38/'EDT Y TAREAS'!M38,0),IF(AND(190&gt;='EDT Y TAREAS'!AK39,190&lt;'EDT Y TAREAS'!AL39),'EDT Y TAREAS'!AD39/'EDT Y TAREAS'!M39,0),IF(AND(190&gt;='EDT Y TAREAS'!AK43,190&lt;'EDT Y TAREAS'!AL43),'EDT Y TAREAS'!AD43/'EDT Y TAREAS'!M43,0),IF(AND(190&gt;='EDT Y TAREAS'!AK44,190&lt;'EDT Y TAREAS'!AL44),'EDT Y TAREAS'!AD44/'EDT Y TAREAS'!M44,0),IF(AND(190&gt;='EDT Y TAREAS'!AK45,190&lt;'EDT Y TAREAS'!AL45),'EDT Y TAREAS'!AD45/'EDT Y TAREAS'!M45,0),IF(AND(190&gt;='EDT Y TAREAS'!AK46,190&lt;'EDT Y TAREAS'!AL46),'EDT Y TAREAS'!AD46/'EDT Y TAREAS'!M46,0),IF(AND(190&gt;='EDT Y TAREAS'!AK47,190&lt;'EDT Y TAREAS'!AL47),'EDT Y TAREAS'!AD47/'EDT Y TAREAS'!M47,0),IF(AND(190&gt;='EDT Y TAREAS'!AK49,190&lt;'EDT Y TAREAS'!AL49),'EDT Y TAREAS'!AD49/'EDT Y TAREAS'!M49,0),IF(AND(190&gt;='EDT Y TAREAS'!AK50,190&lt;'EDT Y TAREAS'!AL50),'EDT Y TAREAS'!AD50/'EDT Y TAREAS'!M50,0),IF(AND(190&gt;='EDT Y TAREAS'!AK51,190&lt;'EDT Y TAREAS'!AL51),'EDT Y TAREAS'!AD51/'EDT Y TAREAS'!M51,0),IF(AND(190&gt;='EDT Y TAREAS'!AK52,190&lt;'EDT Y TAREAS'!AL52),'EDT Y TAREAS'!AD52/'EDT Y TAREAS'!M52,0))</x:f>
        <x:v>0</x:v>
      </x:c>
      <x:c r="C230" s="35" t="n">
        <x:f>SUM(IF(AND(190&gt;='EDT Y TAREAS'!AK6,190&lt;'EDT Y TAREAS'!AL6),'EDT Y TAREAS'!AE6/'EDT Y TAREAS'!M6,0),IF(AND(190&gt;='EDT Y TAREAS'!AK8,190&lt;'EDT Y TAREAS'!AL8),'EDT Y TAREAS'!AE8/'EDT Y TAREAS'!M8,0),IF(AND(190&gt;='EDT Y TAREAS'!AK9,190&lt;'EDT Y TAREAS'!AL9),'EDT Y TAREAS'!AE9/'EDT Y TAREAS'!M9,0),IF(AND(190&gt;='EDT Y TAREAS'!AK10,190&lt;'EDT Y TAREAS'!AL10),'EDT Y TAREAS'!AE10/'EDT Y TAREAS'!M10,0),IF(AND(190&gt;='EDT Y TAREAS'!AK12,190&lt;'EDT Y TAREAS'!AL12),'EDT Y TAREAS'!AE12/'EDT Y TAREAS'!M12,0),IF(AND(190&gt;='EDT Y TAREAS'!AK16,190&lt;'EDT Y TAREAS'!AL16),'EDT Y TAREAS'!AE16/'EDT Y TAREAS'!M16,0),IF(AND(190&gt;='EDT Y TAREAS'!AK21,190&lt;'EDT Y TAREAS'!AL21),'EDT Y TAREAS'!AE21/'EDT Y TAREAS'!M21,0),IF(AND(190&gt;='EDT Y TAREAS'!AK23,190&lt;'EDT Y TAREAS'!AL23),'EDT Y TAREAS'!AE23/'EDT Y TAREAS'!M23,0),IF(AND(190&gt;='EDT Y TAREAS'!AK37,190&lt;'EDT Y TAREAS'!AL37),'EDT Y TAREAS'!AE37/'EDT Y TAREAS'!M37,0),IF(AND(190&gt;='EDT Y TAREAS'!AK38,190&lt;'EDT Y TAREAS'!AL38),'EDT Y TAREAS'!AE38/'EDT Y TAREAS'!M38,0),IF(AND(190&gt;='EDT Y TAREAS'!AK41,190&lt;'EDT Y TAREAS'!AL41),'EDT Y TAREAS'!AE41/'EDT Y TAREAS'!M41,0),IF(AND(190&gt;='EDT Y TAREAS'!AK43,190&lt;'EDT Y TAREAS'!AL43),'EDT Y TAREAS'!AE43/'EDT Y TAREAS'!M43,0),IF(AND(190&gt;='EDT Y TAREAS'!AK44,190&lt;'EDT Y TAREAS'!AL44),'EDT Y TAREAS'!AE44/'EDT Y TAREAS'!M44,0),IF(AND(190&gt;='EDT Y TAREAS'!AK46,190&lt;'EDT Y TAREAS'!AL46),'EDT Y TAREAS'!AE46/'EDT Y TAREAS'!M46,0),IF(AND(190&gt;='EDT Y TAREAS'!AK47,190&lt;'EDT Y TAREAS'!AL47),'EDT Y TAREAS'!AE47/'EDT Y TAREAS'!M47,0),IF(AND(190&gt;='EDT Y TAREAS'!AK51,190&lt;'EDT Y TAREAS'!AL51),'EDT Y TAREAS'!AE51/'EDT Y TAREAS'!M51,0),IF(AND(190&gt;='EDT Y TAREAS'!AK52,190&lt;'EDT Y TAREAS'!AL52),'EDT Y TAREAS'!AE52/'EDT Y TAREAS'!M52,0))</x:f>
        <x:v>0</x:v>
      </x:c>
      <x:c r="D230" s="35" t="n">
        <x:f>SUM(IF(AND(190&gt;='EDT Y TAREAS'!AK11,190&lt;'EDT Y TAREAS'!AL11),'EDT Y TAREAS'!AF11/'EDT Y TAREAS'!M11,0),IF(AND(190&gt;='EDT Y TAREAS'!AK24,190&lt;'EDT Y TAREAS'!AL24),'EDT Y TAREAS'!AF24/'EDT Y TAREAS'!M24,0),IF(AND(190&gt;='EDT Y TAREAS'!AK25,190&lt;'EDT Y TAREAS'!AL25),'EDT Y TAREAS'!AF25/'EDT Y TAREAS'!M25,0),IF(AND(190&gt;='EDT Y TAREAS'!AK26,190&lt;'EDT Y TAREAS'!AL26),'EDT Y TAREAS'!AF26/'EDT Y TAREAS'!M26,0),IF(AND(190&gt;='EDT Y TAREAS'!AK27,190&lt;'EDT Y TAREAS'!AL27),'EDT Y TAREAS'!AF27/'EDT Y TAREAS'!M27,0),IF(AND(190&gt;='EDT Y TAREAS'!AK28,190&lt;'EDT Y TAREAS'!AL28),'EDT Y TAREAS'!AF28/'EDT Y TAREAS'!M28,0),IF(AND(190&gt;='EDT Y TAREAS'!AK31,190&lt;'EDT Y TAREAS'!AL31),'EDT Y TAREAS'!AF31/'EDT Y TAREAS'!M31,0),IF(AND(190&gt;='EDT Y TAREAS'!AK33,190&lt;'EDT Y TAREAS'!AL33),'EDT Y TAREAS'!AF33/'EDT Y TAREAS'!M33,0),IF(AND(190&gt;='EDT Y TAREAS'!AK34,190&lt;'EDT Y TAREAS'!AL34),'EDT Y TAREAS'!AF34/'EDT Y TAREAS'!M34,0),IF(AND(190&gt;='EDT Y TAREAS'!AK35,190&lt;'EDT Y TAREAS'!AL35),'EDT Y TAREAS'!AF35/'EDT Y TAREAS'!M35,0),IF(AND(190&gt;='EDT Y TAREAS'!AK37,190&lt;'EDT Y TAREAS'!AL37),'EDT Y TAREAS'!AF37/'EDT Y TAREAS'!M37,0),IF(AND(190&gt;='EDT Y TAREAS'!AK39,190&lt;'EDT Y TAREAS'!AL39),'EDT Y TAREAS'!AF39/'EDT Y TAREAS'!M39,0),IF(AND(190&gt;='EDT Y TAREAS'!AK40,190&lt;'EDT Y TAREAS'!AL40),'EDT Y TAREAS'!AF40/'EDT Y TAREAS'!M40,0),IF(AND(190&gt;='EDT Y TAREAS'!AK42,190&lt;'EDT Y TAREAS'!AL42),'EDT Y TAREAS'!AF42/'EDT Y TAREAS'!M42,0),IF(AND(190&gt;='EDT Y TAREAS'!AK45,190&lt;'EDT Y TAREAS'!AL45),'EDT Y TAREAS'!AF45/'EDT Y TAREAS'!M45,0),IF(AND(190&gt;='EDT Y TAREAS'!AK49,190&lt;'EDT Y TAREAS'!AL49),'EDT Y TAREAS'!AF49/'EDT Y TAREAS'!M49,0),IF(AND(190&gt;='EDT Y TAREAS'!AK52,190&lt;'EDT Y TAREAS'!AL52),'EDT Y TAREAS'!AF52/'EDT Y TAREAS'!M52,0))</x:f>
        <x:v>0</x:v>
      </x:c>
      <x:c r="E230" s="35" t="n">
        <x:f>SUM(IF(AND(190&gt;='EDT Y TAREAS'!AK29,190&lt;'EDT Y TAREAS'!AL29),'EDT Y TAREAS'!AG29/'EDT Y TAREAS'!M29,0),IF(AND(190&gt;='EDT Y TAREAS'!AK30,190&lt;'EDT Y TAREAS'!AL30),'EDT Y TAREAS'!AG30/'EDT Y TAREAS'!M30,0),IF(AND(190&gt;='EDT Y TAREAS'!AK31,190&lt;'EDT Y TAREAS'!AL31),'EDT Y TAREAS'!AG31/'EDT Y TAREAS'!M31,0),IF(AND(190&gt;='EDT Y TAREAS'!AK32,190&lt;'EDT Y TAREAS'!AL32),'EDT Y TAREAS'!AG32/'EDT Y TAREAS'!M32,0),IF(AND(190&gt;='EDT Y TAREAS'!AK41,190&lt;'EDT Y TAREAS'!AL41),'EDT Y TAREAS'!AG41/'EDT Y TAREAS'!M41,0),IF(AND(190&gt;='EDT Y TAREAS'!AK45,190&lt;'EDT Y TAREAS'!AL45),'EDT Y TAREAS'!AG45/'EDT Y TAREAS'!M45,0),IF(AND(190&gt;='EDT Y TAREAS'!AK48,190&lt;'EDT Y TAREAS'!AL48),'EDT Y TAREAS'!AG48/'EDT Y TAREAS'!M48,0))</x:f>
        <x:v>0</x:v>
      </x:c>
      <x:c r="F230" s="35" t="n">
        <x:f>SUM(IF(AND(190&gt;='EDT Y TAREAS'!AK10,190&lt;'EDT Y TAREAS'!AL10),'EDT Y TAREAS'!AH10/'EDT Y TAREAS'!M10,0),IF(AND(190&gt;='EDT Y TAREAS'!AK12,190&lt;'EDT Y TAREAS'!AL12),'EDT Y TAREAS'!AH12/'EDT Y TAREAS'!M12,0),IF(AND(190&gt;='EDT Y TAREAS'!AK22,190&lt;'EDT Y TAREAS'!AL22),'EDT Y TAREAS'!AH22/'EDT Y TAREAS'!M22,0),IF(AND(190&gt;='EDT Y TAREAS'!AK23,190&lt;'EDT Y TAREAS'!AL23),'EDT Y TAREAS'!AH23/'EDT Y TAREAS'!M23,0),IF(AND(190&gt;='EDT Y TAREAS'!AK29,190&lt;'EDT Y TAREAS'!AL29),'EDT Y TAREAS'!AH29/'EDT Y TAREAS'!M29,0),IF(AND(190&gt;='EDT Y TAREAS'!AK30,190&lt;'EDT Y TAREAS'!AL30),'EDT Y TAREAS'!AH30/'EDT Y TAREAS'!M30,0),IF(AND(190&gt;='EDT Y TAREAS'!AK32,190&lt;'EDT Y TAREAS'!AL32),'EDT Y TAREAS'!AH32/'EDT Y TAREAS'!M32,0),IF(AND(190&gt;='EDT Y TAREAS'!AK41,190&lt;'EDT Y TAREAS'!AL41),'EDT Y TAREAS'!AH41/'EDT Y TAREAS'!M41,0),IF(AND(190&gt;='EDT Y TAREAS'!AK44,190&lt;'EDT Y TAREAS'!AL44),'EDT Y TAREAS'!AH44/'EDT Y TAREAS'!M44,0),IF(AND(190&gt;='EDT Y TAREAS'!AK46,190&lt;'EDT Y TAREAS'!AL46),'EDT Y TAREAS'!AH46/'EDT Y TAREAS'!M46,0),IF(AND(190&gt;='EDT Y TAREAS'!AK48,190&lt;'EDT Y TAREAS'!AL48),'EDT Y TAREAS'!AH48/'EDT Y TAREAS'!M48,0))</x:f>
        <x:v>0</x:v>
      </x:c>
      <x:c r="G230" s="35" t="n">
        <x:f>SUM(IF(AND(190&gt;='EDT Y TAREAS'!AK20,190&lt;'EDT Y TAREAS'!AL20),'EDT Y TAREAS'!AI20/'EDT Y TAREAS'!M20,0),IF(AND(190&gt;='EDT Y TAREAS'!AK25,190&lt;'EDT Y TAREAS'!AL25),'EDT Y TAREAS'!AI25/'EDT Y TAREAS'!M25,0),IF(AND(190&gt;='EDT Y TAREAS'!AK33,190&lt;'EDT Y TAREAS'!AL33),'EDT Y TAREAS'!AI33/'EDT Y TAREAS'!M33,0),IF(AND(190&gt;='EDT Y TAREAS'!AK34,190&lt;'EDT Y TAREAS'!AL34),'EDT Y TAREAS'!AI34/'EDT Y TAREAS'!M34,0),IF(AND(190&gt;='EDT Y TAREAS'!AK36,190&lt;'EDT Y TAREAS'!AL36),'EDT Y TAREAS'!AI36/'EDT Y TAREAS'!M36,0),IF(AND(190&gt;='EDT Y TAREAS'!AK39,190&lt;'EDT Y TAREAS'!AL39),'EDT Y TAREAS'!AI39/'EDT Y TAREAS'!M39,0),IF(AND(190&gt;='EDT Y TAREAS'!AK40,190&lt;'EDT Y TAREAS'!AL40),'EDT Y TAREAS'!AI40/'EDT Y TAREAS'!M40,0),IF(AND(190&gt;='EDT Y TAREAS'!AK42,190&lt;'EDT Y TAREAS'!AL42),'EDT Y TAREAS'!AI42/'EDT Y TAREAS'!M42,0),IF(AND(190&gt;='EDT Y TAREAS'!AK43,190&lt;'EDT Y TAREAS'!AL43),'EDT Y TAREAS'!AI43/'EDT Y TAREAS'!M43,0),IF(AND(190&gt;='EDT Y TAREAS'!AK44,190&lt;'EDT Y TAREAS'!AL44),'EDT Y TAREAS'!AI44/'EDT Y TAREAS'!M44,0),IF(AND(190&gt;='EDT Y TAREAS'!AK45,190&lt;'EDT Y TAREAS'!AL45),'EDT Y TAREAS'!AI45/'EDT Y TAREAS'!M45,0),IF(AND(190&gt;='EDT Y TAREAS'!AK46,190&lt;'EDT Y TAREAS'!AL46),'EDT Y TAREAS'!AI46/'EDT Y TAREAS'!M46,0),IF(AND(190&gt;='EDT Y TAREAS'!AK48,190&lt;'EDT Y TAREAS'!AL48),'EDT Y TAREAS'!AI48/'EDT Y TAREAS'!M48,0),IF(AND(190&gt;='EDT Y TAREAS'!AK50,190&lt;'EDT Y TAREAS'!AL50),'EDT Y TAREAS'!AI50/'EDT Y TAREAS'!M50,0),IF(AND(190&gt;='EDT Y TAREAS'!AK52,190&lt;'EDT Y TAREAS'!AL52),'EDT Y TAREAS'!AI52/'EDT Y TAREAS'!M52,0))</x:f>
        <x:v>0</x:v>
      </x:c>
      <x:c r="H230" s="35" t="n">
        <x:f>SUM(IF(AND(190&gt;='EDT Y TAREAS'!AK11,190&lt;'EDT Y TAREAS'!AL11),'EDT Y TAREAS'!AJ11/'EDT Y TAREAS'!M11,0),IF(AND(190&gt;='EDT Y TAREAS'!AK24,190&lt;'EDT Y TAREAS'!AL24),'EDT Y TAREAS'!AJ24/'EDT Y TAREAS'!M24,0),IF(AND(190&gt;='EDT Y TAREAS'!AK27,190&lt;'EDT Y TAREAS'!AL27),'EDT Y TAREAS'!AJ27/'EDT Y TAREAS'!M27,0),IF(AND(190&gt;='EDT Y TAREAS'!AK28,190&lt;'EDT Y TAREAS'!AL28),'EDT Y TAREAS'!AJ28/'EDT Y TAREAS'!M28,0),IF(AND(190&gt;='EDT Y TAREAS'!AK33,190&lt;'EDT Y TAREAS'!AL33),'EDT Y TAREAS'!AJ33/'EDT Y TAREAS'!M33,0),IF(AND(190&gt;='EDT Y TAREAS'!AK35,190&lt;'EDT Y TAREAS'!AL35),'EDT Y TAREAS'!AJ35/'EDT Y TAREAS'!M35,0),IF(AND(190&gt;='EDT Y TAREAS'!AK36,190&lt;'EDT Y TAREAS'!AL36),'EDT Y TAREAS'!AJ36/'EDT Y TAREAS'!M36,0),IF(AND(190&gt;='EDT Y TAREAS'!AK37,190&lt;'EDT Y TAREAS'!AL37),'EDT Y TAREAS'!AJ37/'EDT Y TAREAS'!M37,0),IF(AND(190&gt;='EDT Y TAREAS'!AK40,190&lt;'EDT Y TAREAS'!AL40),'EDT Y TAREAS'!AJ40/'EDT Y TAREAS'!M40,0),IF(AND(190&gt;='EDT Y TAREAS'!AK42,190&lt;'EDT Y TAREAS'!AL42),'EDT Y TAREAS'!AJ42/'EDT Y TAREAS'!M42,0),IF(AND(190&gt;='EDT Y TAREAS'!AK49,190&lt;'EDT Y TAREAS'!AL49),'EDT Y TAREAS'!AJ49/'EDT Y TAREAS'!M49,0),IF(AND(190&gt;='EDT Y TAREAS'!AK50,190&lt;'EDT Y TAREAS'!AL50),'EDT Y TAREAS'!AJ50/'EDT Y TAREAS'!M50,0),IF(AND(190&gt;='EDT Y TAREAS'!AK51,190&lt;'EDT Y TAREAS'!AL51),'EDT Y TAREAS'!AJ51/'EDT Y TAREAS'!M51,0),IF(AND(190&gt;='EDT Y TAREAS'!AK52,190&lt;'EDT Y TAREAS'!AL52),'EDT Y TAREAS'!AJ52/'EDT Y TAREAS'!M52,0))</x:f>
        <x:v>0</x:v>
      </x:c>
      <x:c r="I230" s="10" t="n">
        <x:f>WORKDAY('RESUMEN'!$D$3-1,A230,'RESUMEN'!$J$6:$J$25)</x:f>
        <x:v>46594</x:v>
      </x:c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  <x:c r="AL230" s="3"/>
      <x:c r="AM230" s="3"/>
      <x:c r="AN230" s="3"/>
      <x:c r="AO230" s="3"/>
    </x:row>
    <x:row r="231" ht="24" customHeight="1">
      <x:c r="A231" s="3" t="n">
        <x:v>192</x:v>
      </x:c>
      <x:c r="B231" s="35" t="n">
        <x:f>SUM(IF(AND(191&gt;='EDT Y TAREAS'!AK6,191&lt;'EDT Y TAREAS'!AL6),'EDT Y TAREAS'!AD6/'EDT Y TAREAS'!M6,0),IF(AND(191&gt;='EDT Y TAREAS'!AK7,191&lt;'EDT Y TAREAS'!AL7),'EDT Y TAREAS'!AD7/'EDT Y TAREAS'!M7,0),IF(AND(191&gt;='EDT Y TAREAS'!AK8,191&lt;'EDT Y TAREAS'!AL8),'EDT Y TAREAS'!AD8/'EDT Y TAREAS'!M8,0),IF(AND(191&gt;='EDT Y TAREAS'!AK9,191&lt;'EDT Y TAREAS'!AL9),'EDT Y TAREAS'!AD9/'EDT Y TAREAS'!M9,0),IF(AND(191&gt;='EDT Y TAREAS'!AK10,191&lt;'EDT Y TAREAS'!AL10),'EDT Y TAREAS'!AD10/'EDT Y TAREAS'!M10,0),IF(AND(191&gt;='EDT Y TAREAS'!AK11,191&lt;'EDT Y TAREAS'!AL11),'EDT Y TAREAS'!AD11/'EDT Y TAREAS'!M11,0),IF(AND(191&gt;='EDT Y TAREAS'!AK12,191&lt;'EDT Y TAREAS'!AL12),'EDT Y TAREAS'!AD12/'EDT Y TAREAS'!M12,0),IF(AND(191&gt;='EDT Y TAREAS'!AK13,191&lt;'EDT Y TAREAS'!AL13),'EDT Y TAREAS'!AD13/'EDT Y TAREAS'!M13,0),IF(AND(191&gt;='EDT Y TAREAS'!AK14,191&lt;'EDT Y TAREAS'!AL14),'EDT Y TAREAS'!AD14/'EDT Y TAREAS'!M14,0),IF(AND(191&gt;='EDT Y TAREAS'!AK15,191&lt;'EDT Y TAREAS'!AL15),'EDT Y TAREAS'!AD15/'EDT Y TAREAS'!M15,0),IF(AND(191&gt;='EDT Y TAREAS'!AK16,191&lt;'EDT Y TAREAS'!AL16),'EDT Y TAREAS'!AD16/'EDT Y TAREAS'!M16,0),IF(AND(191&gt;='EDT Y TAREAS'!AK17,191&lt;'EDT Y TAREAS'!AL17),'EDT Y TAREAS'!AD17/'EDT Y TAREAS'!M17,0),IF(AND(191&gt;='EDT Y TAREAS'!AK18,191&lt;'EDT Y TAREAS'!AL18),'EDT Y TAREAS'!AD18/'EDT Y TAREAS'!M18,0),IF(AND(191&gt;='EDT Y TAREAS'!AK19,191&lt;'EDT Y TAREAS'!AL19),'EDT Y TAREAS'!AD19/'EDT Y TAREAS'!M19,0),IF(AND(191&gt;='EDT Y TAREAS'!AK20,191&lt;'EDT Y TAREAS'!AL20),'EDT Y TAREAS'!AD20/'EDT Y TAREAS'!M20,0),IF(AND(191&gt;='EDT Y TAREAS'!AK21,191&lt;'EDT Y TAREAS'!AL21),'EDT Y TAREAS'!AD21/'EDT Y TAREAS'!M21,0),IF(AND(191&gt;='EDT Y TAREAS'!AK22,191&lt;'EDT Y TAREAS'!AL22),'EDT Y TAREAS'!AD22/'EDT Y TAREAS'!M22,0),IF(AND(191&gt;='EDT Y TAREAS'!AK23,191&lt;'EDT Y TAREAS'!AL23),'EDT Y TAREAS'!AD23/'EDT Y TAREAS'!M23,0),IF(AND(191&gt;='EDT Y TAREAS'!AK26,191&lt;'EDT Y TAREAS'!AL26),'EDT Y TAREAS'!AD26/'EDT Y TAREAS'!M26,0),IF(AND(191&gt;='EDT Y TAREAS'!AK28,191&lt;'EDT Y TAREAS'!AL28),'EDT Y TAREAS'!AD28/'EDT Y TAREAS'!M28,0),IF(AND(191&gt;='EDT Y TAREAS'!AK30,191&lt;'EDT Y TAREAS'!AL30),'EDT Y TAREAS'!AD30/'EDT Y TAREAS'!M30,0),IF(AND(191&gt;='EDT Y TAREAS'!AK32,191&lt;'EDT Y TAREAS'!AL32),'EDT Y TAREAS'!AD32/'EDT Y TAREAS'!M32,0),IF(AND(191&gt;='EDT Y TAREAS'!AK34,191&lt;'EDT Y TAREAS'!AL34),'EDT Y TAREAS'!AD34/'EDT Y TAREAS'!M34,0),IF(AND(191&gt;='EDT Y TAREAS'!AK38,191&lt;'EDT Y TAREAS'!AL38),'EDT Y TAREAS'!AD38/'EDT Y TAREAS'!M38,0),IF(AND(191&gt;='EDT Y TAREAS'!AK39,191&lt;'EDT Y TAREAS'!AL39),'EDT Y TAREAS'!AD39/'EDT Y TAREAS'!M39,0),IF(AND(191&gt;='EDT Y TAREAS'!AK43,191&lt;'EDT Y TAREAS'!AL43),'EDT Y TAREAS'!AD43/'EDT Y TAREAS'!M43,0),IF(AND(191&gt;='EDT Y TAREAS'!AK44,191&lt;'EDT Y TAREAS'!AL44),'EDT Y TAREAS'!AD44/'EDT Y TAREAS'!M44,0),IF(AND(191&gt;='EDT Y TAREAS'!AK45,191&lt;'EDT Y TAREAS'!AL45),'EDT Y TAREAS'!AD45/'EDT Y TAREAS'!M45,0),IF(AND(191&gt;='EDT Y TAREAS'!AK46,191&lt;'EDT Y TAREAS'!AL46),'EDT Y TAREAS'!AD46/'EDT Y TAREAS'!M46,0),IF(AND(191&gt;='EDT Y TAREAS'!AK47,191&lt;'EDT Y TAREAS'!AL47),'EDT Y TAREAS'!AD47/'EDT Y TAREAS'!M47,0),IF(AND(191&gt;='EDT Y TAREAS'!AK49,191&lt;'EDT Y TAREAS'!AL49),'EDT Y TAREAS'!AD49/'EDT Y TAREAS'!M49,0),IF(AND(191&gt;='EDT Y TAREAS'!AK50,191&lt;'EDT Y TAREAS'!AL50),'EDT Y TAREAS'!AD50/'EDT Y TAREAS'!M50,0),IF(AND(191&gt;='EDT Y TAREAS'!AK51,191&lt;'EDT Y TAREAS'!AL51),'EDT Y TAREAS'!AD51/'EDT Y TAREAS'!M51,0),IF(AND(191&gt;='EDT Y TAREAS'!AK52,191&lt;'EDT Y TAREAS'!AL52),'EDT Y TAREAS'!AD52/'EDT Y TAREAS'!M52,0))</x:f>
        <x:v>0</x:v>
      </x:c>
      <x:c r="C231" s="35" t="n">
        <x:f>SUM(IF(AND(191&gt;='EDT Y TAREAS'!AK6,191&lt;'EDT Y TAREAS'!AL6),'EDT Y TAREAS'!AE6/'EDT Y TAREAS'!M6,0),IF(AND(191&gt;='EDT Y TAREAS'!AK8,191&lt;'EDT Y TAREAS'!AL8),'EDT Y TAREAS'!AE8/'EDT Y TAREAS'!M8,0),IF(AND(191&gt;='EDT Y TAREAS'!AK9,191&lt;'EDT Y TAREAS'!AL9),'EDT Y TAREAS'!AE9/'EDT Y TAREAS'!M9,0),IF(AND(191&gt;='EDT Y TAREAS'!AK10,191&lt;'EDT Y TAREAS'!AL10),'EDT Y TAREAS'!AE10/'EDT Y TAREAS'!M10,0),IF(AND(191&gt;='EDT Y TAREAS'!AK12,191&lt;'EDT Y TAREAS'!AL12),'EDT Y TAREAS'!AE12/'EDT Y TAREAS'!M12,0),IF(AND(191&gt;='EDT Y TAREAS'!AK16,191&lt;'EDT Y TAREAS'!AL16),'EDT Y TAREAS'!AE16/'EDT Y TAREAS'!M16,0),IF(AND(191&gt;='EDT Y TAREAS'!AK21,191&lt;'EDT Y TAREAS'!AL21),'EDT Y TAREAS'!AE21/'EDT Y TAREAS'!M21,0),IF(AND(191&gt;='EDT Y TAREAS'!AK23,191&lt;'EDT Y TAREAS'!AL23),'EDT Y TAREAS'!AE23/'EDT Y TAREAS'!M23,0),IF(AND(191&gt;='EDT Y TAREAS'!AK37,191&lt;'EDT Y TAREAS'!AL37),'EDT Y TAREAS'!AE37/'EDT Y TAREAS'!M37,0),IF(AND(191&gt;='EDT Y TAREAS'!AK38,191&lt;'EDT Y TAREAS'!AL38),'EDT Y TAREAS'!AE38/'EDT Y TAREAS'!M38,0),IF(AND(191&gt;='EDT Y TAREAS'!AK41,191&lt;'EDT Y TAREAS'!AL41),'EDT Y TAREAS'!AE41/'EDT Y TAREAS'!M41,0),IF(AND(191&gt;='EDT Y TAREAS'!AK43,191&lt;'EDT Y TAREAS'!AL43),'EDT Y TAREAS'!AE43/'EDT Y TAREAS'!M43,0),IF(AND(191&gt;='EDT Y TAREAS'!AK44,191&lt;'EDT Y TAREAS'!AL44),'EDT Y TAREAS'!AE44/'EDT Y TAREAS'!M44,0),IF(AND(191&gt;='EDT Y TAREAS'!AK46,191&lt;'EDT Y TAREAS'!AL46),'EDT Y TAREAS'!AE46/'EDT Y TAREAS'!M46,0),IF(AND(191&gt;='EDT Y TAREAS'!AK47,191&lt;'EDT Y TAREAS'!AL47),'EDT Y TAREAS'!AE47/'EDT Y TAREAS'!M47,0),IF(AND(191&gt;='EDT Y TAREAS'!AK51,191&lt;'EDT Y TAREAS'!AL51),'EDT Y TAREAS'!AE51/'EDT Y TAREAS'!M51,0),IF(AND(191&gt;='EDT Y TAREAS'!AK52,191&lt;'EDT Y TAREAS'!AL52),'EDT Y TAREAS'!AE52/'EDT Y TAREAS'!M52,0))</x:f>
        <x:v>0</x:v>
      </x:c>
      <x:c r="D231" s="35" t="n">
        <x:f>SUM(IF(AND(191&gt;='EDT Y TAREAS'!AK11,191&lt;'EDT Y TAREAS'!AL11),'EDT Y TAREAS'!AF11/'EDT Y TAREAS'!M11,0),IF(AND(191&gt;='EDT Y TAREAS'!AK24,191&lt;'EDT Y TAREAS'!AL24),'EDT Y TAREAS'!AF24/'EDT Y TAREAS'!M24,0),IF(AND(191&gt;='EDT Y TAREAS'!AK25,191&lt;'EDT Y TAREAS'!AL25),'EDT Y TAREAS'!AF25/'EDT Y TAREAS'!M25,0),IF(AND(191&gt;='EDT Y TAREAS'!AK26,191&lt;'EDT Y TAREAS'!AL26),'EDT Y TAREAS'!AF26/'EDT Y TAREAS'!M26,0),IF(AND(191&gt;='EDT Y TAREAS'!AK27,191&lt;'EDT Y TAREAS'!AL27),'EDT Y TAREAS'!AF27/'EDT Y TAREAS'!M27,0),IF(AND(191&gt;='EDT Y TAREAS'!AK28,191&lt;'EDT Y TAREAS'!AL28),'EDT Y TAREAS'!AF28/'EDT Y TAREAS'!M28,0),IF(AND(191&gt;='EDT Y TAREAS'!AK31,191&lt;'EDT Y TAREAS'!AL31),'EDT Y TAREAS'!AF31/'EDT Y TAREAS'!M31,0),IF(AND(191&gt;='EDT Y TAREAS'!AK33,191&lt;'EDT Y TAREAS'!AL33),'EDT Y TAREAS'!AF33/'EDT Y TAREAS'!M33,0),IF(AND(191&gt;='EDT Y TAREAS'!AK34,191&lt;'EDT Y TAREAS'!AL34),'EDT Y TAREAS'!AF34/'EDT Y TAREAS'!M34,0),IF(AND(191&gt;='EDT Y TAREAS'!AK35,191&lt;'EDT Y TAREAS'!AL35),'EDT Y TAREAS'!AF35/'EDT Y TAREAS'!M35,0),IF(AND(191&gt;='EDT Y TAREAS'!AK37,191&lt;'EDT Y TAREAS'!AL37),'EDT Y TAREAS'!AF37/'EDT Y TAREAS'!M37,0),IF(AND(191&gt;='EDT Y TAREAS'!AK39,191&lt;'EDT Y TAREAS'!AL39),'EDT Y TAREAS'!AF39/'EDT Y TAREAS'!M39,0),IF(AND(191&gt;='EDT Y TAREAS'!AK40,191&lt;'EDT Y TAREAS'!AL40),'EDT Y TAREAS'!AF40/'EDT Y TAREAS'!M40,0),IF(AND(191&gt;='EDT Y TAREAS'!AK42,191&lt;'EDT Y TAREAS'!AL42),'EDT Y TAREAS'!AF42/'EDT Y TAREAS'!M42,0),IF(AND(191&gt;='EDT Y TAREAS'!AK45,191&lt;'EDT Y TAREAS'!AL45),'EDT Y TAREAS'!AF45/'EDT Y TAREAS'!M45,0),IF(AND(191&gt;='EDT Y TAREAS'!AK49,191&lt;'EDT Y TAREAS'!AL49),'EDT Y TAREAS'!AF49/'EDT Y TAREAS'!M49,0),IF(AND(191&gt;='EDT Y TAREAS'!AK52,191&lt;'EDT Y TAREAS'!AL52),'EDT Y TAREAS'!AF52/'EDT Y TAREAS'!M52,0))</x:f>
        <x:v>0</x:v>
      </x:c>
      <x:c r="E231" s="35" t="n">
        <x:f>SUM(IF(AND(191&gt;='EDT Y TAREAS'!AK29,191&lt;'EDT Y TAREAS'!AL29),'EDT Y TAREAS'!AG29/'EDT Y TAREAS'!M29,0),IF(AND(191&gt;='EDT Y TAREAS'!AK30,191&lt;'EDT Y TAREAS'!AL30),'EDT Y TAREAS'!AG30/'EDT Y TAREAS'!M30,0),IF(AND(191&gt;='EDT Y TAREAS'!AK31,191&lt;'EDT Y TAREAS'!AL31),'EDT Y TAREAS'!AG31/'EDT Y TAREAS'!M31,0),IF(AND(191&gt;='EDT Y TAREAS'!AK32,191&lt;'EDT Y TAREAS'!AL32),'EDT Y TAREAS'!AG32/'EDT Y TAREAS'!M32,0),IF(AND(191&gt;='EDT Y TAREAS'!AK41,191&lt;'EDT Y TAREAS'!AL41),'EDT Y TAREAS'!AG41/'EDT Y TAREAS'!M41,0),IF(AND(191&gt;='EDT Y TAREAS'!AK45,191&lt;'EDT Y TAREAS'!AL45),'EDT Y TAREAS'!AG45/'EDT Y TAREAS'!M45,0),IF(AND(191&gt;='EDT Y TAREAS'!AK48,191&lt;'EDT Y TAREAS'!AL48),'EDT Y TAREAS'!AG48/'EDT Y TAREAS'!M48,0))</x:f>
        <x:v>0</x:v>
      </x:c>
      <x:c r="F231" s="35" t="n">
        <x:f>SUM(IF(AND(191&gt;='EDT Y TAREAS'!AK10,191&lt;'EDT Y TAREAS'!AL10),'EDT Y TAREAS'!AH10/'EDT Y TAREAS'!M10,0),IF(AND(191&gt;='EDT Y TAREAS'!AK12,191&lt;'EDT Y TAREAS'!AL12),'EDT Y TAREAS'!AH12/'EDT Y TAREAS'!M12,0),IF(AND(191&gt;='EDT Y TAREAS'!AK22,191&lt;'EDT Y TAREAS'!AL22),'EDT Y TAREAS'!AH22/'EDT Y TAREAS'!M22,0),IF(AND(191&gt;='EDT Y TAREAS'!AK23,191&lt;'EDT Y TAREAS'!AL23),'EDT Y TAREAS'!AH23/'EDT Y TAREAS'!M23,0),IF(AND(191&gt;='EDT Y TAREAS'!AK29,191&lt;'EDT Y TAREAS'!AL29),'EDT Y TAREAS'!AH29/'EDT Y TAREAS'!M29,0),IF(AND(191&gt;='EDT Y TAREAS'!AK30,191&lt;'EDT Y TAREAS'!AL30),'EDT Y TAREAS'!AH30/'EDT Y TAREAS'!M30,0),IF(AND(191&gt;='EDT Y TAREAS'!AK32,191&lt;'EDT Y TAREAS'!AL32),'EDT Y TAREAS'!AH32/'EDT Y TAREAS'!M32,0),IF(AND(191&gt;='EDT Y TAREAS'!AK41,191&lt;'EDT Y TAREAS'!AL41),'EDT Y TAREAS'!AH41/'EDT Y TAREAS'!M41,0),IF(AND(191&gt;='EDT Y TAREAS'!AK44,191&lt;'EDT Y TAREAS'!AL44),'EDT Y TAREAS'!AH44/'EDT Y TAREAS'!M44,0),IF(AND(191&gt;='EDT Y TAREAS'!AK46,191&lt;'EDT Y TAREAS'!AL46),'EDT Y TAREAS'!AH46/'EDT Y TAREAS'!M46,0),IF(AND(191&gt;='EDT Y TAREAS'!AK48,191&lt;'EDT Y TAREAS'!AL48),'EDT Y TAREAS'!AH48/'EDT Y TAREAS'!M48,0))</x:f>
        <x:v>0</x:v>
      </x:c>
      <x:c r="G231" s="35" t="n">
        <x:f>SUM(IF(AND(191&gt;='EDT Y TAREAS'!AK20,191&lt;'EDT Y TAREAS'!AL20),'EDT Y TAREAS'!AI20/'EDT Y TAREAS'!M20,0),IF(AND(191&gt;='EDT Y TAREAS'!AK25,191&lt;'EDT Y TAREAS'!AL25),'EDT Y TAREAS'!AI25/'EDT Y TAREAS'!M25,0),IF(AND(191&gt;='EDT Y TAREAS'!AK33,191&lt;'EDT Y TAREAS'!AL33),'EDT Y TAREAS'!AI33/'EDT Y TAREAS'!M33,0),IF(AND(191&gt;='EDT Y TAREAS'!AK34,191&lt;'EDT Y TAREAS'!AL34),'EDT Y TAREAS'!AI34/'EDT Y TAREAS'!M34,0),IF(AND(191&gt;='EDT Y TAREAS'!AK36,191&lt;'EDT Y TAREAS'!AL36),'EDT Y TAREAS'!AI36/'EDT Y TAREAS'!M36,0),IF(AND(191&gt;='EDT Y TAREAS'!AK39,191&lt;'EDT Y TAREAS'!AL39),'EDT Y TAREAS'!AI39/'EDT Y TAREAS'!M39,0),IF(AND(191&gt;='EDT Y TAREAS'!AK40,191&lt;'EDT Y TAREAS'!AL40),'EDT Y TAREAS'!AI40/'EDT Y TAREAS'!M40,0),IF(AND(191&gt;='EDT Y TAREAS'!AK42,191&lt;'EDT Y TAREAS'!AL42),'EDT Y TAREAS'!AI42/'EDT Y TAREAS'!M42,0),IF(AND(191&gt;='EDT Y TAREAS'!AK43,191&lt;'EDT Y TAREAS'!AL43),'EDT Y TAREAS'!AI43/'EDT Y TAREAS'!M43,0),IF(AND(191&gt;='EDT Y TAREAS'!AK44,191&lt;'EDT Y TAREAS'!AL44),'EDT Y TAREAS'!AI44/'EDT Y TAREAS'!M44,0),IF(AND(191&gt;='EDT Y TAREAS'!AK45,191&lt;'EDT Y TAREAS'!AL45),'EDT Y TAREAS'!AI45/'EDT Y TAREAS'!M45,0),IF(AND(191&gt;='EDT Y TAREAS'!AK46,191&lt;'EDT Y TAREAS'!AL46),'EDT Y TAREAS'!AI46/'EDT Y TAREAS'!M46,0),IF(AND(191&gt;='EDT Y TAREAS'!AK48,191&lt;'EDT Y TAREAS'!AL48),'EDT Y TAREAS'!AI48/'EDT Y TAREAS'!M48,0),IF(AND(191&gt;='EDT Y TAREAS'!AK50,191&lt;'EDT Y TAREAS'!AL50),'EDT Y TAREAS'!AI50/'EDT Y TAREAS'!M50,0),IF(AND(191&gt;='EDT Y TAREAS'!AK52,191&lt;'EDT Y TAREAS'!AL52),'EDT Y TAREAS'!AI52/'EDT Y TAREAS'!M52,0))</x:f>
        <x:v>0</x:v>
      </x:c>
      <x:c r="H231" s="35" t="n">
        <x:f>SUM(IF(AND(191&gt;='EDT Y TAREAS'!AK11,191&lt;'EDT Y TAREAS'!AL11),'EDT Y TAREAS'!AJ11/'EDT Y TAREAS'!M11,0),IF(AND(191&gt;='EDT Y TAREAS'!AK24,191&lt;'EDT Y TAREAS'!AL24),'EDT Y TAREAS'!AJ24/'EDT Y TAREAS'!M24,0),IF(AND(191&gt;='EDT Y TAREAS'!AK27,191&lt;'EDT Y TAREAS'!AL27),'EDT Y TAREAS'!AJ27/'EDT Y TAREAS'!M27,0),IF(AND(191&gt;='EDT Y TAREAS'!AK28,191&lt;'EDT Y TAREAS'!AL28),'EDT Y TAREAS'!AJ28/'EDT Y TAREAS'!M28,0),IF(AND(191&gt;='EDT Y TAREAS'!AK33,191&lt;'EDT Y TAREAS'!AL33),'EDT Y TAREAS'!AJ33/'EDT Y TAREAS'!M33,0),IF(AND(191&gt;='EDT Y TAREAS'!AK35,191&lt;'EDT Y TAREAS'!AL35),'EDT Y TAREAS'!AJ35/'EDT Y TAREAS'!M35,0),IF(AND(191&gt;='EDT Y TAREAS'!AK36,191&lt;'EDT Y TAREAS'!AL36),'EDT Y TAREAS'!AJ36/'EDT Y TAREAS'!M36,0),IF(AND(191&gt;='EDT Y TAREAS'!AK37,191&lt;'EDT Y TAREAS'!AL37),'EDT Y TAREAS'!AJ37/'EDT Y TAREAS'!M37,0),IF(AND(191&gt;='EDT Y TAREAS'!AK40,191&lt;'EDT Y TAREAS'!AL40),'EDT Y TAREAS'!AJ40/'EDT Y TAREAS'!M40,0),IF(AND(191&gt;='EDT Y TAREAS'!AK42,191&lt;'EDT Y TAREAS'!AL42),'EDT Y TAREAS'!AJ42/'EDT Y TAREAS'!M42,0),IF(AND(191&gt;='EDT Y TAREAS'!AK49,191&lt;'EDT Y TAREAS'!AL49),'EDT Y TAREAS'!AJ49/'EDT Y TAREAS'!M49,0),IF(AND(191&gt;='EDT Y TAREAS'!AK50,191&lt;'EDT Y TAREAS'!AL50),'EDT Y TAREAS'!AJ50/'EDT Y TAREAS'!M50,0),IF(AND(191&gt;='EDT Y TAREAS'!AK51,191&lt;'EDT Y TAREAS'!AL51),'EDT Y TAREAS'!AJ51/'EDT Y TAREAS'!M51,0),IF(AND(191&gt;='EDT Y TAREAS'!AK52,191&lt;'EDT Y TAREAS'!AL52),'EDT Y TAREAS'!AJ52/'EDT Y TAREAS'!M52,0))</x:f>
        <x:v>0</x:v>
      </x:c>
      <x:c r="I231" s="10" t="n">
        <x:f>WORKDAY('RESUMEN'!$D$3-1,A231,'RESUMEN'!$J$6:$J$25)</x:f>
        <x:v>46595</x:v>
      </x:c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  <x:c r="AL231" s="3"/>
      <x:c r="AM231" s="3"/>
      <x:c r="AN231" s="3"/>
      <x:c r="AO231" s="3"/>
    </x:row>
    <x:row r="232" ht="24" customHeight="1">
      <x:c r="A232" s="3" t="n">
        <x:v>193</x:v>
      </x:c>
      <x:c r="B232" s="35" t="n">
        <x:f>SUM(IF(AND(192&gt;='EDT Y TAREAS'!AK6,192&lt;'EDT Y TAREAS'!AL6),'EDT Y TAREAS'!AD6/'EDT Y TAREAS'!M6,0),IF(AND(192&gt;='EDT Y TAREAS'!AK7,192&lt;'EDT Y TAREAS'!AL7),'EDT Y TAREAS'!AD7/'EDT Y TAREAS'!M7,0),IF(AND(192&gt;='EDT Y TAREAS'!AK8,192&lt;'EDT Y TAREAS'!AL8),'EDT Y TAREAS'!AD8/'EDT Y TAREAS'!M8,0),IF(AND(192&gt;='EDT Y TAREAS'!AK9,192&lt;'EDT Y TAREAS'!AL9),'EDT Y TAREAS'!AD9/'EDT Y TAREAS'!M9,0),IF(AND(192&gt;='EDT Y TAREAS'!AK10,192&lt;'EDT Y TAREAS'!AL10),'EDT Y TAREAS'!AD10/'EDT Y TAREAS'!M10,0),IF(AND(192&gt;='EDT Y TAREAS'!AK11,192&lt;'EDT Y TAREAS'!AL11),'EDT Y TAREAS'!AD11/'EDT Y TAREAS'!M11,0),IF(AND(192&gt;='EDT Y TAREAS'!AK12,192&lt;'EDT Y TAREAS'!AL12),'EDT Y TAREAS'!AD12/'EDT Y TAREAS'!M12,0),IF(AND(192&gt;='EDT Y TAREAS'!AK13,192&lt;'EDT Y TAREAS'!AL13),'EDT Y TAREAS'!AD13/'EDT Y TAREAS'!M13,0),IF(AND(192&gt;='EDT Y TAREAS'!AK14,192&lt;'EDT Y TAREAS'!AL14),'EDT Y TAREAS'!AD14/'EDT Y TAREAS'!M14,0),IF(AND(192&gt;='EDT Y TAREAS'!AK15,192&lt;'EDT Y TAREAS'!AL15),'EDT Y TAREAS'!AD15/'EDT Y TAREAS'!M15,0),IF(AND(192&gt;='EDT Y TAREAS'!AK16,192&lt;'EDT Y TAREAS'!AL16),'EDT Y TAREAS'!AD16/'EDT Y TAREAS'!M16,0),IF(AND(192&gt;='EDT Y TAREAS'!AK17,192&lt;'EDT Y TAREAS'!AL17),'EDT Y TAREAS'!AD17/'EDT Y TAREAS'!M17,0),IF(AND(192&gt;='EDT Y TAREAS'!AK18,192&lt;'EDT Y TAREAS'!AL18),'EDT Y TAREAS'!AD18/'EDT Y TAREAS'!M18,0),IF(AND(192&gt;='EDT Y TAREAS'!AK19,192&lt;'EDT Y TAREAS'!AL19),'EDT Y TAREAS'!AD19/'EDT Y TAREAS'!M19,0),IF(AND(192&gt;='EDT Y TAREAS'!AK20,192&lt;'EDT Y TAREAS'!AL20),'EDT Y TAREAS'!AD20/'EDT Y TAREAS'!M20,0),IF(AND(192&gt;='EDT Y TAREAS'!AK21,192&lt;'EDT Y TAREAS'!AL21),'EDT Y TAREAS'!AD21/'EDT Y TAREAS'!M21,0),IF(AND(192&gt;='EDT Y TAREAS'!AK22,192&lt;'EDT Y TAREAS'!AL22),'EDT Y TAREAS'!AD22/'EDT Y TAREAS'!M22,0),IF(AND(192&gt;='EDT Y TAREAS'!AK23,192&lt;'EDT Y TAREAS'!AL23),'EDT Y TAREAS'!AD23/'EDT Y TAREAS'!M23,0),IF(AND(192&gt;='EDT Y TAREAS'!AK26,192&lt;'EDT Y TAREAS'!AL26),'EDT Y TAREAS'!AD26/'EDT Y TAREAS'!M26,0),IF(AND(192&gt;='EDT Y TAREAS'!AK28,192&lt;'EDT Y TAREAS'!AL28),'EDT Y TAREAS'!AD28/'EDT Y TAREAS'!M28,0),IF(AND(192&gt;='EDT Y TAREAS'!AK30,192&lt;'EDT Y TAREAS'!AL30),'EDT Y TAREAS'!AD30/'EDT Y TAREAS'!M30,0),IF(AND(192&gt;='EDT Y TAREAS'!AK32,192&lt;'EDT Y TAREAS'!AL32),'EDT Y TAREAS'!AD32/'EDT Y TAREAS'!M32,0),IF(AND(192&gt;='EDT Y TAREAS'!AK34,192&lt;'EDT Y TAREAS'!AL34),'EDT Y TAREAS'!AD34/'EDT Y TAREAS'!M34,0),IF(AND(192&gt;='EDT Y TAREAS'!AK38,192&lt;'EDT Y TAREAS'!AL38),'EDT Y TAREAS'!AD38/'EDT Y TAREAS'!M38,0),IF(AND(192&gt;='EDT Y TAREAS'!AK39,192&lt;'EDT Y TAREAS'!AL39),'EDT Y TAREAS'!AD39/'EDT Y TAREAS'!M39,0),IF(AND(192&gt;='EDT Y TAREAS'!AK43,192&lt;'EDT Y TAREAS'!AL43),'EDT Y TAREAS'!AD43/'EDT Y TAREAS'!M43,0),IF(AND(192&gt;='EDT Y TAREAS'!AK44,192&lt;'EDT Y TAREAS'!AL44),'EDT Y TAREAS'!AD44/'EDT Y TAREAS'!M44,0),IF(AND(192&gt;='EDT Y TAREAS'!AK45,192&lt;'EDT Y TAREAS'!AL45),'EDT Y TAREAS'!AD45/'EDT Y TAREAS'!M45,0),IF(AND(192&gt;='EDT Y TAREAS'!AK46,192&lt;'EDT Y TAREAS'!AL46),'EDT Y TAREAS'!AD46/'EDT Y TAREAS'!M46,0),IF(AND(192&gt;='EDT Y TAREAS'!AK47,192&lt;'EDT Y TAREAS'!AL47),'EDT Y TAREAS'!AD47/'EDT Y TAREAS'!M47,0),IF(AND(192&gt;='EDT Y TAREAS'!AK49,192&lt;'EDT Y TAREAS'!AL49),'EDT Y TAREAS'!AD49/'EDT Y TAREAS'!M49,0),IF(AND(192&gt;='EDT Y TAREAS'!AK50,192&lt;'EDT Y TAREAS'!AL50),'EDT Y TAREAS'!AD50/'EDT Y TAREAS'!M50,0),IF(AND(192&gt;='EDT Y TAREAS'!AK51,192&lt;'EDT Y TAREAS'!AL51),'EDT Y TAREAS'!AD51/'EDT Y TAREAS'!M51,0),IF(AND(192&gt;='EDT Y TAREAS'!AK52,192&lt;'EDT Y TAREAS'!AL52),'EDT Y TAREAS'!AD52/'EDT Y TAREAS'!M52,0))</x:f>
        <x:v>0</x:v>
      </x:c>
      <x:c r="C232" s="35" t="n">
        <x:f>SUM(IF(AND(192&gt;='EDT Y TAREAS'!AK6,192&lt;'EDT Y TAREAS'!AL6),'EDT Y TAREAS'!AE6/'EDT Y TAREAS'!M6,0),IF(AND(192&gt;='EDT Y TAREAS'!AK8,192&lt;'EDT Y TAREAS'!AL8),'EDT Y TAREAS'!AE8/'EDT Y TAREAS'!M8,0),IF(AND(192&gt;='EDT Y TAREAS'!AK9,192&lt;'EDT Y TAREAS'!AL9),'EDT Y TAREAS'!AE9/'EDT Y TAREAS'!M9,0),IF(AND(192&gt;='EDT Y TAREAS'!AK10,192&lt;'EDT Y TAREAS'!AL10),'EDT Y TAREAS'!AE10/'EDT Y TAREAS'!M10,0),IF(AND(192&gt;='EDT Y TAREAS'!AK12,192&lt;'EDT Y TAREAS'!AL12),'EDT Y TAREAS'!AE12/'EDT Y TAREAS'!M12,0),IF(AND(192&gt;='EDT Y TAREAS'!AK16,192&lt;'EDT Y TAREAS'!AL16),'EDT Y TAREAS'!AE16/'EDT Y TAREAS'!M16,0),IF(AND(192&gt;='EDT Y TAREAS'!AK21,192&lt;'EDT Y TAREAS'!AL21),'EDT Y TAREAS'!AE21/'EDT Y TAREAS'!M21,0),IF(AND(192&gt;='EDT Y TAREAS'!AK23,192&lt;'EDT Y TAREAS'!AL23),'EDT Y TAREAS'!AE23/'EDT Y TAREAS'!M23,0),IF(AND(192&gt;='EDT Y TAREAS'!AK37,192&lt;'EDT Y TAREAS'!AL37),'EDT Y TAREAS'!AE37/'EDT Y TAREAS'!M37,0),IF(AND(192&gt;='EDT Y TAREAS'!AK38,192&lt;'EDT Y TAREAS'!AL38),'EDT Y TAREAS'!AE38/'EDT Y TAREAS'!M38,0),IF(AND(192&gt;='EDT Y TAREAS'!AK41,192&lt;'EDT Y TAREAS'!AL41),'EDT Y TAREAS'!AE41/'EDT Y TAREAS'!M41,0),IF(AND(192&gt;='EDT Y TAREAS'!AK43,192&lt;'EDT Y TAREAS'!AL43),'EDT Y TAREAS'!AE43/'EDT Y TAREAS'!M43,0),IF(AND(192&gt;='EDT Y TAREAS'!AK44,192&lt;'EDT Y TAREAS'!AL44),'EDT Y TAREAS'!AE44/'EDT Y TAREAS'!M44,0),IF(AND(192&gt;='EDT Y TAREAS'!AK46,192&lt;'EDT Y TAREAS'!AL46),'EDT Y TAREAS'!AE46/'EDT Y TAREAS'!M46,0),IF(AND(192&gt;='EDT Y TAREAS'!AK47,192&lt;'EDT Y TAREAS'!AL47),'EDT Y TAREAS'!AE47/'EDT Y TAREAS'!M47,0),IF(AND(192&gt;='EDT Y TAREAS'!AK51,192&lt;'EDT Y TAREAS'!AL51),'EDT Y TAREAS'!AE51/'EDT Y TAREAS'!M51,0),IF(AND(192&gt;='EDT Y TAREAS'!AK52,192&lt;'EDT Y TAREAS'!AL52),'EDT Y TAREAS'!AE52/'EDT Y TAREAS'!M52,0))</x:f>
        <x:v>0</x:v>
      </x:c>
      <x:c r="D232" s="35" t="n">
        <x:f>SUM(IF(AND(192&gt;='EDT Y TAREAS'!AK11,192&lt;'EDT Y TAREAS'!AL11),'EDT Y TAREAS'!AF11/'EDT Y TAREAS'!M11,0),IF(AND(192&gt;='EDT Y TAREAS'!AK24,192&lt;'EDT Y TAREAS'!AL24),'EDT Y TAREAS'!AF24/'EDT Y TAREAS'!M24,0),IF(AND(192&gt;='EDT Y TAREAS'!AK25,192&lt;'EDT Y TAREAS'!AL25),'EDT Y TAREAS'!AF25/'EDT Y TAREAS'!M25,0),IF(AND(192&gt;='EDT Y TAREAS'!AK26,192&lt;'EDT Y TAREAS'!AL26),'EDT Y TAREAS'!AF26/'EDT Y TAREAS'!M26,0),IF(AND(192&gt;='EDT Y TAREAS'!AK27,192&lt;'EDT Y TAREAS'!AL27),'EDT Y TAREAS'!AF27/'EDT Y TAREAS'!M27,0),IF(AND(192&gt;='EDT Y TAREAS'!AK28,192&lt;'EDT Y TAREAS'!AL28),'EDT Y TAREAS'!AF28/'EDT Y TAREAS'!M28,0),IF(AND(192&gt;='EDT Y TAREAS'!AK31,192&lt;'EDT Y TAREAS'!AL31),'EDT Y TAREAS'!AF31/'EDT Y TAREAS'!M31,0),IF(AND(192&gt;='EDT Y TAREAS'!AK33,192&lt;'EDT Y TAREAS'!AL33),'EDT Y TAREAS'!AF33/'EDT Y TAREAS'!M33,0),IF(AND(192&gt;='EDT Y TAREAS'!AK34,192&lt;'EDT Y TAREAS'!AL34),'EDT Y TAREAS'!AF34/'EDT Y TAREAS'!M34,0),IF(AND(192&gt;='EDT Y TAREAS'!AK35,192&lt;'EDT Y TAREAS'!AL35),'EDT Y TAREAS'!AF35/'EDT Y TAREAS'!M35,0),IF(AND(192&gt;='EDT Y TAREAS'!AK37,192&lt;'EDT Y TAREAS'!AL37),'EDT Y TAREAS'!AF37/'EDT Y TAREAS'!M37,0),IF(AND(192&gt;='EDT Y TAREAS'!AK39,192&lt;'EDT Y TAREAS'!AL39),'EDT Y TAREAS'!AF39/'EDT Y TAREAS'!M39,0),IF(AND(192&gt;='EDT Y TAREAS'!AK40,192&lt;'EDT Y TAREAS'!AL40),'EDT Y TAREAS'!AF40/'EDT Y TAREAS'!M40,0),IF(AND(192&gt;='EDT Y TAREAS'!AK42,192&lt;'EDT Y TAREAS'!AL42),'EDT Y TAREAS'!AF42/'EDT Y TAREAS'!M42,0),IF(AND(192&gt;='EDT Y TAREAS'!AK45,192&lt;'EDT Y TAREAS'!AL45),'EDT Y TAREAS'!AF45/'EDT Y TAREAS'!M45,0),IF(AND(192&gt;='EDT Y TAREAS'!AK49,192&lt;'EDT Y TAREAS'!AL49),'EDT Y TAREAS'!AF49/'EDT Y TAREAS'!M49,0),IF(AND(192&gt;='EDT Y TAREAS'!AK52,192&lt;'EDT Y TAREAS'!AL52),'EDT Y TAREAS'!AF52/'EDT Y TAREAS'!M52,0))</x:f>
        <x:v>0</x:v>
      </x:c>
      <x:c r="E232" s="35" t="n">
        <x:f>SUM(IF(AND(192&gt;='EDT Y TAREAS'!AK29,192&lt;'EDT Y TAREAS'!AL29),'EDT Y TAREAS'!AG29/'EDT Y TAREAS'!M29,0),IF(AND(192&gt;='EDT Y TAREAS'!AK30,192&lt;'EDT Y TAREAS'!AL30),'EDT Y TAREAS'!AG30/'EDT Y TAREAS'!M30,0),IF(AND(192&gt;='EDT Y TAREAS'!AK31,192&lt;'EDT Y TAREAS'!AL31),'EDT Y TAREAS'!AG31/'EDT Y TAREAS'!M31,0),IF(AND(192&gt;='EDT Y TAREAS'!AK32,192&lt;'EDT Y TAREAS'!AL32),'EDT Y TAREAS'!AG32/'EDT Y TAREAS'!M32,0),IF(AND(192&gt;='EDT Y TAREAS'!AK41,192&lt;'EDT Y TAREAS'!AL41),'EDT Y TAREAS'!AG41/'EDT Y TAREAS'!M41,0),IF(AND(192&gt;='EDT Y TAREAS'!AK45,192&lt;'EDT Y TAREAS'!AL45),'EDT Y TAREAS'!AG45/'EDT Y TAREAS'!M45,0),IF(AND(192&gt;='EDT Y TAREAS'!AK48,192&lt;'EDT Y TAREAS'!AL48),'EDT Y TAREAS'!AG48/'EDT Y TAREAS'!M48,0))</x:f>
        <x:v>0</x:v>
      </x:c>
      <x:c r="F232" s="35" t="n">
        <x:f>SUM(IF(AND(192&gt;='EDT Y TAREAS'!AK10,192&lt;'EDT Y TAREAS'!AL10),'EDT Y TAREAS'!AH10/'EDT Y TAREAS'!M10,0),IF(AND(192&gt;='EDT Y TAREAS'!AK12,192&lt;'EDT Y TAREAS'!AL12),'EDT Y TAREAS'!AH12/'EDT Y TAREAS'!M12,0),IF(AND(192&gt;='EDT Y TAREAS'!AK22,192&lt;'EDT Y TAREAS'!AL22),'EDT Y TAREAS'!AH22/'EDT Y TAREAS'!M22,0),IF(AND(192&gt;='EDT Y TAREAS'!AK23,192&lt;'EDT Y TAREAS'!AL23),'EDT Y TAREAS'!AH23/'EDT Y TAREAS'!M23,0),IF(AND(192&gt;='EDT Y TAREAS'!AK29,192&lt;'EDT Y TAREAS'!AL29),'EDT Y TAREAS'!AH29/'EDT Y TAREAS'!M29,0),IF(AND(192&gt;='EDT Y TAREAS'!AK30,192&lt;'EDT Y TAREAS'!AL30),'EDT Y TAREAS'!AH30/'EDT Y TAREAS'!M30,0),IF(AND(192&gt;='EDT Y TAREAS'!AK32,192&lt;'EDT Y TAREAS'!AL32),'EDT Y TAREAS'!AH32/'EDT Y TAREAS'!M32,0),IF(AND(192&gt;='EDT Y TAREAS'!AK41,192&lt;'EDT Y TAREAS'!AL41),'EDT Y TAREAS'!AH41/'EDT Y TAREAS'!M41,0),IF(AND(192&gt;='EDT Y TAREAS'!AK44,192&lt;'EDT Y TAREAS'!AL44),'EDT Y TAREAS'!AH44/'EDT Y TAREAS'!M44,0),IF(AND(192&gt;='EDT Y TAREAS'!AK46,192&lt;'EDT Y TAREAS'!AL46),'EDT Y TAREAS'!AH46/'EDT Y TAREAS'!M46,0),IF(AND(192&gt;='EDT Y TAREAS'!AK48,192&lt;'EDT Y TAREAS'!AL48),'EDT Y TAREAS'!AH48/'EDT Y TAREAS'!M48,0))</x:f>
        <x:v>0</x:v>
      </x:c>
      <x:c r="G232" s="35" t="n">
        <x:f>SUM(IF(AND(192&gt;='EDT Y TAREAS'!AK20,192&lt;'EDT Y TAREAS'!AL20),'EDT Y TAREAS'!AI20/'EDT Y TAREAS'!M20,0),IF(AND(192&gt;='EDT Y TAREAS'!AK25,192&lt;'EDT Y TAREAS'!AL25),'EDT Y TAREAS'!AI25/'EDT Y TAREAS'!M25,0),IF(AND(192&gt;='EDT Y TAREAS'!AK33,192&lt;'EDT Y TAREAS'!AL33),'EDT Y TAREAS'!AI33/'EDT Y TAREAS'!M33,0),IF(AND(192&gt;='EDT Y TAREAS'!AK34,192&lt;'EDT Y TAREAS'!AL34),'EDT Y TAREAS'!AI34/'EDT Y TAREAS'!M34,0),IF(AND(192&gt;='EDT Y TAREAS'!AK36,192&lt;'EDT Y TAREAS'!AL36),'EDT Y TAREAS'!AI36/'EDT Y TAREAS'!M36,0),IF(AND(192&gt;='EDT Y TAREAS'!AK39,192&lt;'EDT Y TAREAS'!AL39),'EDT Y TAREAS'!AI39/'EDT Y TAREAS'!M39,0),IF(AND(192&gt;='EDT Y TAREAS'!AK40,192&lt;'EDT Y TAREAS'!AL40),'EDT Y TAREAS'!AI40/'EDT Y TAREAS'!M40,0),IF(AND(192&gt;='EDT Y TAREAS'!AK42,192&lt;'EDT Y TAREAS'!AL42),'EDT Y TAREAS'!AI42/'EDT Y TAREAS'!M42,0),IF(AND(192&gt;='EDT Y TAREAS'!AK43,192&lt;'EDT Y TAREAS'!AL43),'EDT Y TAREAS'!AI43/'EDT Y TAREAS'!M43,0),IF(AND(192&gt;='EDT Y TAREAS'!AK44,192&lt;'EDT Y TAREAS'!AL44),'EDT Y TAREAS'!AI44/'EDT Y TAREAS'!M44,0),IF(AND(192&gt;='EDT Y TAREAS'!AK45,192&lt;'EDT Y TAREAS'!AL45),'EDT Y TAREAS'!AI45/'EDT Y TAREAS'!M45,0),IF(AND(192&gt;='EDT Y TAREAS'!AK46,192&lt;'EDT Y TAREAS'!AL46),'EDT Y TAREAS'!AI46/'EDT Y TAREAS'!M46,0),IF(AND(192&gt;='EDT Y TAREAS'!AK48,192&lt;'EDT Y TAREAS'!AL48),'EDT Y TAREAS'!AI48/'EDT Y TAREAS'!M48,0),IF(AND(192&gt;='EDT Y TAREAS'!AK50,192&lt;'EDT Y TAREAS'!AL50),'EDT Y TAREAS'!AI50/'EDT Y TAREAS'!M50,0),IF(AND(192&gt;='EDT Y TAREAS'!AK52,192&lt;'EDT Y TAREAS'!AL52),'EDT Y TAREAS'!AI52/'EDT Y TAREAS'!M52,0))</x:f>
        <x:v>0</x:v>
      </x:c>
      <x:c r="H232" s="35" t="n">
        <x:f>SUM(IF(AND(192&gt;='EDT Y TAREAS'!AK11,192&lt;'EDT Y TAREAS'!AL11),'EDT Y TAREAS'!AJ11/'EDT Y TAREAS'!M11,0),IF(AND(192&gt;='EDT Y TAREAS'!AK24,192&lt;'EDT Y TAREAS'!AL24),'EDT Y TAREAS'!AJ24/'EDT Y TAREAS'!M24,0),IF(AND(192&gt;='EDT Y TAREAS'!AK27,192&lt;'EDT Y TAREAS'!AL27),'EDT Y TAREAS'!AJ27/'EDT Y TAREAS'!M27,0),IF(AND(192&gt;='EDT Y TAREAS'!AK28,192&lt;'EDT Y TAREAS'!AL28),'EDT Y TAREAS'!AJ28/'EDT Y TAREAS'!M28,0),IF(AND(192&gt;='EDT Y TAREAS'!AK33,192&lt;'EDT Y TAREAS'!AL33),'EDT Y TAREAS'!AJ33/'EDT Y TAREAS'!M33,0),IF(AND(192&gt;='EDT Y TAREAS'!AK35,192&lt;'EDT Y TAREAS'!AL35),'EDT Y TAREAS'!AJ35/'EDT Y TAREAS'!M35,0),IF(AND(192&gt;='EDT Y TAREAS'!AK36,192&lt;'EDT Y TAREAS'!AL36),'EDT Y TAREAS'!AJ36/'EDT Y TAREAS'!M36,0),IF(AND(192&gt;='EDT Y TAREAS'!AK37,192&lt;'EDT Y TAREAS'!AL37),'EDT Y TAREAS'!AJ37/'EDT Y TAREAS'!M37,0),IF(AND(192&gt;='EDT Y TAREAS'!AK40,192&lt;'EDT Y TAREAS'!AL40),'EDT Y TAREAS'!AJ40/'EDT Y TAREAS'!M40,0),IF(AND(192&gt;='EDT Y TAREAS'!AK42,192&lt;'EDT Y TAREAS'!AL42),'EDT Y TAREAS'!AJ42/'EDT Y TAREAS'!M42,0),IF(AND(192&gt;='EDT Y TAREAS'!AK49,192&lt;'EDT Y TAREAS'!AL49),'EDT Y TAREAS'!AJ49/'EDT Y TAREAS'!M49,0),IF(AND(192&gt;='EDT Y TAREAS'!AK50,192&lt;'EDT Y TAREAS'!AL50),'EDT Y TAREAS'!AJ50/'EDT Y TAREAS'!M50,0),IF(AND(192&gt;='EDT Y TAREAS'!AK51,192&lt;'EDT Y TAREAS'!AL51),'EDT Y TAREAS'!AJ51/'EDT Y TAREAS'!M51,0),IF(AND(192&gt;='EDT Y TAREAS'!AK52,192&lt;'EDT Y TAREAS'!AL52),'EDT Y TAREAS'!AJ52/'EDT Y TAREAS'!M52,0))</x:f>
        <x:v>0</x:v>
      </x:c>
      <x:c r="I232" s="10" t="n">
        <x:f>WORKDAY('RESUMEN'!$D$3-1,A232,'RESUMEN'!$J$6:$J$25)</x:f>
        <x:v>46596</x:v>
      </x:c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  <x:c r="AL232" s="3"/>
      <x:c r="AM232" s="3"/>
      <x:c r="AN232" s="3"/>
      <x:c r="AO232" s="3"/>
    </x:row>
    <x:row r="233" ht="24" customHeight="1">
      <x:c r="A233" s="3" t="n">
        <x:v>194</x:v>
      </x:c>
      <x:c r="B233" s="35" t="n">
        <x:f>SUM(IF(AND(193&gt;='EDT Y TAREAS'!AK6,193&lt;'EDT Y TAREAS'!AL6),'EDT Y TAREAS'!AD6/'EDT Y TAREAS'!M6,0),IF(AND(193&gt;='EDT Y TAREAS'!AK7,193&lt;'EDT Y TAREAS'!AL7),'EDT Y TAREAS'!AD7/'EDT Y TAREAS'!M7,0),IF(AND(193&gt;='EDT Y TAREAS'!AK8,193&lt;'EDT Y TAREAS'!AL8),'EDT Y TAREAS'!AD8/'EDT Y TAREAS'!M8,0),IF(AND(193&gt;='EDT Y TAREAS'!AK9,193&lt;'EDT Y TAREAS'!AL9),'EDT Y TAREAS'!AD9/'EDT Y TAREAS'!M9,0),IF(AND(193&gt;='EDT Y TAREAS'!AK10,193&lt;'EDT Y TAREAS'!AL10),'EDT Y TAREAS'!AD10/'EDT Y TAREAS'!M10,0),IF(AND(193&gt;='EDT Y TAREAS'!AK11,193&lt;'EDT Y TAREAS'!AL11),'EDT Y TAREAS'!AD11/'EDT Y TAREAS'!M11,0),IF(AND(193&gt;='EDT Y TAREAS'!AK12,193&lt;'EDT Y TAREAS'!AL12),'EDT Y TAREAS'!AD12/'EDT Y TAREAS'!M12,0),IF(AND(193&gt;='EDT Y TAREAS'!AK13,193&lt;'EDT Y TAREAS'!AL13),'EDT Y TAREAS'!AD13/'EDT Y TAREAS'!M13,0),IF(AND(193&gt;='EDT Y TAREAS'!AK14,193&lt;'EDT Y TAREAS'!AL14),'EDT Y TAREAS'!AD14/'EDT Y TAREAS'!M14,0),IF(AND(193&gt;='EDT Y TAREAS'!AK15,193&lt;'EDT Y TAREAS'!AL15),'EDT Y TAREAS'!AD15/'EDT Y TAREAS'!M15,0),IF(AND(193&gt;='EDT Y TAREAS'!AK16,193&lt;'EDT Y TAREAS'!AL16),'EDT Y TAREAS'!AD16/'EDT Y TAREAS'!M16,0),IF(AND(193&gt;='EDT Y TAREAS'!AK17,193&lt;'EDT Y TAREAS'!AL17),'EDT Y TAREAS'!AD17/'EDT Y TAREAS'!M17,0),IF(AND(193&gt;='EDT Y TAREAS'!AK18,193&lt;'EDT Y TAREAS'!AL18),'EDT Y TAREAS'!AD18/'EDT Y TAREAS'!M18,0),IF(AND(193&gt;='EDT Y TAREAS'!AK19,193&lt;'EDT Y TAREAS'!AL19),'EDT Y TAREAS'!AD19/'EDT Y TAREAS'!M19,0),IF(AND(193&gt;='EDT Y TAREAS'!AK20,193&lt;'EDT Y TAREAS'!AL20),'EDT Y TAREAS'!AD20/'EDT Y TAREAS'!M20,0),IF(AND(193&gt;='EDT Y TAREAS'!AK21,193&lt;'EDT Y TAREAS'!AL21),'EDT Y TAREAS'!AD21/'EDT Y TAREAS'!M21,0),IF(AND(193&gt;='EDT Y TAREAS'!AK22,193&lt;'EDT Y TAREAS'!AL22),'EDT Y TAREAS'!AD22/'EDT Y TAREAS'!M22,0),IF(AND(193&gt;='EDT Y TAREAS'!AK23,193&lt;'EDT Y TAREAS'!AL23),'EDT Y TAREAS'!AD23/'EDT Y TAREAS'!M23,0),IF(AND(193&gt;='EDT Y TAREAS'!AK26,193&lt;'EDT Y TAREAS'!AL26),'EDT Y TAREAS'!AD26/'EDT Y TAREAS'!M26,0),IF(AND(193&gt;='EDT Y TAREAS'!AK28,193&lt;'EDT Y TAREAS'!AL28),'EDT Y TAREAS'!AD28/'EDT Y TAREAS'!M28,0),IF(AND(193&gt;='EDT Y TAREAS'!AK30,193&lt;'EDT Y TAREAS'!AL30),'EDT Y TAREAS'!AD30/'EDT Y TAREAS'!M30,0),IF(AND(193&gt;='EDT Y TAREAS'!AK32,193&lt;'EDT Y TAREAS'!AL32),'EDT Y TAREAS'!AD32/'EDT Y TAREAS'!M32,0),IF(AND(193&gt;='EDT Y TAREAS'!AK34,193&lt;'EDT Y TAREAS'!AL34),'EDT Y TAREAS'!AD34/'EDT Y TAREAS'!M34,0),IF(AND(193&gt;='EDT Y TAREAS'!AK38,193&lt;'EDT Y TAREAS'!AL38),'EDT Y TAREAS'!AD38/'EDT Y TAREAS'!M38,0),IF(AND(193&gt;='EDT Y TAREAS'!AK39,193&lt;'EDT Y TAREAS'!AL39),'EDT Y TAREAS'!AD39/'EDT Y TAREAS'!M39,0),IF(AND(193&gt;='EDT Y TAREAS'!AK43,193&lt;'EDT Y TAREAS'!AL43),'EDT Y TAREAS'!AD43/'EDT Y TAREAS'!M43,0),IF(AND(193&gt;='EDT Y TAREAS'!AK44,193&lt;'EDT Y TAREAS'!AL44),'EDT Y TAREAS'!AD44/'EDT Y TAREAS'!M44,0),IF(AND(193&gt;='EDT Y TAREAS'!AK45,193&lt;'EDT Y TAREAS'!AL45),'EDT Y TAREAS'!AD45/'EDT Y TAREAS'!M45,0),IF(AND(193&gt;='EDT Y TAREAS'!AK46,193&lt;'EDT Y TAREAS'!AL46),'EDT Y TAREAS'!AD46/'EDT Y TAREAS'!M46,0),IF(AND(193&gt;='EDT Y TAREAS'!AK47,193&lt;'EDT Y TAREAS'!AL47),'EDT Y TAREAS'!AD47/'EDT Y TAREAS'!M47,0),IF(AND(193&gt;='EDT Y TAREAS'!AK49,193&lt;'EDT Y TAREAS'!AL49),'EDT Y TAREAS'!AD49/'EDT Y TAREAS'!M49,0),IF(AND(193&gt;='EDT Y TAREAS'!AK50,193&lt;'EDT Y TAREAS'!AL50),'EDT Y TAREAS'!AD50/'EDT Y TAREAS'!M50,0),IF(AND(193&gt;='EDT Y TAREAS'!AK51,193&lt;'EDT Y TAREAS'!AL51),'EDT Y TAREAS'!AD51/'EDT Y TAREAS'!M51,0),IF(AND(193&gt;='EDT Y TAREAS'!AK52,193&lt;'EDT Y TAREAS'!AL52),'EDT Y TAREAS'!AD52/'EDT Y TAREAS'!M52,0))</x:f>
        <x:v>0</x:v>
      </x:c>
      <x:c r="C233" s="35" t="n">
        <x:f>SUM(IF(AND(193&gt;='EDT Y TAREAS'!AK6,193&lt;'EDT Y TAREAS'!AL6),'EDT Y TAREAS'!AE6/'EDT Y TAREAS'!M6,0),IF(AND(193&gt;='EDT Y TAREAS'!AK8,193&lt;'EDT Y TAREAS'!AL8),'EDT Y TAREAS'!AE8/'EDT Y TAREAS'!M8,0),IF(AND(193&gt;='EDT Y TAREAS'!AK9,193&lt;'EDT Y TAREAS'!AL9),'EDT Y TAREAS'!AE9/'EDT Y TAREAS'!M9,0),IF(AND(193&gt;='EDT Y TAREAS'!AK10,193&lt;'EDT Y TAREAS'!AL10),'EDT Y TAREAS'!AE10/'EDT Y TAREAS'!M10,0),IF(AND(193&gt;='EDT Y TAREAS'!AK12,193&lt;'EDT Y TAREAS'!AL12),'EDT Y TAREAS'!AE12/'EDT Y TAREAS'!M12,0),IF(AND(193&gt;='EDT Y TAREAS'!AK16,193&lt;'EDT Y TAREAS'!AL16),'EDT Y TAREAS'!AE16/'EDT Y TAREAS'!M16,0),IF(AND(193&gt;='EDT Y TAREAS'!AK21,193&lt;'EDT Y TAREAS'!AL21),'EDT Y TAREAS'!AE21/'EDT Y TAREAS'!M21,0),IF(AND(193&gt;='EDT Y TAREAS'!AK23,193&lt;'EDT Y TAREAS'!AL23),'EDT Y TAREAS'!AE23/'EDT Y TAREAS'!M23,0),IF(AND(193&gt;='EDT Y TAREAS'!AK37,193&lt;'EDT Y TAREAS'!AL37),'EDT Y TAREAS'!AE37/'EDT Y TAREAS'!M37,0),IF(AND(193&gt;='EDT Y TAREAS'!AK38,193&lt;'EDT Y TAREAS'!AL38),'EDT Y TAREAS'!AE38/'EDT Y TAREAS'!M38,0),IF(AND(193&gt;='EDT Y TAREAS'!AK41,193&lt;'EDT Y TAREAS'!AL41),'EDT Y TAREAS'!AE41/'EDT Y TAREAS'!M41,0),IF(AND(193&gt;='EDT Y TAREAS'!AK43,193&lt;'EDT Y TAREAS'!AL43),'EDT Y TAREAS'!AE43/'EDT Y TAREAS'!M43,0),IF(AND(193&gt;='EDT Y TAREAS'!AK44,193&lt;'EDT Y TAREAS'!AL44),'EDT Y TAREAS'!AE44/'EDT Y TAREAS'!M44,0),IF(AND(193&gt;='EDT Y TAREAS'!AK46,193&lt;'EDT Y TAREAS'!AL46),'EDT Y TAREAS'!AE46/'EDT Y TAREAS'!M46,0),IF(AND(193&gt;='EDT Y TAREAS'!AK47,193&lt;'EDT Y TAREAS'!AL47),'EDT Y TAREAS'!AE47/'EDT Y TAREAS'!M47,0),IF(AND(193&gt;='EDT Y TAREAS'!AK51,193&lt;'EDT Y TAREAS'!AL51),'EDT Y TAREAS'!AE51/'EDT Y TAREAS'!M51,0),IF(AND(193&gt;='EDT Y TAREAS'!AK52,193&lt;'EDT Y TAREAS'!AL52),'EDT Y TAREAS'!AE52/'EDT Y TAREAS'!M52,0))</x:f>
        <x:v>0</x:v>
      </x:c>
      <x:c r="D233" s="35" t="n">
        <x:f>SUM(IF(AND(193&gt;='EDT Y TAREAS'!AK11,193&lt;'EDT Y TAREAS'!AL11),'EDT Y TAREAS'!AF11/'EDT Y TAREAS'!M11,0),IF(AND(193&gt;='EDT Y TAREAS'!AK24,193&lt;'EDT Y TAREAS'!AL24),'EDT Y TAREAS'!AF24/'EDT Y TAREAS'!M24,0),IF(AND(193&gt;='EDT Y TAREAS'!AK25,193&lt;'EDT Y TAREAS'!AL25),'EDT Y TAREAS'!AF25/'EDT Y TAREAS'!M25,0),IF(AND(193&gt;='EDT Y TAREAS'!AK26,193&lt;'EDT Y TAREAS'!AL26),'EDT Y TAREAS'!AF26/'EDT Y TAREAS'!M26,0),IF(AND(193&gt;='EDT Y TAREAS'!AK27,193&lt;'EDT Y TAREAS'!AL27),'EDT Y TAREAS'!AF27/'EDT Y TAREAS'!M27,0),IF(AND(193&gt;='EDT Y TAREAS'!AK28,193&lt;'EDT Y TAREAS'!AL28),'EDT Y TAREAS'!AF28/'EDT Y TAREAS'!M28,0),IF(AND(193&gt;='EDT Y TAREAS'!AK31,193&lt;'EDT Y TAREAS'!AL31),'EDT Y TAREAS'!AF31/'EDT Y TAREAS'!M31,0),IF(AND(193&gt;='EDT Y TAREAS'!AK33,193&lt;'EDT Y TAREAS'!AL33),'EDT Y TAREAS'!AF33/'EDT Y TAREAS'!M33,0),IF(AND(193&gt;='EDT Y TAREAS'!AK34,193&lt;'EDT Y TAREAS'!AL34),'EDT Y TAREAS'!AF34/'EDT Y TAREAS'!M34,0),IF(AND(193&gt;='EDT Y TAREAS'!AK35,193&lt;'EDT Y TAREAS'!AL35),'EDT Y TAREAS'!AF35/'EDT Y TAREAS'!M35,0),IF(AND(193&gt;='EDT Y TAREAS'!AK37,193&lt;'EDT Y TAREAS'!AL37),'EDT Y TAREAS'!AF37/'EDT Y TAREAS'!M37,0),IF(AND(193&gt;='EDT Y TAREAS'!AK39,193&lt;'EDT Y TAREAS'!AL39),'EDT Y TAREAS'!AF39/'EDT Y TAREAS'!M39,0),IF(AND(193&gt;='EDT Y TAREAS'!AK40,193&lt;'EDT Y TAREAS'!AL40),'EDT Y TAREAS'!AF40/'EDT Y TAREAS'!M40,0),IF(AND(193&gt;='EDT Y TAREAS'!AK42,193&lt;'EDT Y TAREAS'!AL42),'EDT Y TAREAS'!AF42/'EDT Y TAREAS'!M42,0),IF(AND(193&gt;='EDT Y TAREAS'!AK45,193&lt;'EDT Y TAREAS'!AL45),'EDT Y TAREAS'!AF45/'EDT Y TAREAS'!M45,0),IF(AND(193&gt;='EDT Y TAREAS'!AK49,193&lt;'EDT Y TAREAS'!AL49),'EDT Y TAREAS'!AF49/'EDT Y TAREAS'!M49,0),IF(AND(193&gt;='EDT Y TAREAS'!AK52,193&lt;'EDT Y TAREAS'!AL52),'EDT Y TAREAS'!AF52/'EDT Y TAREAS'!M52,0))</x:f>
        <x:v>0</x:v>
      </x:c>
      <x:c r="E233" s="35" t="n">
        <x:f>SUM(IF(AND(193&gt;='EDT Y TAREAS'!AK29,193&lt;'EDT Y TAREAS'!AL29),'EDT Y TAREAS'!AG29/'EDT Y TAREAS'!M29,0),IF(AND(193&gt;='EDT Y TAREAS'!AK30,193&lt;'EDT Y TAREAS'!AL30),'EDT Y TAREAS'!AG30/'EDT Y TAREAS'!M30,0),IF(AND(193&gt;='EDT Y TAREAS'!AK31,193&lt;'EDT Y TAREAS'!AL31),'EDT Y TAREAS'!AG31/'EDT Y TAREAS'!M31,0),IF(AND(193&gt;='EDT Y TAREAS'!AK32,193&lt;'EDT Y TAREAS'!AL32),'EDT Y TAREAS'!AG32/'EDT Y TAREAS'!M32,0),IF(AND(193&gt;='EDT Y TAREAS'!AK41,193&lt;'EDT Y TAREAS'!AL41),'EDT Y TAREAS'!AG41/'EDT Y TAREAS'!M41,0),IF(AND(193&gt;='EDT Y TAREAS'!AK45,193&lt;'EDT Y TAREAS'!AL45),'EDT Y TAREAS'!AG45/'EDT Y TAREAS'!M45,0),IF(AND(193&gt;='EDT Y TAREAS'!AK48,193&lt;'EDT Y TAREAS'!AL48),'EDT Y TAREAS'!AG48/'EDT Y TAREAS'!M48,0))</x:f>
        <x:v>0</x:v>
      </x:c>
      <x:c r="F233" s="35" t="n">
        <x:f>SUM(IF(AND(193&gt;='EDT Y TAREAS'!AK10,193&lt;'EDT Y TAREAS'!AL10),'EDT Y TAREAS'!AH10/'EDT Y TAREAS'!M10,0),IF(AND(193&gt;='EDT Y TAREAS'!AK12,193&lt;'EDT Y TAREAS'!AL12),'EDT Y TAREAS'!AH12/'EDT Y TAREAS'!M12,0),IF(AND(193&gt;='EDT Y TAREAS'!AK22,193&lt;'EDT Y TAREAS'!AL22),'EDT Y TAREAS'!AH22/'EDT Y TAREAS'!M22,0),IF(AND(193&gt;='EDT Y TAREAS'!AK23,193&lt;'EDT Y TAREAS'!AL23),'EDT Y TAREAS'!AH23/'EDT Y TAREAS'!M23,0),IF(AND(193&gt;='EDT Y TAREAS'!AK29,193&lt;'EDT Y TAREAS'!AL29),'EDT Y TAREAS'!AH29/'EDT Y TAREAS'!M29,0),IF(AND(193&gt;='EDT Y TAREAS'!AK30,193&lt;'EDT Y TAREAS'!AL30),'EDT Y TAREAS'!AH30/'EDT Y TAREAS'!M30,0),IF(AND(193&gt;='EDT Y TAREAS'!AK32,193&lt;'EDT Y TAREAS'!AL32),'EDT Y TAREAS'!AH32/'EDT Y TAREAS'!M32,0),IF(AND(193&gt;='EDT Y TAREAS'!AK41,193&lt;'EDT Y TAREAS'!AL41),'EDT Y TAREAS'!AH41/'EDT Y TAREAS'!M41,0),IF(AND(193&gt;='EDT Y TAREAS'!AK44,193&lt;'EDT Y TAREAS'!AL44),'EDT Y TAREAS'!AH44/'EDT Y TAREAS'!M44,0),IF(AND(193&gt;='EDT Y TAREAS'!AK46,193&lt;'EDT Y TAREAS'!AL46),'EDT Y TAREAS'!AH46/'EDT Y TAREAS'!M46,0),IF(AND(193&gt;='EDT Y TAREAS'!AK48,193&lt;'EDT Y TAREAS'!AL48),'EDT Y TAREAS'!AH48/'EDT Y TAREAS'!M48,0))</x:f>
        <x:v>0</x:v>
      </x:c>
      <x:c r="G233" s="35" t="n">
        <x:f>SUM(IF(AND(193&gt;='EDT Y TAREAS'!AK20,193&lt;'EDT Y TAREAS'!AL20),'EDT Y TAREAS'!AI20/'EDT Y TAREAS'!M20,0),IF(AND(193&gt;='EDT Y TAREAS'!AK25,193&lt;'EDT Y TAREAS'!AL25),'EDT Y TAREAS'!AI25/'EDT Y TAREAS'!M25,0),IF(AND(193&gt;='EDT Y TAREAS'!AK33,193&lt;'EDT Y TAREAS'!AL33),'EDT Y TAREAS'!AI33/'EDT Y TAREAS'!M33,0),IF(AND(193&gt;='EDT Y TAREAS'!AK34,193&lt;'EDT Y TAREAS'!AL34),'EDT Y TAREAS'!AI34/'EDT Y TAREAS'!M34,0),IF(AND(193&gt;='EDT Y TAREAS'!AK36,193&lt;'EDT Y TAREAS'!AL36),'EDT Y TAREAS'!AI36/'EDT Y TAREAS'!M36,0),IF(AND(193&gt;='EDT Y TAREAS'!AK39,193&lt;'EDT Y TAREAS'!AL39),'EDT Y TAREAS'!AI39/'EDT Y TAREAS'!M39,0),IF(AND(193&gt;='EDT Y TAREAS'!AK40,193&lt;'EDT Y TAREAS'!AL40),'EDT Y TAREAS'!AI40/'EDT Y TAREAS'!M40,0),IF(AND(193&gt;='EDT Y TAREAS'!AK42,193&lt;'EDT Y TAREAS'!AL42),'EDT Y TAREAS'!AI42/'EDT Y TAREAS'!M42,0),IF(AND(193&gt;='EDT Y TAREAS'!AK43,193&lt;'EDT Y TAREAS'!AL43),'EDT Y TAREAS'!AI43/'EDT Y TAREAS'!M43,0),IF(AND(193&gt;='EDT Y TAREAS'!AK44,193&lt;'EDT Y TAREAS'!AL44),'EDT Y TAREAS'!AI44/'EDT Y TAREAS'!M44,0),IF(AND(193&gt;='EDT Y TAREAS'!AK45,193&lt;'EDT Y TAREAS'!AL45),'EDT Y TAREAS'!AI45/'EDT Y TAREAS'!M45,0),IF(AND(193&gt;='EDT Y TAREAS'!AK46,193&lt;'EDT Y TAREAS'!AL46),'EDT Y TAREAS'!AI46/'EDT Y TAREAS'!M46,0),IF(AND(193&gt;='EDT Y TAREAS'!AK48,193&lt;'EDT Y TAREAS'!AL48),'EDT Y TAREAS'!AI48/'EDT Y TAREAS'!M48,0),IF(AND(193&gt;='EDT Y TAREAS'!AK50,193&lt;'EDT Y TAREAS'!AL50),'EDT Y TAREAS'!AI50/'EDT Y TAREAS'!M50,0),IF(AND(193&gt;='EDT Y TAREAS'!AK52,193&lt;'EDT Y TAREAS'!AL52),'EDT Y TAREAS'!AI52/'EDT Y TAREAS'!M52,0))</x:f>
        <x:v>0</x:v>
      </x:c>
      <x:c r="H233" s="35" t="n">
        <x:f>SUM(IF(AND(193&gt;='EDT Y TAREAS'!AK11,193&lt;'EDT Y TAREAS'!AL11),'EDT Y TAREAS'!AJ11/'EDT Y TAREAS'!M11,0),IF(AND(193&gt;='EDT Y TAREAS'!AK24,193&lt;'EDT Y TAREAS'!AL24),'EDT Y TAREAS'!AJ24/'EDT Y TAREAS'!M24,0),IF(AND(193&gt;='EDT Y TAREAS'!AK27,193&lt;'EDT Y TAREAS'!AL27),'EDT Y TAREAS'!AJ27/'EDT Y TAREAS'!M27,0),IF(AND(193&gt;='EDT Y TAREAS'!AK28,193&lt;'EDT Y TAREAS'!AL28),'EDT Y TAREAS'!AJ28/'EDT Y TAREAS'!M28,0),IF(AND(193&gt;='EDT Y TAREAS'!AK33,193&lt;'EDT Y TAREAS'!AL33),'EDT Y TAREAS'!AJ33/'EDT Y TAREAS'!M33,0),IF(AND(193&gt;='EDT Y TAREAS'!AK35,193&lt;'EDT Y TAREAS'!AL35),'EDT Y TAREAS'!AJ35/'EDT Y TAREAS'!M35,0),IF(AND(193&gt;='EDT Y TAREAS'!AK36,193&lt;'EDT Y TAREAS'!AL36),'EDT Y TAREAS'!AJ36/'EDT Y TAREAS'!M36,0),IF(AND(193&gt;='EDT Y TAREAS'!AK37,193&lt;'EDT Y TAREAS'!AL37),'EDT Y TAREAS'!AJ37/'EDT Y TAREAS'!M37,0),IF(AND(193&gt;='EDT Y TAREAS'!AK40,193&lt;'EDT Y TAREAS'!AL40),'EDT Y TAREAS'!AJ40/'EDT Y TAREAS'!M40,0),IF(AND(193&gt;='EDT Y TAREAS'!AK42,193&lt;'EDT Y TAREAS'!AL42),'EDT Y TAREAS'!AJ42/'EDT Y TAREAS'!M42,0),IF(AND(193&gt;='EDT Y TAREAS'!AK49,193&lt;'EDT Y TAREAS'!AL49),'EDT Y TAREAS'!AJ49/'EDT Y TAREAS'!M49,0),IF(AND(193&gt;='EDT Y TAREAS'!AK50,193&lt;'EDT Y TAREAS'!AL50),'EDT Y TAREAS'!AJ50/'EDT Y TAREAS'!M50,0),IF(AND(193&gt;='EDT Y TAREAS'!AK51,193&lt;'EDT Y TAREAS'!AL51),'EDT Y TAREAS'!AJ51/'EDT Y TAREAS'!M51,0),IF(AND(193&gt;='EDT Y TAREAS'!AK52,193&lt;'EDT Y TAREAS'!AL52),'EDT Y TAREAS'!AJ52/'EDT Y TAREAS'!M52,0))</x:f>
        <x:v>0</x:v>
      </x:c>
      <x:c r="I233" s="10" t="n">
        <x:f>WORKDAY('RESUMEN'!$D$3-1,A233,'RESUMEN'!$J$6:$J$25)</x:f>
        <x:v>46597</x:v>
      </x:c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  <x:c r="AL233" s="3"/>
      <x:c r="AM233" s="3"/>
      <x:c r="AN233" s="3"/>
      <x:c r="AO233" s="3"/>
    </x:row>
    <x:row r="234" ht="24" customHeight="1">
      <x:c r="A234" s="3" t="n">
        <x:v>195</x:v>
      </x:c>
      <x:c r="B234" s="35" t="n">
        <x:f>SUM(IF(AND(194&gt;='EDT Y TAREAS'!AK6,194&lt;'EDT Y TAREAS'!AL6),'EDT Y TAREAS'!AD6/'EDT Y TAREAS'!M6,0),IF(AND(194&gt;='EDT Y TAREAS'!AK7,194&lt;'EDT Y TAREAS'!AL7),'EDT Y TAREAS'!AD7/'EDT Y TAREAS'!M7,0),IF(AND(194&gt;='EDT Y TAREAS'!AK8,194&lt;'EDT Y TAREAS'!AL8),'EDT Y TAREAS'!AD8/'EDT Y TAREAS'!M8,0),IF(AND(194&gt;='EDT Y TAREAS'!AK9,194&lt;'EDT Y TAREAS'!AL9),'EDT Y TAREAS'!AD9/'EDT Y TAREAS'!M9,0),IF(AND(194&gt;='EDT Y TAREAS'!AK10,194&lt;'EDT Y TAREAS'!AL10),'EDT Y TAREAS'!AD10/'EDT Y TAREAS'!M10,0),IF(AND(194&gt;='EDT Y TAREAS'!AK11,194&lt;'EDT Y TAREAS'!AL11),'EDT Y TAREAS'!AD11/'EDT Y TAREAS'!M11,0),IF(AND(194&gt;='EDT Y TAREAS'!AK12,194&lt;'EDT Y TAREAS'!AL12),'EDT Y TAREAS'!AD12/'EDT Y TAREAS'!M12,0),IF(AND(194&gt;='EDT Y TAREAS'!AK13,194&lt;'EDT Y TAREAS'!AL13),'EDT Y TAREAS'!AD13/'EDT Y TAREAS'!M13,0),IF(AND(194&gt;='EDT Y TAREAS'!AK14,194&lt;'EDT Y TAREAS'!AL14),'EDT Y TAREAS'!AD14/'EDT Y TAREAS'!M14,0),IF(AND(194&gt;='EDT Y TAREAS'!AK15,194&lt;'EDT Y TAREAS'!AL15),'EDT Y TAREAS'!AD15/'EDT Y TAREAS'!M15,0),IF(AND(194&gt;='EDT Y TAREAS'!AK16,194&lt;'EDT Y TAREAS'!AL16),'EDT Y TAREAS'!AD16/'EDT Y TAREAS'!M16,0),IF(AND(194&gt;='EDT Y TAREAS'!AK17,194&lt;'EDT Y TAREAS'!AL17),'EDT Y TAREAS'!AD17/'EDT Y TAREAS'!M17,0),IF(AND(194&gt;='EDT Y TAREAS'!AK18,194&lt;'EDT Y TAREAS'!AL18),'EDT Y TAREAS'!AD18/'EDT Y TAREAS'!M18,0),IF(AND(194&gt;='EDT Y TAREAS'!AK19,194&lt;'EDT Y TAREAS'!AL19),'EDT Y TAREAS'!AD19/'EDT Y TAREAS'!M19,0),IF(AND(194&gt;='EDT Y TAREAS'!AK20,194&lt;'EDT Y TAREAS'!AL20),'EDT Y TAREAS'!AD20/'EDT Y TAREAS'!M20,0),IF(AND(194&gt;='EDT Y TAREAS'!AK21,194&lt;'EDT Y TAREAS'!AL21),'EDT Y TAREAS'!AD21/'EDT Y TAREAS'!M21,0),IF(AND(194&gt;='EDT Y TAREAS'!AK22,194&lt;'EDT Y TAREAS'!AL22),'EDT Y TAREAS'!AD22/'EDT Y TAREAS'!M22,0),IF(AND(194&gt;='EDT Y TAREAS'!AK23,194&lt;'EDT Y TAREAS'!AL23),'EDT Y TAREAS'!AD23/'EDT Y TAREAS'!M23,0),IF(AND(194&gt;='EDT Y TAREAS'!AK26,194&lt;'EDT Y TAREAS'!AL26),'EDT Y TAREAS'!AD26/'EDT Y TAREAS'!M26,0),IF(AND(194&gt;='EDT Y TAREAS'!AK28,194&lt;'EDT Y TAREAS'!AL28),'EDT Y TAREAS'!AD28/'EDT Y TAREAS'!M28,0),IF(AND(194&gt;='EDT Y TAREAS'!AK30,194&lt;'EDT Y TAREAS'!AL30),'EDT Y TAREAS'!AD30/'EDT Y TAREAS'!M30,0),IF(AND(194&gt;='EDT Y TAREAS'!AK32,194&lt;'EDT Y TAREAS'!AL32),'EDT Y TAREAS'!AD32/'EDT Y TAREAS'!M32,0),IF(AND(194&gt;='EDT Y TAREAS'!AK34,194&lt;'EDT Y TAREAS'!AL34),'EDT Y TAREAS'!AD34/'EDT Y TAREAS'!M34,0),IF(AND(194&gt;='EDT Y TAREAS'!AK38,194&lt;'EDT Y TAREAS'!AL38),'EDT Y TAREAS'!AD38/'EDT Y TAREAS'!M38,0),IF(AND(194&gt;='EDT Y TAREAS'!AK39,194&lt;'EDT Y TAREAS'!AL39),'EDT Y TAREAS'!AD39/'EDT Y TAREAS'!M39,0),IF(AND(194&gt;='EDT Y TAREAS'!AK43,194&lt;'EDT Y TAREAS'!AL43),'EDT Y TAREAS'!AD43/'EDT Y TAREAS'!M43,0),IF(AND(194&gt;='EDT Y TAREAS'!AK44,194&lt;'EDT Y TAREAS'!AL44),'EDT Y TAREAS'!AD44/'EDT Y TAREAS'!M44,0),IF(AND(194&gt;='EDT Y TAREAS'!AK45,194&lt;'EDT Y TAREAS'!AL45),'EDT Y TAREAS'!AD45/'EDT Y TAREAS'!M45,0),IF(AND(194&gt;='EDT Y TAREAS'!AK46,194&lt;'EDT Y TAREAS'!AL46),'EDT Y TAREAS'!AD46/'EDT Y TAREAS'!M46,0),IF(AND(194&gt;='EDT Y TAREAS'!AK47,194&lt;'EDT Y TAREAS'!AL47),'EDT Y TAREAS'!AD47/'EDT Y TAREAS'!M47,0),IF(AND(194&gt;='EDT Y TAREAS'!AK49,194&lt;'EDT Y TAREAS'!AL49),'EDT Y TAREAS'!AD49/'EDT Y TAREAS'!M49,0),IF(AND(194&gt;='EDT Y TAREAS'!AK50,194&lt;'EDT Y TAREAS'!AL50),'EDT Y TAREAS'!AD50/'EDT Y TAREAS'!M50,0),IF(AND(194&gt;='EDT Y TAREAS'!AK51,194&lt;'EDT Y TAREAS'!AL51),'EDT Y TAREAS'!AD51/'EDT Y TAREAS'!M51,0),IF(AND(194&gt;='EDT Y TAREAS'!AK52,194&lt;'EDT Y TAREAS'!AL52),'EDT Y TAREAS'!AD52/'EDT Y TAREAS'!M52,0))</x:f>
        <x:v>0</x:v>
      </x:c>
      <x:c r="C234" s="35" t="n">
        <x:f>SUM(IF(AND(194&gt;='EDT Y TAREAS'!AK6,194&lt;'EDT Y TAREAS'!AL6),'EDT Y TAREAS'!AE6/'EDT Y TAREAS'!M6,0),IF(AND(194&gt;='EDT Y TAREAS'!AK8,194&lt;'EDT Y TAREAS'!AL8),'EDT Y TAREAS'!AE8/'EDT Y TAREAS'!M8,0),IF(AND(194&gt;='EDT Y TAREAS'!AK9,194&lt;'EDT Y TAREAS'!AL9),'EDT Y TAREAS'!AE9/'EDT Y TAREAS'!M9,0),IF(AND(194&gt;='EDT Y TAREAS'!AK10,194&lt;'EDT Y TAREAS'!AL10),'EDT Y TAREAS'!AE10/'EDT Y TAREAS'!M10,0),IF(AND(194&gt;='EDT Y TAREAS'!AK12,194&lt;'EDT Y TAREAS'!AL12),'EDT Y TAREAS'!AE12/'EDT Y TAREAS'!M12,0),IF(AND(194&gt;='EDT Y TAREAS'!AK16,194&lt;'EDT Y TAREAS'!AL16),'EDT Y TAREAS'!AE16/'EDT Y TAREAS'!M16,0),IF(AND(194&gt;='EDT Y TAREAS'!AK21,194&lt;'EDT Y TAREAS'!AL21),'EDT Y TAREAS'!AE21/'EDT Y TAREAS'!M21,0),IF(AND(194&gt;='EDT Y TAREAS'!AK23,194&lt;'EDT Y TAREAS'!AL23),'EDT Y TAREAS'!AE23/'EDT Y TAREAS'!M23,0),IF(AND(194&gt;='EDT Y TAREAS'!AK37,194&lt;'EDT Y TAREAS'!AL37),'EDT Y TAREAS'!AE37/'EDT Y TAREAS'!M37,0),IF(AND(194&gt;='EDT Y TAREAS'!AK38,194&lt;'EDT Y TAREAS'!AL38),'EDT Y TAREAS'!AE38/'EDT Y TAREAS'!M38,0),IF(AND(194&gt;='EDT Y TAREAS'!AK41,194&lt;'EDT Y TAREAS'!AL41),'EDT Y TAREAS'!AE41/'EDT Y TAREAS'!M41,0),IF(AND(194&gt;='EDT Y TAREAS'!AK43,194&lt;'EDT Y TAREAS'!AL43),'EDT Y TAREAS'!AE43/'EDT Y TAREAS'!M43,0),IF(AND(194&gt;='EDT Y TAREAS'!AK44,194&lt;'EDT Y TAREAS'!AL44),'EDT Y TAREAS'!AE44/'EDT Y TAREAS'!M44,0),IF(AND(194&gt;='EDT Y TAREAS'!AK46,194&lt;'EDT Y TAREAS'!AL46),'EDT Y TAREAS'!AE46/'EDT Y TAREAS'!M46,0),IF(AND(194&gt;='EDT Y TAREAS'!AK47,194&lt;'EDT Y TAREAS'!AL47),'EDT Y TAREAS'!AE47/'EDT Y TAREAS'!M47,0),IF(AND(194&gt;='EDT Y TAREAS'!AK51,194&lt;'EDT Y TAREAS'!AL51),'EDT Y TAREAS'!AE51/'EDT Y TAREAS'!M51,0),IF(AND(194&gt;='EDT Y TAREAS'!AK52,194&lt;'EDT Y TAREAS'!AL52),'EDT Y TAREAS'!AE52/'EDT Y TAREAS'!M52,0))</x:f>
        <x:v>0</x:v>
      </x:c>
      <x:c r="D234" s="35" t="n">
        <x:f>SUM(IF(AND(194&gt;='EDT Y TAREAS'!AK11,194&lt;'EDT Y TAREAS'!AL11),'EDT Y TAREAS'!AF11/'EDT Y TAREAS'!M11,0),IF(AND(194&gt;='EDT Y TAREAS'!AK24,194&lt;'EDT Y TAREAS'!AL24),'EDT Y TAREAS'!AF24/'EDT Y TAREAS'!M24,0),IF(AND(194&gt;='EDT Y TAREAS'!AK25,194&lt;'EDT Y TAREAS'!AL25),'EDT Y TAREAS'!AF25/'EDT Y TAREAS'!M25,0),IF(AND(194&gt;='EDT Y TAREAS'!AK26,194&lt;'EDT Y TAREAS'!AL26),'EDT Y TAREAS'!AF26/'EDT Y TAREAS'!M26,0),IF(AND(194&gt;='EDT Y TAREAS'!AK27,194&lt;'EDT Y TAREAS'!AL27),'EDT Y TAREAS'!AF27/'EDT Y TAREAS'!M27,0),IF(AND(194&gt;='EDT Y TAREAS'!AK28,194&lt;'EDT Y TAREAS'!AL28),'EDT Y TAREAS'!AF28/'EDT Y TAREAS'!M28,0),IF(AND(194&gt;='EDT Y TAREAS'!AK31,194&lt;'EDT Y TAREAS'!AL31),'EDT Y TAREAS'!AF31/'EDT Y TAREAS'!M31,0),IF(AND(194&gt;='EDT Y TAREAS'!AK33,194&lt;'EDT Y TAREAS'!AL33),'EDT Y TAREAS'!AF33/'EDT Y TAREAS'!M33,0),IF(AND(194&gt;='EDT Y TAREAS'!AK34,194&lt;'EDT Y TAREAS'!AL34),'EDT Y TAREAS'!AF34/'EDT Y TAREAS'!M34,0),IF(AND(194&gt;='EDT Y TAREAS'!AK35,194&lt;'EDT Y TAREAS'!AL35),'EDT Y TAREAS'!AF35/'EDT Y TAREAS'!M35,0),IF(AND(194&gt;='EDT Y TAREAS'!AK37,194&lt;'EDT Y TAREAS'!AL37),'EDT Y TAREAS'!AF37/'EDT Y TAREAS'!M37,0),IF(AND(194&gt;='EDT Y TAREAS'!AK39,194&lt;'EDT Y TAREAS'!AL39),'EDT Y TAREAS'!AF39/'EDT Y TAREAS'!M39,0),IF(AND(194&gt;='EDT Y TAREAS'!AK40,194&lt;'EDT Y TAREAS'!AL40),'EDT Y TAREAS'!AF40/'EDT Y TAREAS'!M40,0),IF(AND(194&gt;='EDT Y TAREAS'!AK42,194&lt;'EDT Y TAREAS'!AL42),'EDT Y TAREAS'!AF42/'EDT Y TAREAS'!M42,0),IF(AND(194&gt;='EDT Y TAREAS'!AK45,194&lt;'EDT Y TAREAS'!AL45),'EDT Y TAREAS'!AF45/'EDT Y TAREAS'!M45,0),IF(AND(194&gt;='EDT Y TAREAS'!AK49,194&lt;'EDT Y TAREAS'!AL49),'EDT Y TAREAS'!AF49/'EDT Y TAREAS'!M49,0),IF(AND(194&gt;='EDT Y TAREAS'!AK52,194&lt;'EDT Y TAREAS'!AL52),'EDT Y TAREAS'!AF52/'EDT Y TAREAS'!M52,0))</x:f>
        <x:v>0</x:v>
      </x:c>
      <x:c r="E234" s="35" t="n">
        <x:f>SUM(IF(AND(194&gt;='EDT Y TAREAS'!AK29,194&lt;'EDT Y TAREAS'!AL29),'EDT Y TAREAS'!AG29/'EDT Y TAREAS'!M29,0),IF(AND(194&gt;='EDT Y TAREAS'!AK30,194&lt;'EDT Y TAREAS'!AL30),'EDT Y TAREAS'!AG30/'EDT Y TAREAS'!M30,0),IF(AND(194&gt;='EDT Y TAREAS'!AK31,194&lt;'EDT Y TAREAS'!AL31),'EDT Y TAREAS'!AG31/'EDT Y TAREAS'!M31,0),IF(AND(194&gt;='EDT Y TAREAS'!AK32,194&lt;'EDT Y TAREAS'!AL32),'EDT Y TAREAS'!AG32/'EDT Y TAREAS'!M32,0),IF(AND(194&gt;='EDT Y TAREAS'!AK41,194&lt;'EDT Y TAREAS'!AL41),'EDT Y TAREAS'!AG41/'EDT Y TAREAS'!M41,0),IF(AND(194&gt;='EDT Y TAREAS'!AK45,194&lt;'EDT Y TAREAS'!AL45),'EDT Y TAREAS'!AG45/'EDT Y TAREAS'!M45,0),IF(AND(194&gt;='EDT Y TAREAS'!AK48,194&lt;'EDT Y TAREAS'!AL48),'EDT Y TAREAS'!AG48/'EDT Y TAREAS'!M48,0))</x:f>
        <x:v>0</x:v>
      </x:c>
      <x:c r="F234" s="35" t="n">
        <x:f>SUM(IF(AND(194&gt;='EDT Y TAREAS'!AK10,194&lt;'EDT Y TAREAS'!AL10),'EDT Y TAREAS'!AH10/'EDT Y TAREAS'!M10,0),IF(AND(194&gt;='EDT Y TAREAS'!AK12,194&lt;'EDT Y TAREAS'!AL12),'EDT Y TAREAS'!AH12/'EDT Y TAREAS'!M12,0),IF(AND(194&gt;='EDT Y TAREAS'!AK22,194&lt;'EDT Y TAREAS'!AL22),'EDT Y TAREAS'!AH22/'EDT Y TAREAS'!M22,0),IF(AND(194&gt;='EDT Y TAREAS'!AK23,194&lt;'EDT Y TAREAS'!AL23),'EDT Y TAREAS'!AH23/'EDT Y TAREAS'!M23,0),IF(AND(194&gt;='EDT Y TAREAS'!AK29,194&lt;'EDT Y TAREAS'!AL29),'EDT Y TAREAS'!AH29/'EDT Y TAREAS'!M29,0),IF(AND(194&gt;='EDT Y TAREAS'!AK30,194&lt;'EDT Y TAREAS'!AL30),'EDT Y TAREAS'!AH30/'EDT Y TAREAS'!M30,0),IF(AND(194&gt;='EDT Y TAREAS'!AK32,194&lt;'EDT Y TAREAS'!AL32),'EDT Y TAREAS'!AH32/'EDT Y TAREAS'!M32,0),IF(AND(194&gt;='EDT Y TAREAS'!AK41,194&lt;'EDT Y TAREAS'!AL41),'EDT Y TAREAS'!AH41/'EDT Y TAREAS'!M41,0),IF(AND(194&gt;='EDT Y TAREAS'!AK44,194&lt;'EDT Y TAREAS'!AL44),'EDT Y TAREAS'!AH44/'EDT Y TAREAS'!M44,0),IF(AND(194&gt;='EDT Y TAREAS'!AK46,194&lt;'EDT Y TAREAS'!AL46),'EDT Y TAREAS'!AH46/'EDT Y TAREAS'!M46,0),IF(AND(194&gt;='EDT Y TAREAS'!AK48,194&lt;'EDT Y TAREAS'!AL48),'EDT Y TAREAS'!AH48/'EDT Y TAREAS'!M48,0))</x:f>
        <x:v>0</x:v>
      </x:c>
      <x:c r="G234" s="35" t="n">
        <x:f>SUM(IF(AND(194&gt;='EDT Y TAREAS'!AK20,194&lt;'EDT Y TAREAS'!AL20),'EDT Y TAREAS'!AI20/'EDT Y TAREAS'!M20,0),IF(AND(194&gt;='EDT Y TAREAS'!AK25,194&lt;'EDT Y TAREAS'!AL25),'EDT Y TAREAS'!AI25/'EDT Y TAREAS'!M25,0),IF(AND(194&gt;='EDT Y TAREAS'!AK33,194&lt;'EDT Y TAREAS'!AL33),'EDT Y TAREAS'!AI33/'EDT Y TAREAS'!M33,0),IF(AND(194&gt;='EDT Y TAREAS'!AK34,194&lt;'EDT Y TAREAS'!AL34),'EDT Y TAREAS'!AI34/'EDT Y TAREAS'!M34,0),IF(AND(194&gt;='EDT Y TAREAS'!AK36,194&lt;'EDT Y TAREAS'!AL36),'EDT Y TAREAS'!AI36/'EDT Y TAREAS'!M36,0),IF(AND(194&gt;='EDT Y TAREAS'!AK39,194&lt;'EDT Y TAREAS'!AL39),'EDT Y TAREAS'!AI39/'EDT Y TAREAS'!M39,0),IF(AND(194&gt;='EDT Y TAREAS'!AK40,194&lt;'EDT Y TAREAS'!AL40),'EDT Y TAREAS'!AI40/'EDT Y TAREAS'!M40,0),IF(AND(194&gt;='EDT Y TAREAS'!AK42,194&lt;'EDT Y TAREAS'!AL42),'EDT Y TAREAS'!AI42/'EDT Y TAREAS'!M42,0),IF(AND(194&gt;='EDT Y TAREAS'!AK43,194&lt;'EDT Y TAREAS'!AL43),'EDT Y TAREAS'!AI43/'EDT Y TAREAS'!M43,0),IF(AND(194&gt;='EDT Y TAREAS'!AK44,194&lt;'EDT Y TAREAS'!AL44),'EDT Y TAREAS'!AI44/'EDT Y TAREAS'!M44,0),IF(AND(194&gt;='EDT Y TAREAS'!AK45,194&lt;'EDT Y TAREAS'!AL45),'EDT Y TAREAS'!AI45/'EDT Y TAREAS'!M45,0),IF(AND(194&gt;='EDT Y TAREAS'!AK46,194&lt;'EDT Y TAREAS'!AL46),'EDT Y TAREAS'!AI46/'EDT Y TAREAS'!M46,0),IF(AND(194&gt;='EDT Y TAREAS'!AK48,194&lt;'EDT Y TAREAS'!AL48),'EDT Y TAREAS'!AI48/'EDT Y TAREAS'!M48,0),IF(AND(194&gt;='EDT Y TAREAS'!AK50,194&lt;'EDT Y TAREAS'!AL50),'EDT Y TAREAS'!AI50/'EDT Y TAREAS'!M50,0),IF(AND(194&gt;='EDT Y TAREAS'!AK52,194&lt;'EDT Y TAREAS'!AL52),'EDT Y TAREAS'!AI52/'EDT Y TAREAS'!M52,0))</x:f>
        <x:v>0</x:v>
      </x:c>
      <x:c r="H234" s="35" t="n">
        <x:f>SUM(IF(AND(194&gt;='EDT Y TAREAS'!AK11,194&lt;'EDT Y TAREAS'!AL11),'EDT Y TAREAS'!AJ11/'EDT Y TAREAS'!M11,0),IF(AND(194&gt;='EDT Y TAREAS'!AK24,194&lt;'EDT Y TAREAS'!AL24),'EDT Y TAREAS'!AJ24/'EDT Y TAREAS'!M24,0),IF(AND(194&gt;='EDT Y TAREAS'!AK27,194&lt;'EDT Y TAREAS'!AL27),'EDT Y TAREAS'!AJ27/'EDT Y TAREAS'!M27,0),IF(AND(194&gt;='EDT Y TAREAS'!AK28,194&lt;'EDT Y TAREAS'!AL28),'EDT Y TAREAS'!AJ28/'EDT Y TAREAS'!M28,0),IF(AND(194&gt;='EDT Y TAREAS'!AK33,194&lt;'EDT Y TAREAS'!AL33),'EDT Y TAREAS'!AJ33/'EDT Y TAREAS'!M33,0),IF(AND(194&gt;='EDT Y TAREAS'!AK35,194&lt;'EDT Y TAREAS'!AL35),'EDT Y TAREAS'!AJ35/'EDT Y TAREAS'!M35,0),IF(AND(194&gt;='EDT Y TAREAS'!AK36,194&lt;'EDT Y TAREAS'!AL36),'EDT Y TAREAS'!AJ36/'EDT Y TAREAS'!M36,0),IF(AND(194&gt;='EDT Y TAREAS'!AK37,194&lt;'EDT Y TAREAS'!AL37),'EDT Y TAREAS'!AJ37/'EDT Y TAREAS'!M37,0),IF(AND(194&gt;='EDT Y TAREAS'!AK40,194&lt;'EDT Y TAREAS'!AL40),'EDT Y TAREAS'!AJ40/'EDT Y TAREAS'!M40,0),IF(AND(194&gt;='EDT Y TAREAS'!AK42,194&lt;'EDT Y TAREAS'!AL42),'EDT Y TAREAS'!AJ42/'EDT Y TAREAS'!M42,0),IF(AND(194&gt;='EDT Y TAREAS'!AK49,194&lt;'EDT Y TAREAS'!AL49),'EDT Y TAREAS'!AJ49/'EDT Y TAREAS'!M49,0),IF(AND(194&gt;='EDT Y TAREAS'!AK50,194&lt;'EDT Y TAREAS'!AL50),'EDT Y TAREAS'!AJ50/'EDT Y TAREAS'!M50,0),IF(AND(194&gt;='EDT Y TAREAS'!AK51,194&lt;'EDT Y TAREAS'!AL51),'EDT Y TAREAS'!AJ51/'EDT Y TAREAS'!M51,0),IF(AND(194&gt;='EDT Y TAREAS'!AK52,194&lt;'EDT Y TAREAS'!AL52),'EDT Y TAREAS'!AJ52/'EDT Y TAREAS'!M52,0))</x:f>
        <x:v>0</x:v>
      </x:c>
      <x:c r="I234" s="10" t="n">
        <x:f>WORKDAY('RESUMEN'!$D$3-1,A234,'RESUMEN'!$J$6:$J$25)</x:f>
        <x:v>46598</x:v>
      </x:c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  <x:c r="AL234" s="3"/>
      <x:c r="AM234" s="3"/>
      <x:c r="AN234" s="3"/>
      <x:c r="AO234" s="3"/>
    </x:row>
    <x:row r="235" ht="24" customHeight="1">
      <x:c r="A235" s="3" t="n">
        <x:v>196</x:v>
      </x:c>
      <x:c r="B235" s="35" t="n">
        <x:f>SUM(IF(AND(195&gt;='EDT Y TAREAS'!AK6,195&lt;'EDT Y TAREAS'!AL6),'EDT Y TAREAS'!AD6/'EDT Y TAREAS'!M6,0),IF(AND(195&gt;='EDT Y TAREAS'!AK7,195&lt;'EDT Y TAREAS'!AL7),'EDT Y TAREAS'!AD7/'EDT Y TAREAS'!M7,0),IF(AND(195&gt;='EDT Y TAREAS'!AK8,195&lt;'EDT Y TAREAS'!AL8),'EDT Y TAREAS'!AD8/'EDT Y TAREAS'!M8,0),IF(AND(195&gt;='EDT Y TAREAS'!AK9,195&lt;'EDT Y TAREAS'!AL9),'EDT Y TAREAS'!AD9/'EDT Y TAREAS'!M9,0),IF(AND(195&gt;='EDT Y TAREAS'!AK10,195&lt;'EDT Y TAREAS'!AL10),'EDT Y TAREAS'!AD10/'EDT Y TAREAS'!M10,0),IF(AND(195&gt;='EDT Y TAREAS'!AK11,195&lt;'EDT Y TAREAS'!AL11),'EDT Y TAREAS'!AD11/'EDT Y TAREAS'!M11,0),IF(AND(195&gt;='EDT Y TAREAS'!AK12,195&lt;'EDT Y TAREAS'!AL12),'EDT Y TAREAS'!AD12/'EDT Y TAREAS'!M12,0),IF(AND(195&gt;='EDT Y TAREAS'!AK13,195&lt;'EDT Y TAREAS'!AL13),'EDT Y TAREAS'!AD13/'EDT Y TAREAS'!M13,0),IF(AND(195&gt;='EDT Y TAREAS'!AK14,195&lt;'EDT Y TAREAS'!AL14),'EDT Y TAREAS'!AD14/'EDT Y TAREAS'!M14,0),IF(AND(195&gt;='EDT Y TAREAS'!AK15,195&lt;'EDT Y TAREAS'!AL15),'EDT Y TAREAS'!AD15/'EDT Y TAREAS'!M15,0),IF(AND(195&gt;='EDT Y TAREAS'!AK16,195&lt;'EDT Y TAREAS'!AL16),'EDT Y TAREAS'!AD16/'EDT Y TAREAS'!M16,0),IF(AND(195&gt;='EDT Y TAREAS'!AK17,195&lt;'EDT Y TAREAS'!AL17),'EDT Y TAREAS'!AD17/'EDT Y TAREAS'!M17,0),IF(AND(195&gt;='EDT Y TAREAS'!AK18,195&lt;'EDT Y TAREAS'!AL18),'EDT Y TAREAS'!AD18/'EDT Y TAREAS'!M18,0),IF(AND(195&gt;='EDT Y TAREAS'!AK19,195&lt;'EDT Y TAREAS'!AL19),'EDT Y TAREAS'!AD19/'EDT Y TAREAS'!M19,0),IF(AND(195&gt;='EDT Y TAREAS'!AK20,195&lt;'EDT Y TAREAS'!AL20),'EDT Y TAREAS'!AD20/'EDT Y TAREAS'!M20,0),IF(AND(195&gt;='EDT Y TAREAS'!AK21,195&lt;'EDT Y TAREAS'!AL21),'EDT Y TAREAS'!AD21/'EDT Y TAREAS'!M21,0),IF(AND(195&gt;='EDT Y TAREAS'!AK22,195&lt;'EDT Y TAREAS'!AL22),'EDT Y TAREAS'!AD22/'EDT Y TAREAS'!M22,0),IF(AND(195&gt;='EDT Y TAREAS'!AK23,195&lt;'EDT Y TAREAS'!AL23),'EDT Y TAREAS'!AD23/'EDT Y TAREAS'!M23,0),IF(AND(195&gt;='EDT Y TAREAS'!AK26,195&lt;'EDT Y TAREAS'!AL26),'EDT Y TAREAS'!AD26/'EDT Y TAREAS'!M26,0),IF(AND(195&gt;='EDT Y TAREAS'!AK28,195&lt;'EDT Y TAREAS'!AL28),'EDT Y TAREAS'!AD28/'EDT Y TAREAS'!M28,0),IF(AND(195&gt;='EDT Y TAREAS'!AK30,195&lt;'EDT Y TAREAS'!AL30),'EDT Y TAREAS'!AD30/'EDT Y TAREAS'!M30,0),IF(AND(195&gt;='EDT Y TAREAS'!AK32,195&lt;'EDT Y TAREAS'!AL32),'EDT Y TAREAS'!AD32/'EDT Y TAREAS'!M32,0),IF(AND(195&gt;='EDT Y TAREAS'!AK34,195&lt;'EDT Y TAREAS'!AL34),'EDT Y TAREAS'!AD34/'EDT Y TAREAS'!M34,0),IF(AND(195&gt;='EDT Y TAREAS'!AK38,195&lt;'EDT Y TAREAS'!AL38),'EDT Y TAREAS'!AD38/'EDT Y TAREAS'!M38,0),IF(AND(195&gt;='EDT Y TAREAS'!AK39,195&lt;'EDT Y TAREAS'!AL39),'EDT Y TAREAS'!AD39/'EDT Y TAREAS'!M39,0),IF(AND(195&gt;='EDT Y TAREAS'!AK43,195&lt;'EDT Y TAREAS'!AL43),'EDT Y TAREAS'!AD43/'EDT Y TAREAS'!M43,0),IF(AND(195&gt;='EDT Y TAREAS'!AK44,195&lt;'EDT Y TAREAS'!AL44),'EDT Y TAREAS'!AD44/'EDT Y TAREAS'!M44,0),IF(AND(195&gt;='EDT Y TAREAS'!AK45,195&lt;'EDT Y TAREAS'!AL45),'EDT Y TAREAS'!AD45/'EDT Y TAREAS'!M45,0),IF(AND(195&gt;='EDT Y TAREAS'!AK46,195&lt;'EDT Y TAREAS'!AL46),'EDT Y TAREAS'!AD46/'EDT Y TAREAS'!M46,0),IF(AND(195&gt;='EDT Y TAREAS'!AK47,195&lt;'EDT Y TAREAS'!AL47),'EDT Y TAREAS'!AD47/'EDT Y TAREAS'!M47,0),IF(AND(195&gt;='EDT Y TAREAS'!AK49,195&lt;'EDT Y TAREAS'!AL49),'EDT Y TAREAS'!AD49/'EDT Y TAREAS'!M49,0),IF(AND(195&gt;='EDT Y TAREAS'!AK50,195&lt;'EDT Y TAREAS'!AL50),'EDT Y TAREAS'!AD50/'EDT Y TAREAS'!M50,0),IF(AND(195&gt;='EDT Y TAREAS'!AK51,195&lt;'EDT Y TAREAS'!AL51),'EDT Y TAREAS'!AD51/'EDT Y TAREAS'!M51,0),IF(AND(195&gt;='EDT Y TAREAS'!AK52,195&lt;'EDT Y TAREAS'!AL52),'EDT Y TAREAS'!AD52/'EDT Y TAREAS'!M52,0))</x:f>
        <x:v>0</x:v>
      </x:c>
      <x:c r="C235" s="35" t="n">
        <x:f>SUM(IF(AND(195&gt;='EDT Y TAREAS'!AK6,195&lt;'EDT Y TAREAS'!AL6),'EDT Y TAREAS'!AE6/'EDT Y TAREAS'!M6,0),IF(AND(195&gt;='EDT Y TAREAS'!AK8,195&lt;'EDT Y TAREAS'!AL8),'EDT Y TAREAS'!AE8/'EDT Y TAREAS'!M8,0),IF(AND(195&gt;='EDT Y TAREAS'!AK9,195&lt;'EDT Y TAREAS'!AL9),'EDT Y TAREAS'!AE9/'EDT Y TAREAS'!M9,0),IF(AND(195&gt;='EDT Y TAREAS'!AK10,195&lt;'EDT Y TAREAS'!AL10),'EDT Y TAREAS'!AE10/'EDT Y TAREAS'!M10,0),IF(AND(195&gt;='EDT Y TAREAS'!AK12,195&lt;'EDT Y TAREAS'!AL12),'EDT Y TAREAS'!AE12/'EDT Y TAREAS'!M12,0),IF(AND(195&gt;='EDT Y TAREAS'!AK16,195&lt;'EDT Y TAREAS'!AL16),'EDT Y TAREAS'!AE16/'EDT Y TAREAS'!M16,0),IF(AND(195&gt;='EDT Y TAREAS'!AK21,195&lt;'EDT Y TAREAS'!AL21),'EDT Y TAREAS'!AE21/'EDT Y TAREAS'!M21,0),IF(AND(195&gt;='EDT Y TAREAS'!AK23,195&lt;'EDT Y TAREAS'!AL23),'EDT Y TAREAS'!AE23/'EDT Y TAREAS'!M23,0),IF(AND(195&gt;='EDT Y TAREAS'!AK37,195&lt;'EDT Y TAREAS'!AL37),'EDT Y TAREAS'!AE37/'EDT Y TAREAS'!M37,0),IF(AND(195&gt;='EDT Y TAREAS'!AK38,195&lt;'EDT Y TAREAS'!AL38),'EDT Y TAREAS'!AE38/'EDT Y TAREAS'!M38,0),IF(AND(195&gt;='EDT Y TAREAS'!AK41,195&lt;'EDT Y TAREAS'!AL41),'EDT Y TAREAS'!AE41/'EDT Y TAREAS'!M41,0),IF(AND(195&gt;='EDT Y TAREAS'!AK43,195&lt;'EDT Y TAREAS'!AL43),'EDT Y TAREAS'!AE43/'EDT Y TAREAS'!M43,0),IF(AND(195&gt;='EDT Y TAREAS'!AK44,195&lt;'EDT Y TAREAS'!AL44),'EDT Y TAREAS'!AE44/'EDT Y TAREAS'!M44,0),IF(AND(195&gt;='EDT Y TAREAS'!AK46,195&lt;'EDT Y TAREAS'!AL46),'EDT Y TAREAS'!AE46/'EDT Y TAREAS'!M46,0),IF(AND(195&gt;='EDT Y TAREAS'!AK47,195&lt;'EDT Y TAREAS'!AL47),'EDT Y TAREAS'!AE47/'EDT Y TAREAS'!M47,0),IF(AND(195&gt;='EDT Y TAREAS'!AK51,195&lt;'EDT Y TAREAS'!AL51),'EDT Y TAREAS'!AE51/'EDT Y TAREAS'!M51,0),IF(AND(195&gt;='EDT Y TAREAS'!AK52,195&lt;'EDT Y TAREAS'!AL52),'EDT Y TAREAS'!AE52/'EDT Y TAREAS'!M52,0))</x:f>
        <x:v>0</x:v>
      </x:c>
      <x:c r="D235" s="35" t="n">
        <x:f>SUM(IF(AND(195&gt;='EDT Y TAREAS'!AK11,195&lt;'EDT Y TAREAS'!AL11),'EDT Y TAREAS'!AF11/'EDT Y TAREAS'!M11,0),IF(AND(195&gt;='EDT Y TAREAS'!AK24,195&lt;'EDT Y TAREAS'!AL24),'EDT Y TAREAS'!AF24/'EDT Y TAREAS'!M24,0),IF(AND(195&gt;='EDT Y TAREAS'!AK25,195&lt;'EDT Y TAREAS'!AL25),'EDT Y TAREAS'!AF25/'EDT Y TAREAS'!M25,0),IF(AND(195&gt;='EDT Y TAREAS'!AK26,195&lt;'EDT Y TAREAS'!AL26),'EDT Y TAREAS'!AF26/'EDT Y TAREAS'!M26,0),IF(AND(195&gt;='EDT Y TAREAS'!AK27,195&lt;'EDT Y TAREAS'!AL27),'EDT Y TAREAS'!AF27/'EDT Y TAREAS'!M27,0),IF(AND(195&gt;='EDT Y TAREAS'!AK28,195&lt;'EDT Y TAREAS'!AL28),'EDT Y TAREAS'!AF28/'EDT Y TAREAS'!M28,0),IF(AND(195&gt;='EDT Y TAREAS'!AK31,195&lt;'EDT Y TAREAS'!AL31),'EDT Y TAREAS'!AF31/'EDT Y TAREAS'!M31,0),IF(AND(195&gt;='EDT Y TAREAS'!AK33,195&lt;'EDT Y TAREAS'!AL33),'EDT Y TAREAS'!AF33/'EDT Y TAREAS'!M33,0),IF(AND(195&gt;='EDT Y TAREAS'!AK34,195&lt;'EDT Y TAREAS'!AL34),'EDT Y TAREAS'!AF34/'EDT Y TAREAS'!M34,0),IF(AND(195&gt;='EDT Y TAREAS'!AK35,195&lt;'EDT Y TAREAS'!AL35),'EDT Y TAREAS'!AF35/'EDT Y TAREAS'!M35,0),IF(AND(195&gt;='EDT Y TAREAS'!AK37,195&lt;'EDT Y TAREAS'!AL37),'EDT Y TAREAS'!AF37/'EDT Y TAREAS'!M37,0),IF(AND(195&gt;='EDT Y TAREAS'!AK39,195&lt;'EDT Y TAREAS'!AL39),'EDT Y TAREAS'!AF39/'EDT Y TAREAS'!M39,0),IF(AND(195&gt;='EDT Y TAREAS'!AK40,195&lt;'EDT Y TAREAS'!AL40),'EDT Y TAREAS'!AF40/'EDT Y TAREAS'!M40,0),IF(AND(195&gt;='EDT Y TAREAS'!AK42,195&lt;'EDT Y TAREAS'!AL42),'EDT Y TAREAS'!AF42/'EDT Y TAREAS'!M42,0),IF(AND(195&gt;='EDT Y TAREAS'!AK45,195&lt;'EDT Y TAREAS'!AL45),'EDT Y TAREAS'!AF45/'EDT Y TAREAS'!M45,0),IF(AND(195&gt;='EDT Y TAREAS'!AK49,195&lt;'EDT Y TAREAS'!AL49),'EDT Y TAREAS'!AF49/'EDT Y TAREAS'!M49,0),IF(AND(195&gt;='EDT Y TAREAS'!AK52,195&lt;'EDT Y TAREAS'!AL52),'EDT Y TAREAS'!AF52/'EDT Y TAREAS'!M52,0))</x:f>
        <x:v>0</x:v>
      </x:c>
      <x:c r="E235" s="35" t="n">
        <x:f>SUM(IF(AND(195&gt;='EDT Y TAREAS'!AK29,195&lt;'EDT Y TAREAS'!AL29),'EDT Y TAREAS'!AG29/'EDT Y TAREAS'!M29,0),IF(AND(195&gt;='EDT Y TAREAS'!AK30,195&lt;'EDT Y TAREAS'!AL30),'EDT Y TAREAS'!AG30/'EDT Y TAREAS'!M30,0),IF(AND(195&gt;='EDT Y TAREAS'!AK31,195&lt;'EDT Y TAREAS'!AL31),'EDT Y TAREAS'!AG31/'EDT Y TAREAS'!M31,0),IF(AND(195&gt;='EDT Y TAREAS'!AK32,195&lt;'EDT Y TAREAS'!AL32),'EDT Y TAREAS'!AG32/'EDT Y TAREAS'!M32,0),IF(AND(195&gt;='EDT Y TAREAS'!AK41,195&lt;'EDT Y TAREAS'!AL41),'EDT Y TAREAS'!AG41/'EDT Y TAREAS'!M41,0),IF(AND(195&gt;='EDT Y TAREAS'!AK45,195&lt;'EDT Y TAREAS'!AL45),'EDT Y TAREAS'!AG45/'EDT Y TAREAS'!M45,0),IF(AND(195&gt;='EDT Y TAREAS'!AK48,195&lt;'EDT Y TAREAS'!AL48),'EDT Y TAREAS'!AG48/'EDT Y TAREAS'!M48,0))</x:f>
        <x:v>0</x:v>
      </x:c>
      <x:c r="F235" s="35" t="n">
        <x:f>SUM(IF(AND(195&gt;='EDT Y TAREAS'!AK10,195&lt;'EDT Y TAREAS'!AL10),'EDT Y TAREAS'!AH10/'EDT Y TAREAS'!M10,0),IF(AND(195&gt;='EDT Y TAREAS'!AK12,195&lt;'EDT Y TAREAS'!AL12),'EDT Y TAREAS'!AH12/'EDT Y TAREAS'!M12,0),IF(AND(195&gt;='EDT Y TAREAS'!AK22,195&lt;'EDT Y TAREAS'!AL22),'EDT Y TAREAS'!AH22/'EDT Y TAREAS'!M22,0),IF(AND(195&gt;='EDT Y TAREAS'!AK23,195&lt;'EDT Y TAREAS'!AL23),'EDT Y TAREAS'!AH23/'EDT Y TAREAS'!M23,0),IF(AND(195&gt;='EDT Y TAREAS'!AK29,195&lt;'EDT Y TAREAS'!AL29),'EDT Y TAREAS'!AH29/'EDT Y TAREAS'!M29,0),IF(AND(195&gt;='EDT Y TAREAS'!AK30,195&lt;'EDT Y TAREAS'!AL30),'EDT Y TAREAS'!AH30/'EDT Y TAREAS'!M30,0),IF(AND(195&gt;='EDT Y TAREAS'!AK32,195&lt;'EDT Y TAREAS'!AL32),'EDT Y TAREAS'!AH32/'EDT Y TAREAS'!M32,0),IF(AND(195&gt;='EDT Y TAREAS'!AK41,195&lt;'EDT Y TAREAS'!AL41),'EDT Y TAREAS'!AH41/'EDT Y TAREAS'!M41,0),IF(AND(195&gt;='EDT Y TAREAS'!AK44,195&lt;'EDT Y TAREAS'!AL44),'EDT Y TAREAS'!AH44/'EDT Y TAREAS'!M44,0),IF(AND(195&gt;='EDT Y TAREAS'!AK46,195&lt;'EDT Y TAREAS'!AL46),'EDT Y TAREAS'!AH46/'EDT Y TAREAS'!M46,0),IF(AND(195&gt;='EDT Y TAREAS'!AK48,195&lt;'EDT Y TAREAS'!AL48),'EDT Y TAREAS'!AH48/'EDT Y TAREAS'!M48,0))</x:f>
        <x:v>0</x:v>
      </x:c>
      <x:c r="G235" s="35" t="n">
        <x:f>SUM(IF(AND(195&gt;='EDT Y TAREAS'!AK20,195&lt;'EDT Y TAREAS'!AL20),'EDT Y TAREAS'!AI20/'EDT Y TAREAS'!M20,0),IF(AND(195&gt;='EDT Y TAREAS'!AK25,195&lt;'EDT Y TAREAS'!AL25),'EDT Y TAREAS'!AI25/'EDT Y TAREAS'!M25,0),IF(AND(195&gt;='EDT Y TAREAS'!AK33,195&lt;'EDT Y TAREAS'!AL33),'EDT Y TAREAS'!AI33/'EDT Y TAREAS'!M33,0),IF(AND(195&gt;='EDT Y TAREAS'!AK34,195&lt;'EDT Y TAREAS'!AL34),'EDT Y TAREAS'!AI34/'EDT Y TAREAS'!M34,0),IF(AND(195&gt;='EDT Y TAREAS'!AK36,195&lt;'EDT Y TAREAS'!AL36),'EDT Y TAREAS'!AI36/'EDT Y TAREAS'!M36,0),IF(AND(195&gt;='EDT Y TAREAS'!AK39,195&lt;'EDT Y TAREAS'!AL39),'EDT Y TAREAS'!AI39/'EDT Y TAREAS'!M39,0),IF(AND(195&gt;='EDT Y TAREAS'!AK40,195&lt;'EDT Y TAREAS'!AL40),'EDT Y TAREAS'!AI40/'EDT Y TAREAS'!M40,0),IF(AND(195&gt;='EDT Y TAREAS'!AK42,195&lt;'EDT Y TAREAS'!AL42),'EDT Y TAREAS'!AI42/'EDT Y TAREAS'!M42,0),IF(AND(195&gt;='EDT Y TAREAS'!AK43,195&lt;'EDT Y TAREAS'!AL43),'EDT Y TAREAS'!AI43/'EDT Y TAREAS'!M43,0),IF(AND(195&gt;='EDT Y TAREAS'!AK44,195&lt;'EDT Y TAREAS'!AL44),'EDT Y TAREAS'!AI44/'EDT Y TAREAS'!M44,0),IF(AND(195&gt;='EDT Y TAREAS'!AK45,195&lt;'EDT Y TAREAS'!AL45),'EDT Y TAREAS'!AI45/'EDT Y TAREAS'!M45,0),IF(AND(195&gt;='EDT Y TAREAS'!AK46,195&lt;'EDT Y TAREAS'!AL46),'EDT Y TAREAS'!AI46/'EDT Y TAREAS'!M46,0),IF(AND(195&gt;='EDT Y TAREAS'!AK48,195&lt;'EDT Y TAREAS'!AL48),'EDT Y TAREAS'!AI48/'EDT Y TAREAS'!M48,0),IF(AND(195&gt;='EDT Y TAREAS'!AK50,195&lt;'EDT Y TAREAS'!AL50),'EDT Y TAREAS'!AI50/'EDT Y TAREAS'!M50,0),IF(AND(195&gt;='EDT Y TAREAS'!AK52,195&lt;'EDT Y TAREAS'!AL52),'EDT Y TAREAS'!AI52/'EDT Y TAREAS'!M52,0))</x:f>
        <x:v>0</x:v>
      </x:c>
      <x:c r="H235" s="35" t="n">
        <x:f>SUM(IF(AND(195&gt;='EDT Y TAREAS'!AK11,195&lt;'EDT Y TAREAS'!AL11),'EDT Y TAREAS'!AJ11/'EDT Y TAREAS'!M11,0),IF(AND(195&gt;='EDT Y TAREAS'!AK24,195&lt;'EDT Y TAREAS'!AL24),'EDT Y TAREAS'!AJ24/'EDT Y TAREAS'!M24,0),IF(AND(195&gt;='EDT Y TAREAS'!AK27,195&lt;'EDT Y TAREAS'!AL27),'EDT Y TAREAS'!AJ27/'EDT Y TAREAS'!M27,0),IF(AND(195&gt;='EDT Y TAREAS'!AK28,195&lt;'EDT Y TAREAS'!AL28),'EDT Y TAREAS'!AJ28/'EDT Y TAREAS'!M28,0),IF(AND(195&gt;='EDT Y TAREAS'!AK33,195&lt;'EDT Y TAREAS'!AL33),'EDT Y TAREAS'!AJ33/'EDT Y TAREAS'!M33,0),IF(AND(195&gt;='EDT Y TAREAS'!AK35,195&lt;'EDT Y TAREAS'!AL35),'EDT Y TAREAS'!AJ35/'EDT Y TAREAS'!M35,0),IF(AND(195&gt;='EDT Y TAREAS'!AK36,195&lt;'EDT Y TAREAS'!AL36),'EDT Y TAREAS'!AJ36/'EDT Y TAREAS'!M36,0),IF(AND(195&gt;='EDT Y TAREAS'!AK37,195&lt;'EDT Y TAREAS'!AL37),'EDT Y TAREAS'!AJ37/'EDT Y TAREAS'!M37,0),IF(AND(195&gt;='EDT Y TAREAS'!AK40,195&lt;'EDT Y TAREAS'!AL40),'EDT Y TAREAS'!AJ40/'EDT Y TAREAS'!M40,0),IF(AND(195&gt;='EDT Y TAREAS'!AK42,195&lt;'EDT Y TAREAS'!AL42),'EDT Y TAREAS'!AJ42/'EDT Y TAREAS'!M42,0),IF(AND(195&gt;='EDT Y TAREAS'!AK49,195&lt;'EDT Y TAREAS'!AL49),'EDT Y TAREAS'!AJ49/'EDT Y TAREAS'!M49,0),IF(AND(195&gt;='EDT Y TAREAS'!AK50,195&lt;'EDT Y TAREAS'!AL50),'EDT Y TAREAS'!AJ50/'EDT Y TAREAS'!M50,0),IF(AND(195&gt;='EDT Y TAREAS'!AK51,195&lt;'EDT Y TAREAS'!AL51),'EDT Y TAREAS'!AJ51/'EDT Y TAREAS'!M51,0),IF(AND(195&gt;='EDT Y TAREAS'!AK52,195&lt;'EDT Y TAREAS'!AL52),'EDT Y TAREAS'!AJ52/'EDT Y TAREAS'!M52,0))</x:f>
        <x:v>0</x:v>
      </x:c>
      <x:c r="I235" s="10" t="n">
        <x:f>WORKDAY('RESUMEN'!$D$3-1,A235,'RESUMEN'!$J$6:$J$25)</x:f>
        <x:v>46601</x:v>
      </x:c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  <x:c r="AL235" s="3"/>
      <x:c r="AM235" s="3"/>
      <x:c r="AN235" s="3"/>
      <x:c r="AO235" s="3"/>
    </x:row>
    <x:row r="236" ht="24" customHeight="1">
      <x:c r="A236" s="3" t="n">
        <x:v>197</x:v>
      </x:c>
      <x:c r="B236" s="35" t="n">
        <x:f>SUM(IF(AND(196&gt;='EDT Y TAREAS'!AK6,196&lt;'EDT Y TAREAS'!AL6),'EDT Y TAREAS'!AD6/'EDT Y TAREAS'!M6,0),IF(AND(196&gt;='EDT Y TAREAS'!AK7,196&lt;'EDT Y TAREAS'!AL7),'EDT Y TAREAS'!AD7/'EDT Y TAREAS'!M7,0),IF(AND(196&gt;='EDT Y TAREAS'!AK8,196&lt;'EDT Y TAREAS'!AL8),'EDT Y TAREAS'!AD8/'EDT Y TAREAS'!M8,0),IF(AND(196&gt;='EDT Y TAREAS'!AK9,196&lt;'EDT Y TAREAS'!AL9),'EDT Y TAREAS'!AD9/'EDT Y TAREAS'!M9,0),IF(AND(196&gt;='EDT Y TAREAS'!AK10,196&lt;'EDT Y TAREAS'!AL10),'EDT Y TAREAS'!AD10/'EDT Y TAREAS'!M10,0),IF(AND(196&gt;='EDT Y TAREAS'!AK11,196&lt;'EDT Y TAREAS'!AL11),'EDT Y TAREAS'!AD11/'EDT Y TAREAS'!M11,0),IF(AND(196&gt;='EDT Y TAREAS'!AK12,196&lt;'EDT Y TAREAS'!AL12),'EDT Y TAREAS'!AD12/'EDT Y TAREAS'!M12,0),IF(AND(196&gt;='EDT Y TAREAS'!AK13,196&lt;'EDT Y TAREAS'!AL13),'EDT Y TAREAS'!AD13/'EDT Y TAREAS'!M13,0),IF(AND(196&gt;='EDT Y TAREAS'!AK14,196&lt;'EDT Y TAREAS'!AL14),'EDT Y TAREAS'!AD14/'EDT Y TAREAS'!M14,0),IF(AND(196&gt;='EDT Y TAREAS'!AK15,196&lt;'EDT Y TAREAS'!AL15),'EDT Y TAREAS'!AD15/'EDT Y TAREAS'!M15,0),IF(AND(196&gt;='EDT Y TAREAS'!AK16,196&lt;'EDT Y TAREAS'!AL16),'EDT Y TAREAS'!AD16/'EDT Y TAREAS'!M16,0),IF(AND(196&gt;='EDT Y TAREAS'!AK17,196&lt;'EDT Y TAREAS'!AL17),'EDT Y TAREAS'!AD17/'EDT Y TAREAS'!M17,0),IF(AND(196&gt;='EDT Y TAREAS'!AK18,196&lt;'EDT Y TAREAS'!AL18),'EDT Y TAREAS'!AD18/'EDT Y TAREAS'!M18,0),IF(AND(196&gt;='EDT Y TAREAS'!AK19,196&lt;'EDT Y TAREAS'!AL19),'EDT Y TAREAS'!AD19/'EDT Y TAREAS'!M19,0),IF(AND(196&gt;='EDT Y TAREAS'!AK20,196&lt;'EDT Y TAREAS'!AL20),'EDT Y TAREAS'!AD20/'EDT Y TAREAS'!M20,0),IF(AND(196&gt;='EDT Y TAREAS'!AK21,196&lt;'EDT Y TAREAS'!AL21),'EDT Y TAREAS'!AD21/'EDT Y TAREAS'!M21,0),IF(AND(196&gt;='EDT Y TAREAS'!AK22,196&lt;'EDT Y TAREAS'!AL22),'EDT Y TAREAS'!AD22/'EDT Y TAREAS'!M22,0),IF(AND(196&gt;='EDT Y TAREAS'!AK23,196&lt;'EDT Y TAREAS'!AL23),'EDT Y TAREAS'!AD23/'EDT Y TAREAS'!M23,0),IF(AND(196&gt;='EDT Y TAREAS'!AK26,196&lt;'EDT Y TAREAS'!AL26),'EDT Y TAREAS'!AD26/'EDT Y TAREAS'!M26,0),IF(AND(196&gt;='EDT Y TAREAS'!AK28,196&lt;'EDT Y TAREAS'!AL28),'EDT Y TAREAS'!AD28/'EDT Y TAREAS'!M28,0),IF(AND(196&gt;='EDT Y TAREAS'!AK30,196&lt;'EDT Y TAREAS'!AL30),'EDT Y TAREAS'!AD30/'EDT Y TAREAS'!M30,0),IF(AND(196&gt;='EDT Y TAREAS'!AK32,196&lt;'EDT Y TAREAS'!AL32),'EDT Y TAREAS'!AD32/'EDT Y TAREAS'!M32,0),IF(AND(196&gt;='EDT Y TAREAS'!AK34,196&lt;'EDT Y TAREAS'!AL34),'EDT Y TAREAS'!AD34/'EDT Y TAREAS'!M34,0),IF(AND(196&gt;='EDT Y TAREAS'!AK38,196&lt;'EDT Y TAREAS'!AL38),'EDT Y TAREAS'!AD38/'EDT Y TAREAS'!M38,0),IF(AND(196&gt;='EDT Y TAREAS'!AK39,196&lt;'EDT Y TAREAS'!AL39),'EDT Y TAREAS'!AD39/'EDT Y TAREAS'!M39,0),IF(AND(196&gt;='EDT Y TAREAS'!AK43,196&lt;'EDT Y TAREAS'!AL43),'EDT Y TAREAS'!AD43/'EDT Y TAREAS'!M43,0),IF(AND(196&gt;='EDT Y TAREAS'!AK44,196&lt;'EDT Y TAREAS'!AL44),'EDT Y TAREAS'!AD44/'EDT Y TAREAS'!M44,0),IF(AND(196&gt;='EDT Y TAREAS'!AK45,196&lt;'EDT Y TAREAS'!AL45),'EDT Y TAREAS'!AD45/'EDT Y TAREAS'!M45,0),IF(AND(196&gt;='EDT Y TAREAS'!AK46,196&lt;'EDT Y TAREAS'!AL46),'EDT Y TAREAS'!AD46/'EDT Y TAREAS'!M46,0),IF(AND(196&gt;='EDT Y TAREAS'!AK47,196&lt;'EDT Y TAREAS'!AL47),'EDT Y TAREAS'!AD47/'EDT Y TAREAS'!M47,0),IF(AND(196&gt;='EDT Y TAREAS'!AK49,196&lt;'EDT Y TAREAS'!AL49),'EDT Y TAREAS'!AD49/'EDT Y TAREAS'!M49,0),IF(AND(196&gt;='EDT Y TAREAS'!AK50,196&lt;'EDT Y TAREAS'!AL50),'EDT Y TAREAS'!AD50/'EDT Y TAREAS'!M50,0),IF(AND(196&gt;='EDT Y TAREAS'!AK51,196&lt;'EDT Y TAREAS'!AL51),'EDT Y TAREAS'!AD51/'EDT Y TAREAS'!M51,0),IF(AND(196&gt;='EDT Y TAREAS'!AK52,196&lt;'EDT Y TAREAS'!AL52),'EDT Y TAREAS'!AD52/'EDT Y TAREAS'!M52,0))</x:f>
        <x:v>0</x:v>
      </x:c>
      <x:c r="C236" s="35" t="n">
        <x:f>SUM(IF(AND(196&gt;='EDT Y TAREAS'!AK6,196&lt;'EDT Y TAREAS'!AL6),'EDT Y TAREAS'!AE6/'EDT Y TAREAS'!M6,0),IF(AND(196&gt;='EDT Y TAREAS'!AK8,196&lt;'EDT Y TAREAS'!AL8),'EDT Y TAREAS'!AE8/'EDT Y TAREAS'!M8,0),IF(AND(196&gt;='EDT Y TAREAS'!AK9,196&lt;'EDT Y TAREAS'!AL9),'EDT Y TAREAS'!AE9/'EDT Y TAREAS'!M9,0),IF(AND(196&gt;='EDT Y TAREAS'!AK10,196&lt;'EDT Y TAREAS'!AL10),'EDT Y TAREAS'!AE10/'EDT Y TAREAS'!M10,0),IF(AND(196&gt;='EDT Y TAREAS'!AK12,196&lt;'EDT Y TAREAS'!AL12),'EDT Y TAREAS'!AE12/'EDT Y TAREAS'!M12,0),IF(AND(196&gt;='EDT Y TAREAS'!AK16,196&lt;'EDT Y TAREAS'!AL16),'EDT Y TAREAS'!AE16/'EDT Y TAREAS'!M16,0),IF(AND(196&gt;='EDT Y TAREAS'!AK21,196&lt;'EDT Y TAREAS'!AL21),'EDT Y TAREAS'!AE21/'EDT Y TAREAS'!M21,0),IF(AND(196&gt;='EDT Y TAREAS'!AK23,196&lt;'EDT Y TAREAS'!AL23),'EDT Y TAREAS'!AE23/'EDT Y TAREAS'!M23,0),IF(AND(196&gt;='EDT Y TAREAS'!AK37,196&lt;'EDT Y TAREAS'!AL37),'EDT Y TAREAS'!AE37/'EDT Y TAREAS'!M37,0),IF(AND(196&gt;='EDT Y TAREAS'!AK38,196&lt;'EDT Y TAREAS'!AL38),'EDT Y TAREAS'!AE38/'EDT Y TAREAS'!M38,0),IF(AND(196&gt;='EDT Y TAREAS'!AK41,196&lt;'EDT Y TAREAS'!AL41),'EDT Y TAREAS'!AE41/'EDT Y TAREAS'!M41,0),IF(AND(196&gt;='EDT Y TAREAS'!AK43,196&lt;'EDT Y TAREAS'!AL43),'EDT Y TAREAS'!AE43/'EDT Y TAREAS'!M43,0),IF(AND(196&gt;='EDT Y TAREAS'!AK44,196&lt;'EDT Y TAREAS'!AL44),'EDT Y TAREAS'!AE44/'EDT Y TAREAS'!M44,0),IF(AND(196&gt;='EDT Y TAREAS'!AK46,196&lt;'EDT Y TAREAS'!AL46),'EDT Y TAREAS'!AE46/'EDT Y TAREAS'!M46,0),IF(AND(196&gt;='EDT Y TAREAS'!AK47,196&lt;'EDT Y TAREAS'!AL47),'EDT Y TAREAS'!AE47/'EDT Y TAREAS'!M47,0),IF(AND(196&gt;='EDT Y TAREAS'!AK51,196&lt;'EDT Y TAREAS'!AL51),'EDT Y TAREAS'!AE51/'EDT Y TAREAS'!M51,0),IF(AND(196&gt;='EDT Y TAREAS'!AK52,196&lt;'EDT Y TAREAS'!AL52),'EDT Y TAREAS'!AE52/'EDT Y TAREAS'!M52,0))</x:f>
        <x:v>0</x:v>
      </x:c>
      <x:c r="D236" s="35" t="n">
        <x:f>SUM(IF(AND(196&gt;='EDT Y TAREAS'!AK11,196&lt;'EDT Y TAREAS'!AL11),'EDT Y TAREAS'!AF11/'EDT Y TAREAS'!M11,0),IF(AND(196&gt;='EDT Y TAREAS'!AK24,196&lt;'EDT Y TAREAS'!AL24),'EDT Y TAREAS'!AF24/'EDT Y TAREAS'!M24,0),IF(AND(196&gt;='EDT Y TAREAS'!AK25,196&lt;'EDT Y TAREAS'!AL25),'EDT Y TAREAS'!AF25/'EDT Y TAREAS'!M25,0),IF(AND(196&gt;='EDT Y TAREAS'!AK26,196&lt;'EDT Y TAREAS'!AL26),'EDT Y TAREAS'!AF26/'EDT Y TAREAS'!M26,0),IF(AND(196&gt;='EDT Y TAREAS'!AK27,196&lt;'EDT Y TAREAS'!AL27),'EDT Y TAREAS'!AF27/'EDT Y TAREAS'!M27,0),IF(AND(196&gt;='EDT Y TAREAS'!AK28,196&lt;'EDT Y TAREAS'!AL28),'EDT Y TAREAS'!AF28/'EDT Y TAREAS'!M28,0),IF(AND(196&gt;='EDT Y TAREAS'!AK31,196&lt;'EDT Y TAREAS'!AL31),'EDT Y TAREAS'!AF31/'EDT Y TAREAS'!M31,0),IF(AND(196&gt;='EDT Y TAREAS'!AK33,196&lt;'EDT Y TAREAS'!AL33),'EDT Y TAREAS'!AF33/'EDT Y TAREAS'!M33,0),IF(AND(196&gt;='EDT Y TAREAS'!AK34,196&lt;'EDT Y TAREAS'!AL34),'EDT Y TAREAS'!AF34/'EDT Y TAREAS'!M34,0),IF(AND(196&gt;='EDT Y TAREAS'!AK35,196&lt;'EDT Y TAREAS'!AL35),'EDT Y TAREAS'!AF35/'EDT Y TAREAS'!M35,0),IF(AND(196&gt;='EDT Y TAREAS'!AK37,196&lt;'EDT Y TAREAS'!AL37),'EDT Y TAREAS'!AF37/'EDT Y TAREAS'!M37,0),IF(AND(196&gt;='EDT Y TAREAS'!AK39,196&lt;'EDT Y TAREAS'!AL39),'EDT Y TAREAS'!AF39/'EDT Y TAREAS'!M39,0),IF(AND(196&gt;='EDT Y TAREAS'!AK40,196&lt;'EDT Y TAREAS'!AL40),'EDT Y TAREAS'!AF40/'EDT Y TAREAS'!M40,0),IF(AND(196&gt;='EDT Y TAREAS'!AK42,196&lt;'EDT Y TAREAS'!AL42),'EDT Y TAREAS'!AF42/'EDT Y TAREAS'!M42,0),IF(AND(196&gt;='EDT Y TAREAS'!AK45,196&lt;'EDT Y TAREAS'!AL45),'EDT Y TAREAS'!AF45/'EDT Y TAREAS'!M45,0),IF(AND(196&gt;='EDT Y TAREAS'!AK49,196&lt;'EDT Y TAREAS'!AL49),'EDT Y TAREAS'!AF49/'EDT Y TAREAS'!M49,0),IF(AND(196&gt;='EDT Y TAREAS'!AK52,196&lt;'EDT Y TAREAS'!AL52),'EDT Y TAREAS'!AF52/'EDT Y TAREAS'!M52,0))</x:f>
        <x:v>0</x:v>
      </x:c>
      <x:c r="E236" s="35" t="n">
        <x:f>SUM(IF(AND(196&gt;='EDT Y TAREAS'!AK29,196&lt;'EDT Y TAREAS'!AL29),'EDT Y TAREAS'!AG29/'EDT Y TAREAS'!M29,0),IF(AND(196&gt;='EDT Y TAREAS'!AK30,196&lt;'EDT Y TAREAS'!AL30),'EDT Y TAREAS'!AG30/'EDT Y TAREAS'!M30,0),IF(AND(196&gt;='EDT Y TAREAS'!AK31,196&lt;'EDT Y TAREAS'!AL31),'EDT Y TAREAS'!AG31/'EDT Y TAREAS'!M31,0),IF(AND(196&gt;='EDT Y TAREAS'!AK32,196&lt;'EDT Y TAREAS'!AL32),'EDT Y TAREAS'!AG32/'EDT Y TAREAS'!M32,0),IF(AND(196&gt;='EDT Y TAREAS'!AK41,196&lt;'EDT Y TAREAS'!AL41),'EDT Y TAREAS'!AG41/'EDT Y TAREAS'!M41,0),IF(AND(196&gt;='EDT Y TAREAS'!AK45,196&lt;'EDT Y TAREAS'!AL45),'EDT Y TAREAS'!AG45/'EDT Y TAREAS'!M45,0),IF(AND(196&gt;='EDT Y TAREAS'!AK48,196&lt;'EDT Y TAREAS'!AL48),'EDT Y TAREAS'!AG48/'EDT Y TAREAS'!M48,0))</x:f>
        <x:v>0</x:v>
      </x:c>
      <x:c r="F236" s="35" t="n">
        <x:f>SUM(IF(AND(196&gt;='EDT Y TAREAS'!AK10,196&lt;'EDT Y TAREAS'!AL10),'EDT Y TAREAS'!AH10/'EDT Y TAREAS'!M10,0),IF(AND(196&gt;='EDT Y TAREAS'!AK12,196&lt;'EDT Y TAREAS'!AL12),'EDT Y TAREAS'!AH12/'EDT Y TAREAS'!M12,0),IF(AND(196&gt;='EDT Y TAREAS'!AK22,196&lt;'EDT Y TAREAS'!AL22),'EDT Y TAREAS'!AH22/'EDT Y TAREAS'!M22,0),IF(AND(196&gt;='EDT Y TAREAS'!AK23,196&lt;'EDT Y TAREAS'!AL23),'EDT Y TAREAS'!AH23/'EDT Y TAREAS'!M23,0),IF(AND(196&gt;='EDT Y TAREAS'!AK29,196&lt;'EDT Y TAREAS'!AL29),'EDT Y TAREAS'!AH29/'EDT Y TAREAS'!M29,0),IF(AND(196&gt;='EDT Y TAREAS'!AK30,196&lt;'EDT Y TAREAS'!AL30),'EDT Y TAREAS'!AH30/'EDT Y TAREAS'!M30,0),IF(AND(196&gt;='EDT Y TAREAS'!AK32,196&lt;'EDT Y TAREAS'!AL32),'EDT Y TAREAS'!AH32/'EDT Y TAREAS'!M32,0),IF(AND(196&gt;='EDT Y TAREAS'!AK41,196&lt;'EDT Y TAREAS'!AL41),'EDT Y TAREAS'!AH41/'EDT Y TAREAS'!M41,0),IF(AND(196&gt;='EDT Y TAREAS'!AK44,196&lt;'EDT Y TAREAS'!AL44),'EDT Y TAREAS'!AH44/'EDT Y TAREAS'!M44,0),IF(AND(196&gt;='EDT Y TAREAS'!AK46,196&lt;'EDT Y TAREAS'!AL46),'EDT Y TAREAS'!AH46/'EDT Y TAREAS'!M46,0),IF(AND(196&gt;='EDT Y TAREAS'!AK48,196&lt;'EDT Y TAREAS'!AL48),'EDT Y TAREAS'!AH48/'EDT Y TAREAS'!M48,0))</x:f>
        <x:v>0</x:v>
      </x:c>
      <x:c r="G236" s="35" t="n">
        <x:f>SUM(IF(AND(196&gt;='EDT Y TAREAS'!AK20,196&lt;'EDT Y TAREAS'!AL20),'EDT Y TAREAS'!AI20/'EDT Y TAREAS'!M20,0),IF(AND(196&gt;='EDT Y TAREAS'!AK25,196&lt;'EDT Y TAREAS'!AL25),'EDT Y TAREAS'!AI25/'EDT Y TAREAS'!M25,0),IF(AND(196&gt;='EDT Y TAREAS'!AK33,196&lt;'EDT Y TAREAS'!AL33),'EDT Y TAREAS'!AI33/'EDT Y TAREAS'!M33,0),IF(AND(196&gt;='EDT Y TAREAS'!AK34,196&lt;'EDT Y TAREAS'!AL34),'EDT Y TAREAS'!AI34/'EDT Y TAREAS'!M34,0),IF(AND(196&gt;='EDT Y TAREAS'!AK36,196&lt;'EDT Y TAREAS'!AL36),'EDT Y TAREAS'!AI36/'EDT Y TAREAS'!M36,0),IF(AND(196&gt;='EDT Y TAREAS'!AK39,196&lt;'EDT Y TAREAS'!AL39),'EDT Y TAREAS'!AI39/'EDT Y TAREAS'!M39,0),IF(AND(196&gt;='EDT Y TAREAS'!AK40,196&lt;'EDT Y TAREAS'!AL40),'EDT Y TAREAS'!AI40/'EDT Y TAREAS'!M40,0),IF(AND(196&gt;='EDT Y TAREAS'!AK42,196&lt;'EDT Y TAREAS'!AL42),'EDT Y TAREAS'!AI42/'EDT Y TAREAS'!M42,0),IF(AND(196&gt;='EDT Y TAREAS'!AK43,196&lt;'EDT Y TAREAS'!AL43),'EDT Y TAREAS'!AI43/'EDT Y TAREAS'!M43,0),IF(AND(196&gt;='EDT Y TAREAS'!AK44,196&lt;'EDT Y TAREAS'!AL44),'EDT Y TAREAS'!AI44/'EDT Y TAREAS'!M44,0),IF(AND(196&gt;='EDT Y TAREAS'!AK45,196&lt;'EDT Y TAREAS'!AL45),'EDT Y TAREAS'!AI45/'EDT Y TAREAS'!M45,0),IF(AND(196&gt;='EDT Y TAREAS'!AK46,196&lt;'EDT Y TAREAS'!AL46),'EDT Y TAREAS'!AI46/'EDT Y TAREAS'!M46,0),IF(AND(196&gt;='EDT Y TAREAS'!AK48,196&lt;'EDT Y TAREAS'!AL48),'EDT Y TAREAS'!AI48/'EDT Y TAREAS'!M48,0),IF(AND(196&gt;='EDT Y TAREAS'!AK50,196&lt;'EDT Y TAREAS'!AL50),'EDT Y TAREAS'!AI50/'EDT Y TAREAS'!M50,0),IF(AND(196&gt;='EDT Y TAREAS'!AK52,196&lt;'EDT Y TAREAS'!AL52),'EDT Y TAREAS'!AI52/'EDT Y TAREAS'!M52,0))</x:f>
        <x:v>0</x:v>
      </x:c>
      <x:c r="H236" s="35" t="n">
        <x:f>SUM(IF(AND(196&gt;='EDT Y TAREAS'!AK11,196&lt;'EDT Y TAREAS'!AL11),'EDT Y TAREAS'!AJ11/'EDT Y TAREAS'!M11,0),IF(AND(196&gt;='EDT Y TAREAS'!AK24,196&lt;'EDT Y TAREAS'!AL24),'EDT Y TAREAS'!AJ24/'EDT Y TAREAS'!M24,0),IF(AND(196&gt;='EDT Y TAREAS'!AK27,196&lt;'EDT Y TAREAS'!AL27),'EDT Y TAREAS'!AJ27/'EDT Y TAREAS'!M27,0),IF(AND(196&gt;='EDT Y TAREAS'!AK28,196&lt;'EDT Y TAREAS'!AL28),'EDT Y TAREAS'!AJ28/'EDT Y TAREAS'!M28,0),IF(AND(196&gt;='EDT Y TAREAS'!AK33,196&lt;'EDT Y TAREAS'!AL33),'EDT Y TAREAS'!AJ33/'EDT Y TAREAS'!M33,0),IF(AND(196&gt;='EDT Y TAREAS'!AK35,196&lt;'EDT Y TAREAS'!AL35),'EDT Y TAREAS'!AJ35/'EDT Y TAREAS'!M35,0),IF(AND(196&gt;='EDT Y TAREAS'!AK36,196&lt;'EDT Y TAREAS'!AL36),'EDT Y TAREAS'!AJ36/'EDT Y TAREAS'!M36,0),IF(AND(196&gt;='EDT Y TAREAS'!AK37,196&lt;'EDT Y TAREAS'!AL37),'EDT Y TAREAS'!AJ37/'EDT Y TAREAS'!M37,0),IF(AND(196&gt;='EDT Y TAREAS'!AK40,196&lt;'EDT Y TAREAS'!AL40),'EDT Y TAREAS'!AJ40/'EDT Y TAREAS'!M40,0),IF(AND(196&gt;='EDT Y TAREAS'!AK42,196&lt;'EDT Y TAREAS'!AL42),'EDT Y TAREAS'!AJ42/'EDT Y TAREAS'!M42,0),IF(AND(196&gt;='EDT Y TAREAS'!AK49,196&lt;'EDT Y TAREAS'!AL49),'EDT Y TAREAS'!AJ49/'EDT Y TAREAS'!M49,0),IF(AND(196&gt;='EDT Y TAREAS'!AK50,196&lt;'EDT Y TAREAS'!AL50),'EDT Y TAREAS'!AJ50/'EDT Y TAREAS'!M50,0),IF(AND(196&gt;='EDT Y TAREAS'!AK51,196&lt;'EDT Y TAREAS'!AL51),'EDT Y TAREAS'!AJ51/'EDT Y TAREAS'!M51,0),IF(AND(196&gt;='EDT Y TAREAS'!AK52,196&lt;'EDT Y TAREAS'!AL52),'EDT Y TAREAS'!AJ52/'EDT Y TAREAS'!M52,0))</x:f>
        <x:v>0</x:v>
      </x:c>
      <x:c r="I236" s="10" t="n">
        <x:f>WORKDAY('RESUMEN'!$D$3-1,A236,'RESUMEN'!$J$6:$J$25)</x:f>
        <x:v>46602</x:v>
      </x:c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  <x:c r="AL236" s="3"/>
      <x:c r="AM236" s="3"/>
      <x:c r="AN236" s="3"/>
      <x:c r="AO236" s="3"/>
    </x:row>
    <x:row r="237" ht="24" customHeight="1">
      <x:c r="A237" s="3" t="n">
        <x:v>198</x:v>
      </x:c>
      <x:c r="B237" s="35" t="n">
        <x:f>SUM(IF(AND(197&gt;='EDT Y TAREAS'!AK6,197&lt;'EDT Y TAREAS'!AL6),'EDT Y TAREAS'!AD6/'EDT Y TAREAS'!M6,0),IF(AND(197&gt;='EDT Y TAREAS'!AK7,197&lt;'EDT Y TAREAS'!AL7),'EDT Y TAREAS'!AD7/'EDT Y TAREAS'!M7,0),IF(AND(197&gt;='EDT Y TAREAS'!AK8,197&lt;'EDT Y TAREAS'!AL8),'EDT Y TAREAS'!AD8/'EDT Y TAREAS'!M8,0),IF(AND(197&gt;='EDT Y TAREAS'!AK9,197&lt;'EDT Y TAREAS'!AL9),'EDT Y TAREAS'!AD9/'EDT Y TAREAS'!M9,0),IF(AND(197&gt;='EDT Y TAREAS'!AK10,197&lt;'EDT Y TAREAS'!AL10),'EDT Y TAREAS'!AD10/'EDT Y TAREAS'!M10,0),IF(AND(197&gt;='EDT Y TAREAS'!AK11,197&lt;'EDT Y TAREAS'!AL11),'EDT Y TAREAS'!AD11/'EDT Y TAREAS'!M11,0),IF(AND(197&gt;='EDT Y TAREAS'!AK12,197&lt;'EDT Y TAREAS'!AL12),'EDT Y TAREAS'!AD12/'EDT Y TAREAS'!M12,0),IF(AND(197&gt;='EDT Y TAREAS'!AK13,197&lt;'EDT Y TAREAS'!AL13),'EDT Y TAREAS'!AD13/'EDT Y TAREAS'!M13,0),IF(AND(197&gt;='EDT Y TAREAS'!AK14,197&lt;'EDT Y TAREAS'!AL14),'EDT Y TAREAS'!AD14/'EDT Y TAREAS'!M14,0),IF(AND(197&gt;='EDT Y TAREAS'!AK15,197&lt;'EDT Y TAREAS'!AL15),'EDT Y TAREAS'!AD15/'EDT Y TAREAS'!M15,0),IF(AND(197&gt;='EDT Y TAREAS'!AK16,197&lt;'EDT Y TAREAS'!AL16),'EDT Y TAREAS'!AD16/'EDT Y TAREAS'!M16,0),IF(AND(197&gt;='EDT Y TAREAS'!AK17,197&lt;'EDT Y TAREAS'!AL17),'EDT Y TAREAS'!AD17/'EDT Y TAREAS'!M17,0),IF(AND(197&gt;='EDT Y TAREAS'!AK18,197&lt;'EDT Y TAREAS'!AL18),'EDT Y TAREAS'!AD18/'EDT Y TAREAS'!M18,0),IF(AND(197&gt;='EDT Y TAREAS'!AK19,197&lt;'EDT Y TAREAS'!AL19),'EDT Y TAREAS'!AD19/'EDT Y TAREAS'!M19,0),IF(AND(197&gt;='EDT Y TAREAS'!AK20,197&lt;'EDT Y TAREAS'!AL20),'EDT Y TAREAS'!AD20/'EDT Y TAREAS'!M20,0),IF(AND(197&gt;='EDT Y TAREAS'!AK21,197&lt;'EDT Y TAREAS'!AL21),'EDT Y TAREAS'!AD21/'EDT Y TAREAS'!M21,0),IF(AND(197&gt;='EDT Y TAREAS'!AK22,197&lt;'EDT Y TAREAS'!AL22),'EDT Y TAREAS'!AD22/'EDT Y TAREAS'!M22,0),IF(AND(197&gt;='EDT Y TAREAS'!AK23,197&lt;'EDT Y TAREAS'!AL23),'EDT Y TAREAS'!AD23/'EDT Y TAREAS'!M23,0),IF(AND(197&gt;='EDT Y TAREAS'!AK26,197&lt;'EDT Y TAREAS'!AL26),'EDT Y TAREAS'!AD26/'EDT Y TAREAS'!M26,0),IF(AND(197&gt;='EDT Y TAREAS'!AK28,197&lt;'EDT Y TAREAS'!AL28),'EDT Y TAREAS'!AD28/'EDT Y TAREAS'!M28,0),IF(AND(197&gt;='EDT Y TAREAS'!AK30,197&lt;'EDT Y TAREAS'!AL30),'EDT Y TAREAS'!AD30/'EDT Y TAREAS'!M30,0),IF(AND(197&gt;='EDT Y TAREAS'!AK32,197&lt;'EDT Y TAREAS'!AL32),'EDT Y TAREAS'!AD32/'EDT Y TAREAS'!M32,0),IF(AND(197&gt;='EDT Y TAREAS'!AK34,197&lt;'EDT Y TAREAS'!AL34),'EDT Y TAREAS'!AD34/'EDT Y TAREAS'!M34,0),IF(AND(197&gt;='EDT Y TAREAS'!AK38,197&lt;'EDT Y TAREAS'!AL38),'EDT Y TAREAS'!AD38/'EDT Y TAREAS'!M38,0),IF(AND(197&gt;='EDT Y TAREAS'!AK39,197&lt;'EDT Y TAREAS'!AL39),'EDT Y TAREAS'!AD39/'EDT Y TAREAS'!M39,0),IF(AND(197&gt;='EDT Y TAREAS'!AK43,197&lt;'EDT Y TAREAS'!AL43),'EDT Y TAREAS'!AD43/'EDT Y TAREAS'!M43,0),IF(AND(197&gt;='EDT Y TAREAS'!AK44,197&lt;'EDT Y TAREAS'!AL44),'EDT Y TAREAS'!AD44/'EDT Y TAREAS'!M44,0),IF(AND(197&gt;='EDT Y TAREAS'!AK45,197&lt;'EDT Y TAREAS'!AL45),'EDT Y TAREAS'!AD45/'EDT Y TAREAS'!M45,0),IF(AND(197&gt;='EDT Y TAREAS'!AK46,197&lt;'EDT Y TAREAS'!AL46),'EDT Y TAREAS'!AD46/'EDT Y TAREAS'!M46,0),IF(AND(197&gt;='EDT Y TAREAS'!AK47,197&lt;'EDT Y TAREAS'!AL47),'EDT Y TAREAS'!AD47/'EDT Y TAREAS'!M47,0),IF(AND(197&gt;='EDT Y TAREAS'!AK49,197&lt;'EDT Y TAREAS'!AL49),'EDT Y TAREAS'!AD49/'EDT Y TAREAS'!M49,0),IF(AND(197&gt;='EDT Y TAREAS'!AK50,197&lt;'EDT Y TAREAS'!AL50),'EDT Y TAREAS'!AD50/'EDT Y TAREAS'!M50,0),IF(AND(197&gt;='EDT Y TAREAS'!AK51,197&lt;'EDT Y TAREAS'!AL51),'EDT Y TAREAS'!AD51/'EDT Y TAREAS'!M51,0),IF(AND(197&gt;='EDT Y TAREAS'!AK52,197&lt;'EDT Y TAREAS'!AL52),'EDT Y TAREAS'!AD52/'EDT Y TAREAS'!M52,0))</x:f>
        <x:v>0</x:v>
      </x:c>
      <x:c r="C237" s="35" t="n">
        <x:f>SUM(IF(AND(197&gt;='EDT Y TAREAS'!AK6,197&lt;'EDT Y TAREAS'!AL6),'EDT Y TAREAS'!AE6/'EDT Y TAREAS'!M6,0),IF(AND(197&gt;='EDT Y TAREAS'!AK8,197&lt;'EDT Y TAREAS'!AL8),'EDT Y TAREAS'!AE8/'EDT Y TAREAS'!M8,0),IF(AND(197&gt;='EDT Y TAREAS'!AK9,197&lt;'EDT Y TAREAS'!AL9),'EDT Y TAREAS'!AE9/'EDT Y TAREAS'!M9,0),IF(AND(197&gt;='EDT Y TAREAS'!AK10,197&lt;'EDT Y TAREAS'!AL10),'EDT Y TAREAS'!AE10/'EDT Y TAREAS'!M10,0),IF(AND(197&gt;='EDT Y TAREAS'!AK12,197&lt;'EDT Y TAREAS'!AL12),'EDT Y TAREAS'!AE12/'EDT Y TAREAS'!M12,0),IF(AND(197&gt;='EDT Y TAREAS'!AK16,197&lt;'EDT Y TAREAS'!AL16),'EDT Y TAREAS'!AE16/'EDT Y TAREAS'!M16,0),IF(AND(197&gt;='EDT Y TAREAS'!AK21,197&lt;'EDT Y TAREAS'!AL21),'EDT Y TAREAS'!AE21/'EDT Y TAREAS'!M21,0),IF(AND(197&gt;='EDT Y TAREAS'!AK23,197&lt;'EDT Y TAREAS'!AL23),'EDT Y TAREAS'!AE23/'EDT Y TAREAS'!M23,0),IF(AND(197&gt;='EDT Y TAREAS'!AK37,197&lt;'EDT Y TAREAS'!AL37),'EDT Y TAREAS'!AE37/'EDT Y TAREAS'!M37,0),IF(AND(197&gt;='EDT Y TAREAS'!AK38,197&lt;'EDT Y TAREAS'!AL38),'EDT Y TAREAS'!AE38/'EDT Y TAREAS'!M38,0),IF(AND(197&gt;='EDT Y TAREAS'!AK41,197&lt;'EDT Y TAREAS'!AL41),'EDT Y TAREAS'!AE41/'EDT Y TAREAS'!M41,0),IF(AND(197&gt;='EDT Y TAREAS'!AK43,197&lt;'EDT Y TAREAS'!AL43),'EDT Y TAREAS'!AE43/'EDT Y TAREAS'!M43,0),IF(AND(197&gt;='EDT Y TAREAS'!AK44,197&lt;'EDT Y TAREAS'!AL44),'EDT Y TAREAS'!AE44/'EDT Y TAREAS'!M44,0),IF(AND(197&gt;='EDT Y TAREAS'!AK46,197&lt;'EDT Y TAREAS'!AL46),'EDT Y TAREAS'!AE46/'EDT Y TAREAS'!M46,0),IF(AND(197&gt;='EDT Y TAREAS'!AK47,197&lt;'EDT Y TAREAS'!AL47),'EDT Y TAREAS'!AE47/'EDT Y TAREAS'!M47,0),IF(AND(197&gt;='EDT Y TAREAS'!AK51,197&lt;'EDT Y TAREAS'!AL51),'EDT Y TAREAS'!AE51/'EDT Y TAREAS'!M51,0),IF(AND(197&gt;='EDT Y TAREAS'!AK52,197&lt;'EDT Y TAREAS'!AL52),'EDT Y TAREAS'!AE52/'EDT Y TAREAS'!M52,0))</x:f>
        <x:v>0</x:v>
      </x:c>
      <x:c r="D237" s="35" t="n">
        <x:f>SUM(IF(AND(197&gt;='EDT Y TAREAS'!AK11,197&lt;'EDT Y TAREAS'!AL11),'EDT Y TAREAS'!AF11/'EDT Y TAREAS'!M11,0),IF(AND(197&gt;='EDT Y TAREAS'!AK24,197&lt;'EDT Y TAREAS'!AL24),'EDT Y TAREAS'!AF24/'EDT Y TAREAS'!M24,0),IF(AND(197&gt;='EDT Y TAREAS'!AK25,197&lt;'EDT Y TAREAS'!AL25),'EDT Y TAREAS'!AF25/'EDT Y TAREAS'!M25,0),IF(AND(197&gt;='EDT Y TAREAS'!AK26,197&lt;'EDT Y TAREAS'!AL26),'EDT Y TAREAS'!AF26/'EDT Y TAREAS'!M26,0),IF(AND(197&gt;='EDT Y TAREAS'!AK27,197&lt;'EDT Y TAREAS'!AL27),'EDT Y TAREAS'!AF27/'EDT Y TAREAS'!M27,0),IF(AND(197&gt;='EDT Y TAREAS'!AK28,197&lt;'EDT Y TAREAS'!AL28),'EDT Y TAREAS'!AF28/'EDT Y TAREAS'!M28,0),IF(AND(197&gt;='EDT Y TAREAS'!AK31,197&lt;'EDT Y TAREAS'!AL31),'EDT Y TAREAS'!AF31/'EDT Y TAREAS'!M31,0),IF(AND(197&gt;='EDT Y TAREAS'!AK33,197&lt;'EDT Y TAREAS'!AL33),'EDT Y TAREAS'!AF33/'EDT Y TAREAS'!M33,0),IF(AND(197&gt;='EDT Y TAREAS'!AK34,197&lt;'EDT Y TAREAS'!AL34),'EDT Y TAREAS'!AF34/'EDT Y TAREAS'!M34,0),IF(AND(197&gt;='EDT Y TAREAS'!AK35,197&lt;'EDT Y TAREAS'!AL35),'EDT Y TAREAS'!AF35/'EDT Y TAREAS'!M35,0),IF(AND(197&gt;='EDT Y TAREAS'!AK37,197&lt;'EDT Y TAREAS'!AL37),'EDT Y TAREAS'!AF37/'EDT Y TAREAS'!M37,0),IF(AND(197&gt;='EDT Y TAREAS'!AK39,197&lt;'EDT Y TAREAS'!AL39),'EDT Y TAREAS'!AF39/'EDT Y TAREAS'!M39,0),IF(AND(197&gt;='EDT Y TAREAS'!AK40,197&lt;'EDT Y TAREAS'!AL40),'EDT Y TAREAS'!AF40/'EDT Y TAREAS'!M40,0),IF(AND(197&gt;='EDT Y TAREAS'!AK42,197&lt;'EDT Y TAREAS'!AL42),'EDT Y TAREAS'!AF42/'EDT Y TAREAS'!M42,0),IF(AND(197&gt;='EDT Y TAREAS'!AK45,197&lt;'EDT Y TAREAS'!AL45),'EDT Y TAREAS'!AF45/'EDT Y TAREAS'!M45,0),IF(AND(197&gt;='EDT Y TAREAS'!AK49,197&lt;'EDT Y TAREAS'!AL49),'EDT Y TAREAS'!AF49/'EDT Y TAREAS'!M49,0),IF(AND(197&gt;='EDT Y TAREAS'!AK52,197&lt;'EDT Y TAREAS'!AL52),'EDT Y TAREAS'!AF52/'EDT Y TAREAS'!M52,0))</x:f>
        <x:v>0</x:v>
      </x:c>
      <x:c r="E237" s="35" t="n">
        <x:f>SUM(IF(AND(197&gt;='EDT Y TAREAS'!AK29,197&lt;'EDT Y TAREAS'!AL29),'EDT Y TAREAS'!AG29/'EDT Y TAREAS'!M29,0),IF(AND(197&gt;='EDT Y TAREAS'!AK30,197&lt;'EDT Y TAREAS'!AL30),'EDT Y TAREAS'!AG30/'EDT Y TAREAS'!M30,0),IF(AND(197&gt;='EDT Y TAREAS'!AK31,197&lt;'EDT Y TAREAS'!AL31),'EDT Y TAREAS'!AG31/'EDT Y TAREAS'!M31,0),IF(AND(197&gt;='EDT Y TAREAS'!AK32,197&lt;'EDT Y TAREAS'!AL32),'EDT Y TAREAS'!AG32/'EDT Y TAREAS'!M32,0),IF(AND(197&gt;='EDT Y TAREAS'!AK41,197&lt;'EDT Y TAREAS'!AL41),'EDT Y TAREAS'!AG41/'EDT Y TAREAS'!M41,0),IF(AND(197&gt;='EDT Y TAREAS'!AK45,197&lt;'EDT Y TAREAS'!AL45),'EDT Y TAREAS'!AG45/'EDT Y TAREAS'!M45,0),IF(AND(197&gt;='EDT Y TAREAS'!AK48,197&lt;'EDT Y TAREAS'!AL48),'EDT Y TAREAS'!AG48/'EDT Y TAREAS'!M48,0))</x:f>
        <x:v>0</x:v>
      </x:c>
      <x:c r="F237" s="35" t="n">
        <x:f>SUM(IF(AND(197&gt;='EDT Y TAREAS'!AK10,197&lt;'EDT Y TAREAS'!AL10),'EDT Y TAREAS'!AH10/'EDT Y TAREAS'!M10,0),IF(AND(197&gt;='EDT Y TAREAS'!AK12,197&lt;'EDT Y TAREAS'!AL12),'EDT Y TAREAS'!AH12/'EDT Y TAREAS'!M12,0),IF(AND(197&gt;='EDT Y TAREAS'!AK22,197&lt;'EDT Y TAREAS'!AL22),'EDT Y TAREAS'!AH22/'EDT Y TAREAS'!M22,0),IF(AND(197&gt;='EDT Y TAREAS'!AK23,197&lt;'EDT Y TAREAS'!AL23),'EDT Y TAREAS'!AH23/'EDT Y TAREAS'!M23,0),IF(AND(197&gt;='EDT Y TAREAS'!AK29,197&lt;'EDT Y TAREAS'!AL29),'EDT Y TAREAS'!AH29/'EDT Y TAREAS'!M29,0),IF(AND(197&gt;='EDT Y TAREAS'!AK30,197&lt;'EDT Y TAREAS'!AL30),'EDT Y TAREAS'!AH30/'EDT Y TAREAS'!M30,0),IF(AND(197&gt;='EDT Y TAREAS'!AK32,197&lt;'EDT Y TAREAS'!AL32),'EDT Y TAREAS'!AH32/'EDT Y TAREAS'!M32,0),IF(AND(197&gt;='EDT Y TAREAS'!AK41,197&lt;'EDT Y TAREAS'!AL41),'EDT Y TAREAS'!AH41/'EDT Y TAREAS'!M41,0),IF(AND(197&gt;='EDT Y TAREAS'!AK44,197&lt;'EDT Y TAREAS'!AL44),'EDT Y TAREAS'!AH44/'EDT Y TAREAS'!M44,0),IF(AND(197&gt;='EDT Y TAREAS'!AK46,197&lt;'EDT Y TAREAS'!AL46),'EDT Y TAREAS'!AH46/'EDT Y TAREAS'!M46,0),IF(AND(197&gt;='EDT Y TAREAS'!AK48,197&lt;'EDT Y TAREAS'!AL48),'EDT Y TAREAS'!AH48/'EDT Y TAREAS'!M48,0))</x:f>
        <x:v>0</x:v>
      </x:c>
      <x:c r="G237" s="35" t="n">
        <x:f>SUM(IF(AND(197&gt;='EDT Y TAREAS'!AK20,197&lt;'EDT Y TAREAS'!AL20),'EDT Y TAREAS'!AI20/'EDT Y TAREAS'!M20,0),IF(AND(197&gt;='EDT Y TAREAS'!AK25,197&lt;'EDT Y TAREAS'!AL25),'EDT Y TAREAS'!AI25/'EDT Y TAREAS'!M25,0),IF(AND(197&gt;='EDT Y TAREAS'!AK33,197&lt;'EDT Y TAREAS'!AL33),'EDT Y TAREAS'!AI33/'EDT Y TAREAS'!M33,0),IF(AND(197&gt;='EDT Y TAREAS'!AK34,197&lt;'EDT Y TAREAS'!AL34),'EDT Y TAREAS'!AI34/'EDT Y TAREAS'!M34,0),IF(AND(197&gt;='EDT Y TAREAS'!AK36,197&lt;'EDT Y TAREAS'!AL36),'EDT Y TAREAS'!AI36/'EDT Y TAREAS'!M36,0),IF(AND(197&gt;='EDT Y TAREAS'!AK39,197&lt;'EDT Y TAREAS'!AL39),'EDT Y TAREAS'!AI39/'EDT Y TAREAS'!M39,0),IF(AND(197&gt;='EDT Y TAREAS'!AK40,197&lt;'EDT Y TAREAS'!AL40),'EDT Y TAREAS'!AI40/'EDT Y TAREAS'!M40,0),IF(AND(197&gt;='EDT Y TAREAS'!AK42,197&lt;'EDT Y TAREAS'!AL42),'EDT Y TAREAS'!AI42/'EDT Y TAREAS'!M42,0),IF(AND(197&gt;='EDT Y TAREAS'!AK43,197&lt;'EDT Y TAREAS'!AL43),'EDT Y TAREAS'!AI43/'EDT Y TAREAS'!M43,0),IF(AND(197&gt;='EDT Y TAREAS'!AK44,197&lt;'EDT Y TAREAS'!AL44),'EDT Y TAREAS'!AI44/'EDT Y TAREAS'!M44,0),IF(AND(197&gt;='EDT Y TAREAS'!AK45,197&lt;'EDT Y TAREAS'!AL45),'EDT Y TAREAS'!AI45/'EDT Y TAREAS'!M45,0),IF(AND(197&gt;='EDT Y TAREAS'!AK46,197&lt;'EDT Y TAREAS'!AL46),'EDT Y TAREAS'!AI46/'EDT Y TAREAS'!M46,0),IF(AND(197&gt;='EDT Y TAREAS'!AK48,197&lt;'EDT Y TAREAS'!AL48),'EDT Y TAREAS'!AI48/'EDT Y TAREAS'!M48,0),IF(AND(197&gt;='EDT Y TAREAS'!AK50,197&lt;'EDT Y TAREAS'!AL50),'EDT Y TAREAS'!AI50/'EDT Y TAREAS'!M50,0),IF(AND(197&gt;='EDT Y TAREAS'!AK52,197&lt;'EDT Y TAREAS'!AL52),'EDT Y TAREAS'!AI52/'EDT Y TAREAS'!M52,0))</x:f>
        <x:v>0</x:v>
      </x:c>
      <x:c r="H237" s="35" t="n">
        <x:f>SUM(IF(AND(197&gt;='EDT Y TAREAS'!AK11,197&lt;'EDT Y TAREAS'!AL11),'EDT Y TAREAS'!AJ11/'EDT Y TAREAS'!M11,0),IF(AND(197&gt;='EDT Y TAREAS'!AK24,197&lt;'EDT Y TAREAS'!AL24),'EDT Y TAREAS'!AJ24/'EDT Y TAREAS'!M24,0),IF(AND(197&gt;='EDT Y TAREAS'!AK27,197&lt;'EDT Y TAREAS'!AL27),'EDT Y TAREAS'!AJ27/'EDT Y TAREAS'!M27,0),IF(AND(197&gt;='EDT Y TAREAS'!AK28,197&lt;'EDT Y TAREAS'!AL28),'EDT Y TAREAS'!AJ28/'EDT Y TAREAS'!M28,0),IF(AND(197&gt;='EDT Y TAREAS'!AK33,197&lt;'EDT Y TAREAS'!AL33),'EDT Y TAREAS'!AJ33/'EDT Y TAREAS'!M33,0),IF(AND(197&gt;='EDT Y TAREAS'!AK35,197&lt;'EDT Y TAREAS'!AL35),'EDT Y TAREAS'!AJ35/'EDT Y TAREAS'!M35,0),IF(AND(197&gt;='EDT Y TAREAS'!AK36,197&lt;'EDT Y TAREAS'!AL36),'EDT Y TAREAS'!AJ36/'EDT Y TAREAS'!M36,0),IF(AND(197&gt;='EDT Y TAREAS'!AK37,197&lt;'EDT Y TAREAS'!AL37),'EDT Y TAREAS'!AJ37/'EDT Y TAREAS'!M37,0),IF(AND(197&gt;='EDT Y TAREAS'!AK40,197&lt;'EDT Y TAREAS'!AL40),'EDT Y TAREAS'!AJ40/'EDT Y TAREAS'!M40,0),IF(AND(197&gt;='EDT Y TAREAS'!AK42,197&lt;'EDT Y TAREAS'!AL42),'EDT Y TAREAS'!AJ42/'EDT Y TAREAS'!M42,0),IF(AND(197&gt;='EDT Y TAREAS'!AK49,197&lt;'EDT Y TAREAS'!AL49),'EDT Y TAREAS'!AJ49/'EDT Y TAREAS'!M49,0),IF(AND(197&gt;='EDT Y TAREAS'!AK50,197&lt;'EDT Y TAREAS'!AL50),'EDT Y TAREAS'!AJ50/'EDT Y TAREAS'!M50,0),IF(AND(197&gt;='EDT Y TAREAS'!AK51,197&lt;'EDT Y TAREAS'!AL51),'EDT Y TAREAS'!AJ51/'EDT Y TAREAS'!M51,0),IF(AND(197&gt;='EDT Y TAREAS'!AK52,197&lt;'EDT Y TAREAS'!AL52),'EDT Y TAREAS'!AJ52/'EDT Y TAREAS'!M52,0))</x:f>
        <x:v>0</x:v>
      </x:c>
      <x:c r="I237" s="10" t="n">
        <x:f>WORKDAY('RESUMEN'!$D$3-1,A237,'RESUMEN'!$J$6:$J$25)</x:f>
        <x:v>46603</x:v>
      </x:c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  <x:c r="AM237" s="3"/>
      <x:c r="AN237" s="3"/>
      <x:c r="AO237" s="3"/>
    </x:row>
    <x:row r="238" ht="24" customHeight="1">
      <x:c r="A238" s="3" t="n">
        <x:v>199</x:v>
      </x:c>
      <x:c r="B238" s="35" t="n">
        <x:f>SUM(IF(AND(198&gt;='EDT Y TAREAS'!AK6,198&lt;'EDT Y TAREAS'!AL6),'EDT Y TAREAS'!AD6/'EDT Y TAREAS'!M6,0),IF(AND(198&gt;='EDT Y TAREAS'!AK7,198&lt;'EDT Y TAREAS'!AL7),'EDT Y TAREAS'!AD7/'EDT Y TAREAS'!M7,0),IF(AND(198&gt;='EDT Y TAREAS'!AK8,198&lt;'EDT Y TAREAS'!AL8),'EDT Y TAREAS'!AD8/'EDT Y TAREAS'!M8,0),IF(AND(198&gt;='EDT Y TAREAS'!AK9,198&lt;'EDT Y TAREAS'!AL9),'EDT Y TAREAS'!AD9/'EDT Y TAREAS'!M9,0),IF(AND(198&gt;='EDT Y TAREAS'!AK10,198&lt;'EDT Y TAREAS'!AL10),'EDT Y TAREAS'!AD10/'EDT Y TAREAS'!M10,0),IF(AND(198&gt;='EDT Y TAREAS'!AK11,198&lt;'EDT Y TAREAS'!AL11),'EDT Y TAREAS'!AD11/'EDT Y TAREAS'!M11,0),IF(AND(198&gt;='EDT Y TAREAS'!AK12,198&lt;'EDT Y TAREAS'!AL12),'EDT Y TAREAS'!AD12/'EDT Y TAREAS'!M12,0),IF(AND(198&gt;='EDT Y TAREAS'!AK13,198&lt;'EDT Y TAREAS'!AL13),'EDT Y TAREAS'!AD13/'EDT Y TAREAS'!M13,0),IF(AND(198&gt;='EDT Y TAREAS'!AK14,198&lt;'EDT Y TAREAS'!AL14),'EDT Y TAREAS'!AD14/'EDT Y TAREAS'!M14,0),IF(AND(198&gt;='EDT Y TAREAS'!AK15,198&lt;'EDT Y TAREAS'!AL15),'EDT Y TAREAS'!AD15/'EDT Y TAREAS'!M15,0),IF(AND(198&gt;='EDT Y TAREAS'!AK16,198&lt;'EDT Y TAREAS'!AL16),'EDT Y TAREAS'!AD16/'EDT Y TAREAS'!M16,0),IF(AND(198&gt;='EDT Y TAREAS'!AK17,198&lt;'EDT Y TAREAS'!AL17),'EDT Y TAREAS'!AD17/'EDT Y TAREAS'!M17,0),IF(AND(198&gt;='EDT Y TAREAS'!AK18,198&lt;'EDT Y TAREAS'!AL18),'EDT Y TAREAS'!AD18/'EDT Y TAREAS'!M18,0),IF(AND(198&gt;='EDT Y TAREAS'!AK19,198&lt;'EDT Y TAREAS'!AL19),'EDT Y TAREAS'!AD19/'EDT Y TAREAS'!M19,0),IF(AND(198&gt;='EDT Y TAREAS'!AK20,198&lt;'EDT Y TAREAS'!AL20),'EDT Y TAREAS'!AD20/'EDT Y TAREAS'!M20,0),IF(AND(198&gt;='EDT Y TAREAS'!AK21,198&lt;'EDT Y TAREAS'!AL21),'EDT Y TAREAS'!AD21/'EDT Y TAREAS'!M21,0),IF(AND(198&gt;='EDT Y TAREAS'!AK22,198&lt;'EDT Y TAREAS'!AL22),'EDT Y TAREAS'!AD22/'EDT Y TAREAS'!M22,0),IF(AND(198&gt;='EDT Y TAREAS'!AK23,198&lt;'EDT Y TAREAS'!AL23),'EDT Y TAREAS'!AD23/'EDT Y TAREAS'!M23,0),IF(AND(198&gt;='EDT Y TAREAS'!AK26,198&lt;'EDT Y TAREAS'!AL26),'EDT Y TAREAS'!AD26/'EDT Y TAREAS'!M26,0),IF(AND(198&gt;='EDT Y TAREAS'!AK28,198&lt;'EDT Y TAREAS'!AL28),'EDT Y TAREAS'!AD28/'EDT Y TAREAS'!M28,0),IF(AND(198&gt;='EDT Y TAREAS'!AK30,198&lt;'EDT Y TAREAS'!AL30),'EDT Y TAREAS'!AD30/'EDT Y TAREAS'!M30,0),IF(AND(198&gt;='EDT Y TAREAS'!AK32,198&lt;'EDT Y TAREAS'!AL32),'EDT Y TAREAS'!AD32/'EDT Y TAREAS'!M32,0),IF(AND(198&gt;='EDT Y TAREAS'!AK34,198&lt;'EDT Y TAREAS'!AL34),'EDT Y TAREAS'!AD34/'EDT Y TAREAS'!M34,0),IF(AND(198&gt;='EDT Y TAREAS'!AK38,198&lt;'EDT Y TAREAS'!AL38),'EDT Y TAREAS'!AD38/'EDT Y TAREAS'!M38,0),IF(AND(198&gt;='EDT Y TAREAS'!AK39,198&lt;'EDT Y TAREAS'!AL39),'EDT Y TAREAS'!AD39/'EDT Y TAREAS'!M39,0),IF(AND(198&gt;='EDT Y TAREAS'!AK43,198&lt;'EDT Y TAREAS'!AL43),'EDT Y TAREAS'!AD43/'EDT Y TAREAS'!M43,0),IF(AND(198&gt;='EDT Y TAREAS'!AK44,198&lt;'EDT Y TAREAS'!AL44),'EDT Y TAREAS'!AD44/'EDT Y TAREAS'!M44,0),IF(AND(198&gt;='EDT Y TAREAS'!AK45,198&lt;'EDT Y TAREAS'!AL45),'EDT Y TAREAS'!AD45/'EDT Y TAREAS'!M45,0),IF(AND(198&gt;='EDT Y TAREAS'!AK46,198&lt;'EDT Y TAREAS'!AL46),'EDT Y TAREAS'!AD46/'EDT Y TAREAS'!M46,0),IF(AND(198&gt;='EDT Y TAREAS'!AK47,198&lt;'EDT Y TAREAS'!AL47),'EDT Y TAREAS'!AD47/'EDT Y TAREAS'!M47,0),IF(AND(198&gt;='EDT Y TAREAS'!AK49,198&lt;'EDT Y TAREAS'!AL49),'EDT Y TAREAS'!AD49/'EDT Y TAREAS'!M49,0),IF(AND(198&gt;='EDT Y TAREAS'!AK50,198&lt;'EDT Y TAREAS'!AL50),'EDT Y TAREAS'!AD50/'EDT Y TAREAS'!M50,0),IF(AND(198&gt;='EDT Y TAREAS'!AK51,198&lt;'EDT Y TAREAS'!AL51),'EDT Y TAREAS'!AD51/'EDT Y TAREAS'!M51,0),IF(AND(198&gt;='EDT Y TAREAS'!AK52,198&lt;'EDT Y TAREAS'!AL52),'EDT Y TAREAS'!AD52/'EDT Y TAREAS'!M52,0))</x:f>
        <x:v>0</x:v>
      </x:c>
      <x:c r="C238" s="35" t="n">
        <x:f>SUM(IF(AND(198&gt;='EDT Y TAREAS'!AK6,198&lt;'EDT Y TAREAS'!AL6),'EDT Y TAREAS'!AE6/'EDT Y TAREAS'!M6,0),IF(AND(198&gt;='EDT Y TAREAS'!AK8,198&lt;'EDT Y TAREAS'!AL8),'EDT Y TAREAS'!AE8/'EDT Y TAREAS'!M8,0),IF(AND(198&gt;='EDT Y TAREAS'!AK9,198&lt;'EDT Y TAREAS'!AL9),'EDT Y TAREAS'!AE9/'EDT Y TAREAS'!M9,0),IF(AND(198&gt;='EDT Y TAREAS'!AK10,198&lt;'EDT Y TAREAS'!AL10),'EDT Y TAREAS'!AE10/'EDT Y TAREAS'!M10,0),IF(AND(198&gt;='EDT Y TAREAS'!AK12,198&lt;'EDT Y TAREAS'!AL12),'EDT Y TAREAS'!AE12/'EDT Y TAREAS'!M12,0),IF(AND(198&gt;='EDT Y TAREAS'!AK16,198&lt;'EDT Y TAREAS'!AL16),'EDT Y TAREAS'!AE16/'EDT Y TAREAS'!M16,0),IF(AND(198&gt;='EDT Y TAREAS'!AK21,198&lt;'EDT Y TAREAS'!AL21),'EDT Y TAREAS'!AE21/'EDT Y TAREAS'!M21,0),IF(AND(198&gt;='EDT Y TAREAS'!AK23,198&lt;'EDT Y TAREAS'!AL23),'EDT Y TAREAS'!AE23/'EDT Y TAREAS'!M23,0),IF(AND(198&gt;='EDT Y TAREAS'!AK37,198&lt;'EDT Y TAREAS'!AL37),'EDT Y TAREAS'!AE37/'EDT Y TAREAS'!M37,0),IF(AND(198&gt;='EDT Y TAREAS'!AK38,198&lt;'EDT Y TAREAS'!AL38),'EDT Y TAREAS'!AE38/'EDT Y TAREAS'!M38,0),IF(AND(198&gt;='EDT Y TAREAS'!AK41,198&lt;'EDT Y TAREAS'!AL41),'EDT Y TAREAS'!AE41/'EDT Y TAREAS'!M41,0),IF(AND(198&gt;='EDT Y TAREAS'!AK43,198&lt;'EDT Y TAREAS'!AL43),'EDT Y TAREAS'!AE43/'EDT Y TAREAS'!M43,0),IF(AND(198&gt;='EDT Y TAREAS'!AK44,198&lt;'EDT Y TAREAS'!AL44),'EDT Y TAREAS'!AE44/'EDT Y TAREAS'!M44,0),IF(AND(198&gt;='EDT Y TAREAS'!AK46,198&lt;'EDT Y TAREAS'!AL46),'EDT Y TAREAS'!AE46/'EDT Y TAREAS'!M46,0),IF(AND(198&gt;='EDT Y TAREAS'!AK47,198&lt;'EDT Y TAREAS'!AL47),'EDT Y TAREAS'!AE47/'EDT Y TAREAS'!M47,0),IF(AND(198&gt;='EDT Y TAREAS'!AK51,198&lt;'EDT Y TAREAS'!AL51),'EDT Y TAREAS'!AE51/'EDT Y TAREAS'!M51,0),IF(AND(198&gt;='EDT Y TAREAS'!AK52,198&lt;'EDT Y TAREAS'!AL52),'EDT Y TAREAS'!AE52/'EDT Y TAREAS'!M52,0))</x:f>
        <x:v>0</x:v>
      </x:c>
      <x:c r="D238" s="35" t="n">
        <x:f>SUM(IF(AND(198&gt;='EDT Y TAREAS'!AK11,198&lt;'EDT Y TAREAS'!AL11),'EDT Y TAREAS'!AF11/'EDT Y TAREAS'!M11,0),IF(AND(198&gt;='EDT Y TAREAS'!AK24,198&lt;'EDT Y TAREAS'!AL24),'EDT Y TAREAS'!AF24/'EDT Y TAREAS'!M24,0),IF(AND(198&gt;='EDT Y TAREAS'!AK25,198&lt;'EDT Y TAREAS'!AL25),'EDT Y TAREAS'!AF25/'EDT Y TAREAS'!M25,0),IF(AND(198&gt;='EDT Y TAREAS'!AK26,198&lt;'EDT Y TAREAS'!AL26),'EDT Y TAREAS'!AF26/'EDT Y TAREAS'!M26,0),IF(AND(198&gt;='EDT Y TAREAS'!AK27,198&lt;'EDT Y TAREAS'!AL27),'EDT Y TAREAS'!AF27/'EDT Y TAREAS'!M27,0),IF(AND(198&gt;='EDT Y TAREAS'!AK28,198&lt;'EDT Y TAREAS'!AL28),'EDT Y TAREAS'!AF28/'EDT Y TAREAS'!M28,0),IF(AND(198&gt;='EDT Y TAREAS'!AK31,198&lt;'EDT Y TAREAS'!AL31),'EDT Y TAREAS'!AF31/'EDT Y TAREAS'!M31,0),IF(AND(198&gt;='EDT Y TAREAS'!AK33,198&lt;'EDT Y TAREAS'!AL33),'EDT Y TAREAS'!AF33/'EDT Y TAREAS'!M33,0),IF(AND(198&gt;='EDT Y TAREAS'!AK34,198&lt;'EDT Y TAREAS'!AL34),'EDT Y TAREAS'!AF34/'EDT Y TAREAS'!M34,0),IF(AND(198&gt;='EDT Y TAREAS'!AK35,198&lt;'EDT Y TAREAS'!AL35),'EDT Y TAREAS'!AF35/'EDT Y TAREAS'!M35,0),IF(AND(198&gt;='EDT Y TAREAS'!AK37,198&lt;'EDT Y TAREAS'!AL37),'EDT Y TAREAS'!AF37/'EDT Y TAREAS'!M37,0),IF(AND(198&gt;='EDT Y TAREAS'!AK39,198&lt;'EDT Y TAREAS'!AL39),'EDT Y TAREAS'!AF39/'EDT Y TAREAS'!M39,0),IF(AND(198&gt;='EDT Y TAREAS'!AK40,198&lt;'EDT Y TAREAS'!AL40),'EDT Y TAREAS'!AF40/'EDT Y TAREAS'!M40,0),IF(AND(198&gt;='EDT Y TAREAS'!AK42,198&lt;'EDT Y TAREAS'!AL42),'EDT Y TAREAS'!AF42/'EDT Y TAREAS'!M42,0),IF(AND(198&gt;='EDT Y TAREAS'!AK45,198&lt;'EDT Y TAREAS'!AL45),'EDT Y TAREAS'!AF45/'EDT Y TAREAS'!M45,0),IF(AND(198&gt;='EDT Y TAREAS'!AK49,198&lt;'EDT Y TAREAS'!AL49),'EDT Y TAREAS'!AF49/'EDT Y TAREAS'!M49,0),IF(AND(198&gt;='EDT Y TAREAS'!AK52,198&lt;'EDT Y TAREAS'!AL52),'EDT Y TAREAS'!AF52/'EDT Y TAREAS'!M52,0))</x:f>
        <x:v>0</x:v>
      </x:c>
      <x:c r="E238" s="35" t="n">
        <x:f>SUM(IF(AND(198&gt;='EDT Y TAREAS'!AK29,198&lt;'EDT Y TAREAS'!AL29),'EDT Y TAREAS'!AG29/'EDT Y TAREAS'!M29,0),IF(AND(198&gt;='EDT Y TAREAS'!AK30,198&lt;'EDT Y TAREAS'!AL30),'EDT Y TAREAS'!AG30/'EDT Y TAREAS'!M30,0),IF(AND(198&gt;='EDT Y TAREAS'!AK31,198&lt;'EDT Y TAREAS'!AL31),'EDT Y TAREAS'!AG31/'EDT Y TAREAS'!M31,0),IF(AND(198&gt;='EDT Y TAREAS'!AK32,198&lt;'EDT Y TAREAS'!AL32),'EDT Y TAREAS'!AG32/'EDT Y TAREAS'!M32,0),IF(AND(198&gt;='EDT Y TAREAS'!AK41,198&lt;'EDT Y TAREAS'!AL41),'EDT Y TAREAS'!AG41/'EDT Y TAREAS'!M41,0),IF(AND(198&gt;='EDT Y TAREAS'!AK45,198&lt;'EDT Y TAREAS'!AL45),'EDT Y TAREAS'!AG45/'EDT Y TAREAS'!M45,0),IF(AND(198&gt;='EDT Y TAREAS'!AK48,198&lt;'EDT Y TAREAS'!AL48),'EDT Y TAREAS'!AG48/'EDT Y TAREAS'!M48,0))</x:f>
        <x:v>0</x:v>
      </x:c>
      <x:c r="F238" s="35" t="n">
        <x:f>SUM(IF(AND(198&gt;='EDT Y TAREAS'!AK10,198&lt;'EDT Y TAREAS'!AL10),'EDT Y TAREAS'!AH10/'EDT Y TAREAS'!M10,0),IF(AND(198&gt;='EDT Y TAREAS'!AK12,198&lt;'EDT Y TAREAS'!AL12),'EDT Y TAREAS'!AH12/'EDT Y TAREAS'!M12,0),IF(AND(198&gt;='EDT Y TAREAS'!AK22,198&lt;'EDT Y TAREAS'!AL22),'EDT Y TAREAS'!AH22/'EDT Y TAREAS'!M22,0),IF(AND(198&gt;='EDT Y TAREAS'!AK23,198&lt;'EDT Y TAREAS'!AL23),'EDT Y TAREAS'!AH23/'EDT Y TAREAS'!M23,0),IF(AND(198&gt;='EDT Y TAREAS'!AK29,198&lt;'EDT Y TAREAS'!AL29),'EDT Y TAREAS'!AH29/'EDT Y TAREAS'!M29,0),IF(AND(198&gt;='EDT Y TAREAS'!AK30,198&lt;'EDT Y TAREAS'!AL30),'EDT Y TAREAS'!AH30/'EDT Y TAREAS'!M30,0),IF(AND(198&gt;='EDT Y TAREAS'!AK32,198&lt;'EDT Y TAREAS'!AL32),'EDT Y TAREAS'!AH32/'EDT Y TAREAS'!M32,0),IF(AND(198&gt;='EDT Y TAREAS'!AK41,198&lt;'EDT Y TAREAS'!AL41),'EDT Y TAREAS'!AH41/'EDT Y TAREAS'!M41,0),IF(AND(198&gt;='EDT Y TAREAS'!AK44,198&lt;'EDT Y TAREAS'!AL44),'EDT Y TAREAS'!AH44/'EDT Y TAREAS'!M44,0),IF(AND(198&gt;='EDT Y TAREAS'!AK46,198&lt;'EDT Y TAREAS'!AL46),'EDT Y TAREAS'!AH46/'EDT Y TAREAS'!M46,0),IF(AND(198&gt;='EDT Y TAREAS'!AK48,198&lt;'EDT Y TAREAS'!AL48),'EDT Y TAREAS'!AH48/'EDT Y TAREAS'!M48,0))</x:f>
        <x:v>0</x:v>
      </x:c>
      <x:c r="G238" s="35" t="n">
        <x:f>SUM(IF(AND(198&gt;='EDT Y TAREAS'!AK20,198&lt;'EDT Y TAREAS'!AL20),'EDT Y TAREAS'!AI20/'EDT Y TAREAS'!M20,0),IF(AND(198&gt;='EDT Y TAREAS'!AK25,198&lt;'EDT Y TAREAS'!AL25),'EDT Y TAREAS'!AI25/'EDT Y TAREAS'!M25,0),IF(AND(198&gt;='EDT Y TAREAS'!AK33,198&lt;'EDT Y TAREAS'!AL33),'EDT Y TAREAS'!AI33/'EDT Y TAREAS'!M33,0),IF(AND(198&gt;='EDT Y TAREAS'!AK34,198&lt;'EDT Y TAREAS'!AL34),'EDT Y TAREAS'!AI34/'EDT Y TAREAS'!M34,0),IF(AND(198&gt;='EDT Y TAREAS'!AK36,198&lt;'EDT Y TAREAS'!AL36),'EDT Y TAREAS'!AI36/'EDT Y TAREAS'!M36,0),IF(AND(198&gt;='EDT Y TAREAS'!AK39,198&lt;'EDT Y TAREAS'!AL39),'EDT Y TAREAS'!AI39/'EDT Y TAREAS'!M39,0),IF(AND(198&gt;='EDT Y TAREAS'!AK40,198&lt;'EDT Y TAREAS'!AL40),'EDT Y TAREAS'!AI40/'EDT Y TAREAS'!M40,0),IF(AND(198&gt;='EDT Y TAREAS'!AK42,198&lt;'EDT Y TAREAS'!AL42),'EDT Y TAREAS'!AI42/'EDT Y TAREAS'!M42,0),IF(AND(198&gt;='EDT Y TAREAS'!AK43,198&lt;'EDT Y TAREAS'!AL43),'EDT Y TAREAS'!AI43/'EDT Y TAREAS'!M43,0),IF(AND(198&gt;='EDT Y TAREAS'!AK44,198&lt;'EDT Y TAREAS'!AL44),'EDT Y TAREAS'!AI44/'EDT Y TAREAS'!M44,0),IF(AND(198&gt;='EDT Y TAREAS'!AK45,198&lt;'EDT Y TAREAS'!AL45),'EDT Y TAREAS'!AI45/'EDT Y TAREAS'!M45,0),IF(AND(198&gt;='EDT Y TAREAS'!AK46,198&lt;'EDT Y TAREAS'!AL46),'EDT Y TAREAS'!AI46/'EDT Y TAREAS'!M46,0),IF(AND(198&gt;='EDT Y TAREAS'!AK48,198&lt;'EDT Y TAREAS'!AL48),'EDT Y TAREAS'!AI48/'EDT Y TAREAS'!M48,0),IF(AND(198&gt;='EDT Y TAREAS'!AK50,198&lt;'EDT Y TAREAS'!AL50),'EDT Y TAREAS'!AI50/'EDT Y TAREAS'!M50,0),IF(AND(198&gt;='EDT Y TAREAS'!AK52,198&lt;'EDT Y TAREAS'!AL52),'EDT Y TAREAS'!AI52/'EDT Y TAREAS'!M52,0))</x:f>
        <x:v>0</x:v>
      </x:c>
      <x:c r="H238" s="35" t="n">
        <x:f>SUM(IF(AND(198&gt;='EDT Y TAREAS'!AK11,198&lt;'EDT Y TAREAS'!AL11),'EDT Y TAREAS'!AJ11/'EDT Y TAREAS'!M11,0),IF(AND(198&gt;='EDT Y TAREAS'!AK24,198&lt;'EDT Y TAREAS'!AL24),'EDT Y TAREAS'!AJ24/'EDT Y TAREAS'!M24,0),IF(AND(198&gt;='EDT Y TAREAS'!AK27,198&lt;'EDT Y TAREAS'!AL27),'EDT Y TAREAS'!AJ27/'EDT Y TAREAS'!M27,0),IF(AND(198&gt;='EDT Y TAREAS'!AK28,198&lt;'EDT Y TAREAS'!AL28),'EDT Y TAREAS'!AJ28/'EDT Y TAREAS'!M28,0),IF(AND(198&gt;='EDT Y TAREAS'!AK33,198&lt;'EDT Y TAREAS'!AL33),'EDT Y TAREAS'!AJ33/'EDT Y TAREAS'!M33,0),IF(AND(198&gt;='EDT Y TAREAS'!AK35,198&lt;'EDT Y TAREAS'!AL35),'EDT Y TAREAS'!AJ35/'EDT Y TAREAS'!M35,0),IF(AND(198&gt;='EDT Y TAREAS'!AK36,198&lt;'EDT Y TAREAS'!AL36),'EDT Y TAREAS'!AJ36/'EDT Y TAREAS'!M36,0),IF(AND(198&gt;='EDT Y TAREAS'!AK37,198&lt;'EDT Y TAREAS'!AL37),'EDT Y TAREAS'!AJ37/'EDT Y TAREAS'!M37,0),IF(AND(198&gt;='EDT Y TAREAS'!AK40,198&lt;'EDT Y TAREAS'!AL40),'EDT Y TAREAS'!AJ40/'EDT Y TAREAS'!M40,0),IF(AND(198&gt;='EDT Y TAREAS'!AK42,198&lt;'EDT Y TAREAS'!AL42),'EDT Y TAREAS'!AJ42/'EDT Y TAREAS'!M42,0),IF(AND(198&gt;='EDT Y TAREAS'!AK49,198&lt;'EDT Y TAREAS'!AL49),'EDT Y TAREAS'!AJ49/'EDT Y TAREAS'!M49,0),IF(AND(198&gt;='EDT Y TAREAS'!AK50,198&lt;'EDT Y TAREAS'!AL50),'EDT Y TAREAS'!AJ50/'EDT Y TAREAS'!M50,0),IF(AND(198&gt;='EDT Y TAREAS'!AK51,198&lt;'EDT Y TAREAS'!AL51),'EDT Y TAREAS'!AJ51/'EDT Y TAREAS'!M51,0),IF(AND(198&gt;='EDT Y TAREAS'!AK52,198&lt;'EDT Y TAREAS'!AL52),'EDT Y TAREAS'!AJ52/'EDT Y TAREAS'!M52,0))</x:f>
        <x:v>0</x:v>
      </x:c>
      <x:c r="I238" s="10" t="n">
        <x:f>WORKDAY('RESUMEN'!$D$3-1,A238,'RESUMEN'!$J$6:$J$25)</x:f>
        <x:v>46604</x:v>
      </x:c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  <x:c r="AL238" s="3"/>
      <x:c r="AM238" s="3"/>
      <x:c r="AN238" s="3"/>
      <x:c r="AO238" s="3"/>
    </x:row>
    <x:row r="239" ht="24" customHeight="1">
      <x:c r="A239" s="3" t="n">
        <x:v>200</x:v>
      </x:c>
      <x:c r="B239" s="35" t="n">
        <x:f>SUM(IF(AND(199&gt;='EDT Y TAREAS'!AK6,199&lt;'EDT Y TAREAS'!AL6),'EDT Y TAREAS'!AD6/'EDT Y TAREAS'!M6,0),IF(AND(199&gt;='EDT Y TAREAS'!AK7,199&lt;'EDT Y TAREAS'!AL7),'EDT Y TAREAS'!AD7/'EDT Y TAREAS'!M7,0),IF(AND(199&gt;='EDT Y TAREAS'!AK8,199&lt;'EDT Y TAREAS'!AL8),'EDT Y TAREAS'!AD8/'EDT Y TAREAS'!M8,0),IF(AND(199&gt;='EDT Y TAREAS'!AK9,199&lt;'EDT Y TAREAS'!AL9),'EDT Y TAREAS'!AD9/'EDT Y TAREAS'!M9,0),IF(AND(199&gt;='EDT Y TAREAS'!AK10,199&lt;'EDT Y TAREAS'!AL10),'EDT Y TAREAS'!AD10/'EDT Y TAREAS'!M10,0),IF(AND(199&gt;='EDT Y TAREAS'!AK11,199&lt;'EDT Y TAREAS'!AL11),'EDT Y TAREAS'!AD11/'EDT Y TAREAS'!M11,0),IF(AND(199&gt;='EDT Y TAREAS'!AK12,199&lt;'EDT Y TAREAS'!AL12),'EDT Y TAREAS'!AD12/'EDT Y TAREAS'!M12,0),IF(AND(199&gt;='EDT Y TAREAS'!AK13,199&lt;'EDT Y TAREAS'!AL13),'EDT Y TAREAS'!AD13/'EDT Y TAREAS'!M13,0),IF(AND(199&gt;='EDT Y TAREAS'!AK14,199&lt;'EDT Y TAREAS'!AL14),'EDT Y TAREAS'!AD14/'EDT Y TAREAS'!M14,0),IF(AND(199&gt;='EDT Y TAREAS'!AK15,199&lt;'EDT Y TAREAS'!AL15),'EDT Y TAREAS'!AD15/'EDT Y TAREAS'!M15,0),IF(AND(199&gt;='EDT Y TAREAS'!AK16,199&lt;'EDT Y TAREAS'!AL16),'EDT Y TAREAS'!AD16/'EDT Y TAREAS'!M16,0),IF(AND(199&gt;='EDT Y TAREAS'!AK17,199&lt;'EDT Y TAREAS'!AL17),'EDT Y TAREAS'!AD17/'EDT Y TAREAS'!M17,0),IF(AND(199&gt;='EDT Y TAREAS'!AK18,199&lt;'EDT Y TAREAS'!AL18),'EDT Y TAREAS'!AD18/'EDT Y TAREAS'!M18,0),IF(AND(199&gt;='EDT Y TAREAS'!AK19,199&lt;'EDT Y TAREAS'!AL19),'EDT Y TAREAS'!AD19/'EDT Y TAREAS'!M19,0),IF(AND(199&gt;='EDT Y TAREAS'!AK20,199&lt;'EDT Y TAREAS'!AL20),'EDT Y TAREAS'!AD20/'EDT Y TAREAS'!M20,0),IF(AND(199&gt;='EDT Y TAREAS'!AK21,199&lt;'EDT Y TAREAS'!AL21),'EDT Y TAREAS'!AD21/'EDT Y TAREAS'!M21,0),IF(AND(199&gt;='EDT Y TAREAS'!AK22,199&lt;'EDT Y TAREAS'!AL22),'EDT Y TAREAS'!AD22/'EDT Y TAREAS'!M22,0),IF(AND(199&gt;='EDT Y TAREAS'!AK23,199&lt;'EDT Y TAREAS'!AL23),'EDT Y TAREAS'!AD23/'EDT Y TAREAS'!M23,0),IF(AND(199&gt;='EDT Y TAREAS'!AK26,199&lt;'EDT Y TAREAS'!AL26),'EDT Y TAREAS'!AD26/'EDT Y TAREAS'!M26,0),IF(AND(199&gt;='EDT Y TAREAS'!AK28,199&lt;'EDT Y TAREAS'!AL28),'EDT Y TAREAS'!AD28/'EDT Y TAREAS'!M28,0),IF(AND(199&gt;='EDT Y TAREAS'!AK30,199&lt;'EDT Y TAREAS'!AL30),'EDT Y TAREAS'!AD30/'EDT Y TAREAS'!M30,0),IF(AND(199&gt;='EDT Y TAREAS'!AK32,199&lt;'EDT Y TAREAS'!AL32),'EDT Y TAREAS'!AD32/'EDT Y TAREAS'!M32,0),IF(AND(199&gt;='EDT Y TAREAS'!AK34,199&lt;'EDT Y TAREAS'!AL34),'EDT Y TAREAS'!AD34/'EDT Y TAREAS'!M34,0),IF(AND(199&gt;='EDT Y TAREAS'!AK38,199&lt;'EDT Y TAREAS'!AL38),'EDT Y TAREAS'!AD38/'EDT Y TAREAS'!M38,0),IF(AND(199&gt;='EDT Y TAREAS'!AK39,199&lt;'EDT Y TAREAS'!AL39),'EDT Y TAREAS'!AD39/'EDT Y TAREAS'!M39,0),IF(AND(199&gt;='EDT Y TAREAS'!AK43,199&lt;'EDT Y TAREAS'!AL43),'EDT Y TAREAS'!AD43/'EDT Y TAREAS'!M43,0),IF(AND(199&gt;='EDT Y TAREAS'!AK44,199&lt;'EDT Y TAREAS'!AL44),'EDT Y TAREAS'!AD44/'EDT Y TAREAS'!M44,0),IF(AND(199&gt;='EDT Y TAREAS'!AK45,199&lt;'EDT Y TAREAS'!AL45),'EDT Y TAREAS'!AD45/'EDT Y TAREAS'!M45,0),IF(AND(199&gt;='EDT Y TAREAS'!AK46,199&lt;'EDT Y TAREAS'!AL46),'EDT Y TAREAS'!AD46/'EDT Y TAREAS'!M46,0),IF(AND(199&gt;='EDT Y TAREAS'!AK47,199&lt;'EDT Y TAREAS'!AL47),'EDT Y TAREAS'!AD47/'EDT Y TAREAS'!M47,0),IF(AND(199&gt;='EDT Y TAREAS'!AK49,199&lt;'EDT Y TAREAS'!AL49),'EDT Y TAREAS'!AD49/'EDT Y TAREAS'!M49,0),IF(AND(199&gt;='EDT Y TAREAS'!AK50,199&lt;'EDT Y TAREAS'!AL50),'EDT Y TAREAS'!AD50/'EDT Y TAREAS'!M50,0),IF(AND(199&gt;='EDT Y TAREAS'!AK51,199&lt;'EDT Y TAREAS'!AL51),'EDT Y TAREAS'!AD51/'EDT Y TAREAS'!M51,0),IF(AND(199&gt;='EDT Y TAREAS'!AK52,199&lt;'EDT Y TAREAS'!AL52),'EDT Y TAREAS'!AD52/'EDT Y TAREAS'!M52,0))</x:f>
        <x:v>0</x:v>
      </x:c>
      <x:c r="C239" s="35" t="n">
        <x:f>SUM(IF(AND(199&gt;='EDT Y TAREAS'!AK6,199&lt;'EDT Y TAREAS'!AL6),'EDT Y TAREAS'!AE6/'EDT Y TAREAS'!M6,0),IF(AND(199&gt;='EDT Y TAREAS'!AK8,199&lt;'EDT Y TAREAS'!AL8),'EDT Y TAREAS'!AE8/'EDT Y TAREAS'!M8,0),IF(AND(199&gt;='EDT Y TAREAS'!AK9,199&lt;'EDT Y TAREAS'!AL9),'EDT Y TAREAS'!AE9/'EDT Y TAREAS'!M9,0),IF(AND(199&gt;='EDT Y TAREAS'!AK10,199&lt;'EDT Y TAREAS'!AL10),'EDT Y TAREAS'!AE10/'EDT Y TAREAS'!M10,0),IF(AND(199&gt;='EDT Y TAREAS'!AK12,199&lt;'EDT Y TAREAS'!AL12),'EDT Y TAREAS'!AE12/'EDT Y TAREAS'!M12,0),IF(AND(199&gt;='EDT Y TAREAS'!AK16,199&lt;'EDT Y TAREAS'!AL16),'EDT Y TAREAS'!AE16/'EDT Y TAREAS'!M16,0),IF(AND(199&gt;='EDT Y TAREAS'!AK21,199&lt;'EDT Y TAREAS'!AL21),'EDT Y TAREAS'!AE21/'EDT Y TAREAS'!M21,0),IF(AND(199&gt;='EDT Y TAREAS'!AK23,199&lt;'EDT Y TAREAS'!AL23),'EDT Y TAREAS'!AE23/'EDT Y TAREAS'!M23,0),IF(AND(199&gt;='EDT Y TAREAS'!AK37,199&lt;'EDT Y TAREAS'!AL37),'EDT Y TAREAS'!AE37/'EDT Y TAREAS'!M37,0),IF(AND(199&gt;='EDT Y TAREAS'!AK38,199&lt;'EDT Y TAREAS'!AL38),'EDT Y TAREAS'!AE38/'EDT Y TAREAS'!M38,0),IF(AND(199&gt;='EDT Y TAREAS'!AK41,199&lt;'EDT Y TAREAS'!AL41),'EDT Y TAREAS'!AE41/'EDT Y TAREAS'!M41,0),IF(AND(199&gt;='EDT Y TAREAS'!AK43,199&lt;'EDT Y TAREAS'!AL43),'EDT Y TAREAS'!AE43/'EDT Y TAREAS'!M43,0),IF(AND(199&gt;='EDT Y TAREAS'!AK44,199&lt;'EDT Y TAREAS'!AL44),'EDT Y TAREAS'!AE44/'EDT Y TAREAS'!M44,0),IF(AND(199&gt;='EDT Y TAREAS'!AK46,199&lt;'EDT Y TAREAS'!AL46),'EDT Y TAREAS'!AE46/'EDT Y TAREAS'!M46,0),IF(AND(199&gt;='EDT Y TAREAS'!AK47,199&lt;'EDT Y TAREAS'!AL47),'EDT Y TAREAS'!AE47/'EDT Y TAREAS'!M47,0),IF(AND(199&gt;='EDT Y TAREAS'!AK51,199&lt;'EDT Y TAREAS'!AL51),'EDT Y TAREAS'!AE51/'EDT Y TAREAS'!M51,0),IF(AND(199&gt;='EDT Y TAREAS'!AK52,199&lt;'EDT Y TAREAS'!AL52),'EDT Y TAREAS'!AE52/'EDT Y TAREAS'!M52,0))</x:f>
        <x:v>0</x:v>
      </x:c>
      <x:c r="D239" s="35" t="n">
        <x:f>SUM(IF(AND(199&gt;='EDT Y TAREAS'!AK11,199&lt;'EDT Y TAREAS'!AL11),'EDT Y TAREAS'!AF11/'EDT Y TAREAS'!M11,0),IF(AND(199&gt;='EDT Y TAREAS'!AK24,199&lt;'EDT Y TAREAS'!AL24),'EDT Y TAREAS'!AF24/'EDT Y TAREAS'!M24,0),IF(AND(199&gt;='EDT Y TAREAS'!AK25,199&lt;'EDT Y TAREAS'!AL25),'EDT Y TAREAS'!AF25/'EDT Y TAREAS'!M25,0),IF(AND(199&gt;='EDT Y TAREAS'!AK26,199&lt;'EDT Y TAREAS'!AL26),'EDT Y TAREAS'!AF26/'EDT Y TAREAS'!M26,0),IF(AND(199&gt;='EDT Y TAREAS'!AK27,199&lt;'EDT Y TAREAS'!AL27),'EDT Y TAREAS'!AF27/'EDT Y TAREAS'!M27,0),IF(AND(199&gt;='EDT Y TAREAS'!AK28,199&lt;'EDT Y TAREAS'!AL28),'EDT Y TAREAS'!AF28/'EDT Y TAREAS'!M28,0),IF(AND(199&gt;='EDT Y TAREAS'!AK31,199&lt;'EDT Y TAREAS'!AL31),'EDT Y TAREAS'!AF31/'EDT Y TAREAS'!M31,0),IF(AND(199&gt;='EDT Y TAREAS'!AK33,199&lt;'EDT Y TAREAS'!AL33),'EDT Y TAREAS'!AF33/'EDT Y TAREAS'!M33,0),IF(AND(199&gt;='EDT Y TAREAS'!AK34,199&lt;'EDT Y TAREAS'!AL34),'EDT Y TAREAS'!AF34/'EDT Y TAREAS'!M34,0),IF(AND(199&gt;='EDT Y TAREAS'!AK35,199&lt;'EDT Y TAREAS'!AL35),'EDT Y TAREAS'!AF35/'EDT Y TAREAS'!M35,0),IF(AND(199&gt;='EDT Y TAREAS'!AK37,199&lt;'EDT Y TAREAS'!AL37),'EDT Y TAREAS'!AF37/'EDT Y TAREAS'!M37,0),IF(AND(199&gt;='EDT Y TAREAS'!AK39,199&lt;'EDT Y TAREAS'!AL39),'EDT Y TAREAS'!AF39/'EDT Y TAREAS'!M39,0),IF(AND(199&gt;='EDT Y TAREAS'!AK40,199&lt;'EDT Y TAREAS'!AL40),'EDT Y TAREAS'!AF40/'EDT Y TAREAS'!M40,0),IF(AND(199&gt;='EDT Y TAREAS'!AK42,199&lt;'EDT Y TAREAS'!AL42),'EDT Y TAREAS'!AF42/'EDT Y TAREAS'!M42,0),IF(AND(199&gt;='EDT Y TAREAS'!AK45,199&lt;'EDT Y TAREAS'!AL45),'EDT Y TAREAS'!AF45/'EDT Y TAREAS'!M45,0),IF(AND(199&gt;='EDT Y TAREAS'!AK49,199&lt;'EDT Y TAREAS'!AL49),'EDT Y TAREAS'!AF49/'EDT Y TAREAS'!M49,0),IF(AND(199&gt;='EDT Y TAREAS'!AK52,199&lt;'EDT Y TAREAS'!AL52),'EDT Y TAREAS'!AF52/'EDT Y TAREAS'!M52,0))</x:f>
        <x:v>0</x:v>
      </x:c>
      <x:c r="E239" s="35" t="n">
        <x:f>SUM(IF(AND(199&gt;='EDT Y TAREAS'!AK29,199&lt;'EDT Y TAREAS'!AL29),'EDT Y TAREAS'!AG29/'EDT Y TAREAS'!M29,0),IF(AND(199&gt;='EDT Y TAREAS'!AK30,199&lt;'EDT Y TAREAS'!AL30),'EDT Y TAREAS'!AG30/'EDT Y TAREAS'!M30,0),IF(AND(199&gt;='EDT Y TAREAS'!AK31,199&lt;'EDT Y TAREAS'!AL31),'EDT Y TAREAS'!AG31/'EDT Y TAREAS'!M31,0),IF(AND(199&gt;='EDT Y TAREAS'!AK32,199&lt;'EDT Y TAREAS'!AL32),'EDT Y TAREAS'!AG32/'EDT Y TAREAS'!M32,0),IF(AND(199&gt;='EDT Y TAREAS'!AK41,199&lt;'EDT Y TAREAS'!AL41),'EDT Y TAREAS'!AG41/'EDT Y TAREAS'!M41,0),IF(AND(199&gt;='EDT Y TAREAS'!AK45,199&lt;'EDT Y TAREAS'!AL45),'EDT Y TAREAS'!AG45/'EDT Y TAREAS'!M45,0),IF(AND(199&gt;='EDT Y TAREAS'!AK48,199&lt;'EDT Y TAREAS'!AL48),'EDT Y TAREAS'!AG48/'EDT Y TAREAS'!M48,0))</x:f>
        <x:v>0</x:v>
      </x:c>
      <x:c r="F239" s="35" t="n">
        <x:f>SUM(IF(AND(199&gt;='EDT Y TAREAS'!AK10,199&lt;'EDT Y TAREAS'!AL10),'EDT Y TAREAS'!AH10/'EDT Y TAREAS'!M10,0),IF(AND(199&gt;='EDT Y TAREAS'!AK12,199&lt;'EDT Y TAREAS'!AL12),'EDT Y TAREAS'!AH12/'EDT Y TAREAS'!M12,0),IF(AND(199&gt;='EDT Y TAREAS'!AK22,199&lt;'EDT Y TAREAS'!AL22),'EDT Y TAREAS'!AH22/'EDT Y TAREAS'!M22,0),IF(AND(199&gt;='EDT Y TAREAS'!AK23,199&lt;'EDT Y TAREAS'!AL23),'EDT Y TAREAS'!AH23/'EDT Y TAREAS'!M23,0),IF(AND(199&gt;='EDT Y TAREAS'!AK29,199&lt;'EDT Y TAREAS'!AL29),'EDT Y TAREAS'!AH29/'EDT Y TAREAS'!M29,0),IF(AND(199&gt;='EDT Y TAREAS'!AK30,199&lt;'EDT Y TAREAS'!AL30),'EDT Y TAREAS'!AH30/'EDT Y TAREAS'!M30,0),IF(AND(199&gt;='EDT Y TAREAS'!AK32,199&lt;'EDT Y TAREAS'!AL32),'EDT Y TAREAS'!AH32/'EDT Y TAREAS'!M32,0),IF(AND(199&gt;='EDT Y TAREAS'!AK41,199&lt;'EDT Y TAREAS'!AL41),'EDT Y TAREAS'!AH41/'EDT Y TAREAS'!M41,0),IF(AND(199&gt;='EDT Y TAREAS'!AK44,199&lt;'EDT Y TAREAS'!AL44),'EDT Y TAREAS'!AH44/'EDT Y TAREAS'!M44,0),IF(AND(199&gt;='EDT Y TAREAS'!AK46,199&lt;'EDT Y TAREAS'!AL46),'EDT Y TAREAS'!AH46/'EDT Y TAREAS'!M46,0),IF(AND(199&gt;='EDT Y TAREAS'!AK48,199&lt;'EDT Y TAREAS'!AL48),'EDT Y TAREAS'!AH48/'EDT Y TAREAS'!M48,0))</x:f>
        <x:v>0</x:v>
      </x:c>
      <x:c r="G239" s="35" t="n">
        <x:f>SUM(IF(AND(199&gt;='EDT Y TAREAS'!AK20,199&lt;'EDT Y TAREAS'!AL20),'EDT Y TAREAS'!AI20/'EDT Y TAREAS'!M20,0),IF(AND(199&gt;='EDT Y TAREAS'!AK25,199&lt;'EDT Y TAREAS'!AL25),'EDT Y TAREAS'!AI25/'EDT Y TAREAS'!M25,0),IF(AND(199&gt;='EDT Y TAREAS'!AK33,199&lt;'EDT Y TAREAS'!AL33),'EDT Y TAREAS'!AI33/'EDT Y TAREAS'!M33,0),IF(AND(199&gt;='EDT Y TAREAS'!AK34,199&lt;'EDT Y TAREAS'!AL34),'EDT Y TAREAS'!AI34/'EDT Y TAREAS'!M34,0),IF(AND(199&gt;='EDT Y TAREAS'!AK36,199&lt;'EDT Y TAREAS'!AL36),'EDT Y TAREAS'!AI36/'EDT Y TAREAS'!M36,0),IF(AND(199&gt;='EDT Y TAREAS'!AK39,199&lt;'EDT Y TAREAS'!AL39),'EDT Y TAREAS'!AI39/'EDT Y TAREAS'!M39,0),IF(AND(199&gt;='EDT Y TAREAS'!AK40,199&lt;'EDT Y TAREAS'!AL40),'EDT Y TAREAS'!AI40/'EDT Y TAREAS'!M40,0),IF(AND(199&gt;='EDT Y TAREAS'!AK42,199&lt;'EDT Y TAREAS'!AL42),'EDT Y TAREAS'!AI42/'EDT Y TAREAS'!M42,0),IF(AND(199&gt;='EDT Y TAREAS'!AK43,199&lt;'EDT Y TAREAS'!AL43),'EDT Y TAREAS'!AI43/'EDT Y TAREAS'!M43,0),IF(AND(199&gt;='EDT Y TAREAS'!AK44,199&lt;'EDT Y TAREAS'!AL44),'EDT Y TAREAS'!AI44/'EDT Y TAREAS'!M44,0),IF(AND(199&gt;='EDT Y TAREAS'!AK45,199&lt;'EDT Y TAREAS'!AL45),'EDT Y TAREAS'!AI45/'EDT Y TAREAS'!M45,0),IF(AND(199&gt;='EDT Y TAREAS'!AK46,199&lt;'EDT Y TAREAS'!AL46),'EDT Y TAREAS'!AI46/'EDT Y TAREAS'!M46,0),IF(AND(199&gt;='EDT Y TAREAS'!AK48,199&lt;'EDT Y TAREAS'!AL48),'EDT Y TAREAS'!AI48/'EDT Y TAREAS'!M48,0),IF(AND(199&gt;='EDT Y TAREAS'!AK50,199&lt;'EDT Y TAREAS'!AL50),'EDT Y TAREAS'!AI50/'EDT Y TAREAS'!M50,0),IF(AND(199&gt;='EDT Y TAREAS'!AK52,199&lt;'EDT Y TAREAS'!AL52),'EDT Y TAREAS'!AI52/'EDT Y TAREAS'!M52,0))</x:f>
        <x:v>0</x:v>
      </x:c>
      <x:c r="H239" s="35" t="n">
        <x:f>SUM(IF(AND(199&gt;='EDT Y TAREAS'!AK11,199&lt;'EDT Y TAREAS'!AL11),'EDT Y TAREAS'!AJ11/'EDT Y TAREAS'!M11,0),IF(AND(199&gt;='EDT Y TAREAS'!AK24,199&lt;'EDT Y TAREAS'!AL24),'EDT Y TAREAS'!AJ24/'EDT Y TAREAS'!M24,0),IF(AND(199&gt;='EDT Y TAREAS'!AK27,199&lt;'EDT Y TAREAS'!AL27),'EDT Y TAREAS'!AJ27/'EDT Y TAREAS'!M27,0),IF(AND(199&gt;='EDT Y TAREAS'!AK28,199&lt;'EDT Y TAREAS'!AL28),'EDT Y TAREAS'!AJ28/'EDT Y TAREAS'!M28,0),IF(AND(199&gt;='EDT Y TAREAS'!AK33,199&lt;'EDT Y TAREAS'!AL33),'EDT Y TAREAS'!AJ33/'EDT Y TAREAS'!M33,0),IF(AND(199&gt;='EDT Y TAREAS'!AK35,199&lt;'EDT Y TAREAS'!AL35),'EDT Y TAREAS'!AJ35/'EDT Y TAREAS'!M35,0),IF(AND(199&gt;='EDT Y TAREAS'!AK36,199&lt;'EDT Y TAREAS'!AL36),'EDT Y TAREAS'!AJ36/'EDT Y TAREAS'!M36,0),IF(AND(199&gt;='EDT Y TAREAS'!AK37,199&lt;'EDT Y TAREAS'!AL37),'EDT Y TAREAS'!AJ37/'EDT Y TAREAS'!M37,0),IF(AND(199&gt;='EDT Y TAREAS'!AK40,199&lt;'EDT Y TAREAS'!AL40),'EDT Y TAREAS'!AJ40/'EDT Y TAREAS'!M40,0),IF(AND(199&gt;='EDT Y TAREAS'!AK42,199&lt;'EDT Y TAREAS'!AL42),'EDT Y TAREAS'!AJ42/'EDT Y TAREAS'!M42,0),IF(AND(199&gt;='EDT Y TAREAS'!AK49,199&lt;'EDT Y TAREAS'!AL49),'EDT Y TAREAS'!AJ49/'EDT Y TAREAS'!M49,0),IF(AND(199&gt;='EDT Y TAREAS'!AK50,199&lt;'EDT Y TAREAS'!AL50),'EDT Y TAREAS'!AJ50/'EDT Y TAREAS'!M50,0),IF(AND(199&gt;='EDT Y TAREAS'!AK51,199&lt;'EDT Y TAREAS'!AL51),'EDT Y TAREAS'!AJ51/'EDT Y TAREAS'!M51,0),IF(AND(199&gt;='EDT Y TAREAS'!AK52,199&lt;'EDT Y TAREAS'!AL52),'EDT Y TAREAS'!AJ52/'EDT Y TAREAS'!M52,0))</x:f>
        <x:v>0</x:v>
      </x:c>
      <x:c r="I239" s="10" t="n">
        <x:f>WORKDAY('RESUMEN'!$D$3-1,A239,'RESUMEN'!$J$6:$J$25)</x:f>
        <x:v>46605</x:v>
      </x:c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  <x:c r="AL239" s="3"/>
      <x:c r="AM239" s="3"/>
      <x:c r="AN239" s="3"/>
      <x:c r="AO239" s="3"/>
    </x:row>
    <x:row r="240" ht="24" customHeight="1">
      <x:c r="A240" s="3" t="n">
        <x:v>201</x:v>
      </x:c>
      <x:c r="B240" s="35" t="n">
        <x:f>SUM(IF(AND(200&gt;='EDT Y TAREAS'!AK6,200&lt;'EDT Y TAREAS'!AL6),'EDT Y TAREAS'!AD6/'EDT Y TAREAS'!M6,0),IF(AND(200&gt;='EDT Y TAREAS'!AK7,200&lt;'EDT Y TAREAS'!AL7),'EDT Y TAREAS'!AD7/'EDT Y TAREAS'!M7,0),IF(AND(200&gt;='EDT Y TAREAS'!AK8,200&lt;'EDT Y TAREAS'!AL8),'EDT Y TAREAS'!AD8/'EDT Y TAREAS'!M8,0),IF(AND(200&gt;='EDT Y TAREAS'!AK9,200&lt;'EDT Y TAREAS'!AL9),'EDT Y TAREAS'!AD9/'EDT Y TAREAS'!M9,0),IF(AND(200&gt;='EDT Y TAREAS'!AK10,200&lt;'EDT Y TAREAS'!AL10),'EDT Y TAREAS'!AD10/'EDT Y TAREAS'!M10,0),IF(AND(200&gt;='EDT Y TAREAS'!AK11,200&lt;'EDT Y TAREAS'!AL11),'EDT Y TAREAS'!AD11/'EDT Y TAREAS'!M11,0),IF(AND(200&gt;='EDT Y TAREAS'!AK12,200&lt;'EDT Y TAREAS'!AL12),'EDT Y TAREAS'!AD12/'EDT Y TAREAS'!M12,0),IF(AND(200&gt;='EDT Y TAREAS'!AK13,200&lt;'EDT Y TAREAS'!AL13),'EDT Y TAREAS'!AD13/'EDT Y TAREAS'!M13,0),IF(AND(200&gt;='EDT Y TAREAS'!AK14,200&lt;'EDT Y TAREAS'!AL14),'EDT Y TAREAS'!AD14/'EDT Y TAREAS'!M14,0),IF(AND(200&gt;='EDT Y TAREAS'!AK15,200&lt;'EDT Y TAREAS'!AL15),'EDT Y TAREAS'!AD15/'EDT Y TAREAS'!M15,0),IF(AND(200&gt;='EDT Y TAREAS'!AK16,200&lt;'EDT Y TAREAS'!AL16),'EDT Y TAREAS'!AD16/'EDT Y TAREAS'!M16,0),IF(AND(200&gt;='EDT Y TAREAS'!AK17,200&lt;'EDT Y TAREAS'!AL17),'EDT Y TAREAS'!AD17/'EDT Y TAREAS'!M17,0),IF(AND(200&gt;='EDT Y TAREAS'!AK18,200&lt;'EDT Y TAREAS'!AL18),'EDT Y TAREAS'!AD18/'EDT Y TAREAS'!M18,0),IF(AND(200&gt;='EDT Y TAREAS'!AK19,200&lt;'EDT Y TAREAS'!AL19),'EDT Y TAREAS'!AD19/'EDT Y TAREAS'!M19,0),IF(AND(200&gt;='EDT Y TAREAS'!AK20,200&lt;'EDT Y TAREAS'!AL20),'EDT Y TAREAS'!AD20/'EDT Y TAREAS'!M20,0),IF(AND(200&gt;='EDT Y TAREAS'!AK21,200&lt;'EDT Y TAREAS'!AL21),'EDT Y TAREAS'!AD21/'EDT Y TAREAS'!M21,0),IF(AND(200&gt;='EDT Y TAREAS'!AK22,200&lt;'EDT Y TAREAS'!AL22),'EDT Y TAREAS'!AD22/'EDT Y TAREAS'!M22,0),IF(AND(200&gt;='EDT Y TAREAS'!AK23,200&lt;'EDT Y TAREAS'!AL23),'EDT Y TAREAS'!AD23/'EDT Y TAREAS'!M23,0),IF(AND(200&gt;='EDT Y TAREAS'!AK26,200&lt;'EDT Y TAREAS'!AL26),'EDT Y TAREAS'!AD26/'EDT Y TAREAS'!M26,0),IF(AND(200&gt;='EDT Y TAREAS'!AK28,200&lt;'EDT Y TAREAS'!AL28),'EDT Y TAREAS'!AD28/'EDT Y TAREAS'!M28,0),IF(AND(200&gt;='EDT Y TAREAS'!AK30,200&lt;'EDT Y TAREAS'!AL30),'EDT Y TAREAS'!AD30/'EDT Y TAREAS'!M30,0),IF(AND(200&gt;='EDT Y TAREAS'!AK32,200&lt;'EDT Y TAREAS'!AL32),'EDT Y TAREAS'!AD32/'EDT Y TAREAS'!M32,0),IF(AND(200&gt;='EDT Y TAREAS'!AK34,200&lt;'EDT Y TAREAS'!AL34),'EDT Y TAREAS'!AD34/'EDT Y TAREAS'!M34,0),IF(AND(200&gt;='EDT Y TAREAS'!AK38,200&lt;'EDT Y TAREAS'!AL38),'EDT Y TAREAS'!AD38/'EDT Y TAREAS'!M38,0),IF(AND(200&gt;='EDT Y TAREAS'!AK39,200&lt;'EDT Y TAREAS'!AL39),'EDT Y TAREAS'!AD39/'EDT Y TAREAS'!M39,0),IF(AND(200&gt;='EDT Y TAREAS'!AK43,200&lt;'EDT Y TAREAS'!AL43),'EDT Y TAREAS'!AD43/'EDT Y TAREAS'!M43,0),IF(AND(200&gt;='EDT Y TAREAS'!AK44,200&lt;'EDT Y TAREAS'!AL44),'EDT Y TAREAS'!AD44/'EDT Y TAREAS'!M44,0),IF(AND(200&gt;='EDT Y TAREAS'!AK45,200&lt;'EDT Y TAREAS'!AL45),'EDT Y TAREAS'!AD45/'EDT Y TAREAS'!M45,0),IF(AND(200&gt;='EDT Y TAREAS'!AK46,200&lt;'EDT Y TAREAS'!AL46),'EDT Y TAREAS'!AD46/'EDT Y TAREAS'!M46,0),IF(AND(200&gt;='EDT Y TAREAS'!AK47,200&lt;'EDT Y TAREAS'!AL47),'EDT Y TAREAS'!AD47/'EDT Y TAREAS'!M47,0),IF(AND(200&gt;='EDT Y TAREAS'!AK49,200&lt;'EDT Y TAREAS'!AL49),'EDT Y TAREAS'!AD49/'EDT Y TAREAS'!M49,0),IF(AND(200&gt;='EDT Y TAREAS'!AK50,200&lt;'EDT Y TAREAS'!AL50),'EDT Y TAREAS'!AD50/'EDT Y TAREAS'!M50,0),IF(AND(200&gt;='EDT Y TAREAS'!AK51,200&lt;'EDT Y TAREAS'!AL51),'EDT Y TAREAS'!AD51/'EDT Y TAREAS'!M51,0),IF(AND(200&gt;='EDT Y TAREAS'!AK52,200&lt;'EDT Y TAREAS'!AL52),'EDT Y TAREAS'!AD52/'EDT Y TAREAS'!M52,0))</x:f>
        <x:v>0</x:v>
      </x:c>
      <x:c r="C240" s="35" t="n">
        <x:f>SUM(IF(AND(200&gt;='EDT Y TAREAS'!AK6,200&lt;'EDT Y TAREAS'!AL6),'EDT Y TAREAS'!AE6/'EDT Y TAREAS'!M6,0),IF(AND(200&gt;='EDT Y TAREAS'!AK8,200&lt;'EDT Y TAREAS'!AL8),'EDT Y TAREAS'!AE8/'EDT Y TAREAS'!M8,0),IF(AND(200&gt;='EDT Y TAREAS'!AK9,200&lt;'EDT Y TAREAS'!AL9),'EDT Y TAREAS'!AE9/'EDT Y TAREAS'!M9,0),IF(AND(200&gt;='EDT Y TAREAS'!AK10,200&lt;'EDT Y TAREAS'!AL10),'EDT Y TAREAS'!AE10/'EDT Y TAREAS'!M10,0),IF(AND(200&gt;='EDT Y TAREAS'!AK12,200&lt;'EDT Y TAREAS'!AL12),'EDT Y TAREAS'!AE12/'EDT Y TAREAS'!M12,0),IF(AND(200&gt;='EDT Y TAREAS'!AK16,200&lt;'EDT Y TAREAS'!AL16),'EDT Y TAREAS'!AE16/'EDT Y TAREAS'!M16,0),IF(AND(200&gt;='EDT Y TAREAS'!AK21,200&lt;'EDT Y TAREAS'!AL21),'EDT Y TAREAS'!AE21/'EDT Y TAREAS'!M21,0),IF(AND(200&gt;='EDT Y TAREAS'!AK23,200&lt;'EDT Y TAREAS'!AL23),'EDT Y TAREAS'!AE23/'EDT Y TAREAS'!M23,0),IF(AND(200&gt;='EDT Y TAREAS'!AK37,200&lt;'EDT Y TAREAS'!AL37),'EDT Y TAREAS'!AE37/'EDT Y TAREAS'!M37,0),IF(AND(200&gt;='EDT Y TAREAS'!AK38,200&lt;'EDT Y TAREAS'!AL38),'EDT Y TAREAS'!AE38/'EDT Y TAREAS'!M38,0),IF(AND(200&gt;='EDT Y TAREAS'!AK41,200&lt;'EDT Y TAREAS'!AL41),'EDT Y TAREAS'!AE41/'EDT Y TAREAS'!M41,0),IF(AND(200&gt;='EDT Y TAREAS'!AK43,200&lt;'EDT Y TAREAS'!AL43),'EDT Y TAREAS'!AE43/'EDT Y TAREAS'!M43,0),IF(AND(200&gt;='EDT Y TAREAS'!AK44,200&lt;'EDT Y TAREAS'!AL44),'EDT Y TAREAS'!AE44/'EDT Y TAREAS'!M44,0),IF(AND(200&gt;='EDT Y TAREAS'!AK46,200&lt;'EDT Y TAREAS'!AL46),'EDT Y TAREAS'!AE46/'EDT Y TAREAS'!M46,0),IF(AND(200&gt;='EDT Y TAREAS'!AK47,200&lt;'EDT Y TAREAS'!AL47),'EDT Y TAREAS'!AE47/'EDT Y TAREAS'!M47,0),IF(AND(200&gt;='EDT Y TAREAS'!AK51,200&lt;'EDT Y TAREAS'!AL51),'EDT Y TAREAS'!AE51/'EDT Y TAREAS'!M51,0),IF(AND(200&gt;='EDT Y TAREAS'!AK52,200&lt;'EDT Y TAREAS'!AL52),'EDT Y TAREAS'!AE52/'EDT Y TAREAS'!M52,0))</x:f>
        <x:v>0</x:v>
      </x:c>
      <x:c r="D240" s="35" t="n">
        <x:f>SUM(IF(AND(200&gt;='EDT Y TAREAS'!AK11,200&lt;'EDT Y TAREAS'!AL11),'EDT Y TAREAS'!AF11/'EDT Y TAREAS'!M11,0),IF(AND(200&gt;='EDT Y TAREAS'!AK24,200&lt;'EDT Y TAREAS'!AL24),'EDT Y TAREAS'!AF24/'EDT Y TAREAS'!M24,0),IF(AND(200&gt;='EDT Y TAREAS'!AK25,200&lt;'EDT Y TAREAS'!AL25),'EDT Y TAREAS'!AF25/'EDT Y TAREAS'!M25,0),IF(AND(200&gt;='EDT Y TAREAS'!AK26,200&lt;'EDT Y TAREAS'!AL26),'EDT Y TAREAS'!AF26/'EDT Y TAREAS'!M26,0),IF(AND(200&gt;='EDT Y TAREAS'!AK27,200&lt;'EDT Y TAREAS'!AL27),'EDT Y TAREAS'!AF27/'EDT Y TAREAS'!M27,0),IF(AND(200&gt;='EDT Y TAREAS'!AK28,200&lt;'EDT Y TAREAS'!AL28),'EDT Y TAREAS'!AF28/'EDT Y TAREAS'!M28,0),IF(AND(200&gt;='EDT Y TAREAS'!AK31,200&lt;'EDT Y TAREAS'!AL31),'EDT Y TAREAS'!AF31/'EDT Y TAREAS'!M31,0),IF(AND(200&gt;='EDT Y TAREAS'!AK33,200&lt;'EDT Y TAREAS'!AL33),'EDT Y TAREAS'!AF33/'EDT Y TAREAS'!M33,0),IF(AND(200&gt;='EDT Y TAREAS'!AK34,200&lt;'EDT Y TAREAS'!AL34),'EDT Y TAREAS'!AF34/'EDT Y TAREAS'!M34,0),IF(AND(200&gt;='EDT Y TAREAS'!AK35,200&lt;'EDT Y TAREAS'!AL35),'EDT Y TAREAS'!AF35/'EDT Y TAREAS'!M35,0),IF(AND(200&gt;='EDT Y TAREAS'!AK37,200&lt;'EDT Y TAREAS'!AL37),'EDT Y TAREAS'!AF37/'EDT Y TAREAS'!M37,0),IF(AND(200&gt;='EDT Y TAREAS'!AK39,200&lt;'EDT Y TAREAS'!AL39),'EDT Y TAREAS'!AF39/'EDT Y TAREAS'!M39,0),IF(AND(200&gt;='EDT Y TAREAS'!AK40,200&lt;'EDT Y TAREAS'!AL40),'EDT Y TAREAS'!AF40/'EDT Y TAREAS'!M40,0),IF(AND(200&gt;='EDT Y TAREAS'!AK42,200&lt;'EDT Y TAREAS'!AL42),'EDT Y TAREAS'!AF42/'EDT Y TAREAS'!M42,0),IF(AND(200&gt;='EDT Y TAREAS'!AK45,200&lt;'EDT Y TAREAS'!AL45),'EDT Y TAREAS'!AF45/'EDT Y TAREAS'!M45,0),IF(AND(200&gt;='EDT Y TAREAS'!AK49,200&lt;'EDT Y TAREAS'!AL49),'EDT Y TAREAS'!AF49/'EDT Y TAREAS'!M49,0),IF(AND(200&gt;='EDT Y TAREAS'!AK52,200&lt;'EDT Y TAREAS'!AL52),'EDT Y TAREAS'!AF52/'EDT Y TAREAS'!M52,0))</x:f>
        <x:v>0</x:v>
      </x:c>
      <x:c r="E240" s="35" t="n">
        <x:f>SUM(IF(AND(200&gt;='EDT Y TAREAS'!AK29,200&lt;'EDT Y TAREAS'!AL29),'EDT Y TAREAS'!AG29/'EDT Y TAREAS'!M29,0),IF(AND(200&gt;='EDT Y TAREAS'!AK30,200&lt;'EDT Y TAREAS'!AL30),'EDT Y TAREAS'!AG30/'EDT Y TAREAS'!M30,0),IF(AND(200&gt;='EDT Y TAREAS'!AK31,200&lt;'EDT Y TAREAS'!AL31),'EDT Y TAREAS'!AG31/'EDT Y TAREAS'!M31,0),IF(AND(200&gt;='EDT Y TAREAS'!AK32,200&lt;'EDT Y TAREAS'!AL32),'EDT Y TAREAS'!AG32/'EDT Y TAREAS'!M32,0),IF(AND(200&gt;='EDT Y TAREAS'!AK41,200&lt;'EDT Y TAREAS'!AL41),'EDT Y TAREAS'!AG41/'EDT Y TAREAS'!M41,0),IF(AND(200&gt;='EDT Y TAREAS'!AK45,200&lt;'EDT Y TAREAS'!AL45),'EDT Y TAREAS'!AG45/'EDT Y TAREAS'!M45,0),IF(AND(200&gt;='EDT Y TAREAS'!AK48,200&lt;'EDT Y TAREAS'!AL48),'EDT Y TAREAS'!AG48/'EDT Y TAREAS'!M48,0))</x:f>
        <x:v>0</x:v>
      </x:c>
      <x:c r="F240" s="35" t="n">
        <x:f>SUM(IF(AND(200&gt;='EDT Y TAREAS'!AK10,200&lt;'EDT Y TAREAS'!AL10),'EDT Y TAREAS'!AH10/'EDT Y TAREAS'!M10,0),IF(AND(200&gt;='EDT Y TAREAS'!AK12,200&lt;'EDT Y TAREAS'!AL12),'EDT Y TAREAS'!AH12/'EDT Y TAREAS'!M12,0),IF(AND(200&gt;='EDT Y TAREAS'!AK22,200&lt;'EDT Y TAREAS'!AL22),'EDT Y TAREAS'!AH22/'EDT Y TAREAS'!M22,0),IF(AND(200&gt;='EDT Y TAREAS'!AK23,200&lt;'EDT Y TAREAS'!AL23),'EDT Y TAREAS'!AH23/'EDT Y TAREAS'!M23,0),IF(AND(200&gt;='EDT Y TAREAS'!AK29,200&lt;'EDT Y TAREAS'!AL29),'EDT Y TAREAS'!AH29/'EDT Y TAREAS'!M29,0),IF(AND(200&gt;='EDT Y TAREAS'!AK30,200&lt;'EDT Y TAREAS'!AL30),'EDT Y TAREAS'!AH30/'EDT Y TAREAS'!M30,0),IF(AND(200&gt;='EDT Y TAREAS'!AK32,200&lt;'EDT Y TAREAS'!AL32),'EDT Y TAREAS'!AH32/'EDT Y TAREAS'!M32,0),IF(AND(200&gt;='EDT Y TAREAS'!AK41,200&lt;'EDT Y TAREAS'!AL41),'EDT Y TAREAS'!AH41/'EDT Y TAREAS'!M41,0),IF(AND(200&gt;='EDT Y TAREAS'!AK44,200&lt;'EDT Y TAREAS'!AL44),'EDT Y TAREAS'!AH44/'EDT Y TAREAS'!M44,0),IF(AND(200&gt;='EDT Y TAREAS'!AK46,200&lt;'EDT Y TAREAS'!AL46),'EDT Y TAREAS'!AH46/'EDT Y TAREAS'!M46,0),IF(AND(200&gt;='EDT Y TAREAS'!AK48,200&lt;'EDT Y TAREAS'!AL48),'EDT Y TAREAS'!AH48/'EDT Y TAREAS'!M48,0))</x:f>
        <x:v>0</x:v>
      </x:c>
      <x:c r="G240" s="35" t="n">
        <x:f>SUM(IF(AND(200&gt;='EDT Y TAREAS'!AK20,200&lt;'EDT Y TAREAS'!AL20),'EDT Y TAREAS'!AI20/'EDT Y TAREAS'!M20,0),IF(AND(200&gt;='EDT Y TAREAS'!AK25,200&lt;'EDT Y TAREAS'!AL25),'EDT Y TAREAS'!AI25/'EDT Y TAREAS'!M25,0),IF(AND(200&gt;='EDT Y TAREAS'!AK33,200&lt;'EDT Y TAREAS'!AL33),'EDT Y TAREAS'!AI33/'EDT Y TAREAS'!M33,0),IF(AND(200&gt;='EDT Y TAREAS'!AK34,200&lt;'EDT Y TAREAS'!AL34),'EDT Y TAREAS'!AI34/'EDT Y TAREAS'!M34,0),IF(AND(200&gt;='EDT Y TAREAS'!AK36,200&lt;'EDT Y TAREAS'!AL36),'EDT Y TAREAS'!AI36/'EDT Y TAREAS'!M36,0),IF(AND(200&gt;='EDT Y TAREAS'!AK39,200&lt;'EDT Y TAREAS'!AL39),'EDT Y TAREAS'!AI39/'EDT Y TAREAS'!M39,0),IF(AND(200&gt;='EDT Y TAREAS'!AK40,200&lt;'EDT Y TAREAS'!AL40),'EDT Y TAREAS'!AI40/'EDT Y TAREAS'!M40,0),IF(AND(200&gt;='EDT Y TAREAS'!AK42,200&lt;'EDT Y TAREAS'!AL42),'EDT Y TAREAS'!AI42/'EDT Y TAREAS'!M42,0),IF(AND(200&gt;='EDT Y TAREAS'!AK43,200&lt;'EDT Y TAREAS'!AL43),'EDT Y TAREAS'!AI43/'EDT Y TAREAS'!M43,0),IF(AND(200&gt;='EDT Y TAREAS'!AK44,200&lt;'EDT Y TAREAS'!AL44),'EDT Y TAREAS'!AI44/'EDT Y TAREAS'!M44,0),IF(AND(200&gt;='EDT Y TAREAS'!AK45,200&lt;'EDT Y TAREAS'!AL45),'EDT Y TAREAS'!AI45/'EDT Y TAREAS'!M45,0),IF(AND(200&gt;='EDT Y TAREAS'!AK46,200&lt;'EDT Y TAREAS'!AL46),'EDT Y TAREAS'!AI46/'EDT Y TAREAS'!M46,0),IF(AND(200&gt;='EDT Y TAREAS'!AK48,200&lt;'EDT Y TAREAS'!AL48),'EDT Y TAREAS'!AI48/'EDT Y TAREAS'!M48,0),IF(AND(200&gt;='EDT Y TAREAS'!AK50,200&lt;'EDT Y TAREAS'!AL50),'EDT Y TAREAS'!AI50/'EDT Y TAREAS'!M50,0),IF(AND(200&gt;='EDT Y TAREAS'!AK52,200&lt;'EDT Y TAREAS'!AL52),'EDT Y TAREAS'!AI52/'EDT Y TAREAS'!M52,0))</x:f>
        <x:v>0</x:v>
      </x:c>
      <x:c r="H240" s="35" t="n">
        <x:f>SUM(IF(AND(200&gt;='EDT Y TAREAS'!AK11,200&lt;'EDT Y TAREAS'!AL11),'EDT Y TAREAS'!AJ11/'EDT Y TAREAS'!M11,0),IF(AND(200&gt;='EDT Y TAREAS'!AK24,200&lt;'EDT Y TAREAS'!AL24),'EDT Y TAREAS'!AJ24/'EDT Y TAREAS'!M24,0),IF(AND(200&gt;='EDT Y TAREAS'!AK27,200&lt;'EDT Y TAREAS'!AL27),'EDT Y TAREAS'!AJ27/'EDT Y TAREAS'!M27,0),IF(AND(200&gt;='EDT Y TAREAS'!AK28,200&lt;'EDT Y TAREAS'!AL28),'EDT Y TAREAS'!AJ28/'EDT Y TAREAS'!M28,0),IF(AND(200&gt;='EDT Y TAREAS'!AK33,200&lt;'EDT Y TAREAS'!AL33),'EDT Y TAREAS'!AJ33/'EDT Y TAREAS'!M33,0),IF(AND(200&gt;='EDT Y TAREAS'!AK35,200&lt;'EDT Y TAREAS'!AL35),'EDT Y TAREAS'!AJ35/'EDT Y TAREAS'!M35,0),IF(AND(200&gt;='EDT Y TAREAS'!AK36,200&lt;'EDT Y TAREAS'!AL36),'EDT Y TAREAS'!AJ36/'EDT Y TAREAS'!M36,0),IF(AND(200&gt;='EDT Y TAREAS'!AK37,200&lt;'EDT Y TAREAS'!AL37),'EDT Y TAREAS'!AJ37/'EDT Y TAREAS'!M37,0),IF(AND(200&gt;='EDT Y TAREAS'!AK40,200&lt;'EDT Y TAREAS'!AL40),'EDT Y TAREAS'!AJ40/'EDT Y TAREAS'!M40,0),IF(AND(200&gt;='EDT Y TAREAS'!AK42,200&lt;'EDT Y TAREAS'!AL42),'EDT Y TAREAS'!AJ42/'EDT Y TAREAS'!M42,0),IF(AND(200&gt;='EDT Y TAREAS'!AK49,200&lt;'EDT Y TAREAS'!AL49),'EDT Y TAREAS'!AJ49/'EDT Y TAREAS'!M49,0),IF(AND(200&gt;='EDT Y TAREAS'!AK50,200&lt;'EDT Y TAREAS'!AL50),'EDT Y TAREAS'!AJ50/'EDT Y TAREAS'!M50,0),IF(AND(200&gt;='EDT Y TAREAS'!AK51,200&lt;'EDT Y TAREAS'!AL51),'EDT Y TAREAS'!AJ51/'EDT Y TAREAS'!M51,0),IF(AND(200&gt;='EDT Y TAREAS'!AK52,200&lt;'EDT Y TAREAS'!AL52),'EDT Y TAREAS'!AJ52/'EDT Y TAREAS'!M52,0))</x:f>
        <x:v>0</x:v>
      </x:c>
      <x:c r="I240" s="10" t="n">
        <x:f>WORKDAY('RESUMEN'!$D$3-1,A240,'RESUMEN'!$J$6:$J$25)</x:f>
        <x:v>46608</x:v>
      </x:c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  <x:c r="AL240" s="3"/>
      <x:c r="AM240" s="3"/>
      <x:c r="AN240" s="3"/>
      <x:c r="AO240" s="3"/>
    </x:row>
    <x:row r="241" ht="24" customHeight="1">
      <x:c r="A241" s="3" t="n">
        <x:v>202</x:v>
      </x:c>
      <x:c r="B241" s="35" t="n">
        <x:f>SUM(IF(AND(201&gt;='EDT Y TAREAS'!AK6,201&lt;'EDT Y TAREAS'!AL6),'EDT Y TAREAS'!AD6/'EDT Y TAREAS'!M6,0),IF(AND(201&gt;='EDT Y TAREAS'!AK7,201&lt;'EDT Y TAREAS'!AL7),'EDT Y TAREAS'!AD7/'EDT Y TAREAS'!M7,0),IF(AND(201&gt;='EDT Y TAREAS'!AK8,201&lt;'EDT Y TAREAS'!AL8),'EDT Y TAREAS'!AD8/'EDT Y TAREAS'!M8,0),IF(AND(201&gt;='EDT Y TAREAS'!AK9,201&lt;'EDT Y TAREAS'!AL9),'EDT Y TAREAS'!AD9/'EDT Y TAREAS'!M9,0),IF(AND(201&gt;='EDT Y TAREAS'!AK10,201&lt;'EDT Y TAREAS'!AL10),'EDT Y TAREAS'!AD10/'EDT Y TAREAS'!M10,0),IF(AND(201&gt;='EDT Y TAREAS'!AK11,201&lt;'EDT Y TAREAS'!AL11),'EDT Y TAREAS'!AD11/'EDT Y TAREAS'!M11,0),IF(AND(201&gt;='EDT Y TAREAS'!AK12,201&lt;'EDT Y TAREAS'!AL12),'EDT Y TAREAS'!AD12/'EDT Y TAREAS'!M12,0),IF(AND(201&gt;='EDT Y TAREAS'!AK13,201&lt;'EDT Y TAREAS'!AL13),'EDT Y TAREAS'!AD13/'EDT Y TAREAS'!M13,0),IF(AND(201&gt;='EDT Y TAREAS'!AK14,201&lt;'EDT Y TAREAS'!AL14),'EDT Y TAREAS'!AD14/'EDT Y TAREAS'!M14,0),IF(AND(201&gt;='EDT Y TAREAS'!AK15,201&lt;'EDT Y TAREAS'!AL15),'EDT Y TAREAS'!AD15/'EDT Y TAREAS'!M15,0),IF(AND(201&gt;='EDT Y TAREAS'!AK16,201&lt;'EDT Y TAREAS'!AL16),'EDT Y TAREAS'!AD16/'EDT Y TAREAS'!M16,0),IF(AND(201&gt;='EDT Y TAREAS'!AK17,201&lt;'EDT Y TAREAS'!AL17),'EDT Y TAREAS'!AD17/'EDT Y TAREAS'!M17,0),IF(AND(201&gt;='EDT Y TAREAS'!AK18,201&lt;'EDT Y TAREAS'!AL18),'EDT Y TAREAS'!AD18/'EDT Y TAREAS'!M18,0),IF(AND(201&gt;='EDT Y TAREAS'!AK19,201&lt;'EDT Y TAREAS'!AL19),'EDT Y TAREAS'!AD19/'EDT Y TAREAS'!M19,0),IF(AND(201&gt;='EDT Y TAREAS'!AK20,201&lt;'EDT Y TAREAS'!AL20),'EDT Y TAREAS'!AD20/'EDT Y TAREAS'!M20,0),IF(AND(201&gt;='EDT Y TAREAS'!AK21,201&lt;'EDT Y TAREAS'!AL21),'EDT Y TAREAS'!AD21/'EDT Y TAREAS'!M21,0),IF(AND(201&gt;='EDT Y TAREAS'!AK22,201&lt;'EDT Y TAREAS'!AL22),'EDT Y TAREAS'!AD22/'EDT Y TAREAS'!M22,0),IF(AND(201&gt;='EDT Y TAREAS'!AK23,201&lt;'EDT Y TAREAS'!AL23),'EDT Y TAREAS'!AD23/'EDT Y TAREAS'!M23,0),IF(AND(201&gt;='EDT Y TAREAS'!AK26,201&lt;'EDT Y TAREAS'!AL26),'EDT Y TAREAS'!AD26/'EDT Y TAREAS'!M26,0),IF(AND(201&gt;='EDT Y TAREAS'!AK28,201&lt;'EDT Y TAREAS'!AL28),'EDT Y TAREAS'!AD28/'EDT Y TAREAS'!M28,0),IF(AND(201&gt;='EDT Y TAREAS'!AK30,201&lt;'EDT Y TAREAS'!AL30),'EDT Y TAREAS'!AD30/'EDT Y TAREAS'!M30,0),IF(AND(201&gt;='EDT Y TAREAS'!AK32,201&lt;'EDT Y TAREAS'!AL32),'EDT Y TAREAS'!AD32/'EDT Y TAREAS'!M32,0),IF(AND(201&gt;='EDT Y TAREAS'!AK34,201&lt;'EDT Y TAREAS'!AL34),'EDT Y TAREAS'!AD34/'EDT Y TAREAS'!M34,0),IF(AND(201&gt;='EDT Y TAREAS'!AK38,201&lt;'EDT Y TAREAS'!AL38),'EDT Y TAREAS'!AD38/'EDT Y TAREAS'!M38,0),IF(AND(201&gt;='EDT Y TAREAS'!AK39,201&lt;'EDT Y TAREAS'!AL39),'EDT Y TAREAS'!AD39/'EDT Y TAREAS'!M39,0),IF(AND(201&gt;='EDT Y TAREAS'!AK43,201&lt;'EDT Y TAREAS'!AL43),'EDT Y TAREAS'!AD43/'EDT Y TAREAS'!M43,0),IF(AND(201&gt;='EDT Y TAREAS'!AK44,201&lt;'EDT Y TAREAS'!AL44),'EDT Y TAREAS'!AD44/'EDT Y TAREAS'!M44,0),IF(AND(201&gt;='EDT Y TAREAS'!AK45,201&lt;'EDT Y TAREAS'!AL45),'EDT Y TAREAS'!AD45/'EDT Y TAREAS'!M45,0),IF(AND(201&gt;='EDT Y TAREAS'!AK46,201&lt;'EDT Y TAREAS'!AL46),'EDT Y TAREAS'!AD46/'EDT Y TAREAS'!M46,0),IF(AND(201&gt;='EDT Y TAREAS'!AK47,201&lt;'EDT Y TAREAS'!AL47),'EDT Y TAREAS'!AD47/'EDT Y TAREAS'!M47,0),IF(AND(201&gt;='EDT Y TAREAS'!AK49,201&lt;'EDT Y TAREAS'!AL49),'EDT Y TAREAS'!AD49/'EDT Y TAREAS'!M49,0),IF(AND(201&gt;='EDT Y TAREAS'!AK50,201&lt;'EDT Y TAREAS'!AL50),'EDT Y TAREAS'!AD50/'EDT Y TAREAS'!M50,0),IF(AND(201&gt;='EDT Y TAREAS'!AK51,201&lt;'EDT Y TAREAS'!AL51),'EDT Y TAREAS'!AD51/'EDT Y TAREAS'!M51,0),IF(AND(201&gt;='EDT Y TAREAS'!AK52,201&lt;'EDT Y TAREAS'!AL52),'EDT Y TAREAS'!AD52/'EDT Y TAREAS'!M52,0))</x:f>
        <x:v>0</x:v>
      </x:c>
      <x:c r="C241" s="35" t="n">
        <x:f>SUM(IF(AND(201&gt;='EDT Y TAREAS'!AK6,201&lt;'EDT Y TAREAS'!AL6),'EDT Y TAREAS'!AE6/'EDT Y TAREAS'!M6,0),IF(AND(201&gt;='EDT Y TAREAS'!AK8,201&lt;'EDT Y TAREAS'!AL8),'EDT Y TAREAS'!AE8/'EDT Y TAREAS'!M8,0),IF(AND(201&gt;='EDT Y TAREAS'!AK9,201&lt;'EDT Y TAREAS'!AL9),'EDT Y TAREAS'!AE9/'EDT Y TAREAS'!M9,0),IF(AND(201&gt;='EDT Y TAREAS'!AK10,201&lt;'EDT Y TAREAS'!AL10),'EDT Y TAREAS'!AE10/'EDT Y TAREAS'!M10,0),IF(AND(201&gt;='EDT Y TAREAS'!AK12,201&lt;'EDT Y TAREAS'!AL12),'EDT Y TAREAS'!AE12/'EDT Y TAREAS'!M12,0),IF(AND(201&gt;='EDT Y TAREAS'!AK16,201&lt;'EDT Y TAREAS'!AL16),'EDT Y TAREAS'!AE16/'EDT Y TAREAS'!M16,0),IF(AND(201&gt;='EDT Y TAREAS'!AK21,201&lt;'EDT Y TAREAS'!AL21),'EDT Y TAREAS'!AE21/'EDT Y TAREAS'!M21,0),IF(AND(201&gt;='EDT Y TAREAS'!AK23,201&lt;'EDT Y TAREAS'!AL23),'EDT Y TAREAS'!AE23/'EDT Y TAREAS'!M23,0),IF(AND(201&gt;='EDT Y TAREAS'!AK37,201&lt;'EDT Y TAREAS'!AL37),'EDT Y TAREAS'!AE37/'EDT Y TAREAS'!M37,0),IF(AND(201&gt;='EDT Y TAREAS'!AK38,201&lt;'EDT Y TAREAS'!AL38),'EDT Y TAREAS'!AE38/'EDT Y TAREAS'!M38,0),IF(AND(201&gt;='EDT Y TAREAS'!AK41,201&lt;'EDT Y TAREAS'!AL41),'EDT Y TAREAS'!AE41/'EDT Y TAREAS'!M41,0),IF(AND(201&gt;='EDT Y TAREAS'!AK43,201&lt;'EDT Y TAREAS'!AL43),'EDT Y TAREAS'!AE43/'EDT Y TAREAS'!M43,0),IF(AND(201&gt;='EDT Y TAREAS'!AK44,201&lt;'EDT Y TAREAS'!AL44),'EDT Y TAREAS'!AE44/'EDT Y TAREAS'!M44,0),IF(AND(201&gt;='EDT Y TAREAS'!AK46,201&lt;'EDT Y TAREAS'!AL46),'EDT Y TAREAS'!AE46/'EDT Y TAREAS'!M46,0),IF(AND(201&gt;='EDT Y TAREAS'!AK47,201&lt;'EDT Y TAREAS'!AL47),'EDT Y TAREAS'!AE47/'EDT Y TAREAS'!M47,0),IF(AND(201&gt;='EDT Y TAREAS'!AK51,201&lt;'EDT Y TAREAS'!AL51),'EDT Y TAREAS'!AE51/'EDT Y TAREAS'!M51,0),IF(AND(201&gt;='EDT Y TAREAS'!AK52,201&lt;'EDT Y TAREAS'!AL52),'EDT Y TAREAS'!AE52/'EDT Y TAREAS'!M52,0))</x:f>
        <x:v>0</x:v>
      </x:c>
      <x:c r="D241" s="35" t="n">
        <x:f>SUM(IF(AND(201&gt;='EDT Y TAREAS'!AK11,201&lt;'EDT Y TAREAS'!AL11),'EDT Y TAREAS'!AF11/'EDT Y TAREAS'!M11,0),IF(AND(201&gt;='EDT Y TAREAS'!AK24,201&lt;'EDT Y TAREAS'!AL24),'EDT Y TAREAS'!AF24/'EDT Y TAREAS'!M24,0),IF(AND(201&gt;='EDT Y TAREAS'!AK25,201&lt;'EDT Y TAREAS'!AL25),'EDT Y TAREAS'!AF25/'EDT Y TAREAS'!M25,0),IF(AND(201&gt;='EDT Y TAREAS'!AK26,201&lt;'EDT Y TAREAS'!AL26),'EDT Y TAREAS'!AF26/'EDT Y TAREAS'!M26,0),IF(AND(201&gt;='EDT Y TAREAS'!AK27,201&lt;'EDT Y TAREAS'!AL27),'EDT Y TAREAS'!AF27/'EDT Y TAREAS'!M27,0),IF(AND(201&gt;='EDT Y TAREAS'!AK28,201&lt;'EDT Y TAREAS'!AL28),'EDT Y TAREAS'!AF28/'EDT Y TAREAS'!M28,0),IF(AND(201&gt;='EDT Y TAREAS'!AK31,201&lt;'EDT Y TAREAS'!AL31),'EDT Y TAREAS'!AF31/'EDT Y TAREAS'!M31,0),IF(AND(201&gt;='EDT Y TAREAS'!AK33,201&lt;'EDT Y TAREAS'!AL33),'EDT Y TAREAS'!AF33/'EDT Y TAREAS'!M33,0),IF(AND(201&gt;='EDT Y TAREAS'!AK34,201&lt;'EDT Y TAREAS'!AL34),'EDT Y TAREAS'!AF34/'EDT Y TAREAS'!M34,0),IF(AND(201&gt;='EDT Y TAREAS'!AK35,201&lt;'EDT Y TAREAS'!AL35),'EDT Y TAREAS'!AF35/'EDT Y TAREAS'!M35,0),IF(AND(201&gt;='EDT Y TAREAS'!AK37,201&lt;'EDT Y TAREAS'!AL37),'EDT Y TAREAS'!AF37/'EDT Y TAREAS'!M37,0),IF(AND(201&gt;='EDT Y TAREAS'!AK39,201&lt;'EDT Y TAREAS'!AL39),'EDT Y TAREAS'!AF39/'EDT Y TAREAS'!M39,0),IF(AND(201&gt;='EDT Y TAREAS'!AK40,201&lt;'EDT Y TAREAS'!AL40),'EDT Y TAREAS'!AF40/'EDT Y TAREAS'!M40,0),IF(AND(201&gt;='EDT Y TAREAS'!AK42,201&lt;'EDT Y TAREAS'!AL42),'EDT Y TAREAS'!AF42/'EDT Y TAREAS'!M42,0),IF(AND(201&gt;='EDT Y TAREAS'!AK45,201&lt;'EDT Y TAREAS'!AL45),'EDT Y TAREAS'!AF45/'EDT Y TAREAS'!M45,0),IF(AND(201&gt;='EDT Y TAREAS'!AK49,201&lt;'EDT Y TAREAS'!AL49),'EDT Y TAREAS'!AF49/'EDT Y TAREAS'!M49,0),IF(AND(201&gt;='EDT Y TAREAS'!AK52,201&lt;'EDT Y TAREAS'!AL52),'EDT Y TAREAS'!AF52/'EDT Y TAREAS'!M52,0))</x:f>
        <x:v>0</x:v>
      </x:c>
      <x:c r="E241" s="35" t="n">
        <x:f>SUM(IF(AND(201&gt;='EDT Y TAREAS'!AK29,201&lt;'EDT Y TAREAS'!AL29),'EDT Y TAREAS'!AG29/'EDT Y TAREAS'!M29,0),IF(AND(201&gt;='EDT Y TAREAS'!AK30,201&lt;'EDT Y TAREAS'!AL30),'EDT Y TAREAS'!AG30/'EDT Y TAREAS'!M30,0),IF(AND(201&gt;='EDT Y TAREAS'!AK31,201&lt;'EDT Y TAREAS'!AL31),'EDT Y TAREAS'!AG31/'EDT Y TAREAS'!M31,0),IF(AND(201&gt;='EDT Y TAREAS'!AK32,201&lt;'EDT Y TAREAS'!AL32),'EDT Y TAREAS'!AG32/'EDT Y TAREAS'!M32,0),IF(AND(201&gt;='EDT Y TAREAS'!AK41,201&lt;'EDT Y TAREAS'!AL41),'EDT Y TAREAS'!AG41/'EDT Y TAREAS'!M41,0),IF(AND(201&gt;='EDT Y TAREAS'!AK45,201&lt;'EDT Y TAREAS'!AL45),'EDT Y TAREAS'!AG45/'EDT Y TAREAS'!M45,0),IF(AND(201&gt;='EDT Y TAREAS'!AK48,201&lt;'EDT Y TAREAS'!AL48),'EDT Y TAREAS'!AG48/'EDT Y TAREAS'!M48,0))</x:f>
        <x:v>0</x:v>
      </x:c>
      <x:c r="F241" s="35" t="n">
        <x:f>SUM(IF(AND(201&gt;='EDT Y TAREAS'!AK10,201&lt;'EDT Y TAREAS'!AL10),'EDT Y TAREAS'!AH10/'EDT Y TAREAS'!M10,0),IF(AND(201&gt;='EDT Y TAREAS'!AK12,201&lt;'EDT Y TAREAS'!AL12),'EDT Y TAREAS'!AH12/'EDT Y TAREAS'!M12,0),IF(AND(201&gt;='EDT Y TAREAS'!AK22,201&lt;'EDT Y TAREAS'!AL22),'EDT Y TAREAS'!AH22/'EDT Y TAREAS'!M22,0),IF(AND(201&gt;='EDT Y TAREAS'!AK23,201&lt;'EDT Y TAREAS'!AL23),'EDT Y TAREAS'!AH23/'EDT Y TAREAS'!M23,0),IF(AND(201&gt;='EDT Y TAREAS'!AK29,201&lt;'EDT Y TAREAS'!AL29),'EDT Y TAREAS'!AH29/'EDT Y TAREAS'!M29,0),IF(AND(201&gt;='EDT Y TAREAS'!AK30,201&lt;'EDT Y TAREAS'!AL30),'EDT Y TAREAS'!AH30/'EDT Y TAREAS'!M30,0),IF(AND(201&gt;='EDT Y TAREAS'!AK32,201&lt;'EDT Y TAREAS'!AL32),'EDT Y TAREAS'!AH32/'EDT Y TAREAS'!M32,0),IF(AND(201&gt;='EDT Y TAREAS'!AK41,201&lt;'EDT Y TAREAS'!AL41),'EDT Y TAREAS'!AH41/'EDT Y TAREAS'!M41,0),IF(AND(201&gt;='EDT Y TAREAS'!AK44,201&lt;'EDT Y TAREAS'!AL44),'EDT Y TAREAS'!AH44/'EDT Y TAREAS'!M44,0),IF(AND(201&gt;='EDT Y TAREAS'!AK46,201&lt;'EDT Y TAREAS'!AL46),'EDT Y TAREAS'!AH46/'EDT Y TAREAS'!M46,0),IF(AND(201&gt;='EDT Y TAREAS'!AK48,201&lt;'EDT Y TAREAS'!AL48),'EDT Y TAREAS'!AH48/'EDT Y TAREAS'!M48,0))</x:f>
        <x:v>0</x:v>
      </x:c>
      <x:c r="G241" s="35" t="n">
        <x:f>SUM(IF(AND(201&gt;='EDT Y TAREAS'!AK20,201&lt;'EDT Y TAREAS'!AL20),'EDT Y TAREAS'!AI20/'EDT Y TAREAS'!M20,0),IF(AND(201&gt;='EDT Y TAREAS'!AK25,201&lt;'EDT Y TAREAS'!AL25),'EDT Y TAREAS'!AI25/'EDT Y TAREAS'!M25,0),IF(AND(201&gt;='EDT Y TAREAS'!AK33,201&lt;'EDT Y TAREAS'!AL33),'EDT Y TAREAS'!AI33/'EDT Y TAREAS'!M33,0),IF(AND(201&gt;='EDT Y TAREAS'!AK34,201&lt;'EDT Y TAREAS'!AL34),'EDT Y TAREAS'!AI34/'EDT Y TAREAS'!M34,0),IF(AND(201&gt;='EDT Y TAREAS'!AK36,201&lt;'EDT Y TAREAS'!AL36),'EDT Y TAREAS'!AI36/'EDT Y TAREAS'!M36,0),IF(AND(201&gt;='EDT Y TAREAS'!AK39,201&lt;'EDT Y TAREAS'!AL39),'EDT Y TAREAS'!AI39/'EDT Y TAREAS'!M39,0),IF(AND(201&gt;='EDT Y TAREAS'!AK40,201&lt;'EDT Y TAREAS'!AL40),'EDT Y TAREAS'!AI40/'EDT Y TAREAS'!M40,0),IF(AND(201&gt;='EDT Y TAREAS'!AK42,201&lt;'EDT Y TAREAS'!AL42),'EDT Y TAREAS'!AI42/'EDT Y TAREAS'!M42,0),IF(AND(201&gt;='EDT Y TAREAS'!AK43,201&lt;'EDT Y TAREAS'!AL43),'EDT Y TAREAS'!AI43/'EDT Y TAREAS'!M43,0),IF(AND(201&gt;='EDT Y TAREAS'!AK44,201&lt;'EDT Y TAREAS'!AL44),'EDT Y TAREAS'!AI44/'EDT Y TAREAS'!M44,0),IF(AND(201&gt;='EDT Y TAREAS'!AK45,201&lt;'EDT Y TAREAS'!AL45),'EDT Y TAREAS'!AI45/'EDT Y TAREAS'!M45,0),IF(AND(201&gt;='EDT Y TAREAS'!AK46,201&lt;'EDT Y TAREAS'!AL46),'EDT Y TAREAS'!AI46/'EDT Y TAREAS'!M46,0),IF(AND(201&gt;='EDT Y TAREAS'!AK48,201&lt;'EDT Y TAREAS'!AL48),'EDT Y TAREAS'!AI48/'EDT Y TAREAS'!M48,0),IF(AND(201&gt;='EDT Y TAREAS'!AK50,201&lt;'EDT Y TAREAS'!AL50),'EDT Y TAREAS'!AI50/'EDT Y TAREAS'!M50,0),IF(AND(201&gt;='EDT Y TAREAS'!AK52,201&lt;'EDT Y TAREAS'!AL52),'EDT Y TAREAS'!AI52/'EDT Y TAREAS'!M52,0))</x:f>
        <x:v>0</x:v>
      </x:c>
      <x:c r="H241" s="35" t="n">
        <x:f>SUM(IF(AND(201&gt;='EDT Y TAREAS'!AK11,201&lt;'EDT Y TAREAS'!AL11),'EDT Y TAREAS'!AJ11/'EDT Y TAREAS'!M11,0),IF(AND(201&gt;='EDT Y TAREAS'!AK24,201&lt;'EDT Y TAREAS'!AL24),'EDT Y TAREAS'!AJ24/'EDT Y TAREAS'!M24,0),IF(AND(201&gt;='EDT Y TAREAS'!AK27,201&lt;'EDT Y TAREAS'!AL27),'EDT Y TAREAS'!AJ27/'EDT Y TAREAS'!M27,0),IF(AND(201&gt;='EDT Y TAREAS'!AK28,201&lt;'EDT Y TAREAS'!AL28),'EDT Y TAREAS'!AJ28/'EDT Y TAREAS'!M28,0),IF(AND(201&gt;='EDT Y TAREAS'!AK33,201&lt;'EDT Y TAREAS'!AL33),'EDT Y TAREAS'!AJ33/'EDT Y TAREAS'!M33,0),IF(AND(201&gt;='EDT Y TAREAS'!AK35,201&lt;'EDT Y TAREAS'!AL35),'EDT Y TAREAS'!AJ35/'EDT Y TAREAS'!M35,0),IF(AND(201&gt;='EDT Y TAREAS'!AK36,201&lt;'EDT Y TAREAS'!AL36),'EDT Y TAREAS'!AJ36/'EDT Y TAREAS'!M36,0),IF(AND(201&gt;='EDT Y TAREAS'!AK37,201&lt;'EDT Y TAREAS'!AL37),'EDT Y TAREAS'!AJ37/'EDT Y TAREAS'!M37,0),IF(AND(201&gt;='EDT Y TAREAS'!AK40,201&lt;'EDT Y TAREAS'!AL40),'EDT Y TAREAS'!AJ40/'EDT Y TAREAS'!M40,0),IF(AND(201&gt;='EDT Y TAREAS'!AK42,201&lt;'EDT Y TAREAS'!AL42),'EDT Y TAREAS'!AJ42/'EDT Y TAREAS'!M42,0),IF(AND(201&gt;='EDT Y TAREAS'!AK49,201&lt;'EDT Y TAREAS'!AL49),'EDT Y TAREAS'!AJ49/'EDT Y TAREAS'!M49,0),IF(AND(201&gt;='EDT Y TAREAS'!AK50,201&lt;'EDT Y TAREAS'!AL50),'EDT Y TAREAS'!AJ50/'EDT Y TAREAS'!M50,0),IF(AND(201&gt;='EDT Y TAREAS'!AK51,201&lt;'EDT Y TAREAS'!AL51),'EDT Y TAREAS'!AJ51/'EDT Y TAREAS'!M51,0),IF(AND(201&gt;='EDT Y TAREAS'!AK52,201&lt;'EDT Y TAREAS'!AL52),'EDT Y TAREAS'!AJ52/'EDT Y TAREAS'!M52,0))</x:f>
        <x:v>0</x:v>
      </x:c>
      <x:c r="I241" s="10" t="n">
        <x:f>WORKDAY('RESUMEN'!$D$3-1,A241,'RESUMEN'!$J$6:$J$25)</x:f>
        <x:v>46609</x:v>
      </x:c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  <x:c r="AL241" s="3"/>
      <x:c r="AM241" s="3"/>
      <x:c r="AN241" s="3"/>
      <x:c r="AO241" s="3"/>
    </x:row>
    <x:row r="242" ht="24" customHeight="1">
      <x:c r="A242" s="3" t="n">
        <x:v>203</x:v>
      </x:c>
      <x:c r="B242" s="35" t="n">
        <x:f>SUM(IF(AND(202&gt;='EDT Y TAREAS'!AK6,202&lt;'EDT Y TAREAS'!AL6),'EDT Y TAREAS'!AD6/'EDT Y TAREAS'!M6,0),IF(AND(202&gt;='EDT Y TAREAS'!AK7,202&lt;'EDT Y TAREAS'!AL7),'EDT Y TAREAS'!AD7/'EDT Y TAREAS'!M7,0),IF(AND(202&gt;='EDT Y TAREAS'!AK8,202&lt;'EDT Y TAREAS'!AL8),'EDT Y TAREAS'!AD8/'EDT Y TAREAS'!M8,0),IF(AND(202&gt;='EDT Y TAREAS'!AK9,202&lt;'EDT Y TAREAS'!AL9),'EDT Y TAREAS'!AD9/'EDT Y TAREAS'!M9,0),IF(AND(202&gt;='EDT Y TAREAS'!AK10,202&lt;'EDT Y TAREAS'!AL10),'EDT Y TAREAS'!AD10/'EDT Y TAREAS'!M10,0),IF(AND(202&gt;='EDT Y TAREAS'!AK11,202&lt;'EDT Y TAREAS'!AL11),'EDT Y TAREAS'!AD11/'EDT Y TAREAS'!M11,0),IF(AND(202&gt;='EDT Y TAREAS'!AK12,202&lt;'EDT Y TAREAS'!AL12),'EDT Y TAREAS'!AD12/'EDT Y TAREAS'!M12,0),IF(AND(202&gt;='EDT Y TAREAS'!AK13,202&lt;'EDT Y TAREAS'!AL13),'EDT Y TAREAS'!AD13/'EDT Y TAREAS'!M13,0),IF(AND(202&gt;='EDT Y TAREAS'!AK14,202&lt;'EDT Y TAREAS'!AL14),'EDT Y TAREAS'!AD14/'EDT Y TAREAS'!M14,0),IF(AND(202&gt;='EDT Y TAREAS'!AK15,202&lt;'EDT Y TAREAS'!AL15),'EDT Y TAREAS'!AD15/'EDT Y TAREAS'!M15,0),IF(AND(202&gt;='EDT Y TAREAS'!AK16,202&lt;'EDT Y TAREAS'!AL16),'EDT Y TAREAS'!AD16/'EDT Y TAREAS'!M16,0),IF(AND(202&gt;='EDT Y TAREAS'!AK17,202&lt;'EDT Y TAREAS'!AL17),'EDT Y TAREAS'!AD17/'EDT Y TAREAS'!M17,0),IF(AND(202&gt;='EDT Y TAREAS'!AK18,202&lt;'EDT Y TAREAS'!AL18),'EDT Y TAREAS'!AD18/'EDT Y TAREAS'!M18,0),IF(AND(202&gt;='EDT Y TAREAS'!AK19,202&lt;'EDT Y TAREAS'!AL19),'EDT Y TAREAS'!AD19/'EDT Y TAREAS'!M19,0),IF(AND(202&gt;='EDT Y TAREAS'!AK20,202&lt;'EDT Y TAREAS'!AL20),'EDT Y TAREAS'!AD20/'EDT Y TAREAS'!M20,0),IF(AND(202&gt;='EDT Y TAREAS'!AK21,202&lt;'EDT Y TAREAS'!AL21),'EDT Y TAREAS'!AD21/'EDT Y TAREAS'!M21,0),IF(AND(202&gt;='EDT Y TAREAS'!AK22,202&lt;'EDT Y TAREAS'!AL22),'EDT Y TAREAS'!AD22/'EDT Y TAREAS'!M22,0),IF(AND(202&gt;='EDT Y TAREAS'!AK23,202&lt;'EDT Y TAREAS'!AL23),'EDT Y TAREAS'!AD23/'EDT Y TAREAS'!M23,0),IF(AND(202&gt;='EDT Y TAREAS'!AK26,202&lt;'EDT Y TAREAS'!AL26),'EDT Y TAREAS'!AD26/'EDT Y TAREAS'!M26,0),IF(AND(202&gt;='EDT Y TAREAS'!AK28,202&lt;'EDT Y TAREAS'!AL28),'EDT Y TAREAS'!AD28/'EDT Y TAREAS'!M28,0),IF(AND(202&gt;='EDT Y TAREAS'!AK30,202&lt;'EDT Y TAREAS'!AL30),'EDT Y TAREAS'!AD30/'EDT Y TAREAS'!M30,0),IF(AND(202&gt;='EDT Y TAREAS'!AK32,202&lt;'EDT Y TAREAS'!AL32),'EDT Y TAREAS'!AD32/'EDT Y TAREAS'!M32,0),IF(AND(202&gt;='EDT Y TAREAS'!AK34,202&lt;'EDT Y TAREAS'!AL34),'EDT Y TAREAS'!AD34/'EDT Y TAREAS'!M34,0),IF(AND(202&gt;='EDT Y TAREAS'!AK38,202&lt;'EDT Y TAREAS'!AL38),'EDT Y TAREAS'!AD38/'EDT Y TAREAS'!M38,0),IF(AND(202&gt;='EDT Y TAREAS'!AK39,202&lt;'EDT Y TAREAS'!AL39),'EDT Y TAREAS'!AD39/'EDT Y TAREAS'!M39,0),IF(AND(202&gt;='EDT Y TAREAS'!AK43,202&lt;'EDT Y TAREAS'!AL43),'EDT Y TAREAS'!AD43/'EDT Y TAREAS'!M43,0),IF(AND(202&gt;='EDT Y TAREAS'!AK44,202&lt;'EDT Y TAREAS'!AL44),'EDT Y TAREAS'!AD44/'EDT Y TAREAS'!M44,0),IF(AND(202&gt;='EDT Y TAREAS'!AK45,202&lt;'EDT Y TAREAS'!AL45),'EDT Y TAREAS'!AD45/'EDT Y TAREAS'!M45,0),IF(AND(202&gt;='EDT Y TAREAS'!AK46,202&lt;'EDT Y TAREAS'!AL46),'EDT Y TAREAS'!AD46/'EDT Y TAREAS'!M46,0),IF(AND(202&gt;='EDT Y TAREAS'!AK47,202&lt;'EDT Y TAREAS'!AL47),'EDT Y TAREAS'!AD47/'EDT Y TAREAS'!M47,0),IF(AND(202&gt;='EDT Y TAREAS'!AK49,202&lt;'EDT Y TAREAS'!AL49),'EDT Y TAREAS'!AD49/'EDT Y TAREAS'!M49,0),IF(AND(202&gt;='EDT Y TAREAS'!AK50,202&lt;'EDT Y TAREAS'!AL50),'EDT Y TAREAS'!AD50/'EDT Y TAREAS'!M50,0),IF(AND(202&gt;='EDT Y TAREAS'!AK51,202&lt;'EDT Y TAREAS'!AL51),'EDT Y TAREAS'!AD51/'EDT Y TAREAS'!M51,0),IF(AND(202&gt;='EDT Y TAREAS'!AK52,202&lt;'EDT Y TAREAS'!AL52),'EDT Y TAREAS'!AD52/'EDT Y TAREAS'!M52,0))</x:f>
        <x:v>0</x:v>
      </x:c>
      <x:c r="C242" s="35" t="n">
        <x:f>SUM(IF(AND(202&gt;='EDT Y TAREAS'!AK6,202&lt;'EDT Y TAREAS'!AL6),'EDT Y TAREAS'!AE6/'EDT Y TAREAS'!M6,0),IF(AND(202&gt;='EDT Y TAREAS'!AK8,202&lt;'EDT Y TAREAS'!AL8),'EDT Y TAREAS'!AE8/'EDT Y TAREAS'!M8,0),IF(AND(202&gt;='EDT Y TAREAS'!AK9,202&lt;'EDT Y TAREAS'!AL9),'EDT Y TAREAS'!AE9/'EDT Y TAREAS'!M9,0),IF(AND(202&gt;='EDT Y TAREAS'!AK10,202&lt;'EDT Y TAREAS'!AL10),'EDT Y TAREAS'!AE10/'EDT Y TAREAS'!M10,0),IF(AND(202&gt;='EDT Y TAREAS'!AK12,202&lt;'EDT Y TAREAS'!AL12),'EDT Y TAREAS'!AE12/'EDT Y TAREAS'!M12,0),IF(AND(202&gt;='EDT Y TAREAS'!AK16,202&lt;'EDT Y TAREAS'!AL16),'EDT Y TAREAS'!AE16/'EDT Y TAREAS'!M16,0),IF(AND(202&gt;='EDT Y TAREAS'!AK21,202&lt;'EDT Y TAREAS'!AL21),'EDT Y TAREAS'!AE21/'EDT Y TAREAS'!M21,0),IF(AND(202&gt;='EDT Y TAREAS'!AK23,202&lt;'EDT Y TAREAS'!AL23),'EDT Y TAREAS'!AE23/'EDT Y TAREAS'!M23,0),IF(AND(202&gt;='EDT Y TAREAS'!AK37,202&lt;'EDT Y TAREAS'!AL37),'EDT Y TAREAS'!AE37/'EDT Y TAREAS'!M37,0),IF(AND(202&gt;='EDT Y TAREAS'!AK38,202&lt;'EDT Y TAREAS'!AL38),'EDT Y TAREAS'!AE38/'EDT Y TAREAS'!M38,0),IF(AND(202&gt;='EDT Y TAREAS'!AK41,202&lt;'EDT Y TAREAS'!AL41),'EDT Y TAREAS'!AE41/'EDT Y TAREAS'!M41,0),IF(AND(202&gt;='EDT Y TAREAS'!AK43,202&lt;'EDT Y TAREAS'!AL43),'EDT Y TAREAS'!AE43/'EDT Y TAREAS'!M43,0),IF(AND(202&gt;='EDT Y TAREAS'!AK44,202&lt;'EDT Y TAREAS'!AL44),'EDT Y TAREAS'!AE44/'EDT Y TAREAS'!M44,0),IF(AND(202&gt;='EDT Y TAREAS'!AK46,202&lt;'EDT Y TAREAS'!AL46),'EDT Y TAREAS'!AE46/'EDT Y TAREAS'!M46,0),IF(AND(202&gt;='EDT Y TAREAS'!AK47,202&lt;'EDT Y TAREAS'!AL47),'EDT Y TAREAS'!AE47/'EDT Y TAREAS'!M47,0),IF(AND(202&gt;='EDT Y TAREAS'!AK51,202&lt;'EDT Y TAREAS'!AL51),'EDT Y TAREAS'!AE51/'EDT Y TAREAS'!M51,0),IF(AND(202&gt;='EDT Y TAREAS'!AK52,202&lt;'EDT Y TAREAS'!AL52),'EDT Y TAREAS'!AE52/'EDT Y TAREAS'!M52,0))</x:f>
        <x:v>0</x:v>
      </x:c>
      <x:c r="D242" s="35" t="n">
        <x:f>SUM(IF(AND(202&gt;='EDT Y TAREAS'!AK11,202&lt;'EDT Y TAREAS'!AL11),'EDT Y TAREAS'!AF11/'EDT Y TAREAS'!M11,0),IF(AND(202&gt;='EDT Y TAREAS'!AK24,202&lt;'EDT Y TAREAS'!AL24),'EDT Y TAREAS'!AF24/'EDT Y TAREAS'!M24,0),IF(AND(202&gt;='EDT Y TAREAS'!AK25,202&lt;'EDT Y TAREAS'!AL25),'EDT Y TAREAS'!AF25/'EDT Y TAREAS'!M25,0),IF(AND(202&gt;='EDT Y TAREAS'!AK26,202&lt;'EDT Y TAREAS'!AL26),'EDT Y TAREAS'!AF26/'EDT Y TAREAS'!M26,0),IF(AND(202&gt;='EDT Y TAREAS'!AK27,202&lt;'EDT Y TAREAS'!AL27),'EDT Y TAREAS'!AF27/'EDT Y TAREAS'!M27,0),IF(AND(202&gt;='EDT Y TAREAS'!AK28,202&lt;'EDT Y TAREAS'!AL28),'EDT Y TAREAS'!AF28/'EDT Y TAREAS'!M28,0),IF(AND(202&gt;='EDT Y TAREAS'!AK31,202&lt;'EDT Y TAREAS'!AL31),'EDT Y TAREAS'!AF31/'EDT Y TAREAS'!M31,0),IF(AND(202&gt;='EDT Y TAREAS'!AK33,202&lt;'EDT Y TAREAS'!AL33),'EDT Y TAREAS'!AF33/'EDT Y TAREAS'!M33,0),IF(AND(202&gt;='EDT Y TAREAS'!AK34,202&lt;'EDT Y TAREAS'!AL34),'EDT Y TAREAS'!AF34/'EDT Y TAREAS'!M34,0),IF(AND(202&gt;='EDT Y TAREAS'!AK35,202&lt;'EDT Y TAREAS'!AL35),'EDT Y TAREAS'!AF35/'EDT Y TAREAS'!M35,0),IF(AND(202&gt;='EDT Y TAREAS'!AK37,202&lt;'EDT Y TAREAS'!AL37),'EDT Y TAREAS'!AF37/'EDT Y TAREAS'!M37,0),IF(AND(202&gt;='EDT Y TAREAS'!AK39,202&lt;'EDT Y TAREAS'!AL39),'EDT Y TAREAS'!AF39/'EDT Y TAREAS'!M39,0),IF(AND(202&gt;='EDT Y TAREAS'!AK40,202&lt;'EDT Y TAREAS'!AL40),'EDT Y TAREAS'!AF40/'EDT Y TAREAS'!M40,0),IF(AND(202&gt;='EDT Y TAREAS'!AK42,202&lt;'EDT Y TAREAS'!AL42),'EDT Y TAREAS'!AF42/'EDT Y TAREAS'!M42,0),IF(AND(202&gt;='EDT Y TAREAS'!AK45,202&lt;'EDT Y TAREAS'!AL45),'EDT Y TAREAS'!AF45/'EDT Y TAREAS'!M45,0),IF(AND(202&gt;='EDT Y TAREAS'!AK49,202&lt;'EDT Y TAREAS'!AL49),'EDT Y TAREAS'!AF49/'EDT Y TAREAS'!M49,0),IF(AND(202&gt;='EDT Y TAREAS'!AK52,202&lt;'EDT Y TAREAS'!AL52),'EDT Y TAREAS'!AF52/'EDT Y TAREAS'!M52,0))</x:f>
        <x:v>0</x:v>
      </x:c>
      <x:c r="E242" s="35" t="n">
        <x:f>SUM(IF(AND(202&gt;='EDT Y TAREAS'!AK29,202&lt;'EDT Y TAREAS'!AL29),'EDT Y TAREAS'!AG29/'EDT Y TAREAS'!M29,0),IF(AND(202&gt;='EDT Y TAREAS'!AK30,202&lt;'EDT Y TAREAS'!AL30),'EDT Y TAREAS'!AG30/'EDT Y TAREAS'!M30,0),IF(AND(202&gt;='EDT Y TAREAS'!AK31,202&lt;'EDT Y TAREAS'!AL31),'EDT Y TAREAS'!AG31/'EDT Y TAREAS'!M31,0),IF(AND(202&gt;='EDT Y TAREAS'!AK32,202&lt;'EDT Y TAREAS'!AL32),'EDT Y TAREAS'!AG32/'EDT Y TAREAS'!M32,0),IF(AND(202&gt;='EDT Y TAREAS'!AK41,202&lt;'EDT Y TAREAS'!AL41),'EDT Y TAREAS'!AG41/'EDT Y TAREAS'!M41,0),IF(AND(202&gt;='EDT Y TAREAS'!AK45,202&lt;'EDT Y TAREAS'!AL45),'EDT Y TAREAS'!AG45/'EDT Y TAREAS'!M45,0),IF(AND(202&gt;='EDT Y TAREAS'!AK48,202&lt;'EDT Y TAREAS'!AL48),'EDT Y TAREAS'!AG48/'EDT Y TAREAS'!M48,0))</x:f>
        <x:v>0</x:v>
      </x:c>
      <x:c r="F242" s="35" t="n">
        <x:f>SUM(IF(AND(202&gt;='EDT Y TAREAS'!AK10,202&lt;'EDT Y TAREAS'!AL10),'EDT Y TAREAS'!AH10/'EDT Y TAREAS'!M10,0),IF(AND(202&gt;='EDT Y TAREAS'!AK12,202&lt;'EDT Y TAREAS'!AL12),'EDT Y TAREAS'!AH12/'EDT Y TAREAS'!M12,0),IF(AND(202&gt;='EDT Y TAREAS'!AK22,202&lt;'EDT Y TAREAS'!AL22),'EDT Y TAREAS'!AH22/'EDT Y TAREAS'!M22,0),IF(AND(202&gt;='EDT Y TAREAS'!AK23,202&lt;'EDT Y TAREAS'!AL23),'EDT Y TAREAS'!AH23/'EDT Y TAREAS'!M23,0),IF(AND(202&gt;='EDT Y TAREAS'!AK29,202&lt;'EDT Y TAREAS'!AL29),'EDT Y TAREAS'!AH29/'EDT Y TAREAS'!M29,0),IF(AND(202&gt;='EDT Y TAREAS'!AK30,202&lt;'EDT Y TAREAS'!AL30),'EDT Y TAREAS'!AH30/'EDT Y TAREAS'!M30,0),IF(AND(202&gt;='EDT Y TAREAS'!AK32,202&lt;'EDT Y TAREAS'!AL32),'EDT Y TAREAS'!AH32/'EDT Y TAREAS'!M32,0),IF(AND(202&gt;='EDT Y TAREAS'!AK41,202&lt;'EDT Y TAREAS'!AL41),'EDT Y TAREAS'!AH41/'EDT Y TAREAS'!M41,0),IF(AND(202&gt;='EDT Y TAREAS'!AK44,202&lt;'EDT Y TAREAS'!AL44),'EDT Y TAREAS'!AH44/'EDT Y TAREAS'!M44,0),IF(AND(202&gt;='EDT Y TAREAS'!AK46,202&lt;'EDT Y TAREAS'!AL46),'EDT Y TAREAS'!AH46/'EDT Y TAREAS'!M46,0),IF(AND(202&gt;='EDT Y TAREAS'!AK48,202&lt;'EDT Y TAREAS'!AL48),'EDT Y TAREAS'!AH48/'EDT Y TAREAS'!M48,0))</x:f>
        <x:v>0</x:v>
      </x:c>
      <x:c r="G242" s="35" t="n">
        <x:f>SUM(IF(AND(202&gt;='EDT Y TAREAS'!AK20,202&lt;'EDT Y TAREAS'!AL20),'EDT Y TAREAS'!AI20/'EDT Y TAREAS'!M20,0),IF(AND(202&gt;='EDT Y TAREAS'!AK25,202&lt;'EDT Y TAREAS'!AL25),'EDT Y TAREAS'!AI25/'EDT Y TAREAS'!M25,0),IF(AND(202&gt;='EDT Y TAREAS'!AK33,202&lt;'EDT Y TAREAS'!AL33),'EDT Y TAREAS'!AI33/'EDT Y TAREAS'!M33,0),IF(AND(202&gt;='EDT Y TAREAS'!AK34,202&lt;'EDT Y TAREAS'!AL34),'EDT Y TAREAS'!AI34/'EDT Y TAREAS'!M34,0),IF(AND(202&gt;='EDT Y TAREAS'!AK36,202&lt;'EDT Y TAREAS'!AL36),'EDT Y TAREAS'!AI36/'EDT Y TAREAS'!M36,0),IF(AND(202&gt;='EDT Y TAREAS'!AK39,202&lt;'EDT Y TAREAS'!AL39),'EDT Y TAREAS'!AI39/'EDT Y TAREAS'!M39,0),IF(AND(202&gt;='EDT Y TAREAS'!AK40,202&lt;'EDT Y TAREAS'!AL40),'EDT Y TAREAS'!AI40/'EDT Y TAREAS'!M40,0),IF(AND(202&gt;='EDT Y TAREAS'!AK42,202&lt;'EDT Y TAREAS'!AL42),'EDT Y TAREAS'!AI42/'EDT Y TAREAS'!M42,0),IF(AND(202&gt;='EDT Y TAREAS'!AK43,202&lt;'EDT Y TAREAS'!AL43),'EDT Y TAREAS'!AI43/'EDT Y TAREAS'!M43,0),IF(AND(202&gt;='EDT Y TAREAS'!AK44,202&lt;'EDT Y TAREAS'!AL44),'EDT Y TAREAS'!AI44/'EDT Y TAREAS'!M44,0),IF(AND(202&gt;='EDT Y TAREAS'!AK45,202&lt;'EDT Y TAREAS'!AL45),'EDT Y TAREAS'!AI45/'EDT Y TAREAS'!M45,0),IF(AND(202&gt;='EDT Y TAREAS'!AK46,202&lt;'EDT Y TAREAS'!AL46),'EDT Y TAREAS'!AI46/'EDT Y TAREAS'!M46,0),IF(AND(202&gt;='EDT Y TAREAS'!AK48,202&lt;'EDT Y TAREAS'!AL48),'EDT Y TAREAS'!AI48/'EDT Y TAREAS'!M48,0),IF(AND(202&gt;='EDT Y TAREAS'!AK50,202&lt;'EDT Y TAREAS'!AL50),'EDT Y TAREAS'!AI50/'EDT Y TAREAS'!M50,0),IF(AND(202&gt;='EDT Y TAREAS'!AK52,202&lt;'EDT Y TAREAS'!AL52),'EDT Y TAREAS'!AI52/'EDT Y TAREAS'!M52,0))</x:f>
        <x:v>0</x:v>
      </x:c>
      <x:c r="H242" s="35" t="n">
        <x:f>SUM(IF(AND(202&gt;='EDT Y TAREAS'!AK11,202&lt;'EDT Y TAREAS'!AL11),'EDT Y TAREAS'!AJ11/'EDT Y TAREAS'!M11,0),IF(AND(202&gt;='EDT Y TAREAS'!AK24,202&lt;'EDT Y TAREAS'!AL24),'EDT Y TAREAS'!AJ24/'EDT Y TAREAS'!M24,0),IF(AND(202&gt;='EDT Y TAREAS'!AK27,202&lt;'EDT Y TAREAS'!AL27),'EDT Y TAREAS'!AJ27/'EDT Y TAREAS'!M27,0),IF(AND(202&gt;='EDT Y TAREAS'!AK28,202&lt;'EDT Y TAREAS'!AL28),'EDT Y TAREAS'!AJ28/'EDT Y TAREAS'!M28,0),IF(AND(202&gt;='EDT Y TAREAS'!AK33,202&lt;'EDT Y TAREAS'!AL33),'EDT Y TAREAS'!AJ33/'EDT Y TAREAS'!M33,0),IF(AND(202&gt;='EDT Y TAREAS'!AK35,202&lt;'EDT Y TAREAS'!AL35),'EDT Y TAREAS'!AJ35/'EDT Y TAREAS'!M35,0),IF(AND(202&gt;='EDT Y TAREAS'!AK36,202&lt;'EDT Y TAREAS'!AL36),'EDT Y TAREAS'!AJ36/'EDT Y TAREAS'!M36,0),IF(AND(202&gt;='EDT Y TAREAS'!AK37,202&lt;'EDT Y TAREAS'!AL37),'EDT Y TAREAS'!AJ37/'EDT Y TAREAS'!M37,0),IF(AND(202&gt;='EDT Y TAREAS'!AK40,202&lt;'EDT Y TAREAS'!AL40),'EDT Y TAREAS'!AJ40/'EDT Y TAREAS'!M40,0),IF(AND(202&gt;='EDT Y TAREAS'!AK42,202&lt;'EDT Y TAREAS'!AL42),'EDT Y TAREAS'!AJ42/'EDT Y TAREAS'!M42,0),IF(AND(202&gt;='EDT Y TAREAS'!AK49,202&lt;'EDT Y TAREAS'!AL49),'EDT Y TAREAS'!AJ49/'EDT Y TAREAS'!M49,0),IF(AND(202&gt;='EDT Y TAREAS'!AK50,202&lt;'EDT Y TAREAS'!AL50),'EDT Y TAREAS'!AJ50/'EDT Y TAREAS'!M50,0),IF(AND(202&gt;='EDT Y TAREAS'!AK51,202&lt;'EDT Y TAREAS'!AL51),'EDT Y TAREAS'!AJ51/'EDT Y TAREAS'!M51,0),IF(AND(202&gt;='EDT Y TAREAS'!AK52,202&lt;'EDT Y TAREAS'!AL52),'EDT Y TAREAS'!AJ52/'EDT Y TAREAS'!M52,0))</x:f>
        <x:v>0</x:v>
      </x:c>
      <x:c r="I242" s="10" t="n">
        <x:f>WORKDAY('RESUMEN'!$D$3-1,A242,'RESUMEN'!$J$6:$J$25)</x:f>
        <x:v>46610</x:v>
      </x:c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  <x:c r="AL242" s="3"/>
      <x:c r="AM242" s="3"/>
      <x:c r="AN242" s="3"/>
      <x:c r="AO242" s="3"/>
    </x:row>
    <x:row r="243" ht="24" customHeight="1">
      <x:c r="A243" s="3" t="n">
        <x:v>204</x:v>
      </x:c>
      <x:c r="B243" s="35" t="n">
        <x:f>SUM(IF(AND(203&gt;='EDT Y TAREAS'!AK6,203&lt;'EDT Y TAREAS'!AL6),'EDT Y TAREAS'!AD6/'EDT Y TAREAS'!M6,0),IF(AND(203&gt;='EDT Y TAREAS'!AK7,203&lt;'EDT Y TAREAS'!AL7),'EDT Y TAREAS'!AD7/'EDT Y TAREAS'!M7,0),IF(AND(203&gt;='EDT Y TAREAS'!AK8,203&lt;'EDT Y TAREAS'!AL8),'EDT Y TAREAS'!AD8/'EDT Y TAREAS'!M8,0),IF(AND(203&gt;='EDT Y TAREAS'!AK9,203&lt;'EDT Y TAREAS'!AL9),'EDT Y TAREAS'!AD9/'EDT Y TAREAS'!M9,0),IF(AND(203&gt;='EDT Y TAREAS'!AK10,203&lt;'EDT Y TAREAS'!AL10),'EDT Y TAREAS'!AD10/'EDT Y TAREAS'!M10,0),IF(AND(203&gt;='EDT Y TAREAS'!AK11,203&lt;'EDT Y TAREAS'!AL11),'EDT Y TAREAS'!AD11/'EDT Y TAREAS'!M11,0),IF(AND(203&gt;='EDT Y TAREAS'!AK12,203&lt;'EDT Y TAREAS'!AL12),'EDT Y TAREAS'!AD12/'EDT Y TAREAS'!M12,0),IF(AND(203&gt;='EDT Y TAREAS'!AK13,203&lt;'EDT Y TAREAS'!AL13),'EDT Y TAREAS'!AD13/'EDT Y TAREAS'!M13,0),IF(AND(203&gt;='EDT Y TAREAS'!AK14,203&lt;'EDT Y TAREAS'!AL14),'EDT Y TAREAS'!AD14/'EDT Y TAREAS'!M14,0),IF(AND(203&gt;='EDT Y TAREAS'!AK15,203&lt;'EDT Y TAREAS'!AL15),'EDT Y TAREAS'!AD15/'EDT Y TAREAS'!M15,0),IF(AND(203&gt;='EDT Y TAREAS'!AK16,203&lt;'EDT Y TAREAS'!AL16),'EDT Y TAREAS'!AD16/'EDT Y TAREAS'!M16,0),IF(AND(203&gt;='EDT Y TAREAS'!AK17,203&lt;'EDT Y TAREAS'!AL17),'EDT Y TAREAS'!AD17/'EDT Y TAREAS'!M17,0),IF(AND(203&gt;='EDT Y TAREAS'!AK18,203&lt;'EDT Y TAREAS'!AL18),'EDT Y TAREAS'!AD18/'EDT Y TAREAS'!M18,0),IF(AND(203&gt;='EDT Y TAREAS'!AK19,203&lt;'EDT Y TAREAS'!AL19),'EDT Y TAREAS'!AD19/'EDT Y TAREAS'!M19,0),IF(AND(203&gt;='EDT Y TAREAS'!AK20,203&lt;'EDT Y TAREAS'!AL20),'EDT Y TAREAS'!AD20/'EDT Y TAREAS'!M20,0),IF(AND(203&gt;='EDT Y TAREAS'!AK21,203&lt;'EDT Y TAREAS'!AL21),'EDT Y TAREAS'!AD21/'EDT Y TAREAS'!M21,0),IF(AND(203&gt;='EDT Y TAREAS'!AK22,203&lt;'EDT Y TAREAS'!AL22),'EDT Y TAREAS'!AD22/'EDT Y TAREAS'!M22,0),IF(AND(203&gt;='EDT Y TAREAS'!AK23,203&lt;'EDT Y TAREAS'!AL23),'EDT Y TAREAS'!AD23/'EDT Y TAREAS'!M23,0),IF(AND(203&gt;='EDT Y TAREAS'!AK26,203&lt;'EDT Y TAREAS'!AL26),'EDT Y TAREAS'!AD26/'EDT Y TAREAS'!M26,0),IF(AND(203&gt;='EDT Y TAREAS'!AK28,203&lt;'EDT Y TAREAS'!AL28),'EDT Y TAREAS'!AD28/'EDT Y TAREAS'!M28,0),IF(AND(203&gt;='EDT Y TAREAS'!AK30,203&lt;'EDT Y TAREAS'!AL30),'EDT Y TAREAS'!AD30/'EDT Y TAREAS'!M30,0),IF(AND(203&gt;='EDT Y TAREAS'!AK32,203&lt;'EDT Y TAREAS'!AL32),'EDT Y TAREAS'!AD32/'EDT Y TAREAS'!M32,0),IF(AND(203&gt;='EDT Y TAREAS'!AK34,203&lt;'EDT Y TAREAS'!AL34),'EDT Y TAREAS'!AD34/'EDT Y TAREAS'!M34,0),IF(AND(203&gt;='EDT Y TAREAS'!AK38,203&lt;'EDT Y TAREAS'!AL38),'EDT Y TAREAS'!AD38/'EDT Y TAREAS'!M38,0),IF(AND(203&gt;='EDT Y TAREAS'!AK39,203&lt;'EDT Y TAREAS'!AL39),'EDT Y TAREAS'!AD39/'EDT Y TAREAS'!M39,0),IF(AND(203&gt;='EDT Y TAREAS'!AK43,203&lt;'EDT Y TAREAS'!AL43),'EDT Y TAREAS'!AD43/'EDT Y TAREAS'!M43,0),IF(AND(203&gt;='EDT Y TAREAS'!AK44,203&lt;'EDT Y TAREAS'!AL44),'EDT Y TAREAS'!AD44/'EDT Y TAREAS'!M44,0),IF(AND(203&gt;='EDT Y TAREAS'!AK45,203&lt;'EDT Y TAREAS'!AL45),'EDT Y TAREAS'!AD45/'EDT Y TAREAS'!M45,0),IF(AND(203&gt;='EDT Y TAREAS'!AK46,203&lt;'EDT Y TAREAS'!AL46),'EDT Y TAREAS'!AD46/'EDT Y TAREAS'!M46,0),IF(AND(203&gt;='EDT Y TAREAS'!AK47,203&lt;'EDT Y TAREAS'!AL47),'EDT Y TAREAS'!AD47/'EDT Y TAREAS'!M47,0),IF(AND(203&gt;='EDT Y TAREAS'!AK49,203&lt;'EDT Y TAREAS'!AL49),'EDT Y TAREAS'!AD49/'EDT Y TAREAS'!M49,0),IF(AND(203&gt;='EDT Y TAREAS'!AK50,203&lt;'EDT Y TAREAS'!AL50),'EDT Y TAREAS'!AD50/'EDT Y TAREAS'!M50,0),IF(AND(203&gt;='EDT Y TAREAS'!AK51,203&lt;'EDT Y TAREAS'!AL51),'EDT Y TAREAS'!AD51/'EDT Y TAREAS'!M51,0),IF(AND(203&gt;='EDT Y TAREAS'!AK52,203&lt;'EDT Y TAREAS'!AL52),'EDT Y TAREAS'!AD52/'EDT Y TAREAS'!M52,0))</x:f>
        <x:v>0</x:v>
      </x:c>
      <x:c r="C243" s="35" t="n">
        <x:f>SUM(IF(AND(203&gt;='EDT Y TAREAS'!AK6,203&lt;'EDT Y TAREAS'!AL6),'EDT Y TAREAS'!AE6/'EDT Y TAREAS'!M6,0),IF(AND(203&gt;='EDT Y TAREAS'!AK8,203&lt;'EDT Y TAREAS'!AL8),'EDT Y TAREAS'!AE8/'EDT Y TAREAS'!M8,0),IF(AND(203&gt;='EDT Y TAREAS'!AK9,203&lt;'EDT Y TAREAS'!AL9),'EDT Y TAREAS'!AE9/'EDT Y TAREAS'!M9,0),IF(AND(203&gt;='EDT Y TAREAS'!AK10,203&lt;'EDT Y TAREAS'!AL10),'EDT Y TAREAS'!AE10/'EDT Y TAREAS'!M10,0),IF(AND(203&gt;='EDT Y TAREAS'!AK12,203&lt;'EDT Y TAREAS'!AL12),'EDT Y TAREAS'!AE12/'EDT Y TAREAS'!M12,0),IF(AND(203&gt;='EDT Y TAREAS'!AK16,203&lt;'EDT Y TAREAS'!AL16),'EDT Y TAREAS'!AE16/'EDT Y TAREAS'!M16,0),IF(AND(203&gt;='EDT Y TAREAS'!AK21,203&lt;'EDT Y TAREAS'!AL21),'EDT Y TAREAS'!AE21/'EDT Y TAREAS'!M21,0),IF(AND(203&gt;='EDT Y TAREAS'!AK23,203&lt;'EDT Y TAREAS'!AL23),'EDT Y TAREAS'!AE23/'EDT Y TAREAS'!M23,0),IF(AND(203&gt;='EDT Y TAREAS'!AK37,203&lt;'EDT Y TAREAS'!AL37),'EDT Y TAREAS'!AE37/'EDT Y TAREAS'!M37,0),IF(AND(203&gt;='EDT Y TAREAS'!AK38,203&lt;'EDT Y TAREAS'!AL38),'EDT Y TAREAS'!AE38/'EDT Y TAREAS'!M38,0),IF(AND(203&gt;='EDT Y TAREAS'!AK41,203&lt;'EDT Y TAREAS'!AL41),'EDT Y TAREAS'!AE41/'EDT Y TAREAS'!M41,0),IF(AND(203&gt;='EDT Y TAREAS'!AK43,203&lt;'EDT Y TAREAS'!AL43),'EDT Y TAREAS'!AE43/'EDT Y TAREAS'!M43,0),IF(AND(203&gt;='EDT Y TAREAS'!AK44,203&lt;'EDT Y TAREAS'!AL44),'EDT Y TAREAS'!AE44/'EDT Y TAREAS'!M44,0),IF(AND(203&gt;='EDT Y TAREAS'!AK46,203&lt;'EDT Y TAREAS'!AL46),'EDT Y TAREAS'!AE46/'EDT Y TAREAS'!M46,0),IF(AND(203&gt;='EDT Y TAREAS'!AK47,203&lt;'EDT Y TAREAS'!AL47),'EDT Y TAREAS'!AE47/'EDT Y TAREAS'!M47,0),IF(AND(203&gt;='EDT Y TAREAS'!AK51,203&lt;'EDT Y TAREAS'!AL51),'EDT Y TAREAS'!AE51/'EDT Y TAREAS'!M51,0),IF(AND(203&gt;='EDT Y TAREAS'!AK52,203&lt;'EDT Y TAREAS'!AL52),'EDT Y TAREAS'!AE52/'EDT Y TAREAS'!M52,0))</x:f>
        <x:v>0</x:v>
      </x:c>
      <x:c r="D243" s="35" t="n">
        <x:f>SUM(IF(AND(203&gt;='EDT Y TAREAS'!AK11,203&lt;'EDT Y TAREAS'!AL11),'EDT Y TAREAS'!AF11/'EDT Y TAREAS'!M11,0),IF(AND(203&gt;='EDT Y TAREAS'!AK24,203&lt;'EDT Y TAREAS'!AL24),'EDT Y TAREAS'!AF24/'EDT Y TAREAS'!M24,0),IF(AND(203&gt;='EDT Y TAREAS'!AK25,203&lt;'EDT Y TAREAS'!AL25),'EDT Y TAREAS'!AF25/'EDT Y TAREAS'!M25,0),IF(AND(203&gt;='EDT Y TAREAS'!AK26,203&lt;'EDT Y TAREAS'!AL26),'EDT Y TAREAS'!AF26/'EDT Y TAREAS'!M26,0),IF(AND(203&gt;='EDT Y TAREAS'!AK27,203&lt;'EDT Y TAREAS'!AL27),'EDT Y TAREAS'!AF27/'EDT Y TAREAS'!M27,0),IF(AND(203&gt;='EDT Y TAREAS'!AK28,203&lt;'EDT Y TAREAS'!AL28),'EDT Y TAREAS'!AF28/'EDT Y TAREAS'!M28,0),IF(AND(203&gt;='EDT Y TAREAS'!AK31,203&lt;'EDT Y TAREAS'!AL31),'EDT Y TAREAS'!AF31/'EDT Y TAREAS'!M31,0),IF(AND(203&gt;='EDT Y TAREAS'!AK33,203&lt;'EDT Y TAREAS'!AL33),'EDT Y TAREAS'!AF33/'EDT Y TAREAS'!M33,0),IF(AND(203&gt;='EDT Y TAREAS'!AK34,203&lt;'EDT Y TAREAS'!AL34),'EDT Y TAREAS'!AF34/'EDT Y TAREAS'!M34,0),IF(AND(203&gt;='EDT Y TAREAS'!AK35,203&lt;'EDT Y TAREAS'!AL35),'EDT Y TAREAS'!AF35/'EDT Y TAREAS'!M35,0),IF(AND(203&gt;='EDT Y TAREAS'!AK37,203&lt;'EDT Y TAREAS'!AL37),'EDT Y TAREAS'!AF37/'EDT Y TAREAS'!M37,0),IF(AND(203&gt;='EDT Y TAREAS'!AK39,203&lt;'EDT Y TAREAS'!AL39),'EDT Y TAREAS'!AF39/'EDT Y TAREAS'!M39,0),IF(AND(203&gt;='EDT Y TAREAS'!AK40,203&lt;'EDT Y TAREAS'!AL40),'EDT Y TAREAS'!AF40/'EDT Y TAREAS'!M40,0),IF(AND(203&gt;='EDT Y TAREAS'!AK42,203&lt;'EDT Y TAREAS'!AL42),'EDT Y TAREAS'!AF42/'EDT Y TAREAS'!M42,0),IF(AND(203&gt;='EDT Y TAREAS'!AK45,203&lt;'EDT Y TAREAS'!AL45),'EDT Y TAREAS'!AF45/'EDT Y TAREAS'!M45,0),IF(AND(203&gt;='EDT Y TAREAS'!AK49,203&lt;'EDT Y TAREAS'!AL49),'EDT Y TAREAS'!AF49/'EDT Y TAREAS'!M49,0),IF(AND(203&gt;='EDT Y TAREAS'!AK52,203&lt;'EDT Y TAREAS'!AL52),'EDT Y TAREAS'!AF52/'EDT Y TAREAS'!M52,0))</x:f>
        <x:v>0</x:v>
      </x:c>
      <x:c r="E243" s="35" t="n">
        <x:f>SUM(IF(AND(203&gt;='EDT Y TAREAS'!AK29,203&lt;'EDT Y TAREAS'!AL29),'EDT Y TAREAS'!AG29/'EDT Y TAREAS'!M29,0),IF(AND(203&gt;='EDT Y TAREAS'!AK30,203&lt;'EDT Y TAREAS'!AL30),'EDT Y TAREAS'!AG30/'EDT Y TAREAS'!M30,0),IF(AND(203&gt;='EDT Y TAREAS'!AK31,203&lt;'EDT Y TAREAS'!AL31),'EDT Y TAREAS'!AG31/'EDT Y TAREAS'!M31,0),IF(AND(203&gt;='EDT Y TAREAS'!AK32,203&lt;'EDT Y TAREAS'!AL32),'EDT Y TAREAS'!AG32/'EDT Y TAREAS'!M32,0),IF(AND(203&gt;='EDT Y TAREAS'!AK41,203&lt;'EDT Y TAREAS'!AL41),'EDT Y TAREAS'!AG41/'EDT Y TAREAS'!M41,0),IF(AND(203&gt;='EDT Y TAREAS'!AK45,203&lt;'EDT Y TAREAS'!AL45),'EDT Y TAREAS'!AG45/'EDT Y TAREAS'!M45,0),IF(AND(203&gt;='EDT Y TAREAS'!AK48,203&lt;'EDT Y TAREAS'!AL48),'EDT Y TAREAS'!AG48/'EDT Y TAREAS'!M48,0))</x:f>
        <x:v>0</x:v>
      </x:c>
      <x:c r="F243" s="35" t="n">
        <x:f>SUM(IF(AND(203&gt;='EDT Y TAREAS'!AK10,203&lt;'EDT Y TAREAS'!AL10),'EDT Y TAREAS'!AH10/'EDT Y TAREAS'!M10,0),IF(AND(203&gt;='EDT Y TAREAS'!AK12,203&lt;'EDT Y TAREAS'!AL12),'EDT Y TAREAS'!AH12/'EDT Y TAREAS'!M12,0),IF(AND(203&gt;='EDT Y TAREAS'!AK22,203&lt;'EDT Y TAREAS'!AL22),'EDT Y TAREAS'!AH22/'EDT Y TAREAS'!M22,0),IF(AND(203&gt;='EDT Y TAREAS'!AK23,203&lt;'EDT Y TAREAS'!AL23),'EDT Y TAREAS'!AH23/'EDT Y TAREAS'!M23,0),IF(AND(203&gt;='EDT Y TAREAS'!AK29,203&lt;'EDT Y TAREAS'!AL29),'EDT Y TAREAS'!AH29/'EDT Y TAREAS'!M29,0),IF(AND(203&gt;='EDT Y TAREAS'!AK30,203&lt;'EDT Y TAREAS'!AL30),'EDT Y TAREAS'!AH30/'EDT Y TAREAS'!M30,0),IF(AND(203&gt;='EDT Y TAREAS'!AK32,203&lt;'EDT Y TAREAS'!AL32),'EDT Y TAREAS'!AH32/'EDT Y TAREAS'!M32,0),IF(AND(203&gt;='EDT Y TAREAS'!AK41,203&lt;'EDT Y TAREAS'!AL41),'EDT Y TAREAS'!AH41/'EDT Y TAREAS'!M41,0),IF(AND(203&gt;='EDT Y TAREAS'!AK44,203&lt;'EDT Y TAREAS'!AL44),'EDT Y TAREAS'!AH44/'EDT Y TAREAS'!M44,0),IF(AND(203&gt;='EDT Y TAREAS'!AK46,203&lt;'EDT Y TAREAS'!AL46),'EDT Y TAREAS'!AH46/'EDT Y TAREAS'!M46,0),IF(AND(203&gt;='EDT Y TAREAS'!AK48,203&lt;'EDT Y TAREAS'!AL48),'EDT Y TAREAS'!AH48/'EDT Y TAREAS'!M48,0))</x:f>
        <x:v>0</x:v>
      </x:c>
      <x:c r="G243" s="35" t="n">
        <x:f>SUM(IF(AND(203&gt;='EDT Y TAREAS'!AK20,203&lt;'EDT Y TAREAS'!AL20),'EDT Y TAREAS'!AI20/'EDT Y TAREAS'!M20,0),IF(AND(203&gt;='EDT Y TAREAS'!AK25,203&lt;'EDT Y TAREAS'!AL25),'EDT Y TAREAS'!AI25/'EDT Y TAREAS'!M25,0),IF(AND(203&gt;='EDT Y TAREAS'!AK33,203&lt;'EDT Y TAREAS'!AL33),'EDT Y TAREAS'!AI33/'EDT Y TAREAS'!M33,0),IF(AND(203&gt;='EDT Y TAREAS'!AK34,203&lt;'EDT Y TAREAS'!AL34),'EDT Y TAREAS'!AI34/'EDT Y TAREAS'!M34,0),IF(AND(203&gt;='EDT Y TAREAS'!AK36,203&lt;'EDT Y TAREAS'!AL36),'EDT Y TAREAS'!AI36/'EDT Y TAREAS'!M36,0),IF(AND(203&gt;='EDT Y TAREAS'!AK39,203&lt;'EDT Y TAREAS'!AL39),'EDT Y TAREAS'!AI39/'EDT Y TAREAS'!M39,0),IF(AND(203&gt;='EDT Y TAREAS'!AK40,203&lt;'EDT Y TAREAS'!AL40),'EDT Y TAREAS'!AI40/'EDT Y TAREAS'!M40,0),IF(AND(203&gt;='EDT Y TAREAS'!AK42,203&lt;'EDT Y TAREAS'!AL42),'EDT Y TAREAS'!AI42/'EDT Y TAREAS'!M42,0),IF(AND(203&gt;='EDT Y TAREAS'!AK43,203&lt;'EDT Y TAREAS'!AL43),'EDT Y TAREAS'!AI43/'EDT Y TAREAS'!M43,0),IF(AND(203&gt;='EDT Y TAREAS'!AK44,203&lt;'EDT Y TAREAS'!AL44),'EDT Y TAREAS'!AI44/'EDT Y TAREAS'!M44,0),IF(AND(203&gt;='EDT Y TAREAS'!AK45,203&lt;'EDT Y TAREAS'!AL45),'EDT Y TAREAS'!AI45/'EDT Y TAREAS'!M45,0),IF(AND(203&gt;='EDT Y TAREAS'!AK46,203&lt;'EDT Y TAREAS'!AL46),'EDT Y TAREAS'!AI46/'EDT Y TAREAS'!M46,0),IF(AND(203&gt;='EDT Y TAREAS'!AK48,203&lt;'EDT Y TAREAS'!AL48),'EDT Y TAREAS'!AI48/'EDT Y TAREAS'!M48,0),IF(AND(203&gt;='EDT Y TAREAS'!AK50,203&lt;'EDT Y TAREAS'!AL50),'EDT Y TAREAS'!AI50/'EDT Y TAREAS'!M50,0),IF(AND(203&gt;='EDT Y TAREAS'!AK52,203&lt;'EDT Y TAREAS'!AL52),'EDT Y TAREAS'!AI52/'EDT Y TAREAS'!M52,0))</x:f>
        <x:v>0</x:v>
      </x:c>
      <x:c r="H243" s="35" t="n">
        <x:f>SUM(IF(AND(203&gt;='EDT Y TAREAS'!AK11,203&lt;'EDT Y TAREAS'!AL11),'EDT Y TAREAS'!AJ11/'EDT Y TAREAS'!M11,0),IF(AND(203&gt;='EDT Y TAREAS'!AK24,203&lt;'EDT Y TAREAS'!AL24),'EDT Y TAREAS'!AJ24/'EDT Y TAREAS'!M24,0),IF(AND(203&gt;='EDT Y TAREAS'!AK27,203&lt;'EDT Y TAREAS'!AL27),'EDT Y TAREAS'!AJ27/'EDT Y TAREAS'!M27,0),IF(AND(203&gt;='EDT Y TAREAS'!AK28,203&lt;'EDT Y TAREAS'!AL28),'EDT Y TAREAS'!AJ28/'EDT Y TAREAS'!M28,0),IF(AND(203&gt;='EDT Y TAREAS'!AK33,203&lt;'EDT Y TAREAS'!AL33),'EDT Y TAREAS'!AJ33/'EDT Y TAREAS'!M33,0),IF(AND(203&gt;='EDT Y TAREAS'!AK35,203&lt;'EDT Y TAREAS'!AL35),'EDT Y TAREAS'!AJ35/'EDT Y TAREAS'!M35,0),IF(AND(203&gt;='EDT Y TAREAS'!AK36,203&lt;'EDT Y TAREAS'!AL36),'EDT Y TAREAS'!AJ36/'EDT Y TAREAS'!M36,0),IF(AND(203&gt;='EDT Y TAREAS'!AK37,203&lt;'EDT Y TAREAS'!AL37),'EDT Y TAREAS'!AJ37/'EDT Y TAREAS'!M37,0),IF(AND(203&gt;='EDT Y TAREAS'!AK40,203&lt;'EDT Y TAREAS'!AL40),'EDT Y TAREAS'!AJ40/'EDT Y TAREAS'!M40,0),IF(AND(203&gt;='EDT Y TAREAS'!AK42,203&lt;'EDT Y TAREAS'!AL42),'EDT Y TAREAS'!AJ42/'EDT Y TAREAS'!M42,0),IF(AND(203&gt;='EDT Y TAREAS'!AK49,203&lt;'EDT Y TAREAS'!AL49),'EDT Y TAREAS'!AJ49/'EDT Y TAREAS'!M49,0),IF(AND(203&gt;='EDT Y TAREAS'!AK50,203&lt;'EDT Y TAREAS'!AL50),'EDT Y TAREAS'!AJ50/'EDT Y TAREAS'!M50,0),IF(AND(203&gt;='EDT Y TAREAS'!AK51,203&lt;'EDT Y TAREAS'!AL51),'EDT Y TAREAS'!AJ51/'EDT Y TAREAS'!M51,0),IF(AND(203&gt;='EDT Y TAREAS'!AK52,203&lt;'EDT Y TAREAS'!AL52),'EDT Y TAREAS'!AJ52/'EDT Y TAREAS'!M52,0))</x:f>
        <x:v>0</x:v>
      </x:c>
      <x:c r="I243" s="10" t="n">
        <x:f>WORKDAY('RESUMEN'!$D$3-1,A243,'RESUMEN'!$J$6:$J$25)</x:f>
        <x:v>46611</x:v>
      </x:c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  <x:c r="AL243" s="3"/>
      <x:c r="AM243" s="3"/>
      <x:c r="AN243" s="3"/>
      <x:c r="AO243" s="3"/>
    </x:row>
    <x:row r="244" ht="24" customHeight="1">
      <x:c r="A244" s="3" t="n">
        <x:v>205</x:v>
      </x:c>
      <x:c r="B244" s="35" t="n">
        <x:f>SUM(IF(AND(204&gt;='EDT Y TAREAS'!AK6,204&lt;'EDT Y TAREAS'!AL6),'EDT Y TAREAS'!AD6/'EDT Y TAREAS'!M6,0),IF(AND(204&gt;='EDT Y TAREAS'!AK7,204&lt;'EDT Y TAREAS'!AL7),'EDT Y TAREAS'!AD7/'EDT Y TAREAS'!M7,0),IF(AND(204&gt;='EDT Y TAREAS'!AK8,204&lt;'EDT Y TAREAS'!AL8),'EDT Y TAREAS'!AD8/'EDT Y TAREAS'!M8,0),IF(AND(204&gt;='EDT Y TAREAS'!AK9,204&lt;'EDT Y TAREAS'!AL9),'EDT Y TAREAS'!AD9/'EDT Y TAREAS'!M9,0),IF(AND(204&gt;='EDT Y TAREAS'!AK10,204&lt;'EDT Y TAREAS'!AL10),'EDT Y TAREAS'!AD10/'EDT Y TAREAS'!M10,0),IF(AND(204&gt;='EDT Y TAREAS'!AK11,204&lt;'EDT Y TAREAS'!AL11),'EDT Y TAREAS'!AD11/'EDT Y TAREAS'!M11,0),IF(AND(204&gt;='EDT Y TAREAS'!AK12,204&lt;'EDT Y TAREAS'!AL12),'EDT Y TAREAS'!AD12/'EDT Y TAREAS'!M12,0),IF(AND(204&gt;='EDT Y TAREAS'!AK13,204&lt;'EDT Y TAREAS'!AL13),'EDT Y TAREAS'!AD13/'EDT Y TAREAS'!M13,0),IF(AND(204&gt;='EDT Y TAREAS'!AK14,204&lt;'EDT Y TAREAS'!AL14),'EDT Y TAREAS'!AD14/'EDT Y TAREAS'!M14,0),IF(AND(204&gt;='EDT Y TAREAS'!AK15,204&lt;'EDT Y TAREAS'!AL15),'EDT Y TAREAS'!AD15/'EDT Y TAREAS'!M15,0),IF(AND(204&gt;='EDT Y TAREAS'!AK16,204&lt;'EDT Y TAREAS'!AL16),'EDT Y TAREAS'!AD16/'EDT Y TAREAS'!M16,0),IF(AND(204&gt;='EDT Y TAREAS'!AK17,204&lt;'EDT Y TAREAS'!AL17),'EDT Y TAREAS'!AD17/'EDT Y TAREAS'!M17,0),IF(AND(204&gt;='EDT Y TAREAS'!AK18,204&lt;'EDT Y TAREAS'!AL18),'EDT Y TAREAS'!AD18/'EDT Y TAREAS'!M18,0),IF(AND(204&gt;='EDT Y TAREAS'!AK19,204&lt;'EDT Y TAREAS'!AL19),'EDT Y TAREAS'!AD19/'EDT Y TAREAS'!M19,0),IF(AND(204&gt;='EDT Y TAREAS'!AK20,204&lt;'EDT Y TAREAS'!AL20),'EDT Y TAREAS'!AD20/'EDT Y TAREAS'!M20,0),IF(AND(204&gt;='EDT Y TAREAS'!AK21,204&lt;'EDT Y TAREAS'!AL21),'EDT Y TAREAS'!AD21/'EDT Y TAREAS'!M21,0),IF(AND(204&gt;='EDT Y TAREAS'!AK22,204&lt;'EDT Y TAREAS'!AL22),'EDT Y TAREAS'!AD22/'EDT Y TAREAS'!M22,0),IF(AND(204&gt;='EDT Y TAREAS'!AK23,204&lt;'EDT Y TAREAS'!AL23),'EDT Y TAREAS'!AD23/'EDT Y TAREAS'!M23,0),IF(AND(204&gt;='EDT Y TAREAS'!AK26,204&lt;'EDT Y TAREAS'!AL26),'EDT Y TAREAS'!AD26/'EDT Y TAREAS'!M26,0),IF(AND(204&gt;='EDT Y TAREAS'!AK28,204&lt;'EDT Y TAREAS'!AL28),'EDT Y TAREAS'!AD28/'EDT Y TAREAS'!M28,0),IF(AND(204&gt;='EDT Y TAREAS'!AK30,204&lt;'EDT Y TAREAS'!AL30),'EDT Y TAREAS'!AD30/'EDT Y TAREAS'!M30,0),IF(AND(204&gt;='EDT Y TAREAS'!AK32,204&lt;'EDT Y TAREAS'!AL32),'EDT Y TAREAS'!AD32/'EDT Y TAREAS'!M32,0),IF(AND(204&gt;='EDT Y TAREAS'!AK34,204&lt;'EDT Y TAREAS'!AL34),'EDT Y TAREAS'!AD34/'EDT Y TAREAS'!M34,0),IF(AND(204&gt;='EDT Y TAREAS'!AK38,204&lt;'EDT Y TAREAS'!AL38),'EDT Y TAREAS'!AD38/'EDT Y TAREAS'!M38,0),IF(AND(204&gt;='EDT Y TAREAS'!AK39,204&lt;'EDT Y TAREAS'!AL39),'EDT Y TAREAS'!AD39/'EDT Y TAREAS'!M39,0),IF(AND(204&gt;='EDT Y TAREAS'!AK43,204&lt;'EDT Y TAREAS'!AL43),'EDT Y TAREAS'!AD43/'EDT Y TAREAS'!M43,0),IF(AND(204&gt;='EDT Y TAREAS'!AK44,204&lt;'EDT Y TAREAS'!AL44),'EDT Y TAREAS'!AD44/'EDT Y TAREAS'!M44,0),IF(AND(204&gt;='EDT Y TAREAS'!AK45,204&lt;'EDT Y TAREAS'!AL45),'EDT Y TAREAS'!AD45/'EDT Y TAREAS'!M45,0),IF(AND(204&gt;='EDT Y TAREAS'!AK46,204&lt;'EDT Y TAREAS'!AL46),'EDT Y TAREAS'!AD46/'EDT Y TAREAS'!M46,0),IF(AND(204&gt;='EDT Y TAREAS'!AK47,204&lt;'EDT Y TAREAS'!AL47),'EDT Y TAREAS'!AD47/'EDT Y TAREAS'!M47,0),IF(AND(204&gt;='EDT Y TAREAS'!AK49,204&lt;'EDT Y TAREAS'!AL49),'EDT Y TAREAS'!AD49/'EDT Y TAREAS'!M49,0),IF(AND(204&gt;='EDT Y TAREAS'!AK50,204&lt;'EDT Y TAREAS'!AL50),'EDT Y TAREAS'!AD50/'EDT Y TAREAS'!M50,0),IF(AND(204&gt;='EDT Y TAREAS'!AK51,204&lt;'EDT Y TAREAS'!AL51),'EDT Y TAREAS'!AD51/'EDT Y TAREAS'!M51,0),IF(AND(204&gt;='EDT Y TAREAS'!AK52,204&lt;'EDT Y TAREAS'!AL52),'EDT Y TAREAS'!AD52/'EDT Y TAREAS'!M52,0))</x:f>
        <x:v>0</x:v>
      </x:c>
      <x:c r="C244" s="35" t="n">
        <x:f>SUM(IF(AND(204&gt;='EDT Y TAREAS'!AK6,204&lt;'EDT Y TAREAS'!AL6),'EDT Y TAREAS'!AE6/'EDT Y TAREAS'!M6,0),IF(AND(204&gt;='EDT Y TAREAS'!AK8,204&lt;'EDT Y TAREAS'!AL8),'EDT Y TAREAS'!AE8/'EDT Y TAREAS'!M8,0),IF(AND(204&gt;='EDT Y TAREAS'!AK9,204&lt;'EDT Y TAREAS'!AL9),'EDT Y TAREAS'!AE9/'EDT Y TAREAS'!M9,0),IF(AND(204&gt;='EDT Y TAREAS'!AK10,204&lt;'EDT Y TAREAS'!AL10),'EDT Y TAREAS'!AE10/'EDT Y TAREAS'!M10,0),IF(AND(204&gt;='EDT Y TAREAS'!AK12,204&lt;'EDT Y TAREAS'!AL12),'EDT Y TAREAS'!AE12/'EDT Y TAREAS'!M12,0),IF(AND(204&gt;='EDT Y TAREAS'!AK16,204&lt;'EDT Y TAREAS'!AL16),'EDT Y TAREAS'!AE16/'EDT Y TAREAS'!M16,0),IF(AND(204&gt;='EDT Y TAREAS'!AK21,204&lt;'EDT Y TAREAS'!AL21),'EDT Y TAREAS'!AE21/'EDT Y TAREAS'!M21,0),IF(AND(204&gt;='EDT Y TAREAS'!AK23,204&lt;'EDT Y TAREAS'!AL23),'EDT Y TAREAS'!AE23/'EDT Y TAREAS'!M23,0),IF(AND(204&gt;='EDT Y TAREAS'!AK37,204&lt;'EDT Y TAREAS'!AL37),'EDT Y TAREAS'!AE37/'EDT Y TAREAS'!M37,0),IF(AND(204&gt;='EDT Y TAREAS'!AK38,204&lt;'EDT Y TAREAS'!AL38),'EDT Y TAREAS'!AE38/'EDT Y TAREAS'!M38,0),IF(AND(204&gt;='EDT Y TAREAS'!AK41,204&lt;'EDT Y TAREAS'!AL41),'EDT Y TAREAS'!AE41/'EDT Y TAREAS'!M41,0),IF(AND(204&gt;='EDT Y TAREAS'!AK43,204&lt;'EDT Y TAREAS'!AL43),'EDT Y TAREAS'!AE43/'EDT Y TAREAS'!M43,0),IF(AND(204&gt;='EDT Y TAREAS'!AK44,204&lt;'EDT Y TAREAS'!AL44),'EDT Y TAREAS'!AE44/'EDT Y TAREAS'!M44,0),IF(AND(204&gt;='EDT Y TAREAS'!AK46,204&lt;'EDT Y TAREAS'!AL46),'EDT Y TAREAS'!AE46/'EDT Y TAREAS'!M46,0),IF(AND(204&gt;='EDT Y TAREAS'!AK47,204&lt;'EDT Y TAREAS'!AL47),'EDT Y TAREAS'!AE47/'EDT Y TAREAS'!M47,0),IF(AND(204&gt;='EDT Y TAREAS'!AK51,204&lt;'EDT Y TAREAS'!AL51),'EDT Y TAREAS'!AE51/'EDT Y TAREAS'!M51,0),IF(AND(204&gt;='EDT Y TAREAS'!AK52,204&lt;'EDT Y TAREAS'!AL52),'EDT Y TAREAS'!AE52/'EDT Y TAREAS'!M52,0))</x:f>
        <x:v>0</x:v>
      </x:c>
      <x:c r="D244" s="35" t="n">
        <x:f>SUM(IF(AND(204&gt;='EDT Y TAREAS'!AK11,204&lt;'EDT Y TAREAS'!AL11),'EDT Y TAREAS'!AF11/'EDT Y TAREAS'!M11,0),IF(AND(204&gt;='EDT Y TAREAS'!AK24,204&lt;'EDT Y TAREAS'!AL24),'EDT Y TAREAS'!AF24/'EDT Y TAREAS'!M24,0),IF(AND(204&gt;='EDT Y TAREAS'!AK25,204&lt;'EDT Y TAREAS'!AL25),'EDT Y TAREAS'!AF25/'EDT Y TAREAS'!M25,0),IF(AND(204&gt;='EDT Y TAREAS'!AK26,204&lt;'EDT Y TAREAS'!AL26),'EDT Y TAREAS'!AF26/'EDT Y TAREAS'!M26,0),IF(AND(204&gt;='EDT Y TAREAS'!AK27,204&lt;'EDT Y TAREAS'!AL27),'EDT Y TAREAS'!AF27/'EDT Y TAREAS'!M27,0),IF(AND(204&gt;='EDT Y TAREAS'!AK28,204&lt;'EDT Y TAREAS'!AL28),'EDT Y TAREAS'!AF28/'EDT Y TAREAS'!M28,0),IF(AND(204&gt;='EDT Y TAREAS'!AK31,204&lt;'EDT Y TAREAS'!AL31),'EDT Y TAREAS'!AF31/'EDT Y TAREAS'!M31,0),IF(AND(204&gt;='EDT Y TAREAS'!AK33,204&lt;'EDT Y TAREAS'!AL33),'EDT Y TAREAS'!AF33/'EDT Y TAREAS'!M33,0),IF(AND(204&gt;='EDT Y TAREAS'!AK34,204&lt;'EDT Y TAREAS'!AL34),'EDT Y TAREAS'!AF34/'EDT Y TAREAS'!M34,0),IF(AND(204&gt;='EDT Y TAREAS'!AK35,204&lt;'EDT Y TAREAS'!AL35),'EDT Y TAREAS'!AF35/'EDT Y TAREAS'!M35,0),IF(AND(204&gt;='EDT Y TAREAS'!AK37,204&lt;'EDT Y TAREAS'!AL37),'EDT Y TAREAS'!AF37/'EDT Y TAREAS'!M37,0),IF(AND(204&gt;='EDT Y TAREAS'!AK39,204&lt;'EDT Y TAREAS'!AL39),'EDT Y TAREAS'!AF39/'EDT Y TAREAS'!M39,0),IF(AND(204&gt;='EDT Y TAREAS'!AK40,204&lt;'EDT Y TAREAS'!AL40),'EDT Y TAREAS'!AF40/'EDT Y TAREAS'!M40,0),IF(AND(204&gt;='EDT Y TAREAS'!AK42,204&lt;'EDT Y TAREAS'!AL42),'EDT Y TAREAS'!AF42/'EDT Y TAREAS'!M42,0),IF(AND(204&gt;='EDT Y TAREAS'!AK45,204&lt;'EDT Y TAREAS'!AL45),'EDT Y TAREAS'!AF45/'EDT Y TAREAS'!M45,0),IF(AND(204&gt;='EDT Y TAREAS'!AK49,204&lt;'EDT Y TAREAS'!AL49),'EDT Y TAREAS'!AF49/'EDT Y TAREAS'!M49,0),IF(AND(204&gt;='EDT Y TAREAS'!AK52,204&lt;'EDT Y TAREAS'!AL52),'EDT Y TAREAS'!AF52/'EDT Y TAREAS'!M52,0))</x:f>
        <x:v>0</x:v>
      </x:c>
      <x:c r="E244" s="35" t="n">
        <x:f>SUM(IF(AND(204&gt;='EDT Y TAREAS'!AK29,204&lt;'EDT Y TAREAS'!AL29),'EDT Y TAREAS'!AG29/'EDT Y TAREAS'!M29,0),IF(AND(204&gt;='EDT Y TAREAS'!AK30,204&lt;'EDT Y TAREAS'!AL30),'EDT Y TAREAS'!AG30/'EDT Y TAREAS'!M30,0),IF(AND(204&gt;='EDT Y TAREAS'!AK31,204&lt;'EDT Y TAREAS'!AL31),'EDT Y TAREAS'!AG31/'EDT Y TAREAS'!M31,0),IF(AND(204&gt;='EDT Y TAREAS'!AK32,204&lt;'EDT Y TAREAS'!AL32),'EDT Y TAREAS'!AG32/'EDT Y TAREAS'!M32,0),IF(AND(204&gt;='EDT Y TAREAS'!AK41,204&lt;'EDT Y TAREAS'!AL41),'EDT Y TAREAS'!AG41/'EDT Y TAREAS'!M41,0),IF(AND(204&gt;='EDT Y TAREAS'!AK45,204&lt;'EDT Y TAREAS'!AL45),'EDT Y TAREAS'!AG45/'EDT Y TAREAS'!M45,0),IF(AND(204&gt;='EDT Y TAREAS'!AK48,204&lt;'EDT Y TAREAS'!AL48),'EDT Y TAREAS'!AG48/'EDT Y TAREAS'!M48,0))</x:f>
        <x:v>0</x:v>
      </x:c>
      <x:c r="F244" s="35" t="n">
        <x:f>SUM(IF(AND(204&gt;='EDT Y TAREAS'!AK10,204&lt;'EDT Y TAREAS'!AL10),'EDT Y TAREAS'!AH10/'EDT Y TAREAS'!M10,0),IF(AND(204&gt;='EDT Y TAREAS'!AK12,204&lt;'EDT Y TAREAS'!AL12),'EDT Y TAREAS'!AH12/'EDT Y TAREAS'!M12,0),IF(AND(204&gt;='EDT Y TAREAS'!AK22,204&lt;'EDT Y TAREAS'!AL22),'EDT Y TAREAS'!AH22/'EDT Y TAREAS'!M22,0),IF(AND(204&gt;='EDT Y TAREAS'!AK23,204&lt;'EDT Y TAREAS'!AL23),'EDT Y TAREAS'!AH23/'EDT Y TAREAS'!M23,0),IF(AND(204&gt;='EDT Y TAREAS'!AK29,204&lt;'EDT Y TAREAS'!AL29),'EDT Y TAREAS'!AH29/'EDT Y TAREAS'!M29,0),IF(AND(204&gt;='EDT Y TAREAS'!AK30,204&lt;'EDT Y TAREAS'!AL30),'EDT Y TAREAS'!AH30/'EDT Y TAREAS'!M30,0),IF(AND(204&gt;='EDT Y TAREAS'!AK32,204&lt;'EDT Y TAREAS'!AL32),'EDT Y TAREAS'!AH32/'EDT Y TAREAS'!M32,0),IF(AND(204&gt;='EDT Y TAREAS'!AK41,204&lt;'EDT Y TAREAS'!AL41),'EDT Y TAREAS'!AH41/'EDT Y TAREAS'!M41,0),IF(AND(204&gt;='EDT Y TAREAS'!AK44,204&lt;'EDT Y TAREAS'!AL44),'EDT Y TAREAS'!AH44/'EDT Y TAREAS'!M44,0),IF(AND(204&gt;='EDT Y TAREAS'!AK46,204&lt;'EDT Y TAREAS'!AL46),'EDT Y TAREAS'!AH46/'EDT Y TAREAS'!M46,0),IF(AND(204&gt;='EDT Y TAREAS'!AK48,204&lt;'EDT Y TAREAS'!AL48),'EDT Y TAREAS'!AH48/'EDT Y TAREAS'!M48,0))</x:f>
        <x:v>0</x:v>
      </x:c>
      <x:c r="G244" s="35" t="n">
        <x:f>SUM(IF(AND(204&gt;='EDT Y TAREAS'!AK20,204&lt;'EDT Y TAREAS'!AL20),'EDT Y TAREAS'!AI20/'EDT Y TAREAS'!M20,0),IF(AND(204&gt;='EDT Y TAREAS'!AK25,204&lt;'EDT Y TAREAS'!AL25),'EDT Y TAREAS'!AI25/'EDT Y TAREAS'!M25,0),IF(AND(204&gt;='EDT Y TAREAS'!AK33,204&lt;'EDT Y TAREAS'!AL33),'EDT Y TAREAS'!AI33/'EDT Y TAREAS'!M33,0),IF(AND(204&gt;='EDT Y TAREAS'!AK34,204&lt;'EDT Y TAREAS'!AL34),'EDT Y TAREAS'!AI34/'EDT Y TAREAS'!M34,0),IF(AND(204&gt;='EDT Y TAREAS'!AK36,204&lt;'EDT Y TAREAS'!AL36),'EDT Y TAREAS'!AI36/'EDT Y TAREAS'!M36,0),IF(AND(204&gt;='EDT Y TAREAS'!AK39,204&lt;'EDT Y TAREAS'!AL39),'EDT Y TAREAS'!AI39/'EDT Y TAREAS'!M39,0),IF(AND(204&gt;='EDT Y TAREAS'!AK40,204&lt;'EDT Y TAREAS'!AL40),'EDT Y TAREAS'!AI40/'EDT Y TAREAS'!M40,0),IF(AND(204&gt;='EDT Y TAREAS'!AK42,204&lt;'EDT Y TAREAS'!AL42),'EDT Y TAREAS'!AI42/'EDT Y TAREAS'!M42,0),IF(AND(204&gt;='EDT Y TAREAS'!AK43,204&lt;'EDT Y TAREAS'!AL43),'EDT Y TAREAS'!AI43/'EDT Y TAREAS'!M43,0),IF(AND(204&gt;='EDT Y TAREAS'!AK44,204&lt;'EDT Y TAREAS'!AL44),'EDT Y TAREAS'!AI44/'EDT Y TAREAS'!M44,0),IF(AND(204&gt;='EDT Y TAREAS'!AK45,204&lt;'EDT Y TAREAS'!AL45),'EDT Y TAREAS'!AI45/'EDT Y TAREAS'!M45,0),IF(AND(204&gt;='EDT Y TAREAS'!AK46,204&lt;'EDT Y TAREAS'!AL46),'EDT Y TAREAS'!AI46/'EDT Y TAREAS'!M46,0),IF(AND(204&gt;='EDT Y TAREAS'!AK48,204&lt;'EDT Y TAREAS'!AL48),'EDT Y TAREAS'!AI48/'EDT Y TAREAS'!M48,0),IF(AND(204&gt;='EDT Y TAREAS'!AK50,204&lt;'EDT Y TAREAS'!AL50),'EDT Y TAREAS'!AI50/'EDT Y TAREAS'!M50,0),IF(AND(204&gt;='EDT Y TAREAS'!AK52,204&lt;'EDT Y TAREAS'!AL52),'EDT Y TAREAS'!AI52/'EDT Y TAREAS'!M52,0))</x:f>
        <x:v>0</x:v>
      </x:c>
      <x:c r="H244" s="35" t="n">
        <x:f>SUM(IF(AND(204&gt;='EDT Y TAREAS'!AK11,204&lt;'EDT Y TAREAS'!AL11),'EDT Y TAREAS'!AJ11/'EDT Y TAREAS'!M11,0),IF(AND(204&gt;='EDT Y TAREAS'!AK24,204&lt;'EDT Y TAREAS'!AL24),'EDT Y TAREAS'!AJ24/'EDT Y TAREAS'!M24,0),IF(AND(204&gt;='EDT Y TAREAS'!AK27,204&lt;'EDT Y TAREAS'!AL27),'EDT Y TAREAS'!AJ27/'EDT Y TAREAS'!M27,0),IF(AND(204&gt;='EDT Y TAREAS'!AK28,204&lt;'EDT Y TAREAS'!AL28),'EDT Y TAREAS'!AJ28/'EDT Y TAREAS'!M28,0),IF(AND(204&gt;='EDT Y TAREAS'!AK33,204&lt;'EDT Y TAREAS'!AL33),'EDT Y TAREAS'!AJ33/'EDT Y TAREAS'!M33,0),IF(AND(204&gt;='EDT Y TAREAS'!AK35,204&lt;'EDT Y TAREAS'!AL35),'EDT Y TAREAS'!AJ35/'EDT Y TAREAS'!M35,0),IF(AND(204&gt;='EDT Y TAREAS'!AK36,204&lt;'EDT Y TAREAS'!AL36),'EDT Y TAREAS'!AJ36/'EDT Y TAREAS'!M36,0),IF(AND(204&gt;='EDT Y TAREAS'!AK37,204&lt;'EDT Y TAREAS'!AL37),'EDT Y TAREAS'!AJ37/'EDT Y TAREAS'!M37,0),IF(AND(204&gt;='EDT Y TAREAS'!AK40,204&lt;'EDT Y TAREAS'!AL40),'EDT Y TAREAS'!AJ40/'EDT Y TAREAS'!M40,0),IF(AND(204&gt;='EDT Y TAREAS'!AK42,204&lt;'EDT Y TAREAS'!AL42),'EDT Y TAREAS'!AJ42/'EDT Y TAREAS'!M42,0),IF(AND(204&gt;='EDT Y TAREAS'!AK49,204&lt;'EDT Y TAREAS'!AL49),'EDT Y TAREAS'!AJ49/'EDT Y TAREAS'!M49,0),IF(AND(204&gt;='EDT Y TAREAS'!AK50,204&lt;'EDT Y TAREAS'!AL50),'EDT Y TAREAS'!AJ50/'EDT Y TAREAS'!M50,0),IF(AND(204&gt;='EDT Y TAREAS'!AK51,204&lt;'EDT Y TAREAS'!AL51),'EDT Y TAREAS'!AJ51/'EDT Y TAREAS'!M51,0),IF(AND(204&gt;='EDT Y TAREAS'!AK52,204&lt;'EDT Y TAREAS'!AL52),'EDT Y TAREAS'!AJ52/'EDT Y TAREAS'!M52,0))</x:f>
        <x:v>0</x:v>
      </x:c>
      <x:c r="I244" s="10" t="n">
        <x:f>WORKDAY('RESUMEN'!$D$3-1,A244,'RESUMEN'!$J$6:$J$25)</x:f>
        <x:v>46612</x:v>
      </x:c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  <x:c r="AL244" s="3"/>
      <x:c r="AM244" s="3"/>
      <x:c r="AN244" s="3"/>
      <x:c r="AO244" s="3"/>
    </x:row>
    <x:row r="245" ht="24" customHeight="1">
      <x:c r="A245" s="3" t="n">
        <x:v>206</x:v>
      </x:c>
      <x:c r="B245" s="35" t="n">
        <x:f>SUM(IF(AND(205&gt;='EDT Y TAREAS'!AK6,205&lt;'EDT Y TAREAS'!AL6),'EDT Y TAREAS'!AD6/'EDT Y TAREAS'!M6,0),IF(AND(205&gt;='EDT Y TAREAS'!AK7,205&lt;'EDT Y TAREAS'!AL7),'EDT Y TAREAS'!AD7/'EDT Y TAREAS'!M7,0),IF(AND(205&gt;='EDT Y TAREAS'!AK8,205&lt;'EDT Y TAREAS'!AL8),'EDT Y TAREAS'!AD8/'EDT Y TAREAS'!M8,0),IF(AND(205&gt;='EDT Y TAREAS'!AK9,205&lt;'EDT Y TAREAS'!AL9),'EDT Y TAREAS'!AD9/'EDT Y TAREAS'!M9,0),IF(AND(205&gt;='EDT Y TAREAS'!AK10,205&lt;'EDT Y TAREAS'!AL10),'EDT Y TAREAS'!AD10/'EDT Y TAREAS'!M10,0),IF(AND(205&gt;='EDT Y TAREAS'!AK11,205&lt;'EDT Y TAREAS'!AL11),'EDT Y TAREAS'!AD11/'EDT Y TAREAS'!M11,0),IF(AND(205&gt;='EDT Y TAREAS'!AK12,205&lt;'EDT Y TAREAS'!AL12),'EDT Y TAREAS'!AD12/'EDT Y TAREAS'!M12,0),IF(AND(205&gt;='EDT Y TAREAS'!AK13,205&lt;'EDT Y TAREAS'!AL13),'EDT Y TAREAS'!AD13/'EDT Y TAREAS'!M13,0),IF(AND(205&gt;='EDT Y TAREAS'!AK14,205&lt;'EDT Y TAREAS'!AL14),'EDT Y TAREAS'!AD14/'EDT Y TAREAS'!M14,0),IF(AND(205&gt;='EDT Y TAREAS'!AK15,205&lt;'EDT Y TAREAS'!AL15),'EDT Y TAREAS'!AD15/'EDT Y TAREAS'!M15,0),IF(AND(205&gt;='EDT Y TAREAS'!AK16,205&lt;'EDT Y TAREAS'!AL16),'EDT Y TAREAS'!AD16/'EDT Y TAREAS'!M16,0),IF(AND(205&gt;='EDT Y TAREAS'!AK17,205&lt;'EDT Y TAREAS'!AL17),'EDT Y TAREAS'!AD17/'EDT Y TAREAS'!M17,0),IF(AND(205&gt;='EDT Y TAREAS'!AK18,205&lt;'EDT Y TAREAS'!AL18),'EDT Y TAREAS'!AD18/'EDT Y TAREAS'!M18,0),IF(AND(205&gt;='EDT Y TAREAS'!AK19,205&lt;'EDT Y TAREAS'!AL19),'EDT Y TAREAS'!AD19/'EDT Y TAREAS'!M19,0),IF(AND(205&gt;='EDT Y TAREAS'!AK20,205&lt;'EDT Y TAREAS'!AL20),'EDT Y TAREAS'!AD20/'EDT Y TAREAS'!M20,0),IF(AND(205&gt;='EDT Y TAREAS'!AK21,205&lt;'EDT Y TAREAS'!AL21),'EDT Y TAREAS'!AD21/'EDT Y TAREAS'!M21,0),IF(AND(205&gt;='EDT Y TAREAS'!AK22,205&lt;'EDT Y TAREAS'!AL22),'EDT Y TAREAS'!AD22/'EDT Y TAREAS'!M22,0),IF(AND(205&gt;='EDT Y TAREAS'!AK23,205&lt;'EDT Y TAREAS'!AL23),'EDT Y TAREAS'!AD23/'EDT Y TAREAS'!M23,0),IF(AND(205&gt;='EDT Y TAREAS'!AK26,205&lt;'EDT Y TAREAS'!AL26),'EDT Y TAREAS'!AD26/'EDT Y TAREAS'!M26,0),IF(AND(205&gt;='EDT Y TAREAS'!AK28,205&lt;'EDT Y TAREAS'!AL28),'EDT Y TAREAS'!AD28/'EDT Y TAREAS'!M28,0),IF(AND(205&gt;='EDT Y TAREAS'!AK30,205&lt;'EDT Y TAREAS'!AL30),'EDT Y TAREAS'!AD30/'EDT Y TAREAS'!M30,0),IF(AND(205&gt;='EDT Y TAREAS'!AK32,205&lt;'EDT Y TAREAS'!AL32),'EDT Y TAREAS'!AD32/'EDT Y TAREAS'!M32,0),IF(AND(205&gt;='EDT Y TAREAS'!AK34,205&lt;'EDT Y TAREAS'!AL34),'EDT Y TAREAS'!AD34/'EDT Y TAREAS'!M34,0),IF(AND(205&gt;='EDT Y TAREAS'!AK38,205&lt;'EDT Y TAREAS'!AL38),'EDT Y TAREAS'!AD38/'EDT Y TAREAS'!M38,0),IF(AND(205&gt;='EDT Y TAREAS'!AK39,205&lt;'EDT Y TAREAS'!AL39),'EDT Y TAREAS'!AD39/'EDT Y TAREAS'!M39,0),IF(AND(205&gt;='EDT Y TAREAS'!AK43,205&lt;'EDT Y TAREAS'!AL43),'EDT Y TAREAS'!AD43/'EDT Y TAREAS'!M43,0),IF(AND(205&gt;='EDT Y TAREAS'!AK44,205&lt;'EDT Y TAREAS'!AL44),'EDT Y TAREAS'!AD44/'EDT Y TAREAS'!M44,0),IF(AND(205&gt;='EDT Y TAREAS'!AK45,205&lt;'EDT Y TAREAS'!AL45),'EDT Y TAREAS'!AD45/'EDT Y TAREAS'!M45,0),IF(AND(205&gt;='EDT Y TAREAS'!AK46,205&lt;'EDT Y TAREAS'!AL46),'EDT Y TAREAS'!AD46/'EDT Y TAREAS'!M46,0),IF(AND(205&gt;='EDT Y TAREAS'!AK47,205&lt;'EDT Y TAREAS'!AL47),'EDT Y TAREAS'!AD47/'EDT Y TAREAS'!M47,0),IF(AND(205&gt;='EDT Y TAREAS'!AK49,205&lt;'EDT Y TAREAS'!AL49),'EDT Y TAREAS'!AD49/'EDT Y TAREAS'!M49,0),IF(AND(205&gt;='EDT Y TAREAS'!AK50,205&lt;'EDT Y TAREAS'!AL50),'EDT Y TAREAS'!AD50/'EDT Y TAREAS'!M50,0),IF(AND(205&gt;='EDT Y TAREAS'!AK51,205&lt;'EDT Y TAREAS'!AL51),'EDT Y TAREAS'!AD51/'EDT Y TAREAS'!M51,0),IF(AND(205&gt;='EDT Y TAREAS'!AK52,205&lt;'EDT Y TAREAS'!AL52),'EDT Y TAREAS'!AD52/'EDT Y TAREAS'!M52,0))</x:f>
        <x:v>0</x:v>
      </x:c>
      <x:c r="C245" s="35" t="n">
        <x:f>SUM(IF(AND(205&gt;='EDT Y TAREAS'!AK6,205&lt;'EDT Y TAREAS'!AL6),'EDT Y TAREAS'!AE6/'EDT Y TAREAS'!M6,0),IF(AND(205&gt;='EDT Y TAREAS'!AK8,205&lt;'EDT Y TAREAS'!AL8),'EDT Y TAREAS'!AE8/'EDT Y TAREAS'!M8,0),IF(AND(205&gt;='EDT Y TAREAS'!AK9,205&lt;'EDT Y TAREAS'!AL9),'EDT Y TAREAS'!AE9/'EDT Y TAREAS'!M9,0),IF(AND(205&gt;='EDT Y TAREAS'!AK10,205&lt;'EDT Y TAREAS'!AL10),'EDT Y TAREAS'!AE10/'EDT Y TAREAS'!M10,0),IF(AND(205&gt;='EDT Y TAREAS'!AK12,205&lt;'EDT Y TAREAS'!AL12),'EDT Y TAREAS'!AE12/'EDT Y TAREAS'!M12,0),IF(AND(205&gt;='EDT Y TAREAS'!AK16,205&lt;'EDT Y TAREAS'!AL16),'EDT Y TAREAS'!AE16/'EDT Y TAREAS'!M16,0),IF(AND(205&gt;='EDT Y TAREAS'!AK21,205&lt;'EDT Y TAREAS'!AL21),'EDT Y TAREAS'!AE21/'EDT Y TAREAS'!M21,0),IF(AND(205&gt;='EDT Y TAREAS'!AK23,205&lt;'EDT Y TAREAS'!AL23),'EDT Y TAREAS'!AE23/'EDT Y TAREAS'!M23,0),IF(AND(205&gt;='EDT Y TAREAS'!AK37,205&lt;'EDT Y TAREAS'!AL37),'EDT Y TAREAS'!AE37/'EDT Y TAREAS'!M37,0),IF(AND(205&gt;='EDT Y TAREAS'!AK38,205&lt;'EDT Y TAREAS'!AL38),'EDT Y TAREAS'!AE38/'EDT Y TAREAS'!M38,0),IF(AND(205&gt;='EDT Y TAREAS'!AK41,205&lt;'EDT Y TAREAS'!AL41),'EDT Y TAREAS'!AE41/'EDT Y TAREAS'!M41,0),IF(AND(205&gt;='EDT Y TAREAS'!AK43,205&lt;'EDT Y TAREAS'!AL43),'EDT Y TAREAS'!AE43/'EDT Y TAREAS'!M43,0),IF(AND(205&gt;='EDT Y TAREAS'!AK44,205&lt;'EDT Y TAREAS'!AL44),'EDT Y TAREAS'!AE44/'EDT Y TAREAS'!M44,0),IF(AND(205&gt;='EDT Y TAREAS'!AK46,205&lt;'EDT Y TAREAS'!AL46),'EDT Y TAREAS'!AE46/'EDT Y TAREAS'!M46,0),IF(AND(205&gt;='EDT Y TAREAS'!AK47,205&lt;'EDT Y TAREAS'!AL47),'EDT Y TAREAS'!AE47/'EDT Y TAREAS'!M47,0),IF(AND(205&gt;='EDT Y TAREAS'!AK51,205&lt;'EDT Y TAREAS'!AL51),'EDT Y TAREAS'!AE51/'EDT Y TAREAS'!M51,0),IF(AND(205&gt;='EDT Y TAREAS'!AK52,205&lt;'EDT Y TAREAS'!AL52),'EDT Y TAREAS'!AE52/'EDT Y TAREAS'!M52,0))</x:f>
        <x:v>0</x:v>
      </x:c>
      <x:c r="D245" s="35" t="n">
        <x:f>SUM(IF(AND(205&gt;='EDT Y TAREAS'!AK11,205&lt;'EDT Y TAREAS'!AL11),'EDT Y TAREAS'!AF11/'EDT Y TAREAS'!M11,0),IF(AND(205&gt;='EDT Y TAREAS'!AK24,205&lt;'EDT Y TAREAS'!AL24),'EDT Y TAREAS'!AF24/'EDT Y TAREAS'!M24,0),IF(AND(205&gt;='EDT Y TAREAS'!AK25,205&lt;'EDT Y TAREAS'!AL25),'EDT Y TAREAS'!AF25/'EDT Y TAREAS'!M25,0),IF(AND(205&gt;='EDT Y TAREAS'!AK26,205&lt;'EDT Y TAREAS'!AL26),'EDT Y TAREAS'!AF26/'EDT Y TAREAS'!M26,0),IF(AND(205&gt;='EDT Y TAREAS'!AK27,205&lt;'EDT Y TAREAS'!AL27),'EDT Y TAREAS'!AF27/'EDT Y TAREAS'!M27,0),IF(AND(205&gt;='EDT Y TAREAS'!AK28,205&lt;'EDT Y TAREAS'!AL28),'EDT Y TAREAS'!AF28/'EDT Y TAREAS'!M28,0),IF(AND(205&gt;='EDT Y TAREAS'!AK31,205&lt;'EDT Y TAREAS'!AL31),'EDT Y TAREAS'!AF31/'EDT Y TAREAS'!M31,0),IF(AND(205&gt;='EDT Y TAREAS'!AK33,205&lt;'EDT Y TAREAS'!AL33),'EDT Y TAREAS'!AF33/'EDT Y TAREAS'!M33,0),IF(AND(205&gt;='EDT Y TAREAS'!AK34,205&lt;'EDT Y TAREAS'!AL34),'EDT Y TAREAS'!AF34/'EDT Y TAREAS'!M34,0),IF(AND(205&gt;='EDT Y TAREAS'!AK35,205&lt;'EDT Y TAREAS'!AL35),'EDT Y TAREAS'!AF35/'EDT Y TAREAS'!M35,0),IF(AND(205&gt;='EDT Y TAREAS'!AK37,205&lt;'EDT Y TAREAS'!AL37),'EDT Y TAREAS'!AF37/'EDT Y TAREAS'!M37,0),IF(AND(205&gt;='EDT Y TAREAS'!AK39,205&lt;'EDT Y TAREAS'!AL39),'EDT Y TAREAS'!AF39/'EDT Y TAREAS'!M39,0),IF(AND(205&gt;='EDT Y TAREAS'!AK40,205&lt;'EDT Y TAREAS'!AL40),'EDT Y TAREAS'!AF40/'EDT Y TAREAS'!M40,0),IF(AND(205&gt;='EDT Y TAREAS'!AK42,205&lt;'EDT Y TAREAS'!AL42),'EDT Y TAREAS'!AF42/'EDT Y TAREAS'!M42,0),IF(AND(205&gt;='EDT Y TAREAS'!AK45,205&lt;'EDT Y TAREAS'!AL45),'EDT Y TAREAS'!AF45/'EDT Y TAREAS'!M45,0),IF(AND(205&gt;='EDT Y TAREAS'!AK49,205&lt;'EDT Y TAREAS'!AL49),'EDT Y TAREAS'!AF49/'EDT Y TAREAS'!M49,0),IF(AND(205&gt;='EDT Y TAREAS'!AK52,205&lt;'EDT Y TAREAS'!AL52),'EDT Y TAREAS'!AF52/'EDT Y TAREAS'!M52,0))</x:f>
        <x:v>0</x:v>
      </x:c>
      <x:c r="E245" s="35" t="n">
        <x:f>SUM(IF(AND(205&gt;='EDT Y TAREAS'!AK29,205&lt;'EDT Y TAREAS'!AL29),'EDT Y TAREAS'!AG29/'EDT Y TAREAS'!M29,0),IF(AND(205&gt;='EDT Y TAREAS'!AK30,205&lt;'EDT Y TAREAS'!AL30),'EDT Y TAREAS'!AG30/'EDT Y TAREAS'!M30,0),IF(AND(205&gt;='EDT Y TAREAS'!AK31,205&lt;'EDT Y TAREAS'!AL31),'EDT Y TAREAS'!AG31/'EDT Y TAREAS'!M31,0),IF(AND(205&gt;='EDT Y TAREAS'!AK32,205&lt;'EDT Y TAREAS'!AL32),'EDT Y TAREAS'!AG32/'EDT Y TAREAS'!M32,0),IF(AND(205&gt;='EDT Y TAREAS'!AK41,205&lt;'EDT Y TAREAS'!AL41),'EDT Y TAREAS'!AG41/'EDT Y TAREAS'!M41,0),IF(AND(205&gt;='EDT Y TAREAS'!AK45,205&lt;'EDT Y TAREAS'!AL45),'EDT Y TAREAS'!AG45/'EDT Y TAREAS'!M45,0),IF(AND(205&gt;='EDT Y TAREAS'!AK48,205&lt;'EDT Y TAREAS'!AL48),'EDT Y TAREAS'!AG48/'EDT Y TAREAS'!M48,0))</x:f>
        <x:v>0</x:v>
      </x:c>
      <x:c r="F245" s="35" t="n">
        <x:f>SUM(IF(AND(205&gt;='EDT Y TAREAS'!AK10,205&lt;'EDT Y TAREAS'!AL10),'EDT Y TAREAS'!AH10/'EDT Y TAREAS'!M10,0),IF(AND(205&gt;='EDT Y TAREAS'!AK12,205&lt;'EDT Y TAREAS'!AL12),'EDT Y TAREAS'!AH12/'EDT Y TAREAS'!M12,0),IF(AND(205&gt;='EDT Y TAREAS'!AK22,205&lt;'EDT Y TAREAS'!AL22),'EDT Y TAREAS'!AH22/'EDT Y TAREAS'!M22,0),IF(AND(205&gt;='EDT Y TAREAS'!AK23,205&lt;'EDT Y TAREAS'!AL23),'EDT Y TAREAS'!AH23/'EDT Y TAREAS'!M23,0),IF(AND(205&gt;='EDT Y TAREAS'!AK29,205&lt;'EDT Y TAREAS'!AL29),'EDT Y TAREAS'!AH29/'EDT Y TAREAS'!M29,0),IF(AND(205&gt;='EDT Y TAREAS'!AK30,205&lt;'EDT Y TAREAS'!AL30),'EDT Y TAREAS'!AH30/'EDT Y TAREAS'!M30,0),IF(AND(205&gt;='EDT Y TAREAS'!AK32,205&lt;'EDT Y TAREAS'!AL32),'EDT Y TAREAS'!AH32/'EDT Y TAREAS'!M32,0),IF(AND(205&gt;='EDT Y TAREAS'!AK41,205&lt;'EDT Y TAREAS'!AL41),'EDT Y TAREAS'!AH41/'EDT Y TAREAS'!M41,0),IF(AND(205&gt;='EDT Y TAREAS'!AK44,205&lt;'EDT Y TAREAS'!AL44),'EDT Y TAREAS'!AH44/'EDT Y TAREAS'!M44,0),IF(AND(205&gt;='EDT Y TAREAS'!AK46,205&lt;'EDT Y TAREAS'!AL46),'EDT Y TAREAS'!AH46/'EDT Y TAREAS'!M46,0),IF(AND(205&gt;='EDT Y TAREAS'!AK48,205&lt;'EDT Y TAREAS'!AL48),'EDT Y TAREAS'!AH48/'EDT Y TAREAS'!M48,0))</x:f>
        <x:v>0</x:v>
      </x:c>
      <x:c r="G245" s="35" t="n">
        <x:f>SUM(IF(AND(205&gt;='EDT Y TAREAS'!AK20,205&lt;'EDT Y TAREAS'!AL20),'EDT Y TAREAS'!AI20/'EDT Y TAREAS'!M20,0),IF(AND(205&gt;='EDT Y TAREAS'!AK25,205&lt;'EDT Y TAREAS'!AL25),'EDT Y TAREAS'!AI25/'EDT Y TAREAS'!M25,0),IF(AND(205&gt;='EDT Y TAREAS'!AK33,205&lt;'EDT Y TAREAS'!AL33),'EDT Y TAREAS'!AI33/'EDT Y TAREAS'!M33,0),IF(AND(205&gt;='EDT Y TAREAS'!AK34,205&lt;'EDT Y TAREAS'!AL34),'EDT Y TAREAS'!AI34/'EDT Y TAREAS'!M34,0),IF(AND(205&gt;='EDT Y TAREAS'!AK36,205&lt;'EDT Y TAREAS'!AL36),'EDT Y TAREAS'!AI36/'EDT Y TAREAS'!M36,0),IF(AND(205&gt;='EDT Y TAREAS'!AK39,205&lt;'EDT Y TAREAS'!AL39),'EDT Y TAREAS'!AI39/'EDT Y TAREAS'!M39,0),IF(AND(205&gt;='EDT Y TAREAS'!AK40,205&lt;'EDT Y TAREAS'!AL40),'EDT Y TAREAS'!AI40/'EDT Y TAREAS'!M40,0),IF(AND(205&gt;='EDT Y TAREAS'!AK42,205&lt;'EDT Y TAREAS'!AL42),'EDT Y TAREAS'!AI42/'EDT Y TAREAS'!M42,0),IF(AND(205&gt;='EDT Y TAREAS'!AK43,205&lt;'EDT Y TAREAS'!AL43),'EDT Y TAREAS'!AI43/'EDT Y TAREAS'!M43,0),IF(AND(205&gt;='EDT Y TAREAS'!AK44,205&lt;'EDT Y TAREAS'!AL44),'EDT Y TAREAS'!AI44/'EDT Y TAREAS'!M44,0),IF(AND(205&gt;='EDT Y TAREAS'!AK45,205&lt;'EDT Y TAREAS'!AL45),'EDT Y TAREAS'!AI45/'EDT Y TAREAS'!M45,0),IF(AND(205&gt;='EDT Y TAREAS'!AK46,205&lt;'EDT Y TAREAS'!AL46),'EDT Y TAREAS'!AI46/'EDT Y TAREAS'!M46,0),IF(AND(205&gt;='EDT Y TAREAS'!AK48,205&lt;'EDT Y TAREAS'!AL48),'EDT Y TAREAS'!AI48/'EDT Y TAREAS'!M48,0),IF(AND(205&gt;='EDT Y TAREAS'!AK50,205&lt;'EDT Y TAREAS'!AL50),'EDT Y TAREAS'!AI50/'EDT Y TAREAS'!M50,0),IF(AND(205&gt;='EDT Y TAREAS'!AK52,205&lt;'EDT Y TAREAS'!AL52),'EDT Y TAREAS'!AI52/'EDT Y TAREAS'!M52,0))</x:f>
        <x:v>0</x:v>
      </x:c>
      <x:c r="H245" s="35" t="n">
        <x:f>SUM(IF(AND(205&gt;='EDT Y TAREAS'!AK11,205&lt;'EDT Y TAREAS'!AL11),'EDT Y TAREAS'!AJ11/'EDT Y TAREAS'!M11,0),IF(AND(205&gt;='EDT Y TAREAS'!AK24,205&lt;'EDT Y TAREAS'!AL24),'EDT Y TAREAS'!AJ24/'EDT Y TAREAS'!M24,0),IF(AND(205&gt;='EDT Y TAREAS'!AK27,205&lt;'EDT Y TAREAS'!AL27),'EDT Y TAREAS'!AJ27/'EDT Y TAREAS'!M27,0),IF(AND(205&gt;='EDT Y TAREAS'!AK28,205&lt;'EDT Y TAREAS'!AL28),'EDT Y TAREAS'!AJ28/'EDT Y TAREAS'!M28,0),IF(AND(205&gt;='EDT Y TAREAS'!AK33,205&lt;'EDT Y TAREAS'!AL33),'EDT Y TAREAS'!AJ33/'EDT Y TAREAS'!M33,0),IF(AND(205&gt;='EDT Y TAREAS'!AK35,205&lt;'EDT Y TAREAS'!AL35),'EDT Y TAREAS'!AJ35/'EDT Y TAREAS'!M35,0),IF(AND(205&gt;='EDT Y TAREAS'!AK36,205&lt;'EDT Y TAREAS'!AL36),'EDT Y TAREAS'!AJ36/'EDT Y TAREAS'!M36,0),IF(AND(205&gt;='EDT Y TAREAS'!AK37,205&lt;'EDT Y TAREAS'!AL37),'EDT Y TAREAS'!AJ37/'EDT Y TAREAS'!M37,0),IF(AND(205&gt;='EDT Y TAREAS'!AK40,205&lt;'EDT Y TAREAS'!AL40),'EDT Y TAREAS'!AJ40/'EDT Y TAREAS'!M40,0),IF(AND(205&gt;='EDT Y TAREAS'!AK42,205&lt;'EDT Y TAREAS'!AL42),'EDT Y TAREAS'!AJ42/'EDT Y TAREAS'!M42,0),IF(AND(205&gt;='EDT Y TAREAS'!AK49,205&lt;'EDT Y TAREAS'!AL49),'EDT Y TAREAS'!AJ49/'EDT Y TAREAS'!M49,0),IF(AND(205&gt;='EDT Y TAREAS'!AK50,205&lt;'EDT Y TAREAS'!AL50),'EDT Y TAREAS'!AJ50/'EDT Y TAREAS'!M50,0),IF(AND(205&gt;='EDT Y TAREAS'!AK51,205&lt;'EDT Y TAREAS'!AL51),'EDT Y TAREAS'!AJ51/'EDT Y TAREAS'!M51,0),IF(AND(205&gt;='EDT Y TAREAS'!AK52,205&lt;'EDT Y TAREAS'!AL52),'EDT Y TAREAS'!AJ52/'EDT Y TAREAS'!M52,0))</x:f>
        <x:v>0</x:v>
      </x:c>
      <x:c r="I245" s="10" t="n">
        <x:f>WORKDAY('RESUMEN'!$D$3-1,A245,'RESUMEN'!$J$6:$J$25)</x:f>
        <x:v>46615</x:v>
      </x:c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  <x:c r="AL245" s="3"/>
      <x:c r="AM245" s="3"/>
      <x:c r="AN245" s="3"/>
      <x:c r="AO245" s="3"/>
    </x:row>
    <x:row r="246" ht="24" customHeight="1">
      <x:c r="A246" s="3" t="n">
        <x:v>207</x:v>
      </x:c>
      <x:c r="B246" s="35" t="n">
        <x:f>SUM(IF(AND(206&gt;='EDT Y TAREAS'!AK6,206&lt;'EDT Y TAREAS'!AL6),'EDT Y TAREAS'!AD6/'EDT Y TAREAS'!M6,0),IF(AND(206&gt;='EDT Y TAREAS'!AK7,206&lt;'EDT Y TAREAS'!AL7),'EDT Y TAREAS'!AD7/'EDT Y TAREAS'!M7,0),IF(AND(206&gt;='EDT Y TAREAS'!AK8,206&lt;'EDT Y TAREAS'!AL8),'EDT Y TAREAS'!AD8/'EDT Y TAREAS'!M8,0),IF(AND(206&gt;='EDT Y TAREAS'!AK9,206&lt;'EDT Y TAREAS'!AL9),'EDT Y TAREAS'!AD9/'EDT Y TAREAS'!M9,0),IF(AND(206&gt;='EDT Y TAREAS'!AK10,206&lt;'EDT Y TAREAS'!AL10),'EDT Y TAREAS'!AD10/'EDT Y TAREAS'!M10,0),IF(AND(206&gt;='EDT Y TAREAS'!AK11,206&lt;'EDT Y TAREAS'!AL11),'EDT Y TAREAS'!AD11/'EDT Y TAREAS'!M11,0),IF(AND(206&gt;='EDT Y TAREAS'!AK12,206&lt;'EDT Y TAREAS'!AL12),'EDT Y TAREAS'!AD12/'EDT Y TAREAS'!M12,0),IF(AND(206&gt;='EDT Y TAREAS'!AK13,206&lt;'EDT Y TAREAS'!AL13),'EDT Y TAREAS'!AD13/'EDT Y TAREAS'!M13,0),IF(AND(206&gt;='EDT Y TAREAS'!AK14,206&lt;'EDT Y TAREAS'!AL14),'EDT Y TAREAS'!AD14/'EDT Y TAREAS'!M14,0),IF(AND(206&gt;='EDT Y TAREAS'!AK15,206&lt;'EDT Y TAREAS'!AL15),'EDT Y TAREAS'!AD15/'EDT Y TAREAS'!M15,0),IF(AND(206&gt;='EDT Y TAREAS'!AK16,206&lt;'EDT Y TAREAS'!AL16),'EDT Y TAREAS'!AD16/'EDT Y TAREAS'!M16,0),IF(AND(206&gt;='EDT Y TAREAS'!AK17,206&lt;'EDT Y TAREAS'!AL17),'EDT Y TAREAS'!AD17/'EDT Y TAREAS'!M17,0),IF(AND(206&gt;='EDT Y TAREAS'!AK18,206&lt;'EDT Y TAREAS'!AL18),'EDT Y TAREAS'!AD18/'EDT Y TAREAS'!M18,0),IF(AND(206&gt;='EDT Y TAREAS'!AK19,206&lt;'EDT Y TAREAS'!AL19),'EDT Y TAREAS'!AD19/'EDT Y TAREAS'!M19,0),IF(AND(206&gt;='EDT Y TAREAS'!AK20,206&lt;'EDT Y TAREAS'!AL20),'EDT Y TAREAS'!AD20/'EDT Y TAREAS'!M20,0),IF(AND(206&gt;='EDT Y TAREAS'!AK21,206&lt;'EDT Y TAREAS'!AL21),'EDT Y TAREAS'!AD21/'EDT Y TAREAS'!M21,0),IF(AND(206&gt;='EDT Y TAREAS'!AK22,206&lt;'EDT Y TAREAS'!AL22),'EDT Y TAREAS'!AD22/'EDT Y TAREAS'!M22,0),IF(AND(206&gt;='EDT Y TAREAS'!AK23,206&lt;'EDT Y TAREAS'!AL23),'EDT Y TAREAS'!AD23/'EDT Y TAREAS'!M23,0),IF(AND(206&gt;='EDT Y TAREAS'!AK26,206&lt;'EDT Y TAREAS'!AL26),'EDT Y TAREAS'!AD26/'EDT Y TAREAS'!M26,0),IF(AND(206&gt;='EDT Y TAREAS'!AK28,206&lt;'EDT Y TAREAS'!AL28),'EDT Y TAREAS'!AD28/'EDT Y TAREAS'!M28,0),IF(AND(206&gt;='EDT Y TAREAS'!AK30,206&lt;'EDT Y TAREAS'!AL30),'EDT Y TAREAS'!AD30/'EDT Y TAREAS'!M30,0),IF(AND(206&gt;='EDT Y TAREAS'!AK32,206&lt;'EDT Y TAREAS'!AL32),'EDT Y TAREAS'!AD32/'EDT Y TAREAS'!M32,0),IF(AND(206&gt;='EDT Y TAREAS'!AK34,206&lt;'EDT Y TAREAS'!AL34),'EDT Y TAREAS'!AD34/'EDT Y TAREAS'!M34,0),IF(AND(206&gt;='EDT Y TAREAS'!AK38,206&lt;'EDT Y TAREAS'!AL38),'EDT Y TAREAS'!AD38/'EDT Y TAREAS'!M38,0),IF(AND(206&gt;='EDT Y TAREAS'!AK39,206&lt;'EDT Y TAREAS'!AL39),'EDT Y TAREAS'!AD39/'EDT Y TAREAS'!M39,0),IF(AND(206&gt;='EDT Y TAREAS'!AK43,206&lt;'EDT Y TAREAS'!AL43),'EDT Y TAREAS'!AD43/'EDT Y TAREAS'!M43,0),IF(AND(206&gt;='EDT Y TAREAS'!AK44,206&lt;'EDT Y TAREAS'!AL44),'EDT Y TAREAS'!AD44/'EDT Y TAREAS'!M44,0),IF(AND(206&gt;='EDT Y TAREAS'!AK45,206&lt;'EDT Y TAREAS'!AL45),'EDT Y TAREAS'!AD45/'EDT Y TAREAS'!M45,0),IF(AND(206&gt;='EDT Y TAREAS'!AK46,206&lt;'EDT Y TAREAS'!AL46),'EDT Y TAREAS'!AD46/'EDT Y TAREAS'!M46,0),IF(AND(206&gt;='EDT Y TAREAS'!AK47,206&lt;'EDT Y TAREAS'!AL47),'EDT Y TAREAS'!AD47/'EDT Y TAREAS'!M47,0),IF(AND(206&gt;='EDT Y TAREAS'!AK49,206&lt;'EDT Y TAREAS'!AL49),'EDT Y TAREAS'!AD49/'EDT Y TAREAS'!M49,0),IF(AND(206&gt;='EDT Y TAREAS'!AK50,206&lt;'EDT Y TAREAS'!AL50),'EDT Y TAREAS'!AD50/'EDT Y TAREAS'!M50,0),IF(AND(206&gt;='EDT Y TAREAS'!AK51,206&lt;'EDT Y TAREAS'!AL51),'EDT Y TAREAS'!AD51/'EDT Y TAREAS'!M51,0),IF(AND(206&gt;='EDT Y TAREAS'!AK52,206&lt;'EDT Y TAREAS'!AL52),'EDT Y TAREAS'!AD52/'EDT Y TAREAS'!M52,0))</x:f>
        <x:v>0</x:v>
      </x:c>
      <x:c r="C246" s="35" t="n">
        <x:f>SUM(IF(AND(206&gt;='EDT Y TAREAS'!AK6,206&lt;'EDT Y TAREAS'!AL6),'EDT Y TAREAS'!AE6/'EDT Y TAREAS'!M6,0),IF(AND(206&gt;='EDT Y TAREAS'!AK8,206&lt;'EDT Y TAREAS'!AL8),'EDT Y TAREAS'!AE8/'EDT Y TAREAS'!M8,0),IF(AND(206&gt;='EDT Y TAREAS'!AK9,206&lt;'EDT Y TAREAS'!AL9),'EDT Y TAREAS'!AE9/'EDT Y TAREAS'!M9,0),IF(AND(206&gt;='EDT Y TAREAS'!AK10,206&lt;'EDT Y TAREAS'!AL10),'EDT Y TAREAS'!AE10/'EDT Y TAREAS'!M10,0),IF(AND(206&gt;='EDT Y TAREAS'!AK12,206&lt;'EDT Y TAREAS'!AL12),'EDT Y TAREAS'!AE12/'EDT Y TAREAS'!M12,0),IF(AND(206&gt;='EDT Y TAREAS'!AK16,206&lt;'EDT Y TAREAS'!AL16),'EDT Y TAREAS'!AE16/'EDT Y TAREAS'!M16,0),IF(AND(206&gt;='EDT Y TAREAS'!AK21,206&lt;'EDT Y TAREAS'!AL21),'EDT Y TAREAS'!AE21/'EDT Y TAREAS'!M21,0),IF(AND(206&gt;='EDT Y TAREAS'!AK23,206&lt;'EDT Y TAREAS'!AL23),'EDT Y TAREAS'!AE23/'EDT Y TAREAS'!M23,0),IF(AND(206&gt;='EDT Y TAREAS'!AK37,206&lt;'EDT Y TAREAS'!AL37),'EDT Y TAREAS'!AE37/'EDT Y TAREAS'!M37,0),IF(AND(206&gt;='EDT Y TAREAS'!AK38,206&lt;'EDT Y TAREAS'!AL38),'EDT Y TAREAS'!AE38/'EDT Y TAREAS'!M38,0),IF(AND(206&gt;='EDT Y TAREAS'!AK41,206&lt;'EDT Y TAREAS'!AL41),'EDT Y TAREAS'!AE41/'EDT Y TAREAS'!M41,0),IF(AND(206&gt;='EDT Y TAREAS'!AK43,206&lt;'EDT Y TAREAS'!AL43),'EDT Y TAREAS'!AE43/'EDT Y TAREAS'!M43,0),IF(AND(206&gt;='EDT Y TAREAS'!AK44,206&lt;'EDT Y TAREAS'!AL44),'EDT Y TAREAS'!AE44/'EDT Y TAREAS'!M44,0),IF(AND(206&gt;='EDT Y TAREAS'!AK46,206&lt;'EDT Y TAREAS'!AL46),'EDT Y TAREAS'!AE46/'EDT Y TAREAS'!M46,0),IF(AND(206&gt;='EDT Y TAREAS'!AK47,206&lt;'EDT Y TAREAS'!AL47),'EDT Y TAREAS'!AE47/'EDT Y TAREAS'!M47,0),IF(AND(206&gt;='EDT Y TAREAS'!AK51,206&lt;'EDT Y TAREAS'!AL51),'EDT Y TAREAS'!AE51/'EDT Y TAREAS'!M51,0),IF(AND(206&gt;='EDT Y TAREAS'!AK52,206&lt;'EDT Y TAREAS'!AL52),'EDT Y TAREAS'!AE52/'EDT Y TAREAS'!M52,0))</x:f>
        <x:v>0</x:v>
      </x:c>
      <x:c r="D246" s="35" t="n">
        <x:f>SUM(IF(AND(206&gt;='EDT Y TAREAS'!AK11,206&lt;'EDT Y TAREAS'!AL11),'EDT Y TAREAS'!AF11/'EDT Y TAREAS'!M11,0),IF(AND(206&gt;='EDT Y TAREAS'!AK24,206&lt;'EDT Y TAREAS'!AL24),'EDT Y TAREAS'!AF24/'EDT Y TAREAS'!M24,0),IF(AND(206&gt;='EDT Y TAREAS'!AK25,206&lt;'EDT Y TAREAS'!AL25),'EDT Y TAREAS'!AF25/'EDT Y TAREAS'!M25,0),IF(AND(206&gt;='EDT Y TAREAS'!AK26,206&lt;'EDT Y TAREAS'!AL26),'EDT Y TAREAS'!AF26/'EDT Y TAREAS'!M26,0),IF(AND(206&gt;='EDT Y TAREAS'!AK27,206&lt;'EDT Y TAREAS'!AL27),'EDT Y TAREAS'!AF27/'EDT Y TAREAS'!M27,0),IF(AND(206&gt;='EDT Y TAREAS'!AK28,206&lt;'EDT Y TAREAS'!AL28),'EDT Y TAREAS'!AF28/'EDT Y TAREAS'!M28,0),IF(AND(206&gt;='EDT Y TAREAS'!AK31,206&lt;'EDT Y TAREAS'!AL31),'EDT Y TAREAS'!AF31/'EDT Y TAREAS'!M31,0),IF(AND(206&gt;='EDT Y TAREAS'!AK33,206&lt;'EDT Y TAREAS'!AL33),'EDT Y TAREAS'!AF33/'EDT Y TAREAS'!M33,0),IF(AND(206&gt;='EDT Y TAREAS'!AK34,206&lt;'EDT Y TAREAS'!AL34),'EDT Y TAREAS'!AF34/'EDT Y TAREAS'!M34,0),IF(AND(206&gt;='EDT Y TAREAS'!AK35,206&lt;'EDT Y TAREAS'!AL35),'EDT Y TAREAS'!AF35/'EDT Y TAREAS'!M35,0),IF(AND(206&gt;='EDT Y TAREAS'!AK37,206&lt;'EDT Y TAREAS'!AL37),'EDT Y TAREAS'!AF37/'EDT Y TAREAS'!M37,0),IF(AND(206&gt;='EDT Y TAREAS'!AK39,206&lt;'EDT Y TAREAS'!AL39),'EDT Y TAREAS'!AF39/'EDT Y TAREAS'!M39,0),IF(AND(206&gt;='EDT Y TAREAS'!AK40,206&lt;'EDT Y TAREAS'!AL40),'EDT Y TAREAS'!AF40/'EDT Y TAREAS'!M40,0),IF(AND(206&gt;='EDT Y TAREAS'!AK42,206&lt;'EDT Y TAREAS'!AL42),'EDT Y TAREAS'!AF42/'EDT Y TAREAS'!M42,0),IF(AND(206&gt;='EDT Y TAREAS'!AK45,206&lt;'EDT Y TAREAS'!AL45),'EDT Y TAREAS'!AF45/'EDT Y TAREAS'!M45,0),IF(AND(206&gt;='EDT Y TAREAS'!AK49,206&lt;'EDT Y TAREAS'!AL49),'EDT Y TAREAS'!AF49/'EDT Y TAREAS'!M49,0),IF(AND(206&gt;='EDT Y TAREAS'!AK52,206&lt;'EDT Y TAREAS'!AL52),'EDT Y TAREAS'!AF52/'EDT Y TAREAS'!M52,0))</x:f>
        <x:v>0</x:v>
      </x:c>
      <x:c r="E246" s="35" t="n">
        <x:f>SUM(IF(AND(206&gt;='EDT Y TAREAS'!AK29,206&lt;'EDT Y TAREAS'!AL29),'EDT Y TAREAS'!AG29/'EDT Y TAREAS'!M29,0),IF(AND(206&gt;='EDT Y TAREAS'!AK30,206&lt;'EDT Y TAREAS'!AL30),'EDT Y TAREAS'!AG30/'EDT Y TAREAS'!M30,0),IF(AND(206&gt;='EDT Y TAREAS'!AK31,206&lt;'EDT Y TAREAS'!AL31),'EDT Y TAREAS'!AG31/'EDT Y TAREAS'!M31,0),IF(AND(206&gt;='EDT Y TAREAS'!AK32,206&lt;'EDT Y TAREAS'!AL32),'EDT Y TAREAS'!AG32/'EDT Y TAREAS'!M32,0),IF(AND(206&gt;='EDT Y TAREAS'!AK41,206&lt;'EDT Y TAREAS'!AL41),'EDT Y TAREAS'!AG41/'EDT Y TAREAS'!M41,0),IF(AND(206&gt;='EDT Y TAREAS'!AK45,206&lt;'EDT Y TAREAS'!AL45),'EDT Y TAREAS'!AG45/'EDT Y TAREAS'!M45,0),IF(AND(206&gt;='EDT Y TAREAS'!AK48,206&lt;'EDT Y TAREAS'!AL48),'EDT Y TAREAS'!AG48/'EDT Y TAREAS'!M48,0))</x:f>
        <x:v>0</x:v>
      </x:c>
      <x:c r="F246" s="35" t="n">
        <x:f>SUM(IF(AND(206&gt;='EDT Y TAREAS'!AK10,206&lt;'EDT Y TAREAS'!AL10),'EDT Y TAREAS'!AH10/'EDT Y TAREAS'!M10,0),IF(AND(206&gt;='EDT Y TAREAS'!AK12,206&lt;'EDT Y TAREAS'!AL12),'EDT Y TAREAS'!AH12/'EDT Y TAREAS'!M12,0),IF(AND(206&gt;='EDT Y TAREAS'!AK22,206&lt;'EDT Y TAREAS'!AL22),'EDT Y TAREAS'!AH22/'EDT Y TAREAS'!M22,0),IF(AND(206&gt;='EDT Y TAREAS'!AK23,206&lt;'EDT Y TAREAS'!AL23),'EDT Y TAREAS'!AH23/'EDT Y TAREAS'!M23,0),IF(AND(206&gt;='EDT Y TAREAS'!AK29,206&lt;'EDT Y TAREAS'!AL29),'EDT Y TAREAS'!AH29/'EDT Y TAREAS'!M29,0),IF(AND(206&gt;='EDT Y TAREAS'!AK30,206&lt;'EDT Y TAREAS'!AL30),'EDT Y TAREAS'!AH30/'EDT Y TAREAS'!M30,0),IF(AND(206&gt;='EDT Y TAREAS'!AK32,206&lt;'EDT Y TAREAS'!AL32),'EDT Y TAREAS'!AH32/'EDT Y TAREAS'!M32,0),IF(AND(206&gt;='EDT Y TAREAS'!AK41,206&lt;'EDT Y TAREAS'!AL41),'EDT Y TAREAS'!AH41/'EDT Y TAREAS'!M41,0),IF(AND(206&gt;='EDT Y TAREAS'!AK44,206&lt;'EDT Y TAREAS'!AL44),'EDT Y TAREAS'!AH44/'EDT Y TAREAS'!M44,0),IF(AND(206&gt;='EDT Y TAREAS'!AK46,206&lt;'EDT Y TAREAS'!AL46),'EDT Y TAREAS'!AH46/'EDT Y TAREAS'!M46,0),IF(AND(206&gt;='EDT Y TAREAS'!AK48,206&lt;'EDT Y TAREAS'!AL48),'EDT Y TAREAS'!AH48/'EDT Y TAREAS'!M48,0))</x:f>
        <x:v>0</x:v>
      </x:c>
      <x:c r="G246" s="35" t="n">
        <x:f>SUM(IF(AND(206&gt;='EDT Y TAREAS'!AK20,206&lt;'EDT Y TAREAS'!AL20),'EDT Y TAREAS'!AI20/'EDT Y TAREAS'!M20,0),IF(AND(206&gt;='EDT Y TAREAS'!AK25,206&lt;'EDT Y TAREAS'!AL25),'EDT Y TAREAS'!AI25/'EDT Y TAREAS'!M25,0),IF(AND(206&gt;='EDT Y TAREAS'!AK33,206&lt;'EDT Y TAREAS'!AL33),'EDT Y TAREAS'!AI33/'EDT Y TAREAS'!M33,0),IF(AND(206&gt;='EDT Y TAREAS'!AK34,206&lt;'EDT Y TAREAS'!AL34),'EDT Y TAREAS'!AI34/'EDT Y TAREAS'!M34,0),IF(AND(206&gt;='EDT Y TAREAS'!AK36,206&lt;'EDT Y TAREAS'!AL36),'EDT Y TAREAS'!AI36/'EDT Y TAREAS'!M36,0),IF(AND(206&gt;='EDT Y TAREAS'!AK39,206&lt;'EDT Y TAREAS'!AL39),'EDT Y TAREAS'!AI39/'EDT Y TAREAS'!M39,0),IF(AND(206&gt;='EDT Y TAREAS'!AK40,206&lt;'EDT Y TAREAS'!AL40),'EDT Y TAREAS'!AI40/'EDT Y TAREAS'!M40,0),IF(AND(206&gt;='EDT Y TAREAS'!AK42,206&lt;'EDT Y TAREAS'!AL42),'EDT Y TAREAS'!AI42/'EDT Y TAREAS'!M42,0),IF(AND(206&gt;='EDT Y TAREAS'!AK43,206&lt;'EDT Y TAREAS'!AL43),'EDT Y TAREAS'!AI43/'EDT Y TAREAS'!M43,0),IF(AND(206&gt;='EDT Y TAREAS'!AK44,206&lt;'EDT Y TAREAS'!AL44),'EDT Y TAREAS'!AI44/'EDT Y TAREAS'!M44,0),IF(AND(206&gt;='EDT Y TAREAS'!AK45,206&lt;'EDT Y TAREAS'!AL45),'EDT Y TAREAS'!AI45/'EDT Y TAREAS'!M45,0),IF(AND(206&gt;='EDT Y TAREAS'!AK46,206&lt;'EDT Y TAREAS'!AL46),'EDT Y TAREAS'!AI46/'EDT Y TAREAS'!M46,0),IF(AND(206&gt;='EDT Y TAREAS'!AK48,206&lt;'EDT Y TAREAS'!AL48),'EDT Y TAREAS'!AI48/'EDT Y TAREAS'!M48,0),IF(AND(206&gt;='EDT Y TAREAS'!AK50,206&lt;'EDT Y TAREAS'!AL50),'EDT Y TAREAS'!AI50/'EDT Y TAREAS'!M50,0),IF(AND(206&gt;='EDT Y TAREAS'!AK52,206&lt;'EDT Y TAREAS'!AL52),'EDT Y TAREAS'!AI52/'EDT Y TAREAS'!M52,0))</x:f>
        <x:v>0</x:v>
      </x:c>
      <x:c r="H246" s="35" t="n">
        <x:f>SUM(IF(AND(206&gt;='EDT Y TAREAS'!AK11,206&lt;'EDT Y TAREAS'!AL11),'EDT Y TAREAS'!AJ11/'EDT Y TAREAS'!M11,0),IF(AND(206&gt;='EDT Y TAREAS'!AK24,206&lt;'EDT Y TAREAS'!AL24),'EDT Y TAREAS'!AJ24/'EDT Y TAREAS'!M24,0),IF(AND(206&gt;='EDT Y TAREAS'!AK27,206&lt;'EDT Y TAREAS'!AL27),'EDT Y TAREAS'!AJ27/'EDT Y TAREAS'!M27,0),IF(AND(206&gt;='EDT Y TAREAS'!AK28,206&lt;'EDT Y TAREAS'!AL28),'EDT Y TAREAS'!AJ28/'EDT Y TAREAS'!M28,0),IF(AND(206&gt;='EDT Y TAREAS'!AK33,206&lt;'EDT Y TAREAS'!AL33),'EDT Y TAREAS'!AJ33/'EDT Y TAREAS'!M33,0),IF(AND(206&gt;='EDT Y TAREAS'!AK35,206&lt;'EDT Y TAREAS'!AL35),'EDT Y TAREAS'!AJ35/'EDT Y TAREAS'!M35,0),IF(AND(206&gt;='EDT Y TAREAS'!AK36,206&lt;'EDT Y TAREAS'!AL36),'EDT Y TAREAS'!AJ36/'EDT Y TAREAS'!M36,0),IF(AND(206&gt;='EDT Y TAREAS'!AK37,206&lt;'EDT Y TAREAS'!AL37),'EDT Y TAREAS'!AJ37/'EDT Y TAREAS'!M37,0),IF(AND(206&gt;='EDT Y TAREAS'!AK40,206&lt;'EDT Y TAREAS'!AL40),'EDT Y TAREAS'!AJ40/'EDT Y TAREAS'!M40,0),IF(AND(206&gt;='EDT Y TAREAS'!AK42,206&lt;'EDT Y TAREAS'!AL42),'EDT Y TAREAS'!AJ42/'EDT Y TAREAS'!M42,0),IF(AND(206&gt;='EDT Y TAREAS'!AK49,206&lt;'EDT Y TAREAS'!AL49),'EDT Y TAREAS'!AJ49/'EDT Y TAREAS'!M49,0),IF(AND(206&gt;='EDT Y TAREAS'!AK50,206&lt;'EDT Y TAREAS'!AL50),'EDT Y TAREAS'!AJ50/'EDT Y TAREAS'!M50,0),IF(AND(206&gt;='EDT Y TAREAS'!AK51,206&lt;'EDT Y TAREAS'!AL51),'EDT Y TAREAS'!AJ51/'EDT Y TAREAS'!M51,0),IF(AND(206&gt;='EDT Y TAREAS'!AK52,206&lt;'EDT Y TAREAS'!AL52),'EDT Y TAREAS'!AJ52/'EDT Y TAREAS'!M52,0))</x:f>
        <x:v>0</x:v>
      </x:c>
      <x:c r="I246" s="10" t="n">
        <x:f>WORKDAY('RESUMEN'!$D$3-1,A246,'RESUMEN'!$J$6:$J$25)</x:f>
        <x:v>46616</x:v>
      </x:c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  <x:c r="AL246" s="3"/>
      <x:c r="AM246" s="3"/>
      <x:c r="AN246" s="3"/>
      <x:c r="AO246" s="3"/>
    </x:row>
    <x:row r="247" ht="24" customHeight="1">
      <x:c r="A247" s="3" t="n">
        <x:v>208</x:v>
      </x:c>
      <x:c r="B247" s="35" t="n">
        <x:f>SUM(IF(AND(207&gt;='EDT Y TAREAS'!AK6,207&lt;'EDT Y TAREAS'!AL6),'EDT Y TAREAS'!AD6/'EDT Y TAREAS'!M6,0),IF(AND(207&gt;='EDT Y TAREAS'!AK7,207&lt;'EDT Y TAREAS'!AL7),'EDT Y TAREAS'!AD7/'EDT Y TAREAS'!M7,0),IF(AND(207&gt;='EDT Y TAREAS'!AK8,207&lt;'EDT Y TAREAS'!AL8),'EDT Y TAREAS'!AD8/'EDT Y TAREAS'!M8,0),IF(AND(207&gt;='EDT Y TAREAS'!AK9,207&lt;'EDT Y TAREAS'!AL9),'EDT Y TAREAS'!AD9/'EDT Y TAREAS'!M9,0),IF(AND(207&gt;='EDT Y TAREAS'!AK10,207&lt;'EDT Y TAREAS'!AL10),'EDT Y TAREAS'!AD10/'EDT Y TAREAS'!M10,0),IF(AND(207&gt;='EDT Y TAREAS'!AK11,207&lt;'EDT Y TAREAS'!AL11),'EDT Y TAREAS'!AD11/'EDT Y TAREAS'!M11,0),IF(AND(207&gt;='EDT Y TAREAS'!AK12,207&lt;'EDT Y TAREAS'!AL12),'EDT Y TAREAS'!AD12/'EDT Y TAREAS'!M12,0),IF(AND(207&gt;='EDT Y TAREAS'!AK13,207&lt;'EDT Y TAREAS'!AL13),'EDT Y TAREAS'!AD13/'EDT Y TAREAS'!M13,0),IF(AND(207&gt;='EDT Y TAREAS'!AK14,207&lt;'EDT Y TAREAS'!AL14),'EDT Y TAREAS'!AD14/'EDT Y TAREAS'!M14,0),IF(AND(207&gt;='EDT Y TAREAS'!AK15,207&lt;'EDT Y TAREAS'!AL15),'EDT Y TAREAS'!AD15/'EDT Y TAREAS'!M15,0),IF(AND(207&gt;='EDT Y TAREAS'!AK16,207&lt;'EDT Y TAREAS'!AL16),'EDT Y TAREAS'!AD16/'EDT Y TAREAS'!M16,0),IF(AND(207&gt;='EDT Y TAREAS'!AK17,207&lt;'EDT Y TAREAS'!AL17),'EDT Y TAREAS'!AD17/'EDT Y TAREAS'!M17,0),IF(AND(207&gt;='EDT Y TAREAS'!AK18,207&lt;'EDT Y TAREAS'!AL18),'EDT Y TAREAS'!AD18/'EDT Y TAREAS'!M18,0),IF(AND(207&gt;='EDT Y TAREAS'!AK19,207&lt;'EDT Y TAREAS'!AL19),'EDT Y TAREAS'!AD19/'EDT Y TAREAS'!M19,0),IF(AND(207&gt;='EDT Y TAREAS'!AK20,207&lt;'EDT Y TAREAS'!AL20),'EDT Y TAREAS'!AD20/'EDT Y TAREAS'!M20,0),IF(AND(207&gt;='EDT Y TAREAS'!AK21,207&lt;'EDT Y TAREAS'!AL21),'EDT Y TAREAS'!AD21/'EDT Y TAREAS'!M21,0),IF(AND(207&gt;='EDT Y TAREAS'!AK22,207&lt;'EDT Y TAREAS'!AL22),'EDT Y TAREAS'!AD22/'EDT Y TAREAS'!M22,0),IF(AND(207&gt;='EDT Y TAREAS'!AK23,207&lt;'EDT Y TAREAS'!AL23),'EDT Y TAREAS'!AD23/'EDT Y TAREAS'!M23,0),IF(AND(207&gt;='EDT Y TAREAS'!AK26,207&lt;'EDT Y TAREAS'!AL26),'EDT Y TAREAS'!AD26/'EDT Y TAREAS'!M26,0),IF(AND(207&gt;='EDT Y TAREAS'!AK28,207&lt;'EDT Y TAREAS'!AL28),'EDT Y TAREAS'!AD28/'EDT Y TAREAS'!M28,0),IF(AND(207&gt;='EDT Y TAREAS'!AK30,207&lt;'EDT Y TAREAS'!AL30),'EDT Y TAREAS'!AD30/'EDT Y TAREAS'!M30,0),IF(AND(207&gt;='EDT Y TAREAS'!AK32,207&lt;'EDT Y TAREAS'!AL32),'EDT Y TAREAS'!AD32/'EDT Y TAREAS'!M32,0),IF(AND(207&gt;='EDT Y TAREAS'!AK34,207&lt;'EDT Y TAREAS'!AL34),'EDT Y TAREAS'!AD34/'EDT Y TAREAS'!M34,0),IF(AND(207&gt;='EDT Y TAREAS'!AK38,207&lt;'EDT Y TAREAS'!AL38),'EDT Y TAREAS'!AD38/'EDT Y TAREAS'!M38,0),IF(AND(207&gt;='EDT Y TAREAS'!AK39,207&lt;'EDT Y TAREAS'!AL39),'EDT Y TAREAS'!AD39/'EDT Y TAREAS'!M39,0),IF(AND(207&gt;='EDT Y TAREAS'!AK43,207&lt;'EDT Y TAREAS'!AL43),'EDT Y TAREAS'!AD43/'EDT Y TAREAS'!M43,0),IF(AND(207&gt;='EDT Y TAREAS'!AK44,207&lt;'EDT Y TAREAS'!AL44),'EDT Y TAREAS'!AD44/'EDT Y TAREAS'!M44,0),IF(AND(207&gt;='EDT Y TAREAS'!AK45,207&lt;'EDT Y TAREAS'!AL45),'EDT Y TAREAS'!AD45/'EDT Y TAREAS'!M45,0),IF(AND(207&gt;='EDT Y TAREAS'!AK46,207&lt;'EDT Y TAREAS'!AL46),'EDT Y TAREAS'!AD46/'EDT Y TAREAS'!M46,0),IF(AND(207&gt;='EDT Y TAREAS'!AK47,207&lt;'EDT Y TAREAS'!AL47),'EDT Y TAREAS'!AD47/'EDT Y TAREAS'!M47,0),IF(AND(207&gt;='EDT Y TAREAS'!AK49,207&lt;'EDT Y TAREAS'!AL49),'EDT Y TAREAS'!AD49/'EDT Y TAREAS'!M49,0),IF(AND(207&gt;='EDT Y TAREAS'!AK50,207&lt;'EDT Y TAREAS'!AL50),'EDT Y TAREAS'!AD50/'EDT Y TAREAS'!M50,0),IF(AND(207&gt;='EDT Y TAREAS'!AK51,207&lt;'EDT Y TAREAS'!AL51),'EDT Y TAREAS'!AD51/'EDT Y TAREAS'!M51,0),IF(AND(207&gt;='EDT Y TAREAS'!AK52,207&lt;'EDT Y TAREAS'!AL52),'EDT Y TAREAS'!AD52/'EDT Y TAREAS'!M52,0))</x:f>
        <x:v>0</x:v>
      </x:c>
      <x:c r="C247" s="35" t="n">
        <x:f>SUM(IF(AND(207&gt;='EDT Y TAREAS'!AK6,207&lt;'EDT Y TAREAS'!AL6),'EDT Y TAREAS'!AE6/'EDT Y TAREAS'!M6,0),IF(AND(207&gt;='EDT Y TAREAS'!AK8,207&lt;'EDT Y TAREAS'!AL8),'EDT Y TAREAS'!AE8/'EDT Y TAREAS'!M8,0),IF(AND(207&gt;='EDT Y TAREAS'!AK9,207&lt;'EDT Y TAREAS'!AL9),'EDT Y TAREAS'!AE9/'EDT Y TAREAS'!M9,0),IF(AND(207&gt;='EDT Y TAREAS'!AK10,207&lt;'EDT Y TAREAS'!AL10),'EDT Y TAREAS'!AE10/'EDT Y TAREAS'!M10,0),IF(AND(207&gt;='EDT Y TAREAS'!AK12,207&lt;'EDT Y TAREAS'!AL12),'EDT Y TAREAS'!AE12/'EDT Y TAREAS'!M12,0),IF(AND(207&gt;='EDT Y TAREAS'!AK16,207&lt;'EDT Y TAREAS'!AL16),'EDT Y TAREAS'!AE16/'EDT Y TAREAS'!M16,0),IF(AND(207&gt;='EDT Y TAREAS'!AK21,207&lt;'EDT Y TAREAS'!AL21),'EDT Y TAREAS'!AE21/'EDT Y TAREAS'!M21,0),IF(AND(207&gt;='EDT Y TAREAS'!AK23,207&lt;'EDT Y TAREAS'!AL23),'EDT Y TAREAS'!AE23/'EDT Y TAREAS'!M23,0),IF(AND(207&gt;='EDT Y TAREAS'!AK37,207&lt;'EDT Y TAREAS'!AL37),'EDT Y TAREAS'!AE37/'EDT Y TAREAS'!M37,0),IF(AND(207&gt;='EDT Y TAREAS'!AK38,207&lt;'EDT Y TAREAS'!AL38),'EDT Y TAREAS'!AE38/'EDT Y TAREAS'!M38,0),IF(AND(207&gt;='EDT Y TAREAS'!AK41,207&lt;'EDT Y TAREAS'!AL41),'EDT Y TAREAS'!AE41/'EDT Y TAREAS'!M41,0),IF(AND(207&gt;='EDT Y TAREAS'!AK43,207&lt;'EDT Y TAREAS'!AL43),'EDT Y TAREAS'!AE43/'EDT Y TAREAS'!M43,0),IF(AND(207&gt;='EDT Y TAREAS'!AK44,207&lt;'EDT Y TAREAS'!AL44),'EDT Y TAREAS'!AE44/'EDT Y TAREAS'!M44,0),IF(AND(207&gt;='EDT Y TAREAS'!AK46,207&lt;'EDT Y TAREAS'!AL46),'EDT Y TAREAS'!AE46/'EDT Y TAREAS'!M46,0),IF(AND(207&gt;='EDT Y TAREAS'!AK47,207&lt;'EDT Y TAREAS'!AL47),'EDT Y TAREAS'!AE47/'EDT Y TAREAS'!M47,0),IF(AND(207&gt;='EDT Y TAREAS'!AK51,207&lt;'EDT Y TAREAS'!AL51),'EDT Y TAREAS'!AE51/'EDT Y TAREAS'!M51,0),IF(AND(207&gt;='EDT Y TAREAS'!AK52,207&lt;'EDT Y TAREAS'!AL52),'EDT Y TAREAS'!AE52/'EDT Y TAREAS'!M52,0))</x:f>
        <x:v>0</x:v>
      </x:c>
      <x:c r="D247" s="35" t="n">
        <x:f>SUM(IF(AND(207&gt;='EDT Y TAREAS'!AK11,207&lt;'EDT Y TAREAS'!AL11),'EDT Y TAREAS'!AF11/'EDT Y TAREAS'!M11,0),IF(AND(207&gt;='EDT Y TAREAS'!AK24,207&lt;'EDT Y TAREAS'!AL24),'EDT Y TAREAS'!AF24/'EDT Y TAREAS'!M24,0),IF(AND(207&gt;='EDT Y TAREAS'!AK25,207&lt;'EDT Y TAREAS'!AL25),'EDT Y TAREAS'!AF25/'EDT Y TAREAS'!M25,0),IF(AND(207&gt;='EDT Y TAREAS'!AK26,207&lt;'EDT Y TAREAS'!AL26),'EDT Y TAREAS'!AF26/'EDT Y TAREAS'!M26,0),IF(AND(207&gt;='EDT Y TAREAS'!AK27,207&lt;'EDT Y TAREAS'!AL27),'EDT Y TAREAS'!AF27/'EDT Y TAREAS'!M27,0),IF(AND(207&gt;='EDT Y TAREAS'!AK28,207&lt;'EDT Y TAREAS'!AL28),'EDT Y TAREAS'!AF28/'EDT Y TAREAS'!M28,0),IF(AND(207&gt;='EDT Y TAREAS'!AK31,207&lt;'EDT Y TAREAS'!AL31),'EDT Y TAREAS'!AF31/'EDT Y TAREAS'!M31,0),IF(AND(207&gt;='EDT Y TAREAS'!AK33,207&lt;'EDT Y TAREAS'!AL33),'EDT Y TAREAS'!AF33/'EDT Y TAREAS'!M33,0),IF(AND(207&gt;='EDT Y TAREAS'!AK34,207&lt;'EDT Y TAREAS'!AL34),'EDT Y TAREAS'!AF34/'EDT Y TAREAS'!M34,0),IF(AND(207&gt;='EDT Y TAREAS'!AK35,207&lt;'EDT Y TAREAS'!AL35),'EDT Y TAREAS'!AF35/'EDT Y TAREAS'!M35,0),IF(AND(207&gt;='EDT Y TAREAS'!AK37,207&lt;'EDT Y TAREAS'!AL37),'EDT Y TAREAS'!AF37/'EDT Y TAREAS'!M37,0),IF(AND(207&gt;='EDT Y TAREAS'!AK39,207&lt;'EDT Y TAREAS'!AL39),'EDT Y TAREAS'!AF39/'EDT Y TAREAS'!M39,0),IF(AND(207&gt;='EDT Y TAREAS'!AK40,207&lt;'EDT Y TAREAS'!AL40),'EDT Y TAREAS'!AF40/'EDT Y TAREAS'!M40,0),IF(AND(207&gt;='EDT Y TAREAS'!AK42,207&lt;'EDT Y TAREAS'!AL42),'EDT Y TAREAS'!AF42/'EDT Y TAREAS'!M42,0),IF(AND(207&gt;='EDT Y TAREAS'!AK45,207&lt;'EDT Y TAREAS'!AL45),'EDT Y TAREAS'!AF45/'EDT Y TAREAS'!M45,0),IF(AND(207&gt;='EDT Y TAREAS'!AK49,207&lt;'EDT Y TAREAS'!AL49),'EDT Y TAREAS'!AF49/'EDT Y TAREAS'!M49,0),IF(AND(207&gt;='EDT Y TAREAS'!AK52,207&lt;'EDT Y TAREAS'!AL52),'EDT Y TAREAS'!AF52/'EDT Y TAREAS'!M52,0))</x:f>
        <x:v>0</x:v>
      </x:c>
      <x:c r="E247" s="35" t="n">
        <x:f>SUM(IF(AND(207&gt;='EDT Y TAREAS'!AK29,207&lt;'EDT Y TAREAS'!AL29),'EDT Y TAREAS'!AG29/'EDT Y TAREAS'!M29,0),IF(AND(207&gt;='EDT Y TAREAS'!AK30,207&lt;'EDT Y TAREAS'!AL30),'EDT Y TAREAS'!AG30/'EDT Y TAREAS'!M30,0),IF(AND(207&gt;='EDT Y TAREAS'!AK31,207&lt;'EDT Y TAREAS'!AL31),'EDT Y TAREAS'!AG31/'EDT Y TAREAS'!M31,0),IF(AND(207&gt;='EDT Y TAREAS'!AK32,207&lt;'EDT Y TAREAS'!AL32),'EDT Y TAREAS'!AG32/'EDT Y TAREAS'!M32,0),IF(AND(207&gt;='EDT Y TAREAS'!AK41,207&lt;'EDT Y TAREAS'!AL41),'EDT Y TAREAS'!AG41/'EDT Y TAREAS'!M41,0),IF(AND(207&gt;='EDT Y TAREAS'!AK45,207&lt;'EDT Y TAREAS'!AL45),'EDT Y TAREAS'!AG45/'EDT Y TAREAS'!M45,0),IF(AND(207&gt;='EDT Y TAREAS'!AK48,207&lt;'EDT Y TAREAS'!AL48),'EDT Y TAREAS'!AG48/'EDT Y TAREAS'!M48,0))</x:f>
        <x:v>0</x:v>
      </x:c>
      <x:c r="F247" s="35" t="n">
        <x:f>SUM(IF(AND(207&gt;='EDT Y TAREAS'!AK10,207&lt;'EDT Y TAREAS'!AL10),'EDT Y TAREAS'!AH10/'EDT Y TAREAS'!M10,0),IF(AND(207&gt;='EDT Y TAREAS'!AK12,207&lt;'EDT Y TAREAS'!AL12),'EDT Y TAREAS'!AH12/'EDT Y TAREAS'!M12,0),IF(AND(207&gt;='EDT Y TAREAS'!AK22,207&lt;'EDT Y TAREAS'!AL22),'EDT Y TAREAS'!AH22/'EDT Y TAREAS'!M22,0),IF(AND(207&gt;='EDT Y TAREAS'!AK23,207&lt;'EDT Y TAREAS'!AL23),'EDT Y TAREAS'!AH23/'EDT Y TAREAS'!M23,0),IF(AND(207&gt;='EDT Y TAREAS'!AK29,207&lt;'EDT Y TAREAS'!AL29),'EDT Y TAREAS'!AH29/'EDT Y TAREAS'!M29,0),IF(AND(207&gt;='EDT Y TAREAS'!AK30,207&lt;'EDT Y TAREAS'!AL30),'EDT Y TAREAS'!AH30/'EDT Y TAREAS'!M30,0),IF(AND(207&gt;='EDT Y TAREAS'!AK32,207&lt;'EDT Y TAREAS'!AL32),'EDT Y TAREAS'!AH32/'EDT Y TAREAS'!M32,0),IF(AND(207&gt;='EDT Y TAREAS'!AK41,207&lt;'EDT Y TAREAS'!AL41),'EDT Y TAREAS'!AH41/'EDT Y TAREAS'!M41,0),IF(AND(207&gt;='EDT Y TAREAS'!AK44,207&lt;'EDT Y TAREAS'!AL44),'EDT Y TAREAS'!AH44/'EDT Y TAREAS'!M44,0),IF(AND(207&gt;='EDT Y TAREAS'!AK46,207&lt;'EDT Y TAREAS'!AL46),'EDT Y TAREAS'!AH46/'EDT Y TAREAS'!M46,0),IF(AND(207&gt;='EDT Y TAREAS'!AK48,207&lt;'EDT Y TAREAS'!AL48),'EDT Y TAREAS'!AH48/'EDT Y TAREAS'!M48,0))</x:f>
        <x:v>0</x:v>
      </x:c>
      <x:c r="G247" s="35" t="n">
        <x:f>SUM(IF(AND(207&gt;='EDT Y TAREAS'!AK20,207&lt;'EDT Y TAREAS'!AL20),'EDT Y TAREAS'!AI20/'EDT Y TAREAS'!M20,0),IF(AND(207&gt;='EDT Y TAREAS'!AK25,207&lt;'EDT Y TAREAS'!AL25),'EDT Y TAREAS'!AI25/'EDT Y TAREAS'!M25,0),IF(AND(207&gt;='EDT Y TAREAS'!AK33,207&lt;'EDT Y TAREAS'!AL33),'EDT Y TAREAS'!AI33/'EDT Y TAREAS'!M33,0),IF(AND(207&gt;='EDT Y TAREAS'!AK34,207&lt;'EDT Y TAREAS'!AL34),'EDT Y TAREAS'!AI34/'EDT Y TAREAS'!M34,0),IF(AND(207&gt;='EDT Y TAREAS'!AK36,207&lt;'EDT Y TAREAS'!AL36),'EDT Y TAREAS'!AI36/'EDT Y TAREAS'!M36,0),IF(AND(207&gt;='EDT Y TAREAS'!AK39,207&lt;'EDT Y TAREAS'!AL39),'EDT Y TAREAS'!AI39/'EDT Y TAREAS'!M39,0),IF(AND(207&gt;='EDT Y TAREAS'!AK40,207&lt;'EDT Y TAREAS'!AL40),'EDT Y TAREAS'!AI40/'EDT Y TAREAS'!M40,0),IF(AND(207&gt;='EDT Y TAREAS'!AK42,207&lt;'EDT Y TAREAS'!AL42),'EDT Y TAREAS'!AI42/'EDT Y TAREAS'!M42,0),IF(AND(207&gt;='EDT Y TAREAS'!AK43,207&lt;'EDT Y TAREAS'!AL43),'EDT Y TAREAS'!AI43/'EDT Y TAREAS'!M43,0),IF(AND(207&gt;='EDT Y TAREAS'!AK44,207&lt;'EDT Y TAREAS'!AL44),'EDT Y TAREAS'!AI44/'EDT Y TAREAS'!M44,0),IF(AND(207&gt;='EDT Y TAREAS'!AK45,207&lt;'EDT Y TAREAS'!AL45),'EDT Y TAREAS'!AI45/'EDT Y TAREAS'!M45,0),IF(AND(207&gt;='EDT Y TAREAS'!AK46,207&lt;'EDT Y TAREAS'!AL46),'EDT Y TAREAS'!AI46/'EDT Y TAREAS'!M46,0),IF(AND(207&gt;='EDT Y TAREAS'!AK48,207&lt;'EDT Y TAREAS'!AL48),'EDT Y TAREAS'!AI48/'EDT Y TAREAS'!M48,0),IF(AND(207&gt;='EDT Y TAREAS'!AK50,207&lt;'EDT Y TAREAS'!AL50),'EDT Y TAREAS'!AI50/'EDT Y TAREAS'!M50,0),IF(AND(207&gt;='EDT Y TAREAS'!AK52,207&lt;'EDT Y TAREAS'!AL52),'EDT Y TAREAS'!AI52/'EDT Y TAREAS'!M52,0))</x:f>
        <x:v>0</x:v>
      </x:c>
      <x:c r="H247" s="35" t="n">
        <x:f>SUM(IF(AND(207&gt;='EDT Y TAREAS'!AK11,207&lt;'EDT Y TAREAS'!AL11),'EDT Y TAREAS'!AJ11/'EDT Y TAREAS'!M11,0),IF(AND(207&gt;='EDT Y TAREAS'!AK24,207&lt;'EDT Y TAREAS'!AL24),'EDT Y TAREAS'!AJ24/'EDT Y TAREAS'!M24,0),IF(AND(207&gt;='EDT Y TAREAS'!AK27,207&lt;'EDT Y TAREAS'!AL27),'EDT Y TAREAS'!AJ27/'EDT Y TAREAS'!M27,0),IF(AND(207&gt;='EDT Y TAREAS'!AK28,207&lt;'EDT Y TAREAS'!AL28),'EDT Y TAREAS'!AJ28/'EDT Y TAREAS'!M28,0),IF(AND(207&gt;='EDT Y TAREAS'!AK33,207&lt;'EDT Y TAREAS'!AL33),'EDT Y TAREAS'!AJ33/'EDT Y TAREAS'!M33,0),IF(AND(207&gt;='EDT Y TAREAS'!AK35,207&lt;'EDT Y TAREAS'!AL35),'EDT Y TAREAS'!AJ35/'EDT Y TAREAS'!M35,0),IF(AND(207&gt;='EDT Y TAREAS'!AK36,207&lt;'EDT Y TAREAS'!AL36),'EDT Y TAREAS'!AJ36/'EDT Y TAREAS'!M36,0),IF(AND(207&gt;='EDT Y TAREAS'!AK37,207&lt;'EDT Y TAREAS'!AL37),'EDT Y TAREAS'!AJ37/'EDT Y TAREAS'!M37,0),IF(AND(207&gt;='EDT Y TAREAS'!AK40,207&lt;'EDT Y TAREAS'!AL40),'EDT Y TAREAS'!AJ40/'EDT Y TAREAS'!M40,0),IF(AND(207&gt;='EDT Y TAREAS'!AK42,207&lt;'EDT Y TAREAS'!AL42),'EDT Y TAREAS'!AJ42/'EDT Y TAREAS'!M42,0),IF(AND(207&gt;='EDT Y TAREAS'!AK49,207&lt;'EDT Y TAREAS'!AL49),'EDT Y TAREAS'!AJ49/'EDT Y TAREAS'!M49,0),IF(AND(207&gt;='EDT Y TAREAS'!AK50,207&lt;'EDT Y TAREAS'!AL50),'EDT Y TAREAS'!AJ50/'EDT Y TAREAS'!M50,0),IF(AND(207&gt;='EDT Y TAREAS'!AK51,207&lt;'EDT Y TAREAS'!AL51),'EDT Y TAREAS'!AJ51/'EDT Y TAREAS'!M51,0),IF(AND(207&gt;='EDT Y TAREAS'!AK52,207&lt;'EDT Y TAREAS'!AL52),'EDT Y TAREAS'!AJ52/'EDT Y TAREAS'!M52,0))</x:f>
        <x:v>0</x:v>
      </x:c>
      <x:c r="I247" s="10" t="n">
        <x:f>WORKDAY('RESUMEN'!$D$3-1,A247,'RESUMEN'!$J$6:$J$25)</x:f>
        <x:v>46617</x:v>
      </x:c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  <x:c r="AL247" s="3"/>
      <x:c r="AM247" s="3"/>
      <x:c r="AN247" s="3"/>
      <x:c r="AO247" s="3"/>
    </x:row>
    <x:row r="248" ht="24" customHeight="1">
      <x:c r="A248" s="3" t="n">
        <x:v>209</x:v>
      </x:c>
      <x:c r="B248" s="35" t="n">
        <x:f>SUM(IF(AND(208&gt;='EDT Y TAREAS'!AK6,208&lt;'EDT Y TAREAS'!AL6),'EDT Y TAREAS'!AD6/'EDT Y TAREAS'!M6,0),IF(AND(208&gt;='EDT Y TAREAS'!AK7,208&lt;'EDT Y TAREAS'!AL7),'EDT Y TAREAS'!AD7/'EDT Y TAREAS'!M7,0),IF(AND(208&gt;='EDT Y TAREAS'!AK8,208&lt;'EDT Y TAREAS'!AL8),'EDT Y TAREAS'!AD8/'EDT Y TAREAS'!M8,0),IF(AND(208&gt;='EDT Y TAREAS'!AK9,208&lt;'EDT Y TAREAS'!AL9),'EDT Y TAREAS'!AD9/'EDT Y TAREAS'!M9,0),IF(AND(208&gt;='EDT Y TAREAS'!AK10,208&lt;'EDT Y TAREAS'!AL10),'EDT Y TAREAS'!AD10/'EDT Y TAREAS'!M10,0),IF(AND(208&gt;='EDT Y TAREAS'!AK11,208&lt;'EDT Y TAREAS'!AL11),'EDT Y TAREAS'!AD11/'EDT Y TAREAS'!M11,0),IF(AND(208&gt;='EDT Y TAREAS'!AK12,208&lt;'EDT Y TAREAS'!AL12),'EDT Y TAREAS'!AD12/'EDT Y TAREAS'!M12,0),IF(AND(208&gt;='EDT Y TAREAS'!AK13,208&lt;'EDT Y TAREAS'!AL13),'EDT Y TAREAS'!AD13/'EDT Y TAREAS'!M13,0),IF(AND(208&gt;='EDT Y TAREAS'!AK14,208&lt;'EDT Y TAREAS'!AL14),'EDT Y TAREAS'!AD14/'EDT Y TAREAS'!M14,0),IF(AND(208&gt;='EDT Y TAREAS'!AK15,208&lt;'EDT Y TAREAS'!AL15),'EDT Y TAREAS'!AD15/'EDT Y TAREAS'!M15,0),IF(AND(208&gt;='EDT Y TAREAS'!AK16,208&lt;'EDT Y TAREAS'!AL16),'EDT Y TAREAS'!AD16/'EDT Y TAREAS'!M16,0),IF(AND(208&gt;='EDT Y TAREAS'!AK17,208&lt;'EDT Y TAREAS'!AL17),'EDT Y TAREAS'!AD17/'EDT Y TAREAS'!M17,0),IF(AND(208&gt;='EDT Y TAREAS'!AK18,208&lt;'EDT Y TAREAS'!AL18),'EDT Y TAREAS'!AD18/'EDT Y TAREAS'!M18,0),IF(AND(208&gt;='EDT Y TAREAS'!AK19,208&lt;'EDT Y TAREAS'!AL19),'EDT Y TAREAS'!AD19/'EDT Y TAREAS'!M19,0),IF(AND(208&gt;='EDT Y TAREAS'!AK20,208&lt;'EDT Y TAREAS'!AL20),'EDT Y TAREAS'!AD20/'EDT Y TAREAS'!M20,0),IF(AND(208&gt;='EDT Y TAREAS'!AK21,208&lt;'EDT Y TAREAS'!AL21),'EDT Y TAREAS'!AD21/'EDT Y TAREAS'!M21,0),IF(AND(208&gt;='EDT Y TAREAS'!AK22,208&lt;'EDT Y TAREAS'!AL22),'EDT Y TAREAS'!AD22/'EDT Y TAREAS'!M22,0),IF(AND(208&gt;='EDT Y TAREAS'!AK23,208&lt;'EDT Y TAREAS'!AL23),'EDT Y TAREAS'!AD23/'EDT Y TAREAS'!M23,0),IF(AND(208&gt;='EDT Y TAREAS'!AK26,208&lt;'EDT Y TAREAS'!AL26),'EDT Y TAREAS'!AD26/'EDT Y TAREAS'!M26,0),IF(AND(208&gt;='EDT Y TAREAS'!AK28,208&lt;'EDT Y TAREAS'!AL28),'EDT Y TAREAS'!AD28/'EDT Y TAREAS'!M28,0),IF(AND(208&gt;='EDT Y TAREAS'!AK30,208&lt;'EDT Y TAREAS'!AL30),'EDT Y TAREAS'!AD30/'EDT Y TAREAS'!M30,0),IF(AND(208&gt;='EDT Y TAREAS'!AK32,208&lt;'EDT Y TAREAS'!AL32),'EDT Y TAREAS'!AD32/'EDT Y TAREAS'!M32,0),IF(AND(208&gt;='EDT Y TAREAS'!AK34,208&lt;'EDT Y TAREAS'!AL34),'EDT Y TAREAS'!AD34/'EDT Y TAREAS'!M34,0),IF(AND(208&gt;='EDT Y TAREAS'!AK38,208&lt;'EDT Y TAREAS'!AL38),'EDT Y TAREAS'!AD38/'EDT Y TAREAS'!M38,0),IF(AND(208&gt;='EDT Y TAREAS'!AK39,208&lt;'EDT Y TAREAS'!AL39),'EDT Y TAREAS'!AD39/'EDT Y TAREAS'!M39,0),IF(AND(208&gt;='EDT Y TAREAS'!AK43,208&lt;'EDT Y TAREAS'!AL43),'EDT Y TAREAS'!AD43/'EDT Y TAREAS'!M43,0),IF(AND(208&gt;='EDT Y TAREAS'!AK44,208&lt;'EDT Y TAREAS'!AL44),'EDT Y TAREAS'!AD44/'EDT Y TAREAS'!M44,0),IF(AND(208&gt;='EDT Y TAREAS'!AK45,208&lt;'EDT Y TAREAS'!AL45),'EDT Y TAREAS'!AD45/'EDT Y TAREAS'!M45,0),IF(AND(208&gt;='EDT Y TAREAS'!AK46,208&lt;'EDT Y TAREAS'!AL46),'EDT Y TAREAS'!AD46/'EDT Y TAREAS'!M46,0),IF(AND(208&gt;='EDT Y TAREAS'!AK47,208&lt;'EDT Y TAREAS'!AL47),'EDT Y TAREAS'!AD47/'EDT Y TAREAS'!M47,0),IF(AND(208&gt;='EDT Y TAREAS'!AK49,208&lt;'EDT Y TAREAS'!AL49),'EDT Y TAREAS'!AD49/'EDT Y TAREAS'!M49,0),IF(AND(208&gt;='EDT Y TAREAS'!AK50,208&lt;'EDT Y TAREAS'!AL50),'EDT Y TAREAS'!AD50/'EDT Y TAREAS'!M50,0),IF(AND(208&gt;='EDT Y TAREAS'!AK51,208&lt;'EDT Y TAREAS'!AL51),'EDT Y TAREAS'!AD51/'EDT Y TAREAS'!M51,0),IF(AND(208&gt;='EDT Y TAREAS'!AK52,208&lt;'EDT Y TAREAS'!AL52),'EDT Y TAREAS'!AD52/'EDT Y TAREAS'!M52,0))</x:f>
        <x:v>0</x:v>
      </x:c>
      <x:c r="C248" s="35" t="n">
        <x:f>SUM(IF(AND(208&gt;='EDT Y TAREAS'!AK6,208&lt;'EDT Y TAREAS'!AL6),'EDT Y TAREAS'!AE6/'EDT Y TAREAS'!M6,0),IF(AND(208&gt;='EDT Y TAREAS'!AK8,208&lt;'EDT Y TAREAS'!AL8),'EDT Y TAREAS'!AE8/'EDT Y TAREAS'!M8,0),IF(AND(208&gt;='EDT Y TAREAS'!AK9,208&lt;'EDT Y TAREAS'!AL9),'EDT Y TAREAS'!AE9/'EDT Y TAREAS'!M9,0),IF(AND(208&gt;='EDT Y TAREAS'!AK10,208&lt;'EDT Y TAREAS'!AL10),'EDT Y TAREAS'!AE10/'EDT Y TAREAS'!M10,0),IF(AND(208&gt;='EDT Y TAREAS'!AK12,208&lt;'EDT Y TAREAS'!AL12),'EDT Y TAREAS'!AE12/'EDT Y TAREAS'!M12,0),IF(AND(208&gt;='EDT Y TAREAS'!AK16,208&lt;'EDT Y TAREAS'!AL16),'EDT Y TAREAS'!AE16/'EDT Y TAREAS'!M16,0),IF(AND(208&gt;='EDT Y TAREAS'!AK21,208&lt;'EDT Y TAREAS'!AL21),'EDT Y TAREAS'!AE21/'EDT Y TAREAS'!M21,0),IF(AND(208&gt;='EDT Y TAREAS'!AK23,208&lt;'EDT Y TAREAS'!AL23),'EDT Y TAREAS'!AE23/'EDT Y TAREAS'!M23,0),IF(AND(208&gt;='EDT Y TAREAS'!AK37,208&lt;'EDT Y TAREAS'!AL37),'EDT Y TAREAS'!AE37/'EDT Y TAREAS'!M37,0),IF(AND(208&gt;='EDT Y TAREAS'!AK38,208&lt;'EDT Y TAREAS'!AL38),'EDT Y TAREAS'!AE38/'EDT Y TAREAS'!M38,0),IF(AND(208&gt;='EDT Y TAREAS'!AK41,208&lt;'EDT Y TAREAS'!AL41),'EDT Y TAREAS'!AE41/'EDT Y TAREAS'!M41,0),IF(AND(208&gt;='EDT Y TAREAS'!AK43,208&lt;'EDT Y TAREAS'!AL43),'EDT Y TAREAS'!AE43/'EDT Y TAREAS'!M43,0),IF(AND(208&gt;='EDT Y TAREAS'!AK44,208&lt;'EDT Y TAREAS'!AL44),'EDT Y TAREAS'!AE44/'EDT Y TAREAS'!M44,0),IF(AND(208&gt;='EDT Y TAREAS'!AK46,208&lt;'EDT Y TAREAS'!AL46),'EDT Y TAREAS'!AE46/'EDT Y TAREAS'!M46,0),IF(AND(208&gt;='EDT Y TAREAS'!AK47,208&lt;'EDT Y TAREAS'!AL47),'EDT Y TAREAS'!AE47/'EDT Y TAREAS'!M47,0),IF(AND(208&gt;='EDT Y TAREAS'!AK51,208&lt;'EDT Y TAREAS'!AL51),'EDT Y TAREAS'!AE51/'EDT Y TAREAS'!M51,0),IF(AND(208&gt;='EDT Y TAREAS'!AK52,208&lt;'EDT Y TAREAS'!AL52),'EDT Y TAREAS'!AE52/'EDT Y TAREAS'!M52,0))</x:f>
        <x:v>0</x:v>
      </x:c>
      <x:c r="D248" s="35" t="n">
        <x:f>SUM(IF(AND(208&gt;='EDT Y TAREAS'!AK11,208&lt;'EDT Y TAREAS'!AL11),'EDT Y TAREAS'!AF11/'EDT Y TAREAS'!M11,0),IF(AND(208&gt;='EDT Y TAREAS'!AK24,208&lt;'EDT Y TAREAS'!AL24),'EDT Y TAREAS'!AF24/'EDT Y TAREAS'!M24,0),IF(AND(208&gt;='EDT Y TAREAS'!AK25,208&lt;'EDT Y TAREAS'!AL25),'EDT Y TAREAS'!AF25/'EDT Y TAREAS'!M25,0),IF(AND(208&gt;='EDT Y TAREAS'!AK26,208&lt;'EDT Y TAREAS'!AL26),'EDT Y TAREAS'!AF26/'EDT Y TAREAS'!M26,0),IF(AND(208&gt;='EDT Y TAREAS'!AK27,208&lt;'EDT Y TAREAS'!AL27),'EDT Y TAREAS'!AF27/'EDT Y TAREAS'!M27,0),IF(AND(208&gt;='EDT Y TAREAS'!AK28,208&lt;'EDT Y TAREAS'!AL28),'EDT Y TAREAS'!AF28/'EDT Y TAREAS'!M28,0),IF(AND(208&gt;='EDT Y TAREAS'!AK31,208&lt;'EDT Y TAREAS'!AL31),'EDT Y TAREAS'!AF31/'EDT Y TAREAS'!M31,0),IF(AND(208&gt;='EDT Y TAREAS'!AK33,208&lt;'EDT Y TAREAS'!AL33),'EDT Y TAREAS'!AF33/'EDT Y TAREAS'!M33,0),IF(AND(208&gt;='EDT Y TAREAS'!AK34,208&lt;'EDT Y TAREAS'!AL34),'EDT Y TAREAS'!AF34/'EDT Y TAREAS'!M34,0),IF(AND(208&gt;='EDT Y TAREAS'!AK35,208&lt;'EDT Y TAREAS'!AL35),'EDT Y TAREAS'!AF35/'EDT Y TAREAS'!M35,0),IF(AND(208&gt;='EDT Y TAREAS'!AK37,208&lt;'EDT Y TAREAS'!AL37),'EDT Y TAREAS'!AF37/'EDT Y TAREAS'!M37,0),IF(AND(208&gt;='EDT Y TAREAS'!AK39,208&lt;'EDT Y TAREAS'!AL39),'EDT Y TAREAS'!AF39/'EDT Y TAREAS'!M39,0),IF(AND(208&gt;='EDT Y TAREAS'!AK40,208&lt;'EDT Y TAREAS'!AL40),'EDT Y TAREAS'!AF40/'EDT Y TAREAS'!M40,0),IF(AND(208&gt;='EDT Y TAREAS'!AK42,208&lt;'EDT Y TAREAS'!AL42),'EDT Y TAREAS'!AF42/'EDT Y TAREAS'!M42,0),IF(AND(208&gt;='EDT Y TAREAS'!AK45,208&lt;'EDT Y TAREAS'!AL45),'EDT Y TAREAS'!AF45/'EDT Y TAREAS'!M45,0),IF(AND(208&gt;='EDT Y TAREAS'!AK49,208&lt;'EDT Y TAREAS'!AL49),'EDT Y TAREAS'!AF49/'EDT Y TAREAS'!M49,0),IF(AND(208&gt;='EDT Y TAREAS'!AK52,208&lt;'EDT Y TAREAS'!AL52),'EDT Y TAREAS'!AF52/'EDT Y TAREAS'!M52,0))</x:f>
        <x:v>0</x:v>
      </x:c>
      <x:c r="E248" s="35" t="n">
        <x:f>SUM(IF(AND(208&gt;='EDT Y TAREAS'!AK29,208&lt;'EDT Y TAREAS'!AL29),'EDT Y TAREAS'!AG29/'EDT Y TAREAS'!M29,0),IF(AND(208&gt;='EDT Y TAREAS'!AK30,208&lt;'EDT Y TAREAS'!AL30),'EDT Y TAREAS'!AG30/'EDT Y TAREAS'!M30,0),IF(AND(208&gt;='EDT Y TAREAS'!AK31,208&lt;'EDT Y TAREAS'!AL31),'EDT Y TAREAS'!AG31/'EDT Y TAREAS'!M31,0),IF(AND(208&gt;='EDT Y TAREAS'!AK32,208&lt;'EDT Y TAREAS'!AL32),'EDT Y TAREAS'!AG32/'EDT Y TAREAS'!M32,0),IF(AND(208&gt;='EDT Y TAREAS'!AK41,208&lt;'EDT Y TAREAS'!AL41),'EDT Y TAREAS'!AG41/'EDT Y TAREAS'!M41,0),IF(AND(208&gt;='EDT Y TAREAS'!AK45,208&lt;'EDT Y TAREAS'!AL45),'EDT Y TAREAS'!AG45/'EDT Y TAREAS'!M45,0),IF(AND(208&gt;='EDT Y TAREAS'!AK48,208&lt;'EDT Y TAREAS'!AL48),'EDT Y TAREAS'!AG48/'EDT Y TAREAS'!M48,0))</x:f>
        <x:v>0</x:v>
      </x:c>
      <x:c r="F248" s="35" t="n">
        <x:f>SUM(IF(AND(208&gt;='EDT Y TAREAS'!AK10,208&lt;'EDT Y TAREAS'!AL10),'EDT Y TAREAS'!AH10/'EDT Y TAREAS'!M10,0),IF(AND(208&gt;='EDT Y TAREAS'!AK12,208&lt;'EDT Y TAREAS'!AL12),'EDT Y TAREAS'!AH12/'EDT Y TAREAS'!M12,0),IF(AND(208&gt;='EDT Y TAREAS'!AK22,208&lt;'EDT Y TAREAS'!AL22),'EDT Y TAREAS'!AH22/'EDT Y TAREAS'!M22,0),IF(AND(208&gt;='EDT Y TAREAS'!AK23,208&lt;'EDT Y TAREAS'!AL23),'EDT Y TAREAS'!AH23/'EDT Y TAREAS'!M23,0),IF(AND(208&gt;='EDT Y TAREAS'!AK29,208&lt;'EDT Y TAREAS'!AL29),'EDT Y TAREAS'!AH29/'EDT Y TAREAS'!M29,0),IF(AND(208&gt;='EDT Y TAREAS'!AK30,208&lt;'EDT Y TAREAS'!AL30),'EDT Y TAREAS'!AH30/'EDT Y TAREAS'!M30,0),IF(AND(208&gt;='EDT Y TAREAS'!AK32,208&lt;'EDT Y TAREAS'!AL32),'EDT Y TAREAS'!AH32/'EDT Y TAREAS'!M32,0),IF(AND(208&gt;='EDT Y TAREAS'!AK41,208&lt;'EDT Y TAREAS'!AL41),'EDT Y TAREAS'!AH41/'EDT Y TAREAS'!M41,0),IF(AND(208&gt;='EDT Y TAREAS'!AK44,208&lt;'EDT Y TAREAS'!AL44),'EDT Y TAREAS'!AH44/'EDT Y TAREAS'!M44,0),IF(AND(208&gt;='EDT Y TAREAS'!AK46,208&lt;'EDT Y TAREAS'!AL46),'EDT Y TAREAS'!AH46/'EDT Y TAREAS'!M46,0),IF(AND(208&gt;='EDT Y TAREAS'!AK48,208&lt;'EDT Y TAREAS'!AL48),'EDT Y TAREAS'!AH48/'EDT Y TAREAS'!M48,0))</x:f>
        <x:v>0</x:v>
      </x:c>
      <x:c r="G248" s="35" t="n">
        <x:f>SUM(IF(AND(208&gt;='EDT Y TAREAS'!AK20,208&lt;'EDT Y TAREAS'!AL20),'EDT Y TAREAS'!AI20/'EDT Y TAREAS'!M20,0),IF(AND(208&gt;='EDT Y TAREAS'!AK25,208&lt;'EDT Y TAREAS'!AL25),'EDT Y TAREAS'!AI25/'EDT Y TAREAS'!M25,0),IF(AND(208&gt;='EDT Y TAREAS'!AK33,208&lt;'EDT Y TAREAS'!AL33),'EDT Y TAREAS'!AI33/'EDT Y TAREAS'!M33,0),IF(AND(208&gt;='EDT Y TAREAS'!AK34,208&lt;'EDT Y TAREAS'!AL34),'EDT Y TAREAS'!AI34/'EDT Y TAREAS'!M34,0),IF(AND(208&gt;='EDT Y TAREAS'!AK36,208&lt;'EDT Y TAREAS'!AL36),'EDT Y TAREAS'!AI36/'EDT Y TAREAS'!M36,0),IF(AND(208&gt;='EDT Y TAREAS'!AK39,208&lt;'EDT Y TAREAS'!AL39),'EDT Y TAREAS'!AI39/'EDT Y TAREAS'!M39,0),IF(AND(208&gt;='EDT Y TAREAS'!AK40,208&lt;'EDT Y TAREAS'!AL40),'EDT Y TAREAS'!AI40/'EDT Y TAREAS'!M40,0),IF(AND(208&gt;='EDT Y TAREAS'!AK42,208&lt;'EDT Y TAREAS'!AL42),'EDT Y TAREAS'!AI42/'EDT Y TAREAS'!M42,0),IF(AND(208&gt;='EDT Y TAREAS'!AK43,208&lt;'EDT Y TAREAS'!AL43),'EDT Y TAREAS'!AI43/'EDT Y TAREAS'!M43,0),IF(AND(208&gt;='EDT Y TAREAS'!AK44,208&lt;'EDT Y TAREAS'!AL44),'EDT Y TAREAS'!AI44/'EDT Y TAREAS'!M44,0),IF(AND(208&gt;='EDT Y TAREAS'!AK45,208&lt;'EDT Y TAREAS'!AL45),'EDT Y TAREAS'!AI45/'EDT Y TAREAS'!M45,0),IF(AND(208&gt;='EDT Y TAREAS'!AK46,208&lt;'EDT Y TAREAS'!AL46),'EDT Y TAREAS'!AI46/'EDT Y TAREAS'!M46,0),IF(AND(208&gt;='EDT Y TAREAS'!AK48,208&lt;'EDT Y TAREAS'!AL48),'EDT Y TAREAS'!AI48/'EDT Y TAREAS'!M48,0),IF(AND(208&gt;='EDT Y TAREAS'!AK50,208&lt;'EDT Y TAREAS'!AL50),'EDT Y TAREAS'!AI50/'EDT Y TAREAS'!M50,0),IF(AND(208&gt;='EDT Y TAREAS'!AK52,208&lt;'EDT Y TAREAS'!AL52),'EDT Y TAREAS'!AI52/'EDT Y TAREAS'!M52,0))</x:f>
        <x:v>0</x:v>
      </x:c>
      <x:c r="H248" s="35" t="n">
        <x:f>SUM(IF(AND(208&gt;='EDT Y TAREAS'!AK11,208&lt;'EDT Y TAREAS'!AL11),'EDT Y TAREAS'!AJ11/'EDT Y TAREAS'!M11,0),IF(AND(208&gt;='EDT Y TAREAS'!AK24,208&lt;'EDT Y TAREAS'!AL24),'EDT Y TAREAS'!AJ24/'EDT Y TAREAS'!M24,0),IF(AND(208&gt;='EDT Y TAREAS'!AK27,208&lt;'EDT Y TAREAS'!AL27),'EDT Y TAREAS'!AJ27/'EDT Y TAREAS'!M27,0),IF(AND(208&gt;='EDT Y TAREAS'!AK28,208&lt;'EDT Y TAREAS'!AL28),'EDT Y TAREAS'!AJ28/'EDT Y TAREAS'!M28,0),IF(AND(208&gt;='EDT Y TAREAS'!AK33,208&lt;'EDT Y TAREAS'!AL33),'EDT Y TAREAS'!AJ33/'EDT Y TAREAS'!M33,0),IF(AND(208&gt;='EDT Y TAREAS'!AK35,208&lt;'EDT Y TAREAS'!AL35),'EDT Y TAREAS'!AJ35/'EDT Y TAREAS'!M35,0),IF(AND(208&gt;='EDT Y TAREAS'!AK36,208&lt;'EDT Y TAREAS'!AL36),'EDT Y TAREAS'!AJ36/'EDT Y TAREAS'!M36,0),IF(AND(208&gt;='EDT Y TAREAS'!AK37,208&lt;'EDT Y TAREAS'!AL37),'EDT Y TAREAS'!AJ37/'EDT Y TAREAS'!M37,0),IF(AND(208&gt;='EDT Y TAREAS'!AK40,208&lt;'EDT Y TAREAS'!AL40),'EDT Y TAREAS'!AJ40/'EDT Y TAREAS'!M40,0),IF(AND(208&gt;='EDT Y TAREAS'!AK42,208&lt;'EDT Y TAREAS'!AL42),'EDT Y TAREAS'!AJ42/'EDT Y TAREAS'!M42,0),IF(AND(208&gt;='EDT Y TAREAS'!AK49,208&lt;'EDT Y TAREAS'!AL49),'EDT Y TAREAS'!AJ49/'EDT Y TAREAS'!M49,0),IF(AND(208&gt;='EDT Y TAREAS'!AK50,208&lt;'EDT Y TAREAS'!AL50),'EDT Y TAREAS'!AJ50/'EDT Y TAREAS'!M50,0),IF(AND(208&gt;='EDT Y TAREAS'!AK51,208&lt;'EDT Y TAREAS'!AL51),'EDT Y TAREAS'!AJ51/'EDT Y TAREAS'!M51,0),IF(AND(208&gt;='EDT Y TAREAS'!AK52,208&lt;'EDT Y TAREAS'!AL52),'EDT Y TAREAS'!AJ52/'EDT Y TAREAS'!M52,0))</x:f>
        <x:v>0</x:v>
      </x:c>
      <x:c r="I248" s="10" t="n">
        <x:f>WORKDAY('RESUMEN'!$D$3-1,A248,'RESUMEN'!$J$6:$J$25)</x:f>
        <x:v>46618</x:v>
      </x:c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  <x:c r="AL248" s="3"/>
      <x:c r="AM248" s="3"/>
      <x:c r="AN248" s="3"/>
      <x:c r="AO248" s="3"/>
    </x:row>
    <x:row r="249" ht="24" customHeight="1">
      <x:c r="A249" s="3" t="n">
        <x:v>210</x:v>
      </x:c>
      <x:c r="B249" s="35" t="n">
        <x:f>SUM(IF(AND(209&gt;='EDT Y TAREAS'!AK6,209&lt;'EDT Y TAREAS'!AL6),'EDT Y TAREAS'!AD6/'EDT Y TAREAS'!M6,0),IF(AND(209&gt;='EDT Y TAREAS'!AK7,209&lt;'EDT Y TAREAS'!AL7),'EDT Y TAREAS'!AD7/'EDT Y TAREAS'!M7,0),IF(AND(209&gt;='EDT Y TAREAS'!AK8,209&lt;'EDT Y TAREAS'!AL8),'EDT Y TAREAS'!AD8/'EDT Y TAREAS'!M8,0),IF(AND(209&gt;='EDT Y TAREAS'!AK9,209&lt;'EDT Y TAREAS'!AL9),'EDT Y TAREAS'!AD9/'EDT Y TAREAS'!M9,0),IF(AND(209&gt;='EDT Y TAREAS'!AK10,209&lt;'EDT Y TAREAS'!AL10),'EDT Y TAREAS'!AD10/'EDT Y TAREAS'!M10,0),IF(AND(209&gt;='EDT Y TAREAS'!AK11,209&lt;'EDT Y TAREAS'!AL11),'EDT Y TAREAS'!AD11/'EDT Y TAREAS'!M11,0),IF(AND(209&gt;='EDT Y TAREAS'!AK12,209&lt;'EDT Y TAREAS'!AL12),'EDT Y TAREAS'!AD12/'EDT Y TAREAS'!M12,0),IF(AND(209&gt;='EDT Y TAREAS'!AK13,209&lt;'EDT Y TAREAS'!AL13),'EDT Y TAREAS'!AD13/'EDT Y TAREAS'!M13,0),IF(AND(209&gt;='EDT Y TAREAS'!AK14,209&lt;'EDT Y TAREAS'!AL14),'EDT Y TAREAS'!AD14/'EDT Y TAREAS'!M14,0),IF(AND(209&gt;='EDT Y TAREAS'!AK15,209&lt;'EDT Y TAREAS'!AL15),'EDT Y TAREAS'!AD15/'EDT Y TAREAS'!M15,0),IF(AND(209&gt;='EDT Y TAREAS'!AK16,209&lt;'EDT Y TAREAS'!AL16),'EDT Y TAREAS'!AD16/'EDT Y TAREAS'!M16,0),IF(AND(209&gt;='EDT Y TAREAS'!AK17,209&lt;'EDT Y TAREAS'!AL17),'EDT Y TAREAS'!AD17/'EDT Y TAREAS'!M17,0),IF(AND(209&gt;='EDT Y TAREAS'!AK18,209&lt;'EDT Y TAREAS'!AL18),'EDT Y TAREAS'!AD18/'EDT Y TAREAS'!M18,0),IF(AND(209&gt;='EDT Y TAREAS'!AK19,209&lt;'EDT Y TAREAS'!AL19),'EDT Y TAREAS'!AD19/'EDT Y TAREAS'!M19,0),IF(AND(209&gt;='EDT Y TAREAS'!AK20,209&lt;'EDT Y TAREAS'!AL20),'EDT Y TAREAS'!AD20/'EDT Y TAREAS'!M20,0),IF(AND(209&gt;='EDT Y TAREAS'!AK21,209&lt;'EDT Y TAREAS'!AL21),'EDT Y TAREAS'!AD21/'EDT Y TAREAS'!M21,0),IF(AND(209&gt;='EDT Y TAREAS'!AK22,209&lt;'EDT Y TAREAS'!AL22),'EDT Y TAREAS'!AD22/'EDT Y TAREAS'!M22,0),IF(AND(209&gt;='EDT Y TAREAS'!AK23,209&lt;'EDT Y TAREAS'!AL23),'EDT Y TAREAS'!AD23/'EDT Y TAREAS'!M23,0),IF(AND(209&gt;='EDT Y TAREAS'!AK26,209&lt;'EDT Y TAREAS'!AL26),'EDT Y TAREAS'!AD26/'EDT Y TAREAS'!M26,0),IF(AND(209&gt;='EDT Y TAREAS'!AK28,209&lt;'EDT Y TAREAS'!AL28),'EDT Y TAREAS'!AD28/'EDT Y TAREAS'!M28,0),IF(AND(209&gt;='EDT Y TAREAS'!AK30,209&lt;'EDT Y TAREAS'!AL30),'EDT Y TAREAS'!AD30/'EDT Y TAREAS'!M30,0),IF(AND(209&gt;='EDT Y TAREAS'!AK32,209&lt;'EDT Y TAREAS'!AL32),'EDT Y TAREAS'!AD32/'EDT Y TAREAS'!M32,0),IF(AND(209&gt;='EDT Y TAREAS'!AK34,209&lt;'EDT Y TAREAS'!AL34),'EDT Y TAREAS'!AD34/'EDT Y TAREAS'!M34,0),IF(AND(209&gt;='EDT Y TAREAS'!AK38,209&lt;'EDT Y TAREAS'!AL38),'EDT Y TAREAS'!AD38/'EDT Y TAREAS'!M38,0),IF(AND(209&gt;='EDT Y TAREAS'!AK39,209&lt;'EDT Y TAREAS'!AL39),'EDT Y TAREAS'!AD39/'EDT Y TAREAS'!M39,0),IF(AND(209&gt;='EDT Y TAREAS'!AK43,209&lt;'EDT Y TAREAS'!AL43),'EDT Y TAREAS'!AD43/'EDT Y TAREAS'!M43,0),IF(AND(209&gt;='EDT Y TAREAS'!AK44,209&lt;'EDT Y TAREAS'!AL44),'EDT Y TAREAS'!AD44/'EDT Y TAREAS'!M44,0),IF(AND(209&gt;='EDT Y TAREAS'!AK45,209&lt;'EDT Y TAREAS'!AL45),'EDT Y TAREAS'!AD45/'EDT Y TAREAS'!M45,0),IF(AND(209&gt;='EDT Y TAREAS'!AK46,209&lt;'EDT Y TAREAS'!AL46),'EDT Y TAREAS'!AD46/'EDT Y TAREAS'!M46,0),IF(AND(209&gt;='EDT Y TAREAS'!AK47,209&lt;'EDT Y TAREAS'!AL47),'EDT Y TAREAS'!AD47/'EDT Y TAREAS'!M47,0),IF(AND(209&gt;='EDT Y TAREAS'!AK49,209&lt;'EDT Y TAREAS'!AL49),'EDT Y TAREAS'!AD49/'EDT Y TAREAS'!M49,0),IF(AND(209&gt;='EDT Y TAREAS'!AK50,209&lt;'EDT Y TAREAS'!AL50),'EDT Y TAREAS'!AD50/'EDT Y TAREAS'!M50,0),IF(AND(209&gt;='EDT Y TAREAS'!AK51,209&lt;'EDT Y TAREAS'!AL51),'EDT Y TAREAS'!AD51/'EDT Y TAREAS'!M51,0),IF(AND(209&gt;='EDT Y TAREAS'!AK52,209&lt;'EDT Y TAREAS'!AL52),'EDT Y TAREAS'!AD52/'EDT Y TAREAS'!M52,0))</x:f>
        <x:v>0</x:v>
      </x:c>
      <x:c r="C249" s="35" t="n">
        <x:f>SUM(IF(AND(209&gt;='EDT Y TAREAS'!AK6,209&lt;'EDT Y TAREAS'!AL6),'EDT Y TAREAS'!AE6/'EDT Y TAREAS'!M6,0),IF(AND(209&gt;='EDT Y TAREAS'!AK8,209&lt;'EDT Y TAREAS'!AL8),'EDT Y TAREAS'!AE8/'EDT Y TAREAS'!M8,0),IF(AND(209&gt;='EDT Y TAREAS'!AK9,209&lt;'EDT Y TAREAS'!AL9),'EDT Y TAREAS'!AE9/'EDT Y TAREAS'!M9,0),IF(AND(209&gt;='EDT Y TAREAS'!AK10,209&lt;'EDT Y TAREAS'!AL10),'EDT Y TAREAS'!AE10/'EDT Y TAREAS'!M10,0),IF(AND(209&gt;='EDT Y TAREAS'!AK12,209&lt;'EDT Y TAREAS'!AL12),'EDT Y TAREAS'!AE12/'EDT Y TAREAS'!M12,0),IF(AND(209&gt;='EDT Y TAREAS'!AK16,209&lt;'EDT Y TAREAS'!AL16),'EDT Y TAREAS'!AE16/'EDT Y TAREAS'!M16,0),IF(AND(209&gt;='EDT Y TAREAS'!AK21,209&lt;'EDT Y TAREAS'!AL21),'EDT Y TAREAS'!AE21/'EDT Y TAREAS'!M21,0),IF(AND(209&gt;='EDT Y TAREAS'!AK23,209&lt;'EDT Y TAREAS'!AL23),'EDT Y TAREAS'!AE23/'EDT Y TAREAS'!M23,0),IF(AND(209&gt;='EDT Y TAREAS'!AK37,209&lt;'EDT Y TAREAS'!AL37),'EDT Y TAREAS'!AE37/'EDT Y TAREAS'!M37,0),IF(AND(209&gt;='EDT Y TAREAS'!AK38,209&lt;'EDT Y TAREAS'!AL38),'EDT Y TAREAS'!AE38/'EDT Y TAREAS'!M38,0),IF(AND(209&gt;='EDT Y TAREAS'!AK41,209&lt;'EDT Y TAREAS'!AL41),'EDT Y TAREAS'!AE41/'EDT Y TAREAS'!M41,0),IF(AND(209&gt;='EDT Y TAREAS'!AK43,209&lt;'EDT Y TAREAS'!AL43),'EDT Y TAREAS'!AE43/'EDT Y TAREAS'!M43,0),IF(AND(209&gt;='EDT Y TAREAS'!AK44,209&lt;'EDT Y TAREAS'!AL44),'EDT Y TAREAS'!AE44/'EDT Y TAREAS'!M44,0),IF(AND(209&gt;='EDT Y TAREAS'!AK46,209&lt;'EDT Y TAREAS'!AL46),'EDT Y TAREAS'!AE46/'EDT Y TAREAS'!M46,0),IF(AND(209&gt;='EDT Y TAREAS'!AK47,209&lt;'EDT Y TAREAS'!AL47),'EDT Y TAREAS'!AE47/'EDT Y TAREAS'!M47,0),IF(AND(209&gt;='EDT Y TAREAS'!AK51,209&lt;'EDT Y TAREAS'!AL51),'EDT Y TAREAS'!AE51/'EDT Y TAREAS'!M51,0),IF(AND(209&gt;='EDT Y TAREAS'!AK52,209&lt;'EDT Y TAREAS'!AL52),'EDT Y TAREAS'!AE52/'EDT Y TAREAS'!M52,0))</x:f>
        <x:v>0</x:v>
      </x:c>
      <x:c r="D249" s="35" t="n">
        <x:f>SUM(IF(AND(209&gt;='EDT Y TAREAS'!AK11,209&lt;'EDT Y TAREAS'!AL11),'EDT Y TAREAS'!AF11/'EDT Y TAREAS'!M11,0),IF(AND(209&gt;='EDT Y TAREAS'!AK24,209&lt;'EDT Y TAREAS'!AL24),'EDT Y TAREAS'!AF24/'EDT Y TAREAS'!M24,0),IF(AND(209&gt;='EDT Y TAREAS'!AK25,209&lt;'EDT Y TAREAS'!AL25),'EDT Y TAREAS'!AF25/'EDT Y TAREAS'!M25,0),IF(AND(209&gt;='EDT Y TAREAS'!AK26,209&lt;'EDT Y TAREAS'!AL26),'EDT Y TAREAS'!AF26/'EDT Y TAREAS'!M26,0),IF(AND(209&gt;='EDT Y TAREAS'!AK27,209&lt;'EDT Y TAREAS'!AL27),'EDT Y TAREAS'!AF27/'EDT Y TAREAS'!M27,0),IF(AND(209&gt;='EDT Y TAREAS'!AK28,209&lt;'EDT Y TAREAS'!AL28),'EDT Y TAREAS'!AF28/'EDT Y TAREAS'!M28,0),IF(AND(209&gt;='EDT Y TAREAS'!AK31,209&lt;'EDT Y TAREAS'!AL31),'EDT Y TAREAS'!AF31/'EDT Y TAREAS'!M31,0),IF(AND(209&gt;='EDT Y TAREAS'!AK33,209&lt;'EDT Y TAREAS'!AL33),'EDT Y TAREAS'!AF33/'EDT Y TAREAS'!M33,0),IF(AND(209&gt;='EDT Y TAREAS'!AK34,209&lt;'EDT Y TAREAS'!AL34),'EDT Y TAREAS'!AF34/'EDT Y TAREAS'!M34,0),IF(AND(209&gt;='EDT Y TAREAS'!AK35,209&lt;'EDT Y TAREAS'!AL35),'EDT Y TAREAS'!AF35/'EDT Y TAREAS'!M35,0),IF(AND(209&gt;='EDT Y TAREAS'!AK37,209&lt;'EDT Y TAREAS'!AL37),'EDT Y TAREAS'!AF37/'EDT Y TAREAS'!M37,0),IF(AND(209&gt;='EDT Y TAREAS'!AK39,209&lt;'EDT Y TAREAS'!AL39),'EDT Y TAREAS'!AF39/'EDT Y TAREAS'!M39,0),IF(AND(209&gt;='EDT Y TAREAS'!AK40,209&lt;'EDT Y TAREAS'!AL40),'EDT Y TAREAS'!AF40/'EDT Y TAREAS'!M40,0),IF(AND(209&gt;='EDT Y TAREAS'!AK42,209&lt;'EDT Y TAREAS'!AL42),'EDT Y TAREAS'!AF42/'EDT Y TAREAS'!M42,0),IF(AND(209&gt;='EDT Y TAREAS'!AK45,209&lt;'EDT Y TAREAS'!AL45),'EDT Y TAREAS'!AF45/'EDT Y TAREAS'!M45,0),IF(AND(209&gt;='EDT Y TAREAS'!AK49,209&lt;'EDT Y TAREAS'!AL49),'EDT Y TAREAS'!AF49/'EDT Y TAREAS'!M49,0),IF(AND(209&gt;='EDT Y TAREAS'!AK52,209&lt;'EDT Y TAREAS'!AL52),'EDT Y TAREAS'!AF52/'EDT Y TAREAS'!M52,0))</x:f>
        <x:v>0</x:v>
      </x:c>
      <x:c r="E249" s="35" t="n">
        <x:f>SUM(IF(AND(209&gt;='EDT Y TAREAS'!AK29,209&lt;'EDT Y TAREAS'!AL29),'EDT Y TAREAS'!AG29/'EDT Y TAREAS'!M29,0),IF(AND(209&gt;='EDT Y TAREAS'!AK30,209&lt;'EDT Y TAREAS'!AL30),'EDT Y TAREAS'!AG30/'EDT Y TAREAS'!M30,0),IF(AND(209&gt;='EDT Y TAREAS'!AK31,209&lt;'EDT Y TAREAS'!AL31),'EDT Y TAREAS'!AG31/'EDT Y TAREAS'!M31,0),IF(AND(209&gt;='EDT Y TAREAS'!AK32,209&lt;'EDT Y TAREAS'!AL32),'EDT Y TAREAS'!AG32/'EDT Y TAREAS'!M32,0),IF(AND(209&gt;='EDT Y TAREAS'!AK41,209&lt;'EDT Y TAREAS'!AL41),'EDT Y TAREAS'!AG41/'EDT Y TAREAS'!M41,0),IF(AND(209&gt;='EDT Y TAREAS'!AK45,209&lt;'EDT Y TAREAS'!AL45),'EDT Y TAREAS'!AG45/'EDT Y TAREAS'!M45,0),IF(AND(209&gt;='EDT Y TAREAS'!AK48,209&lt;'EDT Y TAREAS'!AL48),'EDT Y TAREAS'!AG48/'EDT Y TAREAS'!M48,0))</x:f>
        <x:v>0</x:v>
      </x:c>
      <x:c r="F249" s="35" t="n">
        <x:f>SUM(IF(AND(209&gt;='EDT Y TAREAS'!AK10,209&lt;'EDT Y TAREAS'!AL10),'EDT Y TAREAS'!AH10/'EDT Y TAREAS'!M10,0),IF(AND(209&gt;='EDT Y TAREAS'!AK12,209&lt;'EDT Y TAREAS'!AL12),'EDT Y TAREAS'!AH12/'EDT Y TAREAS'!M12,0),IF(AND(209&gt;='EDT Y TAREAS'!AK22,209&lt;'EDT Y TAREAS'!AL22),'EDT Y TAREAS'!AH22/'EDT Y TAREAS'!M22,0),IF(AND(209&gt;='EDT Y TAREAS'!AK23,209&lt;'EDT Y TAREAS'!AL23),'EDT Y TAREAS'!AH23/'EDT Y TAREAS'!M23,0),IF(AND(209&gt;='EDT Y TAREAS'!AK29,209&lt;'EDT Y TAREAS'!AL29),'EDT Y TAREAS'!AH29/'EDT Y TAREAS'!M29,0),IF(AND(209&gt;='EDT Y TAREAS'!AK30,209&lt;'EDT Y TAREAS'!AL30),'EDT Y TAREAS'!AH30/'EDT Y TAREAS'!M30,0),IF(AND(209&gt;='EDT Y TAREAS'!AK32,209&lt;'EDT Y TAREAS'!AL32),'EDT Y TAREAS'!AH32/'EDT Y TAREAS'!M32,0),IF(AND(209&gt;='EDT Y TAREAS'!AK41,209&lt;'EDT Y TAREAS'!AL41),'EDT Y TAREAS'!AH41/'EDT Y TAREAS'!M41,0),IF(AND(209&gt;='EDT Y TAREAS'!AK44,209&lt;'EDT Y TAREAS'!AL44),'EDT Y TAREAS'!AH44/'EDT Y TAREAS'!M44,0),IF(AND(209&gt;='EDT Y TAREAS'!AK46,209&lt;'EDT Y TAREAS'!AL46),'EDT Y TAREAS'!AH46/'EDT Y TAREAS'!M46,0),IF(AND(209&gt;='EDT Y TAREAS'!AK48,209&lt;'EDT Y TAREAS'!AL48),'EDT Y TAREAS'!AH48/'EDT Y TAREAS'!M48,0))</x:f>
        <x:v>0</x:v>
      </x:c>
      <x:c r="G249" s="35" t="n">
        <x:f>SUM(IF(AND(209&gt;='EDT Y TAREAS'!AK20,209&lt;'EDT Y TAREAS'!AL20),'EDT Y TAREAS'!AI20/'EDT Y TAREAS'!M20,0),IF(AND(209&gt;='EDT Y TAREAS'!AK25,209&lt;'EDT Y TAREAS'!AL25),'EDT Y TAREAS'!AI25/'EDT Y TAREAS'!M25,0),IF(AND(209&gt;='EDT Y TAREAS'!AK33,209&lt;'EDT Y TAREAS'!AL33),'EDT Y TAREAS'!AI33/'EDT Y TAREAS'!M33,0),IF(AND(209&gt;='EDT Y TAREAS'!AK34,209&lt;'EDT Y TAREAS'!AL34),'EDT Y TAREAS'!AI34/'EDT Y TAREAS'!M34,0),IF(AND(209&gt;='EDT Y TAREAS'!AK36,209&lt;'EDT Y TAREAS'!AL36),'EDT Y TAREAS'!AI36/'EDT Y TAREAS'!M36,0),IF(AND(209&gt;='EDT Y TAREAS'!AK39,209&lt;'EDT Y TAREAS'!AL39),'EDT Y TAREAS'!AI39/'EDT Y TAREAS'!M39,0),IF(AND(209&gt;='EDT Y TAREAS'!AK40,209&lt;'EDT Y TAREAS'!AL40),'EDT Y TAREAS'!AI40/'EDT Y TAREAS'!M40,0),IF(AND(209&gt;='EDT Y TAREAS'!AK42,209&lt;'EDT Y TAREAS'!AL42),'EDT Y TAREAS'!AI42/'EDT Y TAREAS'!M42,0),IF(AND(209&gt;='EDT Y TAREAS'!AK43,209&lt;'EDT Y TAREAS'!AL43),'EDT Y TAREAS'!AI43/'EDT Y TAREAS'!M43,0),IF(AND(209&gt;='EDT Y TAREAS'!AK44,209&lt;'EDT Y TAREAS'!AL44),'EDT Y TAREAS'!AI44/'EDT Y TAREAS'!M44,0),IF(AND(209&gt;='EDT Y TAREAS'!AK45,209&lt;'EDT Y TAREAS'!AL45),'EDT Y TAREAS'!AI45/'EDT Y TAREAS'!M45,0),IF(AND(209&gt;='EDT Y TAREAS'!AK46,209&lt;'EDT Y TAREAS'!AL46),'EDT Y TAREAS'!AI46/'EDT Y TAREAS'!M46,0),IF(AND(209&gt;='EDT Y TAREAS'!AK48,209&lt;'EDT Y TAREAS'!AL48),'EDT Y TAREAS'!AI48/'EDT Y TAREAS'!M48,0),IF(AND(209&gt;='EDT Y TAREAS'!AK50,209&lt;'EDT Y TAREAS'!AL50),'EDT Y TAREAS'!AI50/'EDT Y TAREAS'!M50,0),IF(AND(209&gt;='EDT Y TAREAS'!AK52,209&lt;'EDT Y TAREAS'!AL52),'EDT Y TAREAS'!AI52/'EDT Y TAREAS'!M52,0))</x:f>
        <x:v>0</x:v>
      </x:c>
      <x:c r="H249" s="35" t="n">
        <x:f>SUM(IF(AND(209&gt;='EDT Y TAREAS'!AK11,209&lt;'EDT Y TAREAS'!AL11),'EDT Y TAREAS'!AJ11/'EDT Y TAREAS'!M11,0),IF(AND(209&gt;='EDT Y TAREAS'!AK24,209&lt;'EDT Y TAREAS'!AL24),'EDT Y TAREAS'!AJ24/'EDT Y TAREAS'!M24,0),IF(AND(209&gt;='EDT Y TAREAS'!AK27,209&lt;'EDT Y TAREAS'!AL27),'EDT Y TAREAS'!AJ27/'EDT Y TAREAS'!M27,0),IF(AND(209&gt;='EDT Y TAREAS'!AK28,209&lt;'EDT Y TAREAS'!AL28),'EDT Y TAREAS'!AJ28/'EDT Y TAREAS'!M28,0),IF(AND(209&gt;='EDT Y TAREAS'!AK33,209&lt;'EDT Y TAREAS'!AL33),'EDT Y TAREAS'!AJ33/'EDT Y TAREAS'!M33,0),IF(AND(209&gt;='EDT Y TAREAS'!AK35,209&lt;'EDT Y TAREAS'!AL35),'EDT Y TAREAS'!AJ35/'EDT Y TAREAS'!M35,0),IF(AND(209&gt;='EDT Y TAREAS'!AK36,209&lt;'EDT Y TAREAS'!AL36),'EDT Y TAREAS'!AJ36/'EDT Y TAREAS'!M36,0),IF(AND(209&gt;='EDT Y TAREAS'!AK37,209&lt;'EDT Y TAREAS'!AL37),'EDT Y TAREAS'!AJ37/'EDT Y TAREAS'!M37,0),IF(AND(209&gt;='EDT Y TAREAS'!AK40,209&lt;'EDT Y TAREAS'!AL40),'EDT Y TAREAS'!AJ40/'EDT Y TAREAS'!M40,0),IF(AND(209&gt;='EDT Y TAREAS'!AK42,209&lt;'EDT Y TAREAS'!AL42),'EDT Y TAREAS'!AJ42/'EDT Y TAREAS'!M42,0),IF(AND(209&gt;='EDT Y TAREAS'!AK49,209&lt;'EDT Y TAREAS'!AL49),'EDT Y TAREAS'!AJ49/'EDT Y TAREAS'!M49,0),IF(AND(209&gt;='EDT Y TAREAS'!AK50,209&lt;'EDT Y TAREAS'!AL50),'EDT Y TAREAS'!AJ50/'EDT Y TAREAS'!M50,0),IF(AND(209&gt;='EDT Y TAREAS'!AK51,209&lt;'EDT Y TAREAS'!AL51),'EDT Y TAREAS'!AJ51/'EDT Y TAREAS'!M51,0),IF(AND(209&gt;='EDT Y TAREAS'!AK52,209&lt;'EDT Y TAREAS'!AL52),'EDT Y TAREAS'!AJ52/'EDT Y TAREAS'!M52,0))</x:f>
        <x:v>0</x:v>
      </x:c>
      <x:c r="I249" s="10" t="n">
        <x:f>WORKDAY('RESUMEN'!$D$3-1,A249,'RESUMEN'!$J$6:$J$25)</x:f>
        <x:v>46619</x:v>
      </x:c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  <x:c r="AL249" s="3"/>
      <x:c r="AM249" s="3"/>
      <x:c r="AN249" s="3"/>
      <x:c r="AO249" s="3"/>
    </x:row>
    <x:row r="250" ht="24" customHeight="1">
      <x:c r="A250" s="3" t="n">
        <x:v>211</x:v>
      </x:c>
      <x:c r="B250" s="35" t="n">
        <x:f>SUM(IF(AND(210&gt;='EDT Y TAREAS'!AK6,210&lt;'EDT Y TAREAS'!AL6),'EDT Y TAREAS'!AD6/'EDT Y TAREAS'!M6,0),IF(AND(210&gt;='EDT Y TAREAS'!AK7,210&lt;'EDT Y TAREAS'!AL7),'EDT Y TAREAS'!AD7/'EDT Y TAREAS'!M7,0),IF(AND(210&gt;='EDT Y TAREAS'!AK8,210&lt;'EDT Y TAREAS'!AL8),'EDT Y TAREAS'!AD8/'EDT Y TAREAS'!M8,0),IF(AND(210&gt;='EDT Y TAREAS'!AK9,210&lt;'EDT Y TAREAS'!AL9),'EDT Y TAREAS'!AD9/'EDT Y TAREAS'!M9,0),IF(AND(210&gt;='EDT Y TAREAS'!AK10,210&lt;'EDT Y TAREAS'!AL10),'EDT Y TAREAS'!AD10/'EDT Y TAREAS'!M10,0),IF(AND(210&gt;='EDT Y TAREAS'!AK11,210&lt;'EDT Y TAREAS'!AL11),'EDT Y TAREAS'!AD11/'EDT Y TAREAS'!M11,0),IF(AND(210&gt;='EDT Y TAREAS'!AK12,210&lt;'EDT Y TAREAS'!AL12),'EDT Y TAREAS'!AD12/'EDT Y TAREAS'!M12,0),IF(AND(210&gt;='EDT Y TAREAS'!AK13,210&lt;'EDT Y TAREAS'!AL13),'EDT Y TAREAS'!AD13/'EDT Y TAREAS'!M13,0),IF(AND(210&gt;='EDT Y TAREAS'!AK14,210&lt;'EDT Y TAREAS'!AL14),'EDT Y TAREAS'!AD14/'EDT Y TAREAS'!M14,0),IF(AND(210&gt;='EDT Y TAREAS'!AK15,210&lt;'EDT Y TAREAS'!AL15),'EDT Y TAREAS'!AD15/'EDT Y TAREAS'!M15,0),IF(AND(210&gt;='EDT Y TAREAS'!AK16,210&lt;'EDT Y TAREAS'!AL16),'EDT Y TAREAS'!AD16/'EDT Y TAREAS'!M16,0),IF(AND(210&gt;='EDT Y TAREAS'!AK17,210&lt;'EDT Y TAREAS'!AL17),'EDT Y TAREAS'!AD17/'EDT Y TAREAS'!M17,0),IF(AND(210&gt;='EDT Y TAREAS'!AK18,210&lt;'EDT Y TAREAS'!AL18),'EDT Y TAREAS'!AD18/'EDT Y TAREAS'!M18,0),IF(AND(210&gt;='EDT Y TAREAS'!AK19,210&lt;'EDT Y TAREAS'!AL19),'EDT Y TAREAS'!AD19/'EDT Y TAREAS'!M19,0),IF(AND(210&gt;='EDT Y TAREAS'!AK20,210&lt;'EDT Y TAREAS'!AL20),'EDT Y TAREAS'!AD20/'EDT Y TAREAS'!M20,0),IF(AND(210&gt;='EDT Y TAREAS'!AK21,210&lt;'EDT Y TAREAS'!AL21),'EDT Y TAREAS'!AD21/'EDT Y TAREAS'!M21,0),IF(AND(210&gt;='EDT Y TAREAS'!AK22,210&lt;'EDT Y TAREAS'!AL22),'EDT Y TAREAS'!AD22/'EDT Y TAREAS'!M22,0),IF(AND(210&gt;='EDT Y TAREAS'!AK23,210&lt;'EDT Y TAREAS'!AL23),'EDT Y TAREAS'!AD23/'EDT Y TAREAS'!M23,0),IF(AND(210&gt;='EDT Y TAREAS'!AK26,210&lt;'EDT Y TAREAS'!AL26),'EDT Y TAREAS'!AD26/'EDT Y TAREAS'!M26,0),IF(AND(210&gt;='EDT Y TAREAS'!AK28,210&lt;'EDT Y TAREAS'!AL28),'EDT Y TAREAS'!AD28/'EDT Y TAREAS'!M28,0),IF(AND(210&gt;='EDT Y TAREAS'!AK30,210&lt;'EDT Y TAREAS'!AL30),'EDT Y TAREAS'!AD30/'EDT Y TAREAS'!M30,0),IF(AND(210&gt;='EDT Y TAREAS'!AK32,210&lt;'EDT Y TAREAS'!AL32),'EDT Y TAREAS'!AD32/'EDT Y TAREAS'!M32,0),IF(AND(210&gt;='EDT Y TAREAS'!AK34,210&lt;'EDT Y TAREAS'!AL34),'EDT Y TAREAS'!AD34/'EDT Y TAREAS'!M34,0),IF(AND(210&gt;='EDT Y TAREAS'!AK38,210&lt;'EDT Y TAREAS'!AL38),'EDT Y TAREAS'!AD38/'EDT Y TAREAS'!M38,0),IF(AND(210&gt;='EDT Y TAREAS'!AK39,210&lt;'EDT Y TAREAS'!AL39),'EDT Y TAREAS'!AD39/'EDT Y TAREAS'!M39,0),IF(AND(210&gt;='EDT Y TAREAS'!AK43,210&lt;'EDT Y TAREAS'!AL43),'EDT Y TAREAS'!AD43/'EDT Y TAREAS'!M43,0),IF(AND(210&gt;='EDT Y TAREAS'!AK44,210&lt;'EDT Y TAREAS'!AL44),'EDT Y TAREAS'!AD44/'EDT Y TAREAS'!M44,0),IF(AND(210&gt;='EDT Y TAREAS'!AK45,210&lt;'EDT Y TAREAS'!AL45),'EDT Y TAREAS'!AD45/'EDT Y TAREAS'!M45,0),IF(AND(210&gt;='EDT Y TAREAS'!AK46,210&lt;'EDT Y TAREAS'!AL46),'EDT Y TAREAS'!AD46/'EDT Y TAREAS'!M46,0),IF(AND(210&gt;='EDT Y TAREAS'!AK47,210&lt;'EDT Y TAREAS'!AL47),'EDT Y TAREAS'!AD47/'EDT Y TAREAS'!M47,0),IF(AND(210&gt;='EDT Y TAREAS'!AK49,210&lt;'EDT Y TAREAS'!AL49),'EDT Y TAREAS'!AD49/'EDT Y TAREAS'!M49,0),IF(AND(210&gt;='EDT Y TAREAS'!AK50,210&lt;'EDT Y TAREAS'!AL50),'EDT Y TAREAS'!AD50/'EDT Y TAREAS'!M50,0),IF(AND(210&gt;='EDT Y TAREAS'!AK51,210&lt;'EDT Y TAREAS'!AL51),'EDT Y TAREAS'!AD51/'EDT Y TAREAS'!M51,0),IF(AND(210&gt;='EDT Y TAREAS'!AK52,210&lt;'EDT Y TAREAS'!AL52),'EDT Y TAREAS'!AD52/'EDT Y TAREAS'!M52,0))</x:f>
        <x:v>0</x:v>
      </x:c>
      <x:c r="C250" s="35" t="n">
        <x:f>SUM(IF(AND(210&gt;='EDT Y TAREAS'!AK6,210&lt;'EDT Y TAREAS'!AL6),'EDT Y TAREAS'!AE6/'EDT Y TAREAS'!M6,0),IF(AND(210&gt;='EDT Y TAREAS'!AK8,210&lt;'EDT Y TAREAS'!AL8),'EDT Y TAREAS'!AE8/'EDT Y TAREAS'!M8,0),IF(AND(210&gt;='EDT Y TAREAS'!AK9,210&lt;'EDT Y TAREAS'!AL9),'EDT Y TAREAS'!AE9/'EDT Y TAREAS'!M9,0),IF(AND(210&gt;='EDT Y TAREAS'!AK10,210&lt;'EDT Y TAREAS'!AL10),'EDT Y TAREAS'!AE10/'EDT Y TAREAS'!M10,0),IF(AND(210&gt;='EDT Y TAREAS'!AK12,210&lt;'EDT Y TAREAS'!AL12),'EDT Y TAREAS'!AE12/'EDT Y TAREAS'!M12,0),IF(AND(210&gt;='EDT Y TAREAS'!AK16,210&lt;'EDT Y TAREAS'!AL16),'EDT Y TAREAS'!AE16/'EDT Y TAREAS'!M16,0),IF(AND(210&gt;='EDT Y TAREAS'!AK21,210&lt;'EDT Y TAREAS'!AL21),'EDT Y TAREAS'!AE21/'EDT Y TAREAS'!M21,0),IF(AND(210&gt;='EDT Y TAREAS'!AK23,210&lt;'EDT Y TAREAS'!AL23),'EDT Y TAREAS'!AE23/'EDT Y TAREAS'!M23,0),IF(AND(210&gt;='EDT Y TAREAS'!AK37,210&lt;'EDT Y TAREAS'!AL37),'EDT Y TAREAS'!AE37/'EDT Y TAREAS'!M37,0),IF(AND(210&gt;='EDT Y TAREAS'!AK38,210&lt;'EDT Y TAREAS'!AL38),'EDT Y TAREAS'!AE38/'EDT Y TAREAS'!M38,0),IF(AND(210&gt;='EDT Y TAREAS'!AK41,210&lt;'EDT Y TAREAS'!AL41),'EDT Y TAREAS'!AE41/'EDT Y TAREAS'!M41,0),IF(AND(210&gt;='EDT Y TAREAS'!AK43,210&lt;'EDT Y TAREAS'!AL43),'EDT Y TAREAS'!AE43/'EDT Y TAREAS'!M43,0),IF(AND(210&gt;='EDT Y TAREAS'!AK44,210&lt;'EDT Y TAREAS'!AL44),'EDT Y TAREAS'!AE44/'EDT Y TAREAS'!M44,0),IF(AND(210&gt;='EDT Y TAREAS'!AK46,210&lt;'EDT Y TAREAS'!AL46),'EDT Y TAREAS'!AE46/'EDT Y TAREAS'!M46,0),IF(AND(210&gt;='EDT Y TAREAS'!AK47,210&lt;'EDT Y TAREAS'!AL47),'EDT Y TAREAS'!AE47/'EDT Y TAREAS'!M47,0),IF(AND(210&gt;='EDT Y TAREAS'!AK51,210&lt;'EDT Y TAREAS'!AL51),'EDT Y TAREAS'!AE51/'EDT Y TAREAS'!M51,0),IF(AND(210&gt;='EDT Y TAREAS'!AK52,210&lt;'EDT Y TAREAS'!AL52),'EDT Y TAREAS'!AE52/'EDT Y TAREAS'!M52,0))</x:f>
        <x:v>0</x:v>
      </x:c>
      <x:c r="D250" s="35" t="n">
        <x:f>SUM(IF(AND(210&gt;='EDT Y TAREAS'!AK11,210&lt;'EDT Y TAREAS'!AL11),'EDT Y TAREAS'!AF11/'EDT Y TAREAS'!M11,0),IF(AND(210&gt;='EDT Y TAREAS'!AK24,210&lt;'EDT Y TAREAS'!AL24),'EDT Y TAREAS'!AF24/'EDT Y TAREAS'!M24,0),IF(AND(210&gt;='EDT Y TAREAS'!AK25,210&lt;'EDT Y TAREAS'!AL25),'EDT Y TAREAS'!AF25/'EDT Y TAREAS'!M25,0),IF(AND(210&gt;='EDT Y TAREAS'!AK26,210&lt;'EDT Y TAREAS'!AL26),'EDT Y TAREAS'!AF26/'EDT Y TAREAS'!M26,0),IF(AND(210&gt;='EDT Y TAREAS'!AK27,210&lt;'EDT Y TAREAS'!AL27),'EDT Y TAREAS'!AF27/'EDT Y TAREAS'!M27,0),IF(AND(210&gt;='EDT Y TAREAS'!AK28,210&lt;'EDT Y TAREAS'!AL28),'EDT Y TAREAS'!AF28/'EDT Y TAREAS'!M28,0),IF(AND(210&gt;='EDT Y TAREAS'!AK31,210&lt;'EDT Y TAREAS'!AL31),'EDT Y TAREAS'!AF31/'EDT Y TAREAS'!M31,0),IF(AND(210&gt;='EDT Y TAREAS'!AK33,210&lt;'EDT Y TAREAS'!AL33),'EDT Y TAREAS'!AF33/'EDT Y TAREAS'!M33,0),IF(AND(210&gt;='EDT Y TAREAS'!AK34,210&lt;'EDT Y TAREAS'!AL34),'EDT Y TAREAS'!AF34/'EDT Y TAREAS'!M34,0),IF(AND(210&gt;='EDT Y TAREAS'!AK35,210&lt;'EDT Y TAREAS'!AL35),'EDT Y TAREAS'!AF35/'EDT Y TAREAS'!M35,0),IF(AND(210&gt;='EDT Y TAREAS'!AK37,210&lt;'EDT Y TAREAS'!AL37),'EDT Y TAREAS'!AF37/'EDT Y TAREAS'!M37,0),IF(AND(210&gt;='EDT Y TAREAS'!AK39,210&lt;'EDT Y TAREAS'!AL39),'EDT Y TAREAS'!AF39/'EDT Y TAREAS'!M39,0),IF(AND(210&gt;='EDT Y TAREAS'!AK40,210&lt;'EDT Y TAREAS'!AL40),'EDT Y TAREAS'!AF40/'EDT Y TAREAS'!M40,0),IF(AND(210&gt;='EDT Y TAREAS'!AK42,210&lt;'EDT Y TAREAS'!AL42),'EDT Y TAREAS'!AF42/'EDT Y TAREAS'!M42,0),IF(AND(210&gt;='EDT Y TAREAS'!AK45,210&lt;'EDT Y TAREAS'!AL45),'EDT Y TAREAS'!AF45/'EDT Y TAREAS'!M45,0),IF(AND(210&gt;='EDT Y TAREAS'!AK49,210&lt;'EDT Y TAREAS'!AL49),'EDT Y TAREAS'!AF49/'EDT Y TAREAS'!M49,0),IF(AND(210&gt;='EDT Y TAREAS'!AK52,210&lt;'EDT Y TAREAS'!AL52),'EDT Y TAREAS'!AF52/'EDT Y TAREAS'!M52,0))</x:f>
        <x:v>0</x:v>
      </x:c>
      <x:c r="E250" s="35" t="n">
        <x:f>SUM(IF(AND(210&gt;='EDT Y TAREAS'!AK29,210&lt;'EDT Y TAREAS'!AL29),'EDT Y TAREAS'!AG29/'EDT Y TAREAS'!M29,0),IF(AND(210&gt;='EDT Y TAREAS'!AK30,210&lt;'EDT Y TAREAS'!AL30),'EDT Y TAREAS'!AG30/'EDT Y TAREAS'!M30,0),IF(AND(210&gt;='EDT Y TAREAS'!AK31,210&lt;'EDT Y TAREAS'!AL31),'EDT Y TAREAS'!AG31/'EDT Y TAREAS'!M31,0),IF(AND(210&gt;='EDT Y TAREAS'!AK32,210&lt;'EDT Y TAREAS'!AL32),'EDT Y TAREAS'!AG32/'EDT Y TAREAS'!M32,0),IF(AND(210&gt;='EDT Y TAREAS'!AK41,210&lt;'EDT Y TAREAS'!AL41),'EDT Y TAREAS'!AG41/'EDT Y TAREAS'!M41,0),IF(AND(210&gt;='EDT Y TAREAS'!AK45,210&lt;'EDT Y TAREAS'!AL45),'EDT Y TAREAS'!AG45/'EDT Y TAREAS'!M45,0),IF(AND(210&gt;='EDT Y TAREAS'!AK48,210&lt;'EDT Y TAREAS'!AL48),'EDT Y TAREAS'!AG48/'EDT Y TAREAS'!M48,0))</x:f>
        <x:v>0</x:v>
      </x:c>
      <x:c r="F250" s="35" t="n">
        <x:f>SUM(IF(AND(210&gt;='EDT Y TAREAS'!AK10,210&lt;'EDT Y TAREAS'!AL10),'EDT Y TAREAS'!AH10/'EDT Y TAREAS'!M10,0),IF(AND(210&gt;='EDT Y TAREAS'!AK12,210&lt;'EDT Y TAREAS'!AL12),'EDT Y TAREAS'!AH12/'EDT Y TAREAS'!M12,0),IF(AND(210&gt;='EDT Y TAREAS'!AK22,210&lt;'EDT Y TAREAS'!AL22),'EDT Y TAREAS'!AH22/'EDT Y TAREAS'!M22,0),IF(AND(210&gt;='EDT Y TAREAS'!AK23,210&lt;'EDT Y TAREAS'!AL23),'EDT Y TAREAS'!AH23/'EDT Y TAREAS'!M23,0),IF(AND(210&gt;='EDT Y TAREAS'!AK29,210&lt;'EDT Y TAREAS'!AL29),'EDT Y TAREAS'!AH29/'EDT Y TAREAS'!M29,0),IF(AND(210&gt;='EDT Y TAREAS'!AK30,210&lt;'EDT Y TAREAS'!AL30),'EDT Y TAREAS'!AH30/'EDT Y TAREAS'!M30,0),IF(AND(210&gt;='EDT Y TAREAS'!AK32,210&lt;'EDT Y TAREAS'!AL32),'EDT Y TAREAS'!AH32/'EDT Y TAREAS'!M32,0),IF(AND(210&gt;='EDT Y TAREAS'!AK41,210&lt;'EDT Y TAREAS'!AL41),'EDT Y TAREAS'!AH41/'EDT Y TAREAS'!M41,0),IF(AND(210&gt;='EDT Y TAREAS'!AK44,210&lt;'EDT Y TAREAS'!AL44),'EDT Y TAREAS'!AH44/'EDT Y TAREAS'!M44,0),IF(AND(210&gt;='EDT Y TAREAS'!AK46,210&lt;'EDT Y TAREAS'!AL46),'EDT Y TAREAS'!AH46/'EDT Y TAREAS'!M46,0),IF(AND(210&gt;='EDT Y TAREAS'!AK48,210&lt;'EDT Y TAREAS'!AL48),'EDT Y TAREAS'!AH48/'EDT Y TAREAS'!M48,0))</x:f>
        <x:v>0</x:v>
      </x:c>
      <x:c r="G250" s="35" t="n">
        <x:f>SUM(IF(AND(210&gt;='EDT Y TAREAS'!AK20,210&lt;'EDT Y TAREAS'!AL20),'EDT Y TAREAS'!AI20/'EDT Y TAREAS'!M20,0),IF(AND(210&gt;='EDT Y TAREAS'!AK25,210&lt;'EDT Y TAREAS'!AL25),'EDT Y TAREAS'!AI25/'EDT Y TAREAS'!M25,0),IF(AND(210&gt;='EDT Y TAREAS'!AK33,210&lt;'EDT Y TAREAS'!AL33),'EDT Y TAREAS'!AI33/'EDT Y TAREAS'!M33,0),IF(AND(210&gt;='EDT Y TAREAS'!AK34,210&lt;'EDT Y TAREAS'!AL34),'EDT Y TAREAS'!AI34/'EDT Y TAREAS'!M34,0),IF(AND(210&gt;='EDT Y TAREAS'!AK36,210&lt;'EDT Y TAREAS'!AL36),'EDT Y TAREAS'!AI36/'EDT Y TAREAS'!M36,0),IF(AND(210&gt;='EDT Y TAREAS'!AK39,210&lt;'EDT Y TAREAS'!AL39),'EDT Y TAREAS'!AI39/'EDT Y TAREAS'!M39,0),IF(AND(210&gt;='EDT Y TAREAS'!AK40,210&lt;'EDT Y TAREAS'!AL40),'EDT Y TAREAS'!AI40/'EDT Y TAREAS'!M40,0),IF(AND(210&gt;='EDT Y TAREAS'!AK42,210&lt;'EDT Y TAREAS'!AL42),'EDT Y TAREAS'!AI42/'EDT Y TAREAS'!M42,0),IF(AND(210&gt;='EDT Y TAREAS'!AK43,210&lt;'EDT Y TAREAS'!AL43),'EDT Y TAREAS'!AI43/'EDT Y TAREAS'!M43,0),IF(AND(210&gt;='EDT Y TAREAS'!AK44,210&lt;'EDT Y TAREAS'!AL44),'EDT Y TAREAS'!AI44/'EDT Y TAREAS'!M44,0),IF(AND(210&gt;='EDT Y TAREAS'!AK45,210&lt;'EDT Y TAREAS'!AL45),'EDT Y TAREAS'!AI45/'EDT Y TAREAS'!M45,0),IF(AND(210&gt;='EDT Y TAREAS'!AK46,210&lt;'EDT Y TAREAS'!AL46),'EDT Y TAREAS'!AI46/'EDT Y TAREAS'!M46,0),IF(AND(210&gt;='EDT Y TAREAS'!AK48,210&lt;'EDT Y TAREAS'!AL48),'EDT Y TAREAS'!AI48/'EDT Y TAREAS'!M48,0),IF(AND(210&gt;='EDT Y TAREAS'!AK50,210&lt;'EDT Y TAREAS'!AL50),'EDT Y TAREAS'!AI50/'EDT Y TAREAS'!M50,0),IF(AND(210&gt;='EDT Y TAREAS'!AK52,210&lt;'EDT Y TAREAS'!AL52),'EDT Y TAREAS'!AI52/'EDT Y TAREAS'!M52,0))</x:f>
        <x:v>0</x:v>
      </x:c>
      <x:c r="H250" s="35" t="n">
        <x:f>SUM(IF(AND(210&gt;='EDT Y TAREAS'!AK11,210&lt;'EDT Y TAREAS'!AL11),'EDT Y TAREAS'!AJ11/'EDT Y TAREAS'!M11,0),IF(AND(210&gt;='EDT Y TAREAS'!AK24,210&lt;'EDT Y TAREAS'!AL24),'EDT Y TAREAS'!AJ24/'EDT Y TAREAS'!M24,0),IF(AND(210&gt;='EDT Y TAREAS'!AK27,210&lt;'EDT Y TAREAS'!AL27),'EDT Y TAREAS'!AJ27/'EDT Y TAREAS'!M27,0),IF(AND(210&gt;='EDT Y TAREAS'!AK28,210&lt;'EDT Y TAREAS'!AL28),'EDT Y TAREAS'!AJ28/'EDT Y TAREAS'!M28,0),IF(AND(210&gt;='EDT Y TAREAS'!AK33,210&lt;'EDT Y TAREAS'!AL33),'EDT Y TAREAS'!AJ33/'EDT Y TAREAS'!M33,0),IF(AND(210&gt;='EDT Y TAREAS'!AK35,210&lt;'EDT Y TAREAS'!AL35),'EDT Y TAREAS'!AJ35/'EDT Y TAREAS'!M35,0),IF(AND(210&gt;='EDT Y TAREAS'!AK36,210&lt;'EDT Y TAREAS'!AL36),'EDT Y TAREAS'!AJ36/'EDT Y TAREAS'!M36,0),IF(AND(210&gt;='EDT Y TAREAS'!AK37,210&lt;'EDT Y TAREAS'!AL37),'EDT Y TAREAS'!AJ37/'EDT Y TAREAS'!M37,0),IF(AND(210&gt;='EDT Y TAREAS'!AK40,210&lt;'EDT Y TAREAS'!AL40),'EDT Y TAREAS'!AJ40/'EDT Y TAREAS'!M40,0),IF(AND(210&gt;='EDT Y TAREAS'!AK42,210&lt;'EDT Y TAREAS'!AL42),'EDT Y TAREAS'!AJ42/'EDT Y TAREAS'!M42,0),IF(AND(210&gt;='EDT Y TAREAS'!AK49,210&lt;'EDT Y TAREAS'!AL49),'EDT Y TAREAS'!AJ49/'EDT Y TAREAS'!M49,0),IF(AND(210&gt;='EDT Y TAREAS'!AK50,210&lt;'EDT Y TAREAS'!AL50),'EDT Y TAREAS'!AJ50/'EDT Y TAREAS'!M50,0),IF(AND(210&gt;='EDT Y TAREAS'!AK51,210&lt;'EDT Y TAREAS'!AL51),'EDT Y TAREAS'!AJ51/'EDT Y TAREAS'!M51,0),IF(AND(210&gt;='EDT Y TAREAS'!AK52,210&lt;'EDT Y TAREAS'!AL52),'EDT Y TAREAS'!AJ52/'EDT Y TAREAS'!M52,0))</x:f>
        <x:v>0</x:v>
      </x:c>
      <x:c r="I250" s="10" t="n">
        <x:f>WORKDAY('RESUMEN'!$D$3-1,A250,'RESUMEN'!$J$6:$J$25)</x:f>
        <x:v>46622</x:v>
      </x:c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  <x:c r="AL250" s="3"/>
      <x:c r="AM250" s="3"/>
      <x:c r="AN250" s="3"/>
      <x:c r="AO250" s="3"/>
    </x:row>
    <x:row r="251" ht="24" customHeight="1">
      <x:c r="A251" s="3" t="n">
        <x:v>212</x:v>
      </x:c>
      <x:c r="B251" s="35" t="n">
        <x:f>SUM(IF(AND(211&gt;='EDT Y TAREAS'!AK6,211&lt;'EDT Y TAREAS'!AL6),'EDT Y TAREAS'!AD6/'EDT Y TAREAS'!M6,0),IF(AND(211&gt;='EDT Y TAREAS'!AK7,211&lt;'EDT Y TAREAS'!AL7),'EDT Y TAREAS'!AD7/'EDT Y TAREAS'!M7,0),IF(AND(211&gt;='EDT Y TAREAS'!AK8,211&lt;'EDT Y TAREAS'!AL8),'EDT Y TAREAS'!AD8/'EDT Y TAREAS'!M8,0),IF(AND(211&gt;='EDT Y TAREAS'!AK9,211&lt;'EDT Y TAREAS'!AL9),'EDT Y TAREAS'!AD9/'EDT Y TAREAS'!M9,0),IF(AND(211&gt;='EDT Y TAREAS'!AK10,211&lt;'EDT Y TAREAS'!AL10),'EDT Y TAREAS'!AD10/'EDT Y TAREAS'!M10,0),IF(AND(211&gt;='EDT Y TAREAS'!AK11,211&lt;'EDT Y TAREAS'!AL11),'EDT Y TAREAS'!AD11/'EDT Y TAREAS'!M11,0),IF(AND(211&gt;='EDT Y TAREAS'!AK12,211&lt;'EDT Y TAREAS'!AL12),'EDT Y TAREAS'!AD12/'EDT Y TAREAS'!M12,0),IF(AND(211&gt;='EDT Y TAREAS'!AK13,211&lt;'EDT Y TAREAS'!AL13),'EDT Y TAREAS'!AD13/'EDT Y TAREAS'!M13,0),IF(AND(211&gt;='EDT Y TAREAS'!AK14,211&lt;'EDT Y TAREAS'!AL14),'EDT Y TAREAS'!AD14/'EDT Y TAREAS'!M14,0),IF(AND(211&gt;='EDT Y TAREAS'!AK15,211&lt;'EDT Y TAREAS'!AL15),'EDT Y TAREAS'!AD15/'EDT Y TAREAS'!M15,0),IF(AND(211&gt;='EDT Y TAREAS'!AK16,211&lt;'EDT Y TAREAS'!AL16),'EDT Y TAREAS'!AD16/'EDT Y TAREAS'!M16,0),IF(AND(211&gt;='EDT Y TAREAS'!AK17,211&lt;'EDT Y TAREAS'!AL17),'EDT Y TAREAS'!AD17/'EDT Y TAREAS'!M17,0),IF(AND(211&gt;='EDT Y TAREAS'!AK18,211&lt;'EDT Y TAREAS'!AL18),'EDT Y TAREAS'!AD18/'EDT Y TAREAS'!M18,0),IF(AND(211&gt;='EDT Y TAREAS'!AK19,211&lt;'EDT Y TAREAS'!AL19),'EDT Y TAREAS'!AD19/'EDT Y TAREAS'!M19,0),IF(AND(211&gt;='EDT Y TAREAS'!AK20,211&lt;'EDT Y TAREAS'!AL20),'EDT Y TAREAS'!AD20/'EDT Y TAREAS'!M20,0),IF(AND(211&gt;='EDT Y TAREAS'!AK21,211&lt;'EDT Y TAREAS'!AL21),'EDT Y TAREAS'!AD21/'EDT Y TAREAS'!M21,0),IF(AND(211&gt;='EDT Y TAREAS'!AK22,211&lt;'EDT Y TAREAS'!AL22),'EDT Y TAREAS'!AD22/'EDT Y TAREAS'!M22,0),IF(AND(211&gt;='EDT Y TAREAS'!AK23,211&lt;'EDT Y TAREAS'!AL23),'EDT Y TAREAS'!AD23/'EDT Y TAREAS'!M23,0),IF(AND(211&gt;='EDT Y TAREAS'!AK26,211&lt;'EDT Y TAREAS'!AL26),'EDT Y TAREAS'!AD26/'EDT Y TAREAS'!M26,0),IF(AND(211&gt;='EDT Y TAREAS'!AK28,211&lt;'EDT Y TAREAS'!AL28),'EDT Y TAREAS'!AD28/'EDT Y TAREAS'!M28,0),IF(AND(211&gt;='EDT Y TAREAS'!AK30,211&lt;'EDT Y TAREAS'!AL30),'EDT Y TAREAS'!AD30/'EDT Y TAREAS'!M30,0),IF(AND(211&gt;='EDT Y TAREAS'!AK32,211&lt;'EDT Y TAREAS'!AL32),'EDT Y TAREAS'!AD32/'EDT Y TAREAS'!M32,0),IF(AND(211&gt;='EDT Y TAREAS'!AK34,211&lt;'EDT Y TAREAS'!AL34),'EDT Y TAREAS'!AD34/'EDT Y TAREAS'!M34,0),IF(AND(211&gt;='EDT Y TAREAS'!AK38,211&lt;'EDT Y TAREAS'!AL38),'EDT Y TAREAS'!AD38/'EDT Y TAREAS'!M38,0),IF(AND(211&gt;='EDT Y TAREAS'!AK39,211&lt;'EDT Y TAREAS'!AL39),'EDT Y TAREAS'!AD39/'EDT Y TAREAS'!M39,0),IF(AND(211&gt;='EDT Y TAREAS'!AK43,211&lt;'EDT Y TAREAS'!AL43),'EDT Y TAREAS'!AD43/'EDT Y TAREAS'!M43,0),IF(AND(211&gt;='EDT Y TAREAS'!AK44,211&lt;'EDT Y TAREAS'!AL44),'EDT Y TAREAS'!AD44/'EDT Y TAREAS'!M44,0),IF(AND(211&gt;='EDT Y TAREAS'!AK45,211&lt;'EDT Y TAREAS'!AL45),'EDT Y TAREAS'!AD45/'EDT Y TAREAS'!M45,0),IF(AND(211&gt;='EDT Y TAREAS'!AK46,211&lt;'EDT Y TAREAS'!AL46),'EDT Y TAREAS'!AD46/'EDT Y TAREAS'!M46,0),IF(AND(211&gt;='EDT Y TAREAS'!AK47,211&lt;'EDT Y TAREAS'!AL47),'EDT Y TAREAS'!AD47/'EDT Y TAREAS'!M47,0),IF(AND(211&gt;='EDT Y TAREAS'!AK49,211&lt;'EDT Y TAREAS'!AL49),'EDT Y TAREAS'!AD49/'EDT Y TAREAS'!M49,0),IF(AND(211&gt;='EDT Y TAREAS'!AK50,211&lt;'EDT Y TAREAS'!AL50),'EDT Y TAREAS'!AD50/'EDT Y TAREAS'!M50,0),IF(AND(211&gt;='EDT Y TAREAS'!AK51,211&lt;'EDT Y TAREAS'!AL51),'EDT Y TAREAS'!AD51/'EDT Y TAREAS'!M51,0),IF(AND(211&gt;='EDT Y TAREAS'!AK52,211&lt;'EDT Y TAREAS'!AL52),'EDT Y TAREAS'!AD52/'EDT Y TAREAS'!M52,0))</x:f>
        <x:v>0</x:v>
      </x:c>
      <x:c r="C251" s="35" t="n">
        <x:f>SUM(IF(AND(211&gt;='EDT Y TAREAS'!AK6,211&lt;'EDT Y TAREAS'!AL6),'EDT Y TAREAS'!AE6/'EDT Y TAREAS'!M6,0),IF(AND(211&gt;='EDT Y TAREAS'!AK8,211&lt;'EDT Y TAREAS'!AL8),'EDT Y TAREAS'!AE8/'EDT Y TAREAS'!M8,0),IF(AND(211&gt;='EDT Y TAREAS'!AK9,211&lt;'EDT Y TAREAS'!AL9),'EDT Y TAREAS'!AE9/'EDT Y TAREAS'!M9,0),IF(AND(211&gt;='EDT Y TAREAS'!AK10,211&lt;'EDT Y TAREAS'!AL10),'EDT Y TAREAS'!AE10/'EDT Y TAREAS'!M10,0),IF(AND(211&gt;='EDT Y TAREAS'!AK12,211&lt;'EDT Y TAREAS'!AL12),'EDT Y TAREAS'!AE12/'EDT Y TAREAS'!M12,0),IF(AND(211&gt;='EDT Y TAREAS'!AK16,211&lt;'EDT Y TAREAS'!AL16),'EDT Y TAREAS'!AE16/'EDT Y TAREAS'!M16,0),IF(AND(211&gt;='EDT Y TAREAS'!AK21,211&lt;'EDT Y TAREAS'!AL21),'EDT Y TAREAS'!AE21/'EDT Y TAREAS'!M21,0),IF(AND(211&gt;='EDT Y TAREAS'!AK23,211&lt;'EDT Y TAREAS'!AL23),'EDT Y TAREAS'!AE23/'EDT Y TAREAS'!M23,0),IF(AND(211&gt;='EDT Y TAREAS'!AK37,211&lt;'EDT Y TAREAS'!AL37),'EDT Y TAREAS'!AE37/'EDT Y TAREAS'!M37,0),IF(AND(211&gt;='EDT Y TAREAS'!AK38,211&lt;'EDT Y TAREAS'!AL38),'EDT Y TAREAS'!AE38/'EDT Y TAREAS'!M38,0),IF(AND(211&gt;='EDT Y TAREAS'!AK41,211&lt;'EDT Y TAREAS'!AL41),'EDT Y TAREAS'!AE41/'EDT Y TAREAS'!M41,0),IF(AND(211&gt;='EDT Y TAREAS'!AK43,211&lt;'EDT Y TAREAS'!AL43),'EDT Y TAREAS'!AE43/'EDT Y TAREAS'!M43,0),IF(AND(211&gt;='EDT Y TAREAS'!AK44,211&lt;'EDT Y TAREAS'!AL44),'EDT Y TAREAS'!AE44/'EDT Y TAREAS'!M44,0),IF(AND(211&gt;='EDT Y TAREAS'!AK46,211&lt;'EDT Y TAREAS'!AL46),'EDT Y TAREAS'!AE46/'EDT Y TAREAS'!M46,0),IF(AND(211&gt;='EDT Y TAREAS'!AK47,211&lt;'EDT Y TAREAS'!AL47),'EDT Y TAREAS'!AE47/'EDT Y TAREAS'!M47,0),IF(AND(211&gt;='EDT Y TAREAS'!AK51,211&lt;'EDT Y TAREAS'!AL51),'EDT Y TAREAS'!AE51/'EDT Y TAREAS'!M51,0),IF(AND(211&gt;='EDT Y TAREAS'!AK52,211&lt;'EDT Y TAREAS'!AL52),'EDT Y TAREAS'!AE52/'EDT Y TAREAS'!M52,0))</x:f>
        <x:v>0</x:v>
      </x:c>
      <x:c r="D251" s="35" t="n">
        <x:f>SUM(IF(AND(211&gt;='EDT Y TAREAS'!AK11,211&lt;'EDT Y TAREAS'!AL11),'EDT Y TAREAS'!AF11/'EDT Y TAREAS'!M11,0),IF(AND(211&gt;='EDT Y TAREAS'!AK24,211&lt;'EDT Y TAREAS'!AL24),'EDT Y TAREAS'!AF24/'EDT Y TAREAS'!M24,0),IF(AND(211&gt;='EDT Y TAREAS'!AK25,211&lt;'EDT Y TAREAS'!AL25),'EDT Y TAREAS'!AF25/'EDT Y TAREAS'!M25,0),IF(AND(211&gt;='EDT Y TAREAS'!AK26,211&lt;'EDT Y TAREAS'!AL26),'EDT Y TAREAS'!AF26/'EDT Y TAREAS'!M26,0),IF(AND(211&gt;='EDT Y TAREAS'!AK27,211&lt;'EDT Y TAREAS'!AL27),'EDT Y TAREAS'!AF27/'EDT Y TAREAS'!M27,0),IF(AND(211&gt;='EDT Y TAREAS'!AK28,211&lt;'EDT Y TAREAS'!AL28),'EDT Y TAREAS'!AF28/'EDT Y TAREAS'!M28,0),IF(AND(211&gt;='EDT Y TAREAS'!AK31,211&lt;'EDT Y TAREAS'!AL31),'EDT Y TAREAS'!AF31/'EDT Y TAREAS'!M31,0),IF(AND(211&gt;='EDT Y TAREAS'!AK33,211&lt;'EDT Y TAREAS'!AL33),'EDT Y TAREAS'!AF33/'EDT Y TAREAS'!M33,0),IF(AND(211&gt;='EDT Y TAREAS'!AK34,211&lt;'EDT Y TAREAS'!AL34),'EDT Y TAREAS'!AF34/'EDT Y TAREAS'!M34,0),IF(AND(211&gt;='EDT Y TAREAS'!AK35,211&lt;'EDT Y TAREAS'!AL35),'EDT Y TAREAS'!AF35/'EDT Y TAREAS'!M35,0),IF(AND(211&gt;='EDT Y TAREAS'!AK37,211&lt;'EDT Y TAREAS'!AL37),'EDT Y TAREAS'!AF37/'EDT Y TAREAS'!M37,0),IF(AND(211&gt;='EDT Y TAREAS'!AK39,211&lt;'EDT Y TAREAS'!AL39),'EDT Y TAREAS'!AF39/'EDT Y TAREAS'!M39,0),IF(AND(211&gt;='EDT Y TAREAS'!AK40,211&lt;'EDT Y TAREAS'!AL40),'EDT Y TAREAS'!AF40/'EDT Y TAREAS'!M40,0),IF(AND(211&gt;='EDT Y TAREAS'!AK42,211&lt;'EDT Y TAREAS'!AL42),'EDT Y TAREAS'!AF42/'EDT Y TAREAS'!M42,0),IF(AND(211&gt;='EDT Y TAREAS'!AK45,211&lt;'EDT Y TAREAS'!AL45),'EDT Y TAREAS'!AF45/'EDT Y TAREAS'!M45,0),IF(AND(211&gt;='EDT Y TAREAS'!AK49,211&lt;'EDT Y TAREAS'!AL49),'EDT Y TAREAS'!AF49/'EDT Y TAREAS'!M49,0),IF(AND(211&gt;='EDT Y TAREAS'!AK52,211&lt;'EDT Y TAREAS'!AL52),'EDT Y TAREAS'!AF52/'EDT Y TAREAS'!M52,0))</x:f>
        <x:v>0</x:v>
      </x:c>
      <x:c r="E251" s="35" t="n">
        <x:f>SUM(IF(AND(211&gt;='EDT Y TAREAS'!AK29,211&lt;'EDT Y TAREAS'!AL29),'EDT Y TAREAS'!AG29/'EDT Y TAREAS'!M29,0),IF(AND(211&gt;='EDT Y TAREAS'!AK30,211&lt;'EDT Y TAREAS'!AL30),'EDT Y TAREAS'!AG30/'EDT Y TAREAS'!M30,0),IF(AND(211&gt;='EDT Y TAREAS'!AK31,211&lt;'EDT Y TAREAS'!AL31),'EDT Y TAREAS'!AG31/'EDT Y TAREAS'!M31,0),IF(AND(211&gt;='EDT Y TAREAS'!AK32,211&lt;'EDT Y TAREAS'!AL32),'EDT Y TAREAS'!AG32/'EDT Y TAREAS'!M32,0),IF(AND(211&gt;='EDT Y TAREAS'!AK41,211&lt;'EDT Y TAREAS'!AL41),'EDT Y TAREAS'!AG41/'EDT Y TAREAS'!M41,0),IF(AND(211&gt;='EDT Y TAREAS'!AK45,211&lt;'EDT Y TAREAS'!AL45),'EDT Y TAREAS'!AG45/'EDT Y TAREAS'!M45,0),IF(AND(211&gt;='EDT Y TAREAS'!AK48,211&lt;'EDT Y TAREAS'!AL48),'EDT Y TAREAS'!AG48/'EDT Y TAREAS'!M48,0))</x:f>
        <x:v>0</x:v>
      </x:c>
      <x:c r="F251" s="35" t="n">
        <x:f>SUM(IF(AND(211&gt;='EDT Y TAREAS'!AK10,211&lt;'EDT Y TAREAS'!AL10),'EDT Y TAREAS'!AH10/'EDT Y TAREAS'!M10,0),IF(AND(211&gt;='EDT Y TAREAS'!AK12,211&lt;'EDT Y TAREAS'!AL12),'EDT Y TAREAS'!AH12/'EDT Y TAREAS'!M12,0),IF(AND(211&gt;='EDT Y TAREAS'!AK22,211&lt;'EDT Y TAREAS'!AL22),'EDT Y TAREAS'!AH22/'EDT Y TAREAS'!M22,0),IF(AND(211&gt;='EDT Y TAREAS'!AK23,211&lt;'EDT Y TAREAS'!AL23),'EDT Y TAREAS'!AH23/'EDT Y TAREAS'!M23,0),IF(AND(211&gt;='EDT Y TAREAS'!AK29,211&lt;'EDT Y TAREAS'!AL29),'EDT Y TAREAS'!AH29/'EDT Y TAREAS'!M29,0),IF(AND(211&gt;='EDT Y TAREAS'!AK30,211&lt;'EDT Y TAREAS'!AL30),'EDT Y TAREAS'!AH30/'EDT Y TAREAS'!M30,0),IF(AND(211&gt;='EDT Y TAREAS'!AK32,211&lt;'EDT Y TAREAS'!AL32),'EDT Y TAREAS'!AH32/'EDT Y TAREAS'!M32,0),IF(AND(211&gt;='EDT Y TAREAS'!AK41,211&lt;'EDT Y TAREAS'!AL41),'EDT Y TAREAS'!AH41/'EDT Y TAREAS'!M41,0),IF(AND(211&gt;='EDT Y TAREAS'!AK44,211&lt;'EDT Y TAREAS'!AL44),'EDT Y TAREAS'!AH44/'EDT Y TAREAS'!M44,0),IF(AND(211&gt;='EDT Y TAREAS'!AK46,211&lt;'EDT Y TAREAS'!AL46),'EDT Y TAREAS'!AH46/'EDT Y TAREAS'!M46,0),IF(AND(211&gt;='EDT Y TAREAS'!AK48,211&lt;'EDT Y TAREAS'!AL48),'EDT Y TAREAS'!AH48/'EDT Y TAREAS'!M48,0))</x:f>
        <x:v>0</x:v>
      </x:c>
      <x:c r="G251" s="35" t="n">
        <x:f>SUM(IF(AND(211&gt;='EDT Y TAREAS'!AK20,211&lt;'EDT Y TAREAS'!AL20),'EDT Y TAREAS'!AI20/'EDT Y TAREAS'!M20,0),IF(AND(211&gt;='EDT Y TAREAS'!AK25,211&lt;'EDT Y TAREAS'!AL25),'EDT Y TAREAS'!AI25/'EDT Y TAREAS'!M25,0),IF(AND(211&gt;='EDT Y TAREAS'!AK33,211&lt;'EDT Y TAREAS'!AL33),'EDT Y TAREAS'!AI33/'EDT Y TAREAS'!M33,0),IF(AND(211&gt;='EDT Y TAREAS'!AK34,211&lt;'EDT Y TAREAS'!AL34),'EDT Y TAREAS'!AI34/'EDT Y TAREAS'!M34,0),IF(AND(211&gt;='EDT Y TAREAS'!AK36,211&lt;'EDT Y TAREAS'!AL36),'EDT Y TAREAS'!AI36/'EDT Y TAREAS'!M36,0),IF(AND(211&gt;='EDT Y TAREAS'!AK39,211&lt;'EDT Y TAREAS'!AL39),'EDT Y TAREAS'!AI39/'EDT Y TAREAS'!M39,0),IF(AND(211&gt;='EDT Y TAREAS'!AK40,211&lt;'EDT Y TAREAS'!AL40),'EDT Y TAREAS'!AI40/'EDT Y TAREAS'!M40,0),IF(AND(211&gt;='EDT Y TAREAS'!AK42,211&lt;'EDT Y TAREAS'!AL42),'EDT Y TAREAS'!AI42/'EDT Y TAREAS'!M42,0),IF(AND(211&gt;='EDT Y TAREAS'!AK43,211&lt;'EDT Y TAREAS'!AL43),'EDT Y TAREAS'!AI43/'EDT Y TAREAS'!M43,0),IF(AND(211&gt;='EDT Y TAREAS'!AK44,211&lt;'EDT Y TAREAS'!AL44),'EDT Y TAREAS'!AI44/'EDT Y TAREAS'!M44,0),IF(AND(211&gt;='EDT Y TAREAS'!AK45,211&lt;'EDT Y TAREAS'!AL45),'EDT Y TAREAS'!AI45/'EDT Y TAREAS'!M45,0),IF(AND(211&gt;='EDT Y TAREAS'!AK46,211&lt;'EDT Y TAREAS'!AL46),'EDT Y TAREAS'!AI46/'EDT Y TAREAS'!M46,0),IF(AND(211&gt;='EDT Y TAREAS'!AK48,211&lt;'EDT Y TAREAS'!AL48),'EDT Y TAREAS'!AI48/'EDT Y TAREAS'!M48,0),IF(AND(211&gt;='EDT Y TAREAS'!AK50,211&lt;'EDT Y TAREAS'!AL50),'EDT Y TAREAS'!AI50/'EDT Y TAREAS'!M50,0),IF(AND(211&gt;='EDT Y TAREAS'!AK52,211&lt;'EDT Y TAREAS'!AL52),'EDT Y TAREAS'!AI52/'EDT Y TAREAS'!M52,0))</x:f>
        <x:v>0</x:v>
      </x:c>
      <x:c r="H251" s="35" t="n">
        <x:f>SUM(IF(AND(211&gt;='EDT Y TAREAS'!AK11,211&lt;'EDT Y TAREAS'!AL11),'EDT Y TAREAS'!AJ11/'EDT Y TAREAS'!M11,0),IF(AND(211&gt;='EDT Y TAREAS'!AK24,211&lt;'EDT Y TAREAS'!AL24),'EDT Y TAREAS'!AJ24/'EDT Y TAREAS'!M24,0),IF(AND(211&gt;='EDT Y TAREAS'!AK27,211&lt;'EDT Y TAREAS'!AL27),'EDT Y TAREAS'!AJ27/'EDT Y TAREAS'!M27,0),IF(AND(211&gt;='EDT Y TAREAS'!AK28,211&lt;'EDT Y TAREAS'!AL28),'EDT Y TAREAS'!AJ28/'EDT Y TAREAS'!M28,0),IF(AND(211&gt;='EDT Y TAREAS'!AK33,211&lt;'EDT Y TAREAS'!AL33),'EDT Y TAREAS'!AJ33/'EDT Y TAREAS'!M33,0),IF(AND(211&gt;='EDT Y TAREAS'!AK35,211&lt;'EDT Y TAREAS'!AL35),'EDT Y TAREAS'!AJ35/'EDT Y TAREAS'!M35,0),IF(AND(211&gt;='EDT Y TAREAS'!AK36,211&lt;'EDT Y TAREAS'!AL36),'EDT Y TAREAS'!AJ36/'EDT Y TAREAS'!M36,0),IF(AND(211&gt;='EDT Y TAREAS'!AK37,211&lt;'EDT Y TAREAS'!AL37),'EDT Y TAREAS'!AJ37/'EDT Y TAREAS'!M37,0),IF(AND(211&gt;='EDT Y TAREAS'!AK40,211&lt;'EDT Y TAREAS'!AL40),'EDT Y TAREAS'!AJ40/'EDT Y TAREAS'!M40,0),IF(AND(211&gt;='EDT Y TAREAS'!AK42,211&lt;'EDT Y TAREAS'!AL42),'EDT Y TAREAS'!AJ42/'EDT Y TAREAS'!M42,0),IF(AND(211&gt;='EDT Y TAREAS'!AK49,211&lt;'EDT Y TAREAS'!AL49),'EDT Y TAREAS'!AJ49/'EDT Y TAREAS'!M49,0),IF(AND(211&gt;='EDT Y TAREAS'!AK50,211&lt;'EDT Y TAREAS'!AL50),'EDT Y TAREAS'!AJ50/'EDT Y TAREAS'!M50,0),IF(AND(211&gt;='EDT Y TAREAS'!AK51,211&lt;'EDT Y TAREAS'!AL51),'EDT Y TAREAS'!AJ51/'EDT Y TAREAS'!M51,0),IF(AND(211&gt;='EDT Y TAREAS'!AK52,211&lt;'EDT Y TAREAS'!AL52),'EDT Y TAREAS'!AJ52/'EDT Y TAREAS'!M52,0))</x:f>
        <x:v>0</x:v>
      </x:c>
      <x:c r="I251" s="10" t="n">
        <x:f>WORKDAY('RESUMEN'!$D$3-1,A251,'RESUMEN'!$J$6:$J$25)</x:f>
        <x:v>46623</x:v>
      </x:c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  <x:c r="AM251" s="3"/>
      <x:c r="AN251" s="3"/>
      <x:c r="AO251" s="3"/>
    </x:row>
    <x:row r="252" ht="24" customHeight="1">
      <x:c r="A252" s="3" t="n">
        <x:v>213</x:v>
      </x:c>
      <x:c r="B252" s="35" t="n">
        <x:f>SUM(IF(AND(212&gt;='EDT Y TAREAS'!AK6,212&lt;'EDT Y TAREAS'!AL6),'EDT Y TAREAS'!AD6/'EDT Y TAREAS'!M6,0),IF(AND(212&gt;='EDT Y TAREAS'!AK7,212&lt;'EDT Y TAREAS'!AL7),'EDT Y TAREAS'!AD7/'EDT Y TAREAS'!M7,0),IF(AND(212&gt;='EDT Y TAREAS'!AK8,212&lt;'EDT Y TAREAS'!AL8),'EDT Y TAREAS'!AD8/'EDT Y TAREAS'!M8,0),IF(AND(212&gt;='EDT Y TAREAS'!AK9,212&lt;'EDT Y TAREAS'!AL9),'EDT Y TAREAS'!AD9/'EDT Y TAREAS'!M9,0),IF(AND(212&gt;='EDT Y TAREAS'!AK10,212&lt;'EDT Y TAREAS'!AL10),'EDT Y TAREAS'!AD10/'EDT Y TAREAS'!M10,0),IF(AND(212&gt;='EDT Y TAREAS'!AK11,212&lt;'EDT Y TAREAS'!AL11),'EDT Y TAREAS'!AD11/'EDT Y TAREAS'!M11,0),IF(AND(212&gt;='EDT Y TAREAS'!AK12,212&lt;'EDT Y TAREAS'!AL12),'EDT Y TAREAS'!AD12/'EDT Y TAREAS'!M12,0),IF(AND(212&gt;='EDT Y TAREAS'!AK13,212&lt;'EDT Y TAREAS'!AL13),'EDT Y TAREAS'!AD13/'EDT Y TAREAS'!M13,0),IF(AND(212&gt;='EDT Y TAREAS'!AK14,212&lt;'EDT Y TAREAS'!AL14),'EDT Y TAREAS'!AD14/'EDT Y TAREAS'!M14,0),IF(AND(212&gt;='EDT Y TAREAS'!AK15,212&lt;'EDT Y TAREAS'!AL15),'EDT Y TAREAS'!AD15/'EDT Y TAREAS'!M15,0),IF(AND(212&gt;='EDT Y TAREAS'!AK16,212&lt;'EDT Y TAREAS'!AL16),'EDT Y TAREAS'!AD16/'EDT Y TAREAS'!M16,0),IF(AND(212&gt;='EDT Y TAREAS'!AK17,212&lt;'EDT Y TAREAS'!AL17),'EDT Y TAREAS'!AD17/'EDT Y TAREAS'!M17,0),IF(AND(212&gt;='EDT Y TAREAS'!AK18,212&lt;'EDT Y TAREAS'!AL18),'EDT Y TAREAS'!AD18/'EDT Y TAREAS'!M18,0),IF(AND(212&gt;='EDT Y TAREAS'!AK19,212&lt;'EDT Y TAREAS'!AL19),'EDT Y TAREAS'!AD19/'EDT Y TAREAS'!M19,0),IF(AND(212&gt;='EDT Y TAREAS'!AK20,212&lt;'EDT Y TAREAS'!AL20),'EDT Y TAREAS'!AD20/'EDT Y TAREAS'!M20,0),IF(AND(212&gt;='EDT Y TAREAS'!AK21,212&lt;'EDT Y TAREAS'!AL21),'EDT Y TAREAS'!AD21/'EDT Y TAREAS'!M21,0),IF(AND(212&gt;='EDT Y TAREAS'!AK22,212&lt;'EDT Y TAREAS'!AL22),'EDT Y TAREAS'!AD22/'EDT Y TAREAS'!M22,0),IF(AND(212&gt;='EDT Y TAREAS'!AK23,212&lt;'EDT Y TAREAS'!AL23),'EDT Y TAREAS'!AD23/'EDT Y TAREAS'!M23,0),IF(AND(212&gt;='EDT Y TAREAS'!AK26,212&lt;'EDT Y TAREAS'!AL26),'EDT Y TAREAS'!AD26/'EDT Y TAREAS'!M26,0),IF(AND(212&gt;='EDT Y TAREAS'!AK28,212&lt;'EDT Y TAREAS'!AL28),'EDT Y TAREAS'!AD28/'EDT Y TAREAS'!M28,0),IF(AND(212&gt;='EDT Y TAREAS'!AK30,212&lt;'EDT Y TAREAS'!AL30),'EDT Y TAREAS'!AD30/'EDT Y TAREAS'!M30,0),IF(AND(212&gt;='EDT Y TAREAS'!AK32,212&lt;'EDT Y TAREAS'!AL32),'EDT Y TAREAS'!AD32/'EDT Y TAREAS'!M32,0),IF(AND(212&gt;='EDT Y TAREAS'!AK34,212&lt;'EDT Y TAREAS'!AL34),'EDT Y TAREAS'!AD34/'EDT Y TAREAS'!M34,0),IF(AND(212&gt;='EDT Y TAREAS'!AK38,212&lt;'EDT Y TAREAS'!AL38),'EDT Y TAREAS'!AD38/'EDT Y TAREAS'!M38,0),IF(AND(212&gt;='EDT Y TAREAS'!AK39,212&lt;'EDT Y TAREAS'!AL39),'EDT Y TAREAS'!AD39/'EDT Y TAREAS'!M39,0),IF(AND(212&gt;='EDT Y TAREAS'!AK43,212&lt;'EDT Y TAREAS'!AL43),'EDT Y TAREAS'!AD43/'EDT Y TAREAS'!M43,0),IF(AND(212&gt;='EDT Y TAREAS'!AK44,212&lt;'EDT Y TAREAS'!AL44),'EDT Y TAREAS'!AD44/'EDT Y TAREAS'!M44,0),IF(AND(212&gt;='EDT Y TAREAS'!AK45,212&lt;'EDT Y TAREAS'!AL45),'EDT Y TAREAS'!AD45/'EDT Y TAREAS'!M45,0),IF(AND(212&gt;='EDT Y TAREAS'!AK46,212&lt;'EDT Y TAREAS'!AL46),'EDT Y TAREAS'!AD46/'EDT Y TAREAS'!M46,0),IF(AND(212&gt;='EDT Y TAREAS'!AK47,212&lt;'EDT Y TAREAS'!AL47),'EDT Y TAREAS'!AD47/'EDT Y TAREAS'!M47,0),IF(AND(212&gt;='EDT Y TAREAS'!AK49,212&lt;'EDT Y TAREAS'!AL49),'EDT Y TAREAS'!AD49/'EDT Y TAREAS'!M49,0),IF(AND(212&gt;='EDT Y TAREAS'!AK50,212&lt;'EDT Y TAREAS'!AL50),'EDT Y TAREAS'!AD50/'EDT Y TAREAS'!M50,0),IF(AND(212&gt;='EDT Y TAREAS'!AK51,212&lt;'EDT Y TAREAS'!AL51),'EDT Y TAREAS'!AD51/'EDT Y TAREAS'!M51,0),IF(AND(212&gt;='EDT Y TAREAS'!AK52,212&lt;'EDT Y TAREAS'!AL52),'EDT Y TAREAS'!AD52/'EDT Y TAREAS'!M52,0))</x:f>
        <x:v>0</x:v>
      </x:c>
      <x:c r="C252" s="35" t="n">
        <x:f>SUM(IF(AND(212&gt;='EDT Y TAREAS'!AK6,212&lt;'EDT Y TAREAS'!AL6),'EDT Y TAREAS'!AE6/'EDT Y TAREAS'!M6,0),IF(AND(212&gt;='EDT Y TAREAS'!AK8,212&lt;'EDT Y TAREAS'!AL8),'EDT Y TAREAS'!AE8/'EDT Y TAREAS'!M8,0),IF(AND(212&gt;='EDT Y TAREAS'!AK9,212&lt;'EDT Y TAREAS'!AL9),'EDT Y TAREAS'!AE9/'EDT Y TAREAS'!M9,0),IF(AND(212&gt;='EDT Y TAREAS'!AK10,212&lt;'EDT Y TAREAS'!AL10),'EDT Y TAREAS'!AE10/'EDT Y TAREAS'!M10,0),IF(AND(212&gt;='EDT Y TAREAS'!AK12,212&lt;'EDT Y TAREAS'!AL12),'EDT Y TAREAS'!AE12/'EDT Y TAREAS'!M12,0),IF(AND(212&gt;='EDT Y TAREAS'!AK16,212&lt;'EDT Y TAREAS'!AL16),'EDT Y TAREAS'!AE16/'EDT Y TAREAS'!M16,0),IF(AND(212&gt;='EDT Y TAREAS'!AK21,212&lt;'EDT Y TAREAS'!AL21),'EDT Y TAREAS'!AE21/'EDT Y TAREAS'!M21,0),IF(AND(212&gt;='EDT Y TAREAS'!AK23,212&lt;'EDT Y TAREAS'!AL23),'EDT Y TAREAS'!AE23/'EDT Y TAREAS'!M23,0),IF(AND(212&gt;='EDT Y TAREAS'!AK37,212&lt;'EDT Y TAREAS'!AL37),'EDT Y TAREAS'!AE37/'EDT Y TAREAS'!M37,0),IF(AND(212&gt;='EDT Y TAREAS'!AK38,212&lt;'EDT Y TAREAS'!AL38),'EDT Y TAREAS'!AE38/'EDT Y TAREAS'!M38,0),IF(AND(212&gt;='EDT Y TAREAS'!AK41,212&lt;'EDT Y TAREAS'!AL41),'EDT Y TAREAS'!AE41/'EDT Y TAREAS'!M41,0),IF(AND(212&gt;='EDT Y TAREAS'!AK43,212&lt;'EDT Y TAREAS'!AL43),'EDT Y TAREAS'!AE43/'EDT Y TAREAS'!M43,0),IF(AND(212&gt;='EDT Y TAREAS'!AK44,212&lt;'EDT Y TAREAS'!AL44),'EDT Y TAREAS'!AE44/'EDT Y TAREAS'!M44,0),IF(AND(212&gt;='EDT Y TAREAS'!AK46,212&lt;'EDT Y TAREAS'!AL46),'EDT Y TAREAS'!AE46/'EDT Y TAREAS'!M46,0),IF(AND(212&gt;='EDT Y TAREAS'!AK47,212&lt;'EDT Y TAREAS'!AL47),'EDT Y TAREAS'!AE47/'EDT Y TAREAS'!M47,0),IF(AND(212&gt;='EDT Y TAREAS'!AK51,212&lt;'EDT Y TAREAS'!AL51),'EDT Y TAREAS'!AE51/'EDT Y TAREAS'!M51,0),IF(AND(212&gt;='EDT Y TAREAS'!AK52,212&lt;'EDT Y TAREAS'!AL52),'EDT Y TAREAS'!AE52/'EDT Y TAREAS'!M52,0))</x:f>
        <x:v>0</x:v>
      </x:c>
      <x:c r="D252" s="35" t="n">
        <x:f>SUM(IF(AND(212&gt;='EDT Y TAREAS'!AK11,212&lt;'EDT Y TAREAS'!AL11),'EDT Y TAREAS'!AF11/'EDT Y TAREAS'!M11,0),IF(AND(212&gt;='EDT Y TAREAS'!AK24,212&lt;'EDT Y TAREAS'!AL24),'EDT Y TAREAS'!AF24/'EDT Y TAREAS'!M24,0),IF(AND(212&gt;='EDT Y TAREAS'!AK25,212&lt;'EDT Y TAREAS'!AL25),'EDT Y TAREAS'!AF25/'EDT Y TAREAS'!M25,0),IF(AND(212&gt;='EDT Y TAREAS'!AK26,212&lt;'EDT Y TAREAS'!AL26),'EDT Y TAREAS'!AF26/'EDT Y TAREAS'!M26,0),IF(AND(212&gt;='EDT Y TAREAS'!AK27,212&lt;'EDT Y TAREAS'!AL27),'EDT Y TAREAS'!AF27/'EDT Y TAREAS'!M27,0),IF(AND(212&gt;='EDT Y TAREAS'!AK28,212&lt;'EDT Y TAREAS'!AL28),'EDT Y TAREAS'!AF28/'EDT Y TAREAS'!M28,0),IF(AND(212&gt;='EDT Y TAREAS'!AK31,212&lt;'EDT Y TAREAS'!AL31),'EDT Y TAREAS'!AF31/'EDT Y TAREAS'!M31,0),IF(AND(212&gt;='EDT Y TAREAS'!AK33,212&lt;'EDT Y TAREAS'!AL33),'EDT Y TAREAS'!AF33/'EDT Y TAREAS'!M33,0),IF(AND(212&gt;='EDT Y TAREAS'!AK34,212&lt;'EDT Y TAREAS'!AL34),'EDT Y TAREAS'!AF34/'EDT Y TAREAS'!M34,0),IF(AND(212&gt;='EDT Y TAREAS'!AK35,212&lt;'EDT Y TAREAS'!AL35),'EDT Y TAREAS'!AF35/'EDT Y TAREAS'!M35,0),IF(AND(212&gt;='EDT Y TAREAS'!AK37,212&lt;'EDT Y TAREAS'!AL37),'EDT Y TAREAS'!AF37/'EDT Y TAREAS'!M37,0),IF(AND(212&gt;='EDT Y TAREAS'!AK39,212&lt;'EDT Y TAREAS'!AL39),'EDT Y TAREAS'!AF39/'EDT Y TAREAS'!M39,0),IF(AND(212&gt;='EDT Y TAREAS'!AK40,212&lt;'EDT Y TAREAS'!AL40),'EDT Y TAREAS'!AF40/'EDT Y TAREAS'!M40,0),IF(AND(212&gt;='EDT Y TAREAS'!AK42,212&lt;'EDT Y TAREAS'!AL42),'EDT Y TAREAS'!AF42/'EDT Y TAREAS'!M42,0),IF(AND(212&gt;='EDT Y TAREAS'!AK45,212&lt;'EDT Y TAREAS'!AL45),'EDT Y TAREAS'!AF45/'EDT Y TAREAS'!M45,0),IF(AND(212&gt;='EDT Y TAREAS'!AK49,212&lt;'EDT Y TAREAS'!AL49),'EDT Y TAREAS'!AF49/'EDT Y TAREAS'!M49,0),IF(AND(212&gt;='EDT Y TAREAS'!AK52,212&lt;'EDT Y TAREAS'!AL52),'EDT Y TAREAS'!AF52/'EDT Y TAREAS'!M52,0))</x:f>
        <x:v>0</x:v>
      </x:c>
      <x:c r="E252" s="35" t="n">
        <x:f>SUM(IF(AND(212&gt;='EDT Y TAREAS'!AK29,212&lt;'EDT Y TAREAS'!AL29),'EDT Y TAREAS'!AG29/'EDT Y TAREAS'!M29,0),IF(AND(212&gt;='EDT Y TAREAS'!AK30,212&lt;'EDT Y TAREAS'!AL30),'EDT Y TAREAS'!AG30/'EDT Y TAREAS'!M30,0),IF(AND(212&gt;='EDT Y TAREAS'!AK31,212&lt;'EDT Y TAREAS'!AL31),'EDT Y TAREAS'!AG31/'EDT Y TAREAS'!M31,0),IF(AND(212&gt;='EDT Y TAREAS'!AK32,212&lt;'EDT Y TAREAS'!AL32),'EDT Y TAREAS'!AG32/'EDT Y TAREAS'!M32,0),IF(AND(212&gt;='EDT Y TAREAS'!AK41,212&lt;'EDT Y TAREAS'!AL41),'EDT Y TAREAS'!AG41/'EDT Y TAREAS'!M41,0),IF(AND(212&gt;='EDT Y TAREAS'!AK45,212&lt;'EDT Y TAREAS'!AL45),'EDT Y TAREAS'!AG45/'EDT Y TAREAS'!M45,0),IF(AND(212&gt;='EDT Y TAREAS'!AK48,212&lt;'EDT Y TAREAS'!AL48),'EDT Y TAREAS'!AG48/'EDT Y TAREAS'!M48,0))</x:f>
        <x:v>0</x:v>
      </x:c>
      <x:c r="F252" s="35" t="n">
        <x:f>SUM(IF(AND(212&gt;='EDT Y TAREAS'!AK10,212&lt;'EDT Y TAREAS'!AL10),'EDT Y TAREAS'!AH10/'EDT Y TAREAS'!M10,0),IF(AND(212&gt;='EDT Y TAREAS'!AK12,212&lt;'EDT Y TAREAS'!AL12),'EDT Y TAREAS'!AH12/'EDT Y TAREAS'!M12,0),IF(AND(212&gt;='EDT Y TAREAS'!AK22,212&lt;'EDT Y TAREAS'!AL22),'EDT Y TAREAS'!AH22/'EDT Y TAREAS'!M22,0),IF(AND(212&gt;='EDT Y TAREAS'!AK23,212&lt;'EDT Y TAREAS'!AL23),'EDT Y TAREAS'!AH23/'EDT Y TAREAS'!M23,0),IF(AND(212&gt;='EDT Y TAREAS'!AK29,212&lt;'EDT Y TAREAS'!AL29),'EDT Y TAREAS'!AH29/'EDT Y TAREAS'!M29,0),IF(AND(212&gt;='EDT Y TAREAS'!AK30,212&lt;'EDT Y TAREAS'!AL30),'EDT Y TAREAS'!AH30/'EDT Y TAREAS'!M30,0),IF(AND(212&gt;='EDT Y TAREAS'!AK32,212&lt;'EDT Y TAREAS'!AL32),'EDT Y TAREAS'!AH32/'EDT Y TAREAS'!M32,0),IF(AND(212&gt;='EDT Y TAREAS'!AK41,212&lt;'EDT Y TAREAS'!AL41),'EDT Y TAREAS'!AH41/'EDT Y TAREAS'!M41,0),IF(AND(212&gt;='EDT Y TAREAS'!AK44,212&lt;'EDT Y TAREAS'!AL44),'EDT Y TAREAS'!AH44/'EDT Y TAREAS'!M44,0),IF(AND(212&gt;='EDT Y TAREAS'!AK46,212&lt;'EDT Y TAREAS'!AL46),'EDT Y TAREAS'!AH46/'EDT Y TAREAS'!M46,0),IF(AND(212&gt;='EDT Y TAREAS'!AK48,212&lt;'EDT Y TAREAS'!AL48),'EDT Y TAREAS'!AH48/'EDT Y TAREAS'!M48,0))</x:f>
        <x:v>0</x:v>
      </x:c>
      <x:c r="G252" s="35" t="n">
        <x:f>SUM(IF(AND(212&gt;='EDT Y TAREAS'!AK20,212&lt;'EDT Y TAREAS'!AL20),'EDT Y TAREAS'!AI20/'EDT Y TAREAS'!M20,0),IF(AND(212&gt;='EDT Y TAREAS'!AK25,212&lt;'EDT Y TAREAS'!AL25),'EDT Y TAREAS'!AI25/'EDT Y TAREAS'!M25,0),IF(AND(212&gt;='EDT Y TAREAS'!AK33,212&lt;'EDT Y TAREAS'!AL33),'EDT Y TAREAS'!AI33/'EDT Y TAREAS'!M33,0),IF(AND(212&gt;='EDT Y TAREAS'!AK34,212&lt;'EDT Y TAREAS'!AL34),'EDT Y TAREAS'!AI34/'EDT Y TAREAS'!M34,0),IF(AND(212&gt;='EDT Y TAREAS'!AK36,212&lt;'EDT Y TAREAS'!AL36),'EDT Y TAREAS'!AI36/'EDT Y TAREAS'!M36,0),IF(AND(212&gt;='EDT Y TAREAS'!AK39,212&lt;'EDT Y TAREAS'!AL39),'EDT Y TAREAS'!AI39/'EDT Y TAREAS'!M39,0),IF(AND(212&gt;='EDT Y TAREAS'!AK40,212&lt;'EDT Y TAREAS'!AL40),'EDT Y TAREAS'!AI40/'EDT Y TAREAS'!M40,0),IF(AND(212&gt;='EDT Y TAREAS'!AK42,212&lt;'EDT Y TAREAS'!AL42),'EDT Y TAREAS'!AI42/'EDT Y TAREAS'!M42,0),IF(AND(212&gt;='EDT Y TAREAS'!AK43,212&lt;'EDT Y TAREAS'!AL43),'EDT Y TAREAS'!AI43/'EDT Y TAREAS'!M43,0),IF(AND(212&gt;='EDT Y TAREAS'!AK44,212&lt;'EDT Y TAREAS'!AL44),'EDT Y TAREAS'!AI44/'EDT Y TAREAS'!M44,0),IF(AND(212&gt;='EDT Y TAREAS'!AK45,212&lt;'EDT Y TAREAS'!AL45),'EDT Y TAREAS'!AI45/'EDT Y TAREAS'!M45,0),IF(AND(212&gt;='EDT Y TAREAS'!AK46,212&lt;'EDT Y TAREAS'!AL46),'EDT Y TAREAS'!AI46/'EDT Y TAREAS'!M46,0),IF(AND(212&gt;='EDT Y TAREAS'!AK48,212&lt;'EDT Y TAREAS'!AL48),'EDT Y TAREAS'!AI48/'EDT Y TAREAS'!M48,0),IF(AND(212&gt;='EDT Y TAREAS'!AK50,212&lt;'EDT Y TAREAS'!AL50),'EDT Y TAREAS'!AI50/'EDT Y TAREAS'!M50,0),IF(AND(212&gt;='EDT Y TAREAS'!AK52,212&lt;'EDT Y TAREAS'!AL52),'EDT Y TAREAS'!AI52/'EDT Y TAREAS'!M52,0))</x:f>
        <x:v>0</x:v>
      </x:c>
      <x:c r="H252" s="35" t="n">
        <x:f>SUM(IF(AND(212&gt;='EDT Y TAREAS'!AK11,212&lt;'EDT Y TAREAS'!AL11),'EDT Y TAREAS'!AJ11/'EDT Y TAREAS'!M11,0),IF(AND(212&gt;='EDT Y TAREAS'!AK24,212&lt;'EDT Y TAREAS'!AL24),'EDT Y TAREAS'!AJ24/'EDT Y TAREAS'!M24,0),IF(AND(212&gt;='EDT Y TAREAS'!AK27,212&lt;'EDT Y TAREAS'!AL27),'EDT Y TAREAS'!AJ27/'EDT Y TAREAS'!M27,0),IF(AND(212&gt;='EDT Y TAREAS'!AK28,212&lt;'EDT Y TAREAS'!AL28),'EDT Y TAREAS'!AJ28/'EDT Y TAREAS'!M28,0),IF(AND(212&gt;='EDT Y TAREAS'!AK33,212&lt;'EDT Y TAREAS'!AL33),'EDT Y TAREAS'!AJ33/'EDT Y TAREAS'!M33,0),IF(AND(212&gt;='EDT Y TAREAS'!AK35,212&lt;'EDT Y TAREAS'!AL35),'EDT Y TAREAS'!AJ35/'EDT Y TAREAS'!M35,0),IF(AND(212&gt;='EDT Y TAREAS'!AK36,212&lt;'EDT Y TAREAS'!AL36),'EDT Y TAREAS'!AJ36/'EDT Y TAREAS'!M36,0),IF(AND(212&gt;='EDT Y TAREAS'!AK37,212&lt;'EDT Y TAREAS'!AL37),'EDT Y TAREAS'!AJ37/'EDT Y TAREAS'!M37,0),IF(AND(212&gt;='EDT Y TAREAS'!AK40,212&lt;'EDT Y TAREAS'!AL40),'EDT Y TAREAS'!AJ40/'EDT Y TAREAS'!M40,0),IF(AND(212&gt;='EDT Y TAREAS'!AK42,212&lt;'EDT Y TAREAS'!AL42),'EDT Y TAREAS'!AJ42/'EDT Y TAREAS'!M42,0),IF(AND(212&gt;='EDT Y TAREAS'!AK49,212&lt;'EDT Y TAREAS'!AL49),'EDT Y TAREAS'!AJ49/'EDT Y TAREAS'!M49,0),IF(AND(212&gt;='EDT Y TAREAS'!AK50,212&lt;'EDT Y TAREAS'!AL50),'EDT Y TAREAS'!AJ50/'EDT Y TAREAS'!M50,0),IF(AND(212&gt;='EDT Y TAREAS'!AK51,212&lt;'EDT Y TAREAS'!AL51),'EDT Y TAREAS'!AJ51/'EDT Y TAREAS'!M51,0),IF(AND(212&gt;='EDT Y TAREAS'!AK52,212&lt;'EDT Y TAREAS'!AL52),'EDT Y TAREAS'!AJ52/'EDT Y TAREAS'!M52,0))</x:f>
        <x:v>0</x:v>
      </x:c>
      <x:c r="I252" s="10" t="n">
        <x:f>WORKDAY('RESUMEN'!$D$3-1,A252,'RESUMEN'!$J$6:$J$25)</x:f>
        <x:v>46624</x:v>
      </x:c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  <x:c r="AL252" s="3"/>
      <x:c r="AM252" s="3"/>
      <x:c r="AN252" s="3"/>
      <x:c r="AO252" s="3"/>
    </x:row>
    <x:row r="253" ht="24" customHeight="1">
      <x:c r="A253" s="3" t="n">
        <x:v>214</x:v>
      </x:c>
      <x:c r="B253" s="35" t="n">
        <x:f>SUM(IF(AND(213&gt;='EDT Y TAREAS'!AK6,213&lt;'EDT Y TAREAS'!AL6),'EDT Y TAREAS'!AD6/'EDT Y TAREAS'!M6,0),IF(AND(213&gt;='EDT Y TAREAS'!AK7,213&lt;'EDT Y TAREAS'!AL7),'EDT Y TAREAS'!AD7/'EDT Y TAREAS'!M7,0),IF(AND(213&gt;='EDT Y TAREAS'!AK8,213&lt;'EDT Y TAREAS'!AL8),'EDT Y TAREAS'!AD8/'EDT Y TAREAS'!M8,0),IF(AND(213&gt;='EDT Y TAREAS'!AK9,213&lt;'EDT Y TAREAS'!AL9),'EDT Y TAREAS'!AD9/'EDT Y TAREAS'!M9,0),IF(AND(213&gt;='EDT Y TAREAS'!AK10,213&lt;'EDT Y TAREAS'!AL10),'EDT Y TAREAS'!AD10/'EDT Y TAREAS'!M10,0),IF(AND(213&gt;='EDT Y TAREAS'!AK11,213&lt;'EDT Y TAREAS'!AL11),'EDT Y TAREAS'!AD11/'EDT Y TAREAS'!M11,0),IF(AND(213&gt;='EDT Y TAREAS'!AK12,213&lt;'EDT Y TAREAS'!AL12),'EDT Y TAREAS'!AD12/'EDT Y TAREAS'!M12,0),IF(AND(213&gt;='EDT Y TAREAS'!AK13,213&lt;'EDT Y TAREAS'!AL13),'EDT Y TAREAS'!AD13/'EDT Y TAREAS'!M13,0),IF(AND(213&gt;='EDT Y TAREAS'!AK14,213&lt;'EDT Y TAREAS'!AL14),'EDT Y TAREAS'!AD14/'EDT Y TAREAS'!M14,0),IF(AND(213&gt;='EDT Y TAREAS'!AK15,213&lt;'EDT Y TAREAS'!AL15),'EDT Y TAREAS'!AD15/'EDT Y TAREAS'!M15,0),IF(AND(213&gt;='EDT Y TAREAS'!AK16,213&lt;'EDT Y TAREAS'!AL16),'EDT Y TAREAS'!AD16/'EDT Y TAREAS'!M16,0),IF(AND(213&gt;='EDT Y TAREAS'!AK17,213&lt;'EDT Y TAREAS'!AL17),'EDT Y TAREAS'!AD17/'EDT Y TAREAS'!M17,0),IF(AND(213&gt;='EDT Y TAREAS'!AK18,213&lt;'EDT Y TAREAS'!AL18),'EDT Y TAREAS'!AD18/'EDT Y TAREAS'!M18,0),IF(AND(213&gt;='EDT Y TAREAS'!AK19,213&lt;'EDT Y TAREAS'!AL19),'EDT Y TAREAS'!AD19/'EDT Y TAREAS'!M19,0),IF(AND(213&gt;='EDT Y TAREAS'!AK20,213&lt;'EDT Y TAREAS'!AL20),'EDT Y TAREAS'!AD20/'EDT Y TAREAS'!M20,0),IF(AND(213&gt;='EDT Y TAREAS'!AK21,213&lt;'EDT Y TAREAS'!AL21),'EDT Y TAREAS'!AD21/'EDT Y TAREAS'!M21,0),IF(AND(213&gt;='EDT Y TAREAS'!AK22,213&lt;'EDT Y TAREAS'!AL22),'EDT Y TAREAS'!AD22/'EDT Y TAREAS'!M22,0),IF(AND(213&gt;='EDT Y TAREAS'!AK23,213&lt;'EDT Y TAREAS'!AL23),'EDT Y TAREAS'!AD23/'EDT Y TAREAS'!M23,0),IF(AND(213&gt;='EDT Y TAREAS'!AK26,213&lt;'EDT Y TAREAS'!AL26),'EDT Y TAREAS'!AD26/'EDT Y TAREAS'!M26,0),IF(AND(213&gt;='EDT Y TAREAS'!AK28,213&lt;'EDT Y TAREAS'!AL28),'EDT Y TAREAS'!AD28/'EDT Y TAREAS'!M28,0),IF(AND(213&gt;='EDT Y TAREAS'!AK30,213&lt;'EDT Y TAREAS'!AL30),'EDT Y TAREAS'!AD30/'EDT Y TAREAS'!M30,0),IF(AND(213&gt;='EDT Y TAREAS'!AK32,213&lt;'EDT Y TAREAS'!AL32),'EDT Y TAREAS'!AD32/'EDT Y TAREAS'!M32,0),IF(AND(213&gt;='EDT Y TAREAS'!AK34,213&lt;'EDT Y TAREAS'!AL34),'EDT Y TAREAS'!AD34/'EDT Y TAREAS'!M34,0),IF(AND(213&gt;='EDT Y TAREAS'!AK38,213&lt;'EDT Y TAREAS'!AL38),'EDT Y TAREAS'!AD38/'EDT Y TAREAS'!M38,0),IF(AND(213&gt;='EDT Y TAREAS'!AK39,213&lt;'EDT Y TAREAS'!AL39),'EDT Y TAREAS'!AD39/'EDT Y TAREAS'!M39,0),IF(AND(213&gt;='EDT Y TAREAS'!AK43,213&lt;'EDT Y TAREAS'!AL43),'EDT Y TAREAS'!AD43/'EDT Y TAREAS'!M43,0),IF(AND(213&gt;='EDT Y TAREAS'!AK44,213&lt;'EDT Y TAREAS'!AL44),'EDT Y TAREAS'!AD44/'EDT Y TAREAS'!M44,0),IF(AND(213&gt;='EDT Y TAREAS'!AK45,213&lt;'EDT Y TAREAS'!AL45),'EDT Y TAREAS'!AD45/'EDT Y TAREAS'!M45,0),IF(AND(213&gt;='EDT Y TAREAS'!AK46,213&lt;'EDT Y TAREAS'!AL46),'EDT Y TAREAS'!AD46/'EDT Y TAREAS'!M46,0),IF(AND(213&gt;='EDT Y TAREAS'!AK47,213&lt;'EDT Y TAREAS'!AL47),'EDT Y TAREAS'!AD47/'EDT Y TAREAS'!M47,0),IF(AND(213&gt;='EDT Y TAREAS'!AK49,213&lt;'EDT Y TAREAS'!AL49),'EDT Y TAREAS'!AD49/'EDT Y TAREAS'!M49,0),IF(AND(213&gt;='EDT Y TAREAS'!AK50,213&lt;'EDT Y TAREAS'!AL50),'EDT Y TAREAS'!AD50/'EDT Y TAREAS'!M50,0),IF(AND(213&gt;='EDT Y TAREAS'!AK51,213&lt;'EDT Y TAREAS'!AL51),'EDT Y TAREAS'!AD51/'EDT Y TAREAS'!M51,0),IF(AND(213&gt;='EDT Y TAREAS'!AK52,213&lt;'EDT Y TAREAS'!AL52),'EDT Y TAREAS'!AD52/'EDT Y TAREAS'!M52,0))</x:f>
        <x:v>0</x:v>
      </x:c>
      <x:c r="C253" s="35" t="n">
        <x:f>SUM(IF(AND(213&gt;='EDT Y TAREAS'!AK6,213&lt;'EDT Y TAREAS'!AL6),'EDT Y TAREAS'!AE6/'EDT Y TAREAS'!M6,0),IF(AND(213&gt;='EDT Y TAREAS'!AK8,213&lt;'EDT Y TAREAS'!AL8),'EDT Y TAREAS'!AE8/'EDT Y TAREAS'!M8,0),IF(AND(213&gt;='EDT Y TAREAS'!AK9,213&lt;'EDT Y TAREAS'!AL9),'EDT Y TAREAS'!AE9/'EDT Y TAREAS'!M9,0),IF(AND(213&gt;='EDT Y TAREAS'!AK10,213&lt;'EDT Y TAREAS'!AL10),'EDT Y TAREAS'!AE10/'EDT Y TAREAS'!M10,0),IF(AND(213&gt;='EDT Y TAREAS'!AK12,213&lt;'EDT Y TAREAS'!AL12),'EDT Y TAREAS'!AE12/'EDT Y TAREAS'!M12,0),IF(AND(213&gt;='EDT Y TAREAS'!AK16,213&lt;'EDT Y TAREAS'!AL16),'EDT Y TAREAS'!AE16/'EDT Y TAREAS'!M16,0),IF(AND(213&gt;='EDT Y TAREAS'!AK21,213&lt;'EDT Y TAREAS'!AL21),'EDT Y TAREAS'!AE21/'EDT Y TAREAS'!M21,0),IF(AND(213&gt;='EDT Y TAREAS'!AK23,213&lt;'EDT Y TAREAS'!AL23),'EDT Y TAREAS'!AE23/'EDT Y TAREAS'!M23,0),IF(AND(213&gt;='EDT Y TAREAS'!AK37,213&lt;'EDT Y TAREAS'!AL37),'EDT Y TAREAS'!AE37/'EDT Y TAREAS'!M37,0),IF(AND(213&gt;='EDT Y TAREAS'!AK38,213&lt;'EDT Y TAREAS'!AL38),'EDT Y TAREAS'!AE38/'EDT Y TAREAS'!M38,0),IF(AND(213&gt;='EDT Y TAREAS'!AK41,213&lt;'EDT Y TAREAS'!AL41),'EDT Y TAREAS'!AE41/'EDT Y TAREAS'!M41,0),IF(AND(213&gt;='EDT Y TAREAS'!AK43,213&lt;'EDT Y TAREAS'!AL43),'EDT Y TAREAS'!AE43/'EDT Y TAREAS'!M43,0),IF(AND(213&gt;='EDT Y TAREAS'!AK44,213&lt;'EDT Y TAREAS'!AL44),'EDT Y TAREAS'!AE44/'EDT Y TAREAS'!M44,0),IF(AND(213&gt;='EDT Y TAREAS'!AK46,213&lt;'EDT Y TAREAS'!AL46),'EDT Y TAREAS'!AE46/'EDT Y TAREAS'!M46,0),IF(AND(213&gt;='EDT Y TAREAS'!AK47,213&lt;'EDT Y TAREAS'!AL47),'EDT Y TAREAS'!AE47/'EDT Y TAREAS'!M47,0),IF(AND(213&gt;='EDT Y TAREAS'!AK51,213&lt;'EDT Y TAREAS'!AL51),'EDT Y TAREAS'!AE51/'EDT Y TAREAS'!M51,0),IF(AND(213&gt;='EDT Y TAREAS'!AK52,213&lt;'EDT Y TAREAS'!AL52),'EDT Y TAREAS'!AE52/'EDT Y TAREAS'!M52,0))</x:f>
        <x:v>0</x:v>
      </x:c>
      <x:c r="D253" s="35" t="n">
        <x:f>SUM(IF(AND(213&gt;='EDT Y TAREAS'!AK11,213&lt;'EDT Y TAREAS'!AL11),'EDT Y TAREAS'!AF11/'EDT Y TAREAS'!M11,0),IF(AND(213&gt;='EDT Y TAREAS'!AK24,213&lt;'EDT Y TAREAS'!AL24),'EDT Y TAREAS'!AF24/'EDT Y TAREAS'!M24,0),IF(AND(213&gt;='EDT Y TAREAS'!AK25,213&lt;'EDT Y TAREAS'!AL25),'EDT Y TAREAS'!AF25/'EDT Y TAREAS'!M25,0),IF(AND(213&gt;='EDT Y TAREAS'!AK26,213&lt;'EDT Y TAREAS'!AL26),'EDT Y TAREAS'!AF26/'EDT Y TAREAS'!M26,0),IF(AND(213&gt;='EDT Y TAREAS'!AK27,213&lt;'EDT Y TAREAS'!AL27),'EDT Y TAREAS'!AF27/'EDT Y TAREAS'!M27,0),IF(AND(213&gt;='EDT Y TAREAS'!AK28,213&lt;'EDT Y TAREAS'!AL28),'EDT Y TAREAS'!AF28/'EDT Y TAREAS'!M28,0),IF(AND(213&gt;='EDT Y TAREAS'!AK31,213&lt;'EDT Y TAREAS'!AL31),'EDT Y TAREAS'!AF31/'EDT Y TAREAS'!M31,0),IF(AND(213&gt;='EDT Y TAREAS'!AK33,213&lt;'EDT Y TAREAS'!AL33),'EDT Y TAREAS'!AF33/'EDT Y TAREAS'!M33,0),IF(AND(213&gt;='EDT Y TAREAS'!AK34,213&lt;'EDT Y TAREAS'!AL34),'EDT Y TAREAS'!AF34/'EDT Y TAREAS'!M34,0),IF(AND(213&gt;='EDT Y TAREAS'!AK35,213&lt;'EDT Y TAREAS'!AL35),'EDT Y TAREAS'!AF35/'EDT Y TAREAS'!M35,0),IF(AND(213&gt;='EDT Y TAREAS'!AK37,213&lt;'EDT Y TAREAS'!AL37),'EDT Y TAREAS'!AF37/'EDT Y TAREAS'!M37,0),IF(AND(213&gt;='EDT Y TAREAS'!AK39,213&lt;'EDT Y TAREAS'!AL39),'EDT Y TAREAS'!AF39/'EDT Y TAREAS'!M39,0),IF(AND(213&gt;='EDT Y TAREAS'!AK40,213&lt;'EDT Y TAREAS'!AL40),'EDT Y TAREAS'!AF40/'EDT Y TAREAS'!M40,0),IF(AND(213&gt;='EDT Y TAREAS'!AK42,213&lt;'EDT Y TAREAS'!AL42),'EDT Y TAREAS'!AF42/'EDT Y TAREAS'!M42,0),IF(AND(213&gt;='EDT Y TAREAS'!AK45,213&lt;'EDT Y TAREAS'!AL45),'EDT Y TAREAS'!AF45/'EDT Y TAREAS'!M45,0),IF(AND(213&gt;='EDT Y TAREAS'!AK49,213&lt;'EDT Y TAREAS'!AL49),'EDT Y TAREAS'!AF49/'EDT Y TAREAS'!M49,0),IF(AND(213&gt;='EDT Y TAREAS'!AK52,213&lt;'EDT Y TAREAS'!AL52),'EDT Y TAREAS'!AF52/'EDT Y TAREAS'!M52,0))</x:f>
        <x:v>0</x:v>
      </x:c>
      <x:c r="E253" s="35" t="n">
        <x:f>SUM(IF(AND(213&gt;='EDT Y TAREAS'!AK29,213&lt;'EDT Y TAREAS'!AL29),'EDT Y TAREAS'!AG29/'EDT Y TAREAS'!M29,0),IF(AND(213&gt;='EDT Y TAREAS'!AK30,213&lt;'EDT Y TAREAS'!AL30),'EDT Y TAREAS'!AG30/'EDT Y TAREAS'!M30,0),IF(AND(213&gt;='EDT Y TAREAS'!AK31,213&lt;'EDT Y TAREAS'!AL31),'EDT Y TAREAS'!AG31/'EDT Y TAREAS'!M31,0),IF(AND(213&gt;='EDT Y TAREAS'!AK32,213&lt;'EDT Y TAREAS'!AL32),'EDT Y TAREAS'!AG32/'EDT Y TAREAS'!M32,0),IF(AND(213&gt;='EDT Y TAREAS'!AK41,213&lt;'EDT Y TAREAS'!AL41),'EDT Y TAREAS'!AG41/'EDT Y TAREAS'!M41,0),IF(AND(213&gt;='EDT Y TAREAS'!AK45,213&lt;'EDT Y TAREAS'!AL45),'EDT Y TAREAS'!AG45/'EDT Y TAREAS'!M45,0),IF(AND(213&gt;='EDT Y TAREAS'!AK48,213&lt;'EDT Y TAREAS'!AL48),'EDT Y TAREAS'!AG48/'EDT Y TAREAS'!M48,0))</x:f>
        <x:v>0</x:v>
      </x:c>
      <x:c r="F253" s="35" t="n">
        <x:f>SUM(IF(AND(213&gt;='EDT Y TAREAS'!AK10,213&lt;'EDT Y TAREAS'!AL10),'EDT Y TAREAS'!AH10/'EDT Y TAREAS'!M10,0),IF(AND(213&gt;='EDT Y TAREAS'!AK12,213&lt;'EDT Y TAREAS'!AL12),'EDT Y TAREAS'!AH12/'EDT Y TAREAS'!M12,0),IF(AND(213&gt;='EDT Y TAREAS'!AK22,213&lt;'EDT Y TAREAS'!AL22),'EDT Y TAREAS'!AH22/'EDT Y TAREAS'!M22,0),IF(AND(213&gt;='EDT Y TAREAS'!AK23,213&lt;'EDT Y TAREAS'!AL23),'EDT Y TAREAS'!AH23/'EDT Y TAREAS'!M23,0),IF(AND(213&gt;='EDT Y TAREAS'!AK29,213&lt;'EDT Y TAREAS'!AL29),'EDT Y TAREAS'!AH29/'EDT Y TAREAS'!M29,0),IF(AND(213&gt;='EDT Y TAREAS'!AK30,213&lt;'EDT Y TAREAS'!AL30),'EDT Y TAREAS'!AH30/'EDT Y TAREAS'!M30,0),IF(AND(213&gt;='EDT Y TAREAS'!AK32,213&lt;'EDT Y TAREAS'!AL32),'EDT Y TAREAS'!AH32/'EDT Y TAREAS'!M32,0),IF(AND(213&gt;='EDT Y TAREAS'!AK41,213&lt;'EDT Y TAREAS'!AL41),'EDT Y TAREAS'!AH41/'EDT Y TAREAS'!M41,0),IF(AND(213&gt;='EDT Y TAREAS'!AK44,213&lt;'EDT Y TAREAS'!AL44),'EDT Y TAREAS'!AH44/'EDT Y TAREAS'!M44,0),IF(AND(213&gt;='EDT Y TAREAS'!AK46,213&lt;'EDT Y TAREAS'!AL46),'EDT Y TAREAS'!AH46/'EDT Y TAREAS'!M46,0),IF(AND(213&gt;='EDT Y TAREAS'!AK48,213&lt;'EDT Y TAREAS'!AL48),'EDT Y TAREAS'!AH48/'EDT Y TAREAS'!M48,0))</x:f>
        <x:v>0</x:v>
      </x:c>
      <x:c r="G253" s="35" t="n">
        <x:f>SUM(IF(AND(213&gt;='EDT Y TAREAS'!AK20,213&lt;'EDT Y TAREAS'!AL20),'EDT Y TAREAS'!AI20/'EDT Y TAREAS'!M20,0),IF(AND(213&gt;='EDT Y TAREAS'!AK25,213&lt;'EDT Y TAREAS'!AL25),'EDT Y TAREAS'!AI25/'EDT Y TAREAS'!M25,0),IF(AND(213&gt;='EDT Y TAREAS'!AK33,213&lt;'EDT Y TAREAS'!AL33),'EDT Y TAREAS'!AI33/'EDT Y TAREAS'!M33,0),IF(AND(213&gt;='EDT Y TAREAS'!AK34,213&lt;'EDT Y TAREAS'!AL34),'EDT Y TAREAS'!AI34/'EDT Y TAREAS'!M34,0),IF(AND(213&gt;='EDT Y TAREAS'!AK36,213&lt;'EDT Y TAREAS'!AL36),'EDT Y TAREAS'!AI36/'EDT Y TAREAS'!M36,0),IF(AND(213&gt;='EDT Y TAREAS'!AK39,213&lt;'EDT Y TAREAS'!AL39),'EDT Y TAREAS'!AI39/'EDT Y TAREAS'!M39,0),IF(AND(213&gt;='EDT Y TAREAS'!AK40,213&lt;'EDT Y TAREAS'!AL40),'EDT Y TAREAS'!AI40/'EDT Y TAREAS'!M40,0),IF(AND(213&gt;='EDT Y TAREAS'!AK42,213&lt;'EDT Y TAREAS'!AL42),'EDT Y TAREAS'!AI42/'EDT Y TAREAS'!M42,0),IF(AND(213&gt;='EDT Y TAREAS'!AK43,213&lt;'EDT Y TAREAS'!AL43),'EDT Y TAREAS'!AI43/'EDT Y TAREAS'!M43,0),IF(AND(213&gt;='EDT Y TAREAS'!AK44,213&lt;'EDT Y TAREAS'!AL44),'EDT Y TAREAS'!AI44/'EDT Y TAREAS'!M44,0),IF(AND(213&gt;='EDT Y TAREAS'!AK45,213&lt;'EDT Y TAREAS'!AL45),'EDT Y TAREAS'!AI45/'EDT Y TAREAS'!M45,0),IF(AND(213&gt;='EDT Y TAREAS'!AK46,213&lt;'EDT Y TAREAS'!AL46),'EDT Y TAREAS'!AI46/'EDT Y TAREAS'!M46,0),IF(AND(213&gt;='EDT Y TAREAS'!AK48,213&lt;'EDT Y TAREAS'!AL48),'EDT Y TAREAS'!AI48/'EDT Y TAREAS'!M48,0),IF(AND(213&gt;='EDT Y TAREAS'!AK50,213&lt;'EDT Y TAREAS'!AL50),'EDT Y TAREAS'!AI50/'EDT Y TAREAS'!M50,0),IF(AND(213&gt;='EDT Y TAREAS'!AK52,213&lt;'EDT Y TAREAS'!AL52),'EDT Y TAREAS'!AI52/'EDT Y TAREAS'!M52,0))</x:f>
        <x:v>0</x:v>
      </x:c>
      <x:c r="H253" s="35" t="n">
        <x:f>SUM(IF(AND(213&gt;='EDT Y TAREAS'!AK11,213&lt;'EDT Y TAREAS'!AL11),'EDT Y TAREAS'!AJ11/'EDT Y TAREAS'!M11,0),IF(AND(213&gt;='EDT Y TAREAS'!AK24,213&lt;'EDT Y TAREAS'!AL24),'EDT Y TAREAS'!AJ24/'EDT Y TAREAS'!M24,0),IF(AND(213&gt;='EDT Y TAREAS'!AK27,213&lt;'EDT Y TAREAS'!AL27),'EDT Y TAREAS'!AJ27/'EDT Y TAREAS'!M27,0),IF(AND(213&gt;='EDT Y TAREAS'!AK28,213&lt;'EDT Y TAREAS'!AL28),'EDT Y TAREAS'!AJ28/'EDT Y TAREAS'!M28,0),IF(AND(213&gt;='EDT Y TAREAS'!AK33,213&lt;'EDT Y TAREAS'!AL33),'EDT Y TAREAS'!AJ33/'EDT Y TAREAS'!M33,0),IF(AND(213&gt;='EDT Y TAREAS'!AK35,213&lt;'EDT Y TAREAS'!AL35),'EDT Y TAREAS'!AJ35/'EDT Y TAREAS'!M35,0),IF(AND(213&gt;='EDT Y TAREAS'!AK36,213&lt;'EDT Y TAREAS'!AL36),'EDT Y TAREAS'!AJ36/'EDT Y TAREAS'!M36,0),IF(AND(213&gt;='EDT Y TAREAS'!AK37,213&lt;'EDT Y TAREAS'!AL37),'EDT Y TAREAS'!AJ37/'EDT Y TAREAS'!M37,0),IF(AND(213&gt;='EDT Y TAREAS'!AK40,213&lt;'EDT Y TAREAS'!AL40),'EDT Y TAREAS'!AJ40/'EDT Y TAREAS'!M40,0),IF(AND(213&gt;='EDT Y TAREAS'!AK42,213&lt;'EDT Y TAREAS'!AL42),'EDT Y TAREAS'!AJ42/'EDT Y TAREAS'!M42,0),IF(AND(213&gt;='EDT Y TAREAS'!AK49,213&lt;'EDT Y TAREAS'!AL49),'EDT Y TAREAS'!AJ49/'EDT Y TAREAS'!M49,0),IF(AND(213&gt;='EDT Y TAREAS'!AK50,213&lt;'EDT Y TAREAS'!AL50),'EDT Y TAREAS'!AJ50/'EDT Y TAREAS'!M50,0),IF(AND(213&gt;='EDT Y TAREAS'!AK51,213&lt;'EDT Y TAREAS'!AL51),'EDT Y TAREAS'!AJ51/'EDT Y TAREAS'!M51,0),IF(AND(213&gt;='EDT Y TAREAS'!AK52,213&lt;'EDT Y TAREAS'!AL52),'EDT Y TAREAS'!AJ52/'EDT Y TAREAS'!M52,0))</x:f>
        <x:v>0</x:v>
      </x:c>
      <x:c r="I253" s="10" t="n">
        <x:f>WORKDAY('RESUMEN'!$D$3-1,A253,'RESUMEN'!$J$6:$J$25)</x:f>
        <x:v>46625</x:v>
      </x:c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  <x:c r="AL253" s="3"/>
      <x:c r="AM253" s="3"/>
      <x:c r="AN253" s="3"/>
      <x:c r="AO253" s="3"/>
    </x:row>
    <x:row r="254" ht="24" customHeight="1">
      <x:c r="A254" s="3" t="n">
        <x:v>215</x:v>
      </x:c>
      <x:c r="B254" s="35" t="n">
        <x:f>SUM(IF(AND(214&gt;='EDT Y TAREAS'!AK6,214&lt;'EDT Y TAREAS'!AL6),'EDT Y TAREAS'!AD6/'EDT Y TAREAS'!M6,0),IF(AND(214&gt;='EDT Y TAREAS'!AK7,214&lt;'EDT Y TAREAS'!AL7),'EDT Y TAREAS'!AD7/'EDT Y TAREAS'!M7,0),IF(AND(214&gt;='EDT Y TAREAS'!AK8,214&lt;'EDT Y TAREAS'!AL8),'EDT Y TAREAS'!AD8/'EDT Y TAREAS'!M8,0),IF(AND(214&gt;='EDT Y TAREAS'!AK9,214&lt;'EDT Y TAREAS'!AL9),'EDT Y TAREAS'!AD9/'EDT Y TAREAS'!M9,0),IF(AND(214&gt;='EDT Y TAREAS'!AK10,214&lt;'EDT Y TAREAS'!AL10),'EDT Y TAREAS'!AD10/'EDT Y TAREAS'!M10,0),IF(AND(214&gt;='EDT Y TAREAS'!AK11,214&lt;'EDT Y TAREAS'!AL11),'EDT Y TAREAS'!AD11/'EDT Y TAREAS'!M11,0),IF(AND(214&gt;='EDT Y TAREAS'!AK12,214&lt;'EDT Y TAREAS'!AL12),'EDT Y TAREAS'!AD12/'EDT Y TAREAS'!M12,0),IF(AND(214&gt;='EDT Y TAREAS'!AK13,214&lt;'EDT Y TAREAS'!AL13),'EDT Y TAREAS'!AD13/'EDT Y TAREAS'!M13,0),IF(AND(214&gt;='EDT Y TAREAS'!AK14,214&lt;'EDT Y TAREAS'!AL14),'EDT Y TAREAS'!AD14/'EDT Y TAREAS'!M14,0),IF(AND(214&gt;='EDT Y TAREAS'!AK15,214&lt;'EDT Y TAREAS'!AL15),'EDT Y TAREAS'!AD15/'EDT Y TAREAS'!M15,0),IF(AND(214&gt;='EDT Y TAREAS'!AK16,214&lt;'EDT Y TAREAS'!AL16),'EDT Y TAREAS'!AD16/'EDT Y TAREAS'!M16,0),IF(AND(214&gt;='EDT Y TAREAS'!AK17,214&lt;'EDT Y TAREAS'!AL17),'EDT Y TAREAS'!AD17/'EDT Y TAREAS'!M17,0),IF(AND(214&gt;='EDT Y TAREAS'!AK18,214&lt;'EDT Y TAREAS'!AL18),'EDT Y TAREAS'!AD18/'EDT Y TAREAS'!M18,0),IF(AND(214&gt;='EDT Y TAREAS'!AK19,214&lt;'EDT Y TAREAS'!AL19),'EDT Y TAREAS'!AD19/'EDT Y TAREAS'!M19,0),IF(AND(214&gt;='EDT Y TAREAS'!AK20,214&lt;'EDT Y TAREAS'!AL20),'EDT Y TAREAS'!AD20/'EDT Y TAREAS'!M20,0),IF(AND(214&gt;='EDT Y TAREAS'!AK21,214&lt;'EDT Y TAREAS'!AL21),'EDT Y TAREAS'!AD21/'EDT Y TAREAS'!M21,0),IF(AND(214&gt;='EDT Y TAREAS'!AK22,214&lt;'EDT Y TAREAS'!AL22),'EDT Y TAREAS'!AD22/'EDT Y TAREAS'!M22,0),IF(AND(214&gt;='EDT Y TAREAS'!AK23,214&lt;'EDT Y TAREAS'!AL23),'EDT Y TAREAS'!AD23/'EDT Y TAREAS'!M23,0),IF(AND(214&gt;='EDT Y TAREAS'!AK26,214&lt;'EDT Y TAREAS'!AL26),'EDT Y TAREAS'!AD26/'EDT Y TAREAS'!M26,0),IF(AND(214&gt;='EDT Y TAREAS'!AK28,214&lt;'EDT Y TAREAS'!AL28),'EDT Y TAREAS'!AD28/'EDT Y TAREAS'!M28,0),IF(AND(214&gt;='EDT Y TAREAS'!AK30,214&lt;'EDT Y TAREAS'!AL30),'EDT Y TAREAS'!AD30/'EDT Y TAREAS'!M30,0),IF(AND(214&gt;='EDT Y TAREAS'!AK32,214&lt;'EDT Y TAREAS'!AL32),'EDT Y TAREAS'!AD32/'EDT Y TAREAS'!M32,0),IF(AND(214&gt;='EDT Y TAREAS'!AK34,214&lt;'EDT Y TAREAS'!AL34),'EDT Y TAREAS'!AD34/'EDT Y TAREAS'!M34,0),IF(AND(214&gt;='EDT Y TAREAS'!AK38,214&lt;'EDT Y TAREAS'!AL38),'EDT Y TAREAS'!AD38/'EDT Y TAREAS'!M38,0),IF(AND(214&gt;='EDT Y TAREAS'!AK39,214&lt;'EDT Y TAREAS'!AL39),'EDT Y TAREAS'!AD39/'EDT Y TAREAS'!M39,0),IF(AND(214&gt;='EDT Y TAREAS'!AK43,214&lt;'EDT Y TAREAS'!AL43),'EDT Y TAREAS'!AD43/'EDT Y TAREAS'!M43,0),IF(AND(214&gt;='EDT Y TAREAS'!AK44,214&lt;'EDT Y TAREAS'!AL44),'EDT Y TAREAS'!AD44/'EDT Y TAREAS'!M44,0),IF(AND(214&gt;='EDT Y TAREAS'!AK45,214&lt;'EDT Y TAREAS'!AL45),'EDT Y TAREAS'!AD45/'EDT Y TAREAS'!M45,0),IF(AND(214&gt;='EDT Y TAREAS'!AK46,214&lt;'EDT Y TAREAS'!AL46),'EDT Y TAREAS'!AD46/'EDT Y TAREAS'!M46,0),IF(AND(214&gt;='EDT Y TAREAS'!AK47,214&lt;'EDT Y TAREAS'!AL47),'EDT Y TAREAS'!AD47/'EDT Y TAREAS'!M47,0),IF(AND(214&gt;='EDT Y TAREAS'!AK49,214&lt;'EDT Y TAREAS'!AL49),'EDT Y TAREAS'!AD49/'EDT Y TAREAS'!M49,0),IF(AND(214&gt;='EDT Y TAREAS'!AK50,214&lt;'EDT Y TAREAS'!AL50),'EDT Y TAREAS'!AD50/'EDT Y TAREAS'!M50,0),IF(AND(214&gt;='EDT Y TAREAS'!AK51,214&lt;'EDT Y TAREAS'!AL51),'EDT Y TAREAS'!AD51/'EDT Y TAREAS'!M51,0),IF(AND(214&gt;='EDT Y TAREAS'!AK52,214&lt;'EDT Y TAREAS'!AL52),'EDT Y TAREAS'!AD52/'EDT Y TAREAS'!M52,0))</x:f>
        <x:v>0</x:v>
      </x:c>
      <x:c r="C254" s="35" t="n">
        <x:f>SUM(IF(AND(214&gt;='EDT Y TAREAS'!AK6,214&lt;'EDT Y TAREAS'!AL6),'EDT Y TAREAS'!AE6/'EDT Y TAREAS'!M6,0),IF(AND(214&gt;='EDT Y TAREAS'!AK8,214&lt;'EDT Y TAREAS'!AL8),'EDT Y TAREAS'!AE8/'EDT Y TAREAS'!M8,0),IF(AND(214&gt;='EDT Y TAREAS'!AK9,214&lt;'EDT Y TAREAS'!AL9),'EDT Y TAREAS'!AE9/'EDT Y TAREAS'!M9,0),IF(AND(214&gt;='EDT Y TAREAS'!AK10,214&lt;'EDT Y TAREAS'!AL10),'EDT Y TAREAS'!AE10/'EDT Y TAREAS'!M10,0),IF(AND(214&gt;='EDT Y TAREAS'!AK12,214&lt;'EDT Y TAREAS'!AL12),'EDT Y TAREAS'!AE12/'EDT Y TAREAS'!M12,0),IF(AND(214&gt;='EDT Y TAREAS'!AK16,214&lt;'EDT Y TAREAS'!AL16),'EDT Y TAREAS'!AE16/'EDT Y TAREAS'!M16,0),IF(AND(214&gt;='EDT Y TAREAS'!AK21,214&lt;'EDT Y TAREAS'!AL21),'EDT Y TAREAS'!AE21/'EDT Y TAREAS'!M21,0),IF(AND(214&gt;='EDT Y TAREAS'!AK23,214&lt;'EDT Y TAREAS'!AL23),'EDT Y TAREAS'!AE23/'EDT Y TAREAS'!M23,0),IF(AND(214&gt;='EDT Y TAREAS'!AK37,214&lt;'EDT Y TAREAS'!AL37),'EDT Y TAREAS'!AE37/'EDT Y TAREAS'!M37,0),IF(AND(214&gt;='EDT Y TAREAS'!AK38,214&lt;'EDT Y TAREAS'!AL38),'EDT Y TAREAS'!AE38/'EDT Y TAREAS'!M38,0),IF(AND(214&gt;='EDT Y TAREAS'!AK41,214&lt;'EDT Y TAREAS'!AL41),'EDT Y TAREAS'!AE41/'EDT Y TAREAS'!M41,0),IF(AND(214&gt;='EDT Y TAREAS'!AK43,214&lt;'EDT Y TAREAS'!AL43),'EDT Y TAREAS'!AE43/'EDT Y TAREAS'!M43,0),IF(AND(214&gt;='EDT Y TAREAS'!AK44,214&lt;'EDT Y TAREAS'!AL44),'EDT Y TAREAS'!AE44/'EDT Y TAREAS'!M44,0),IF(AND(214&gt;='EDT Y TAREAS'!AK46,214&lt;'EDT Y TAREAS'!AL46),'EDT Y TAREAS'!AE46/'EDT Y TAREAS'!M46,0),IF(AND(214&gt;='EDT Y TAREAS'!AK47,214&lt;'EDT Y TAREAS'!AL47),'EDT Y TAREAS'!AE47/'EDT Y TAREAS'!M47,0),IF(AND(214&gt;='EDT Y TAREAS'!AK51,214&lt;'EDT Y TAREAS'!AL51),'EDT Y TAREAS'!AE51/'EDT Y TAREAS'!M51,0),IF(AND(214&gt;='EDT Y TAREAS'!AK52,214&lt;'EDT Y TAREAS'!AL52),'EDT Y TAREAS'!AE52/'EDT Y TAREAS'!M52,0))</x:f>
        <x:v>0</x:v>
      </x:c>
      <x:c r="D254" s="35" t="n">
        <x:f>SUM(IF(AND(214&gt;='EDT Y TAREAS'!AK11,214&lt;'EDT Y TAREAS'!AL11),'EDT Y TAREAS'!AF11/'EDT Y TAREAS'!M11,0),IF(AND(214&gt;='EDT Y TAREAS'!AK24,214&lt;'EDT Y TAREAS'!AL24),'EDT Y TAREAS'!AF24/'EDT Y TAREAS'!M24,0),IF(AND(214&gt;='EDT Y TAREAS'!AK25,214&lt;'EDT Y TAREAS'!AL25),'EDT Y TAREAS'!AF25/'EDT Y TAREAS'!M25,0),IF(AND(214&gt;='EDT Y TAREAS'!AK26,214&lt;'EDT Y TAREAS'!AL26),'EDT Y TAREAS'!AF26/'EDT Y TAREAS'!M26,0),IF(AND(214&gt;='EDT Y TAREAS'!AK27,214&lt;'EDT Y TAREAS'!AL27),'EDT Y TAREAS'!AF27/'EDT Y TAREAS'!M27,0),IF(AND(214&gt;='EDT Y TAREAS'!AK28,214&lt;'EDT Y TAREAS'!AL28),'EDT Y TAREAS'!AF28/'EDT Y TAREAS'!M28,0),IF(AND(214&gt;='EDT Y TAREAS'!AK31,214&lt;'EDT Y TAREAS'!AL31),'EDT Y TAREAS'!AF31/'EDT Y TAREAS'!M31,0),IF(AND(214&gt;='EDT Y TAREAS'!AK33,214&lt;'EDT Y TAREAS'!AL33),'EDT Y TAREAS'!AF33/'EDT Y TAREAS'!M33,0),IF(AND(214&gt;='EDT Y TAREAS'!AK34,214&lt;'EDT Y TAREAS'!AL34),'EDT Y TAREAS'!AF34/'EDT Y TAREAS'!M34,0),IF(AND(214&gt;='EDT Y TAREAS'!AK35,214&lt;'EDT Y TAREAS'!AL35),'EDT Y TAREAS'!AF35/'EDT Y TAREAS'!M35,0),IF(AND(214&gt;='EDT Y TAREAS'!AK37,214&lt;'EDT Y TAREAS'!AL37),'EDT Y TAREAS'!AF37/'EDT Y TAREAS'!M37,0),IF(AND(214&gt;='EDT Y TAREAS'!AK39,214&lt;'EDT Y TAREAS'!AL39),'EDT Y TAREAS'!AF39/'EDT Y TAREAS'!M39,0),IF(AND(214&gt;='EDT Y TAREAS'!AK40,214&lt;'EDT Y TAREAS'!AL40),'EDT Y TAREAS'!AF40/'EDT Y TAREAS'!M40,0),IF(AND(214&gt;='EDT Y TAREAS'!AK42,214&lt;'EDT Y TAREAS'!AL42),'EDT Y TAREAS'!AF42/'EDT Y TAREAS'!M42,0),IF(AND(214&gt;='EDT Y TAREAS'!AK45,214&lt;'EDT Y TAREAS'!AL45),'EDT Y TAREAS'!AF45/'EDT Y TAREAS'!M45,0),IF(AND(214&gt;='EDT Y TAREAS'!AK49,214&lt;'EDT Y TAREAS'!AL49),'EDT Y TAREAS'!AF49/'EDT Y TAREAS'!M49,0),IF(AND(214&gt;='EDT Y TAREAS'!AK52,214&lt;'EDT Y TAREAS'!AL52),'EDT Y TAREAS'!AF52/'EDT Y TAREAS'!M52,0))</x:f>
        <x:v>0</x:v>
      </x:c>
      <x:c r="E254" s="35" t="n">
        <x:f>SUM(IF(AND(214&gt;='EDT Y TAREAS'!AK29,214&lt;'EDT Y TAREAS'!AL29),'EDT Y TAREAS'!AG29/'EDT Y TAREAS'!M29,0),IF(AND(214&gt;='EDT Y TAREAS'!AK30,214&lt;'EDT Y TAREAS'!AL30),'EDT Y TAREAS'!AG30/'EDT Y TAREAS'!M30,0),IF(AND(214&gt;='EDT Y TAREAS'!AK31,214&lt;'EDT Y TAREAS'!AL31),'EDT Y TAREAS'!AG31/'EDT Y TAREAS'!M31,0),IF(AND(214&gt;='EDT Y TAREAS'!AK32,214&lt;'EDT Y TAREAS'!AL32),'EDT Y TAREAS'!AG32/'EDT Y TAREAS'!M32,0),IF(AND(214&gt;='EDT Y TAREAS'!AK41,214&lt;'EDT Y TAREAS'!AL41),'EDT Y TAREAS'!AG41/'EDT Y TAREAS'!M41,0),IF(AND(214&gt;='EDT Y TAREAS'!AK45,214&lt;'EDT Y TAREAS'!AL45),'EDT Y TAREAS'!AG45/'EDT Y TAREAS'!M45,0),IF(AND(214&gt;='EDT Y TAREAS'!AK48,214&lt;'EDT Y TAREAS'!AL48),'EDT Y TAREAS'!AG48/'EDT Y TAREAS'!M48,0))</x:f>
        <x:v>0</x:v>
      </x:c>
      <x:c r="F254" s="35" t="n">
        <x:f>SUM(IF(AND(214&gt;='EDT Y TAREAS'!AK10,214&lt;'EDT Y TAREAS'!AL10),'EDT Y TAREAS'!AH10/'EDT Y TAREAS'!M10,0),IF(AND(214&gt;='EDT Y TAREAS'!AK12,214&lt;'EDT Y TAREAS'!AL12),'EDT Y TAREAS'!AH12/'EDT Y TAREAS'!M12,0),IF(AND(214&gt;='EDT Y TAREAS'!AK22,214&lt;'EDT Y TAREAS'!AL22),'EDT Y TAREAS'!AH22/'EDT Y TAREAS'!M22,0),IF(AND(214&gt;='EDT Y TAREAS'!AK23,214&lt;'EDT Y TAREAS'!AL23),'EDT Y TAREAS'!AH23/'EDT Y TAREAS'!M23,0),IF(AND(214&gt;='EDT Y TAREAS'!AK29,214&lt;'EDT Y TAREAS'!AL29),'EDT Y TAREAS'!AH29/'EDT Y TAREAS'!M29,0),IF(AND(214&gt;='EDT Y TAREAS'!AK30,214&lt;'EDT Y TAREAS'!AL30),'EDT Y TAREAS'!AH30/'EDT Y TAREAS'!M30,0),IF(AND(214&gt;='EDT Y TAREAS'!AK32,214&lt;'EDT Y TAREAS'!AL32),'EDT Y TAREAS'!AH32/'EDT Y TAREAS'!M32,0),IF(AND(214&gt;='EDT Y TAREAS'!AK41,214&lt;'EDT Y TAREAS'!AL41),'EDT Y TAREAS'!AH41/'EDT Y TAREAS'!M41,0),IF(AND(214&gt;='EDT Y TAREAS'!AK44,214&lt;'EDT Y TAREAS'!AL44),'EDT Y TAREAS'!AH44/'EDT Y TAREAS'!M44,0),IF(AND(214&gt;='EDT Y TAREAS'!AK46,214&lt;'EDT Y TAREAS'!AL46),'EDT Y TAREAS'!AH46/'EDT Y TAREAS'!M46,0),IF(AND(214&gt;='EDT Y TAREAS'!AK48,214&lt;'EDT Y TAREAS'!AL48),'EDT Y TAREAS'!AH48/'EDT Y TAREAS'!M48,0))</x:f>
        <x:v>0</x:v>
      </x:c>
      <x:c r="G254" s="35" t="n">
        <x:f>SUM(IF(AND(214&gt;='EDT Y TAREAS'!AK20,214&lt;'EDT Y TAREAS'!AL20),'EDT Y TAREAS'!AI20/'EDT Y TAREAS'!M20,0),IF(AND(214&gt;='EDT Y TAREAS'!AK25,214&lt;'EDT Y TAREAS'!AL25),'EDT Y TAREAS'!AI25/'EDT Y TAREAS'!M25,0),IF(AND(214&gt;='EDT Y TAREAS'!AK33,214&lt;'EDT Y TAREAS'!AL33),'EDT Y TAREAS'!AI33/'EDT Y TAREAS'!M33,0),IF(AND(214&gt;='EDT Y TAREAS'!AK34,214&lt;'EDT Y TAREAS'!AL34),'EDT Y TAREAS'!AI34/'EDT Y TAREAS'!M34,0),IF(AND(214&gt;='EDT Y TAREAS'!AK36,214&lt;'EDT Y TAREAS'!AL36),'EDT Y TAREAS'!AI36/'EDT Y TAREAS'!M36,0),IF(AND(214&gt;='EDT Y TAREAS'!AK39,214&lt;'EDT Y TAREAS'!AL39),'EDT Y TAREAS'!AI39/'EDT Y TAREAS'!M39,0),IF(AND(214&gt;='EDT Y TAREAS'!AK40,214&lt;'EDT Y TAREAS'!AL40),'EDT Y TAREAS'!AI40/'EDT Y TAREAS'!M40,0),IF(AND(214&gt;='EDT Y TAREAS'!AK42,214&lt;'EDT Y TAREAS'!AL42),'EDT Y TAREAS'!AI42/'EDT Y TAREAS'!M42,0),IF(AND(214&gt;='EDT Y TAREAS'!AK43,214&lt;'EDT Y TAREAS'!AL43),'EDT Y TAREAS'!AI43/'EDT Y TAREAS'!M43,0),IF(AND(214&gt;='EDT Y TAREAS'!AK44,214&lt;'EDT Y TAREAS'!AL44),'EDT Y TAREAS'!AI44/'EDT Y TAREAS'!M44,0),IF(AND(214&gt;='EDT Y TAREAS'!AK45,214&lt;'EDT Y TAREAS'!AL45),'EDT Y TAREAS'!AI45/'EDT Y TAREAS'!M45,0),IF(AND(214&gt;='EDT Y TAREAS'!AK46,214&lt;'EDT Y TAREAS'!AL46),'EDT Y TAREAS'!AI46/'EDT Y TAREAS'!M46,0),IF(AND(214&gt;='EDT Y TAREAS'!AK48,214&lt;'EDT Y TAREAS'!AL48),'EDT Y TAREAS'!AI48/'EDT Y TAREAS'!M48,0),IF(AND(214&gt;='EDT Y TAREAS'!AK50,214&lt;'EDT Y TAREAS'!AL50),'EDT Y TAREAS'!AI50/'EDT Y TAREAS'!M50,0),IF(AND(214&gt;='EDT Y TAREAS'!AK52,214&lt;'EDT Y TAREAS'!AL52),'EDT Y TAREAS'!AI52/'EDT Y TAREAS'!M52,0))</x:f>
        <x:v>0</x:v>
      </x:c>
      <x:c r="H254" s="35" t="n">
        <x:f>SUM(IF(AND(214&gt;='EDT Y TAREAS'!AK11,214&lt;'EDT Y TAREAS'!AL11),'EDT Y TAREAS'!AJ11/'EDT Y TAREAS'!M11,0),IF(AND(214&gt;='EDT Y TAREAS'!AK24,214&lt;'EDT Y TAREAS'!AL24),'EDT Y TAREAS'!AJ24/'EDT Y TAREAS'!M24,0),IF(AND(214&gt;='EDT Y TAREAS'!AK27,214&lt;'EDT Y TAREAS'!AL27),'EDT Y TAREAS'!AJ27/'EDT Y TAREAS'!M27,0),IF(AND(214&gt;='EDT Y TAREAS'!AK28,214&lt;'EDT Y TAREAS'!AL28),'EDT Y TAREAS'!AJ28/'EDT Y TAREAS'!M28,0),IF(AND(214&gt;='EDT Y TAREAS'!AK33,214&lt;'EDT Y TAREAS'!AL33),'EDT Y TAREAS'!AJ33/'EDT Y TAREAS'!M33,0),IF(AND(214&gt;='EDT Y TAREAS'!AK35,214&lt;'EDT Y TAREAS'!AL35),'EDT Y TAREAS'!AJ35/'EDT Y TAREAS'!M35,0),IF(AND(214&gt;='EDT Y TAREAS'!AK36,214&lt;'EDT Y TAREAS'!AL36),'EDT Y TAREAS'!AJ36/'EDT Y TAREAS'!M36,0),IF(AND(214&gt;='EDT Y TAREAS'!AK37,214&lt;'EDT Y TAREAS'!AL37),'EDT Y TAREAS'!AJ37/'EDT Y TAREAS'!M37,0),IF(AND(214&gt;='EDT Y TAREAS'!AK40,214&lt;'EDT Y TAREAS'!AL40),'EDT Y TAREAS'!AJ40/'EDT Y TAREAS'!M40,0),IF(AND(214&gt;='EDT Y TAREAS'!AK42,214&lt;'EDT Y TAREAS'!AL42),'EDT Y TAREAS'!AJ42/'EDT Y TAREAS'!M42,0),IF(AND(214&gt;='EDT Y TAREAS'!AK49,214&lt;'EDT Y TAREAS'!AL49),'EDT Y TAREAS'!AJ49/'EDT Y TAREAS'!M49,0),IF(AND(214&gt;='EDT Y TAREAS'!AK50,214&lt;'EDT Y TAREAS'!AL50),'EDT Y TAREAS'!AJ50/'EDT Y TAREAS'!M50,0),IF(AND(214&gt;='EDT Y TAREAS'!AK51,214&lt;'EDT Y TAREAS'!AL51),'EDT Y TAREAS'!AJ51/'EDT Y TAREAS'!M51,0),IF(AND(214&gt;='EDT Y TAREAS'!AK52,214&lt;'EDT Y TAREAS'!AL52),'EDT Y TAREAS'!AJ52/'EDT Y TAREAS'!M52,0))</x:f>
        <x:v>0</x:v>
      </x:c>
      <x:c r="I254" s="10" t="n">
        <x:f>WORKDAY('RESUMEN'!$D$3-1,A254,'RESUMEN'!$J$6:$J$25)</x:f>
        <x:v>46626</x:v>
      </x:c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  <x:c r="AL254" s="3"/>
      <x:c r="AM254" s="3"/>
      <x:c r="AN254" s="3"/>
      <x:c r="AO254" s="3"/>
    </x:row>
    <x:row r="255" ht="24" customHeight="1">
      <x:c r="A255" s="3" t="n">
        <x:v>216</x:v>
      </x:c>
      <x:c r="B255" s="35" t="n">
        <x:f>SUM(IF(AND(215&gt;='EDT Y TAREAS'!AK6,215&lt;'EDT Y TAREAS'!AL6),'EDT Y TAREAS'!AD6/'EDT Y TAREAS'!M6,0),IF(AND(215&gt;='EDT Y TAREAS'!AK7,215&lt;'EDT Y TAREAS'!AL7),'EDT Y TAREAS'!AD7/'EDT Y TAREAS'!M7,0),IF(AND(215&gt;='EDT Y TAREAS'!AK8,215&lt;'EDT Y TAREAS'!AL8),'EDT Y TAREAS'!AD8/'EDT Y TAREAS'!M8,0),IF(AND(215&gt;='EDT Y TAREAS'!AK9,215&lt;'EDT Y TAREAS'!AL9),'EDT Y TAREAS'!AD9/'EDT Y TAREAS'!M9,0),IF(AND(215&gt;='EDT Y TAREAS'!AK10,215&lt;'EDT Y TAREAS'!AL10),'EDT Y TAREAS'!AD10/'EDT Y TAREAS'!M10,0),IF(AND(215&gt;='EDT Y TAREAS'!AK11,215&lt;'EDT Y TAREAS'!AL11),'EDT Y TAREAS'!AD11/'EDT Y TAREAS'!M11,0),IF(AND(215&gt;='EDT Y TAREAS'!AK12,215&lt;'EDT Y TAREAS'!AL12),'EDT Y TAREAS'!AD12/'EDT Y TAREAS'!M12,0),IF(AND(215&gt;='EDT Y TAREAS'!AK13,215&lt;'EDT Y TAREAS'!AL13),'EDT Y TAREAS'!AD13/'EDT Y TAREAS'!M13,0),IF(AND(215&gt;='EDT Y TAREAS'!AK14,215&lt;'EDT Y TAREAS'!AL14),'EDT Y TAREAS'!AD14/'EDT Y TAREAS'!M14,0),IF(AND(215&gt;='EDT Y TAREAS'!AK15,215&lt;'EDT Y TAREAS'!AL15),'EDT Y TAREAS'!AD15/'EDT Y TAREAS'!M15,0),IF(AND(215&gt;='EDT Y TAREAS'!AK16,215&lt;'EDT Y TAREAS'!AL16),'EDT Y TAREAS'!AD16/'EDT Y TAREAS'!M16,0),IF(AND(215&gt;='EDT Y TAREAS'!AK17,215&lt;'EDT Y TAREAS'!AL17),'EDT Y TAREAS'!AD17/'EDT Y TAREAS'!M17,0),IF(AND(215&gt;='EDT Y TAREAS'!AK18,215&lt;'EDT Y TAREAS'!AL18),'EDT Y TAREAS'!AD18/'EDT Y TAREAS'!M18,0),IF(AND(215&gt;='EDT Y TAREAS'!AK19,215&lt;'EDT Y TAREAS'!AL19),'EDT Y TAREAS'!AD19/'EDT Y TAREAS'!M19,0),IF(AND(215&gt;='EDT Y TAREAS'!AK20,215&lt;'EDT Y TAREAS'!AL20),'EDT Y TAREAS'!AD20/'EDT Y TAREAS'!M20,0),IF(AND(215&gt;='EDT Y TAREAS'!AK21,215&lt;'EDT Y TAREAS'!AL21),'EDT Y TAREAS'!AD21/'EDT Y TAREAS'!M21,0),IF(AND(215&gt;='EDT Y TAREAS'!AK22,215&lt;'EDT Y TAREAS'!AL22),'EDT Y TAREAS'!AD22/'EDT Y TAREAS'!M22,0),IF(AND(215&gt;='EDT Y TAREAS'!AK23,215&lt;'EDT Y TAREAS'!AL23),'EDT Y TAREAS'!AD23/'EDT Y TAREAS'!M23,0),IF(AND(215&gt;='EDT Y TAREAS'!AK26,215&lt;'EDT Y TAREAS'!AL26),'EDT Y TAREAS'!AD26/'EDT Y TAREAS'!M26,0),IF(AND(215&gt;='EDT Y TAREAS'!AK28,215&lt;'EDT Y TAREAS'!AL28),'EDT Y TAREAS'!AD28/'EDT Y TAREAS'!M28,0),IF(AND(215&gt;='EDT Y TAREAS'!AK30,215&lt;'EDT Y TAREAS'!AL30),'EDT Y TAREAS'!AD30/'EDT Y TAREAS'!M30,0),IF(AND(215&gt;='EDT Y TAREAS'!AK32,215&lt;'EDT Y TAREAS'!AL32),'EDT Y TAREAS'!AD32/'EDT Y TAREAS'!M32,0),IF(AND(215&gt;='EDT Y TAREAS'!AK34,215&lt;'EDT Y TAREAS'!AL34),'EDT Y TAREAS'!AD34/'EDT Y TAREAS'!M34,0),IF(AND(215&gt;='EDT Y TAREAS'!AK38,215&lt;'EDT Y TAREAS'!AL38),'EDT Y TAREAS'!AD38/'EDT Y TAREAS'!M38,0),IF(AND(215&gt;='EDT Y TAREAS'!AK39,215&lt;'EDT Y TAREAS'!AL39),'EDT Y TAREAS'!AD39/'EDT Y TAREAS'!M39,0),IF(AND(215&gt;='EDT Y TAREAS'!AK43,215&lt;'EDT Y TAREAS'!AL43),'EDT Y TAREAS'!AD43/'EDT Y TAREAS'!M43,0),IF(AND(215&gt;='EDT Y TAREAS'!AK44,215&lt;'EDT Y TAREAS'!AL44),'EDT Y TAREAS'!AD44/'EDT Y TAREAS'!M44,0),IF(AND(215&gt;='EDT Y TAREAS'!AK45,215&lt;'EDT Y TAREAS'!AL45),'EDT Y TAREAS'!AD45/'EDT Y TAREAS'!M45,0),IF(AND(215&gt;='EDT Y TAREAS'!AK46,215&lt;'EDT Y TAREAS'!AL46),'EDT Y TAREAS'!AD46/'EDT Y TAREAS'!M46,0),IF(AND(215&gt;='EDT Y TAREAS'!AK47,215&lt;'EDT Y TAREAS'!AL47),'EDT Y TAREAS'!AD47/'EDT Y TAREAS'!M47,0),IF(AND(215&gt;='EDT Y TAREAS'!AK49,215&lt;'EDT Y TAREAS'!AL49),'EDT Y TAREAS'!AD49/'EDT Y TAREAS'!M49,0),IF(AND(215&gt;='EDT Y TAREAS'!AK50,215&lt;'EDT Y TAREAS'!AL50),'EDT Y TAREAS'!AD50/'EDT Y TAREAS'!M50,0),IF(AND(215&gt;='EDT Y TAREAS'!AK51,215&lt;'EDT Y TAREAS'!AL51),'EDT Y TAREAS'!AD51/'EDT Y TAREAS'!M51,0),IF(AND(215&gt;='EDT Y TAREAS'!AK52,215&lt;'EDT Y TAREAS'!AL52),'EDT Y TAREAS'!AD52/'EDT Y TAREAS'!M52,0))</x:f>
        <x:v>0</x:v>
      </x:c>
      <x:c r="C255" s="35" t="n">
        <x:f>SUM(IF(AND(215&gt;='EDT Y TAREAS'!AK6,215&lt;'EDT Y TAREAS'!AL6),'EDT Y TAREAS'!AE6/'EDT Y TAREAS'!M6,0),IF(AND(215&gt;='EDT Y TAREAS'!AK8,215&lt;'EDT Y TAREAS'!AL8),'EDT Y TAREAS'!AE8/'EDT Y TAREAS'!M8,0),IF(AND(215&gt;='EDT Y TAREAS'!AK9,215&lt;'EDT Y TAREAS'!AL9),'EDT Y TAREAS'!AE9/'EDT Y TAREAS'!M9,0),IF(AND(215&gt;='EDT Y TAREAS'!AK10,215&lt;'EDT Y TAREAS'!AL10),'EDT Y TAREAS'!AE10/'EDT Y TAREAS'!M10,0),IF(AND(215&gt;='EDT Y TAREAS'!AK12,215&lt;'EDT Y TAREAS'!AL12),'EDT Y TAREAS'!AE12/'EDT Y TAREAS'!M12,0),IF(AND(215&gt;='EDT Y TAREAS'!AK16,215&lt;'EDT Y TAREAS'!AL16),'EDT Y TAREAS'!AE16/'EDT Y TAREAS'!M16,0),IF(AND(215&gt;='EDT Y TAREAS'!AK21,215&lt;'EDT Y TAREAS'!AL21),'EDT Y TAREAS'!AE21/'EDT Y TAREAS'!M21,0),IF(AND(215&gt;='EDT Y TAREAS'!AK23,215&lt;'EDT Y TAREAS'!AL23),'EDT Y TAREAS'!AE23/'EDT Y TAREAS'!M23,0),IF(AND(215&gt;='EDT Y TAREAS'!AK37,215&lt;'EDT Y TAREAS'!AL37),'EDT Y TAREAS'!AE37/'EDT Y TAREAS'!M37,0),IF(AND(215&gt;='EDT Y TAREAS'!AK38,215&lt;'EDT Y TAREAS'!AL38),'EDT Y TAREAS'!AE38/'EDT Y TAREAS'!M38,0),IF(AND(215&gt;='EDT Y TAREAS'!AK41,215&lt;'EDT Y TAREAS'!AL41),'EDT Y TAREAS'!AE41/'EDT Y TAREAS'!M41,0),IF(AND(215&gt;='EDT Y TAREAS'!AK43,215&lt;'EDT Y TAREAS'!AL43),'EDT Y TAREAS'!AE43/'EDT Y TAREAS'!M43,0),IF(AND(215&gt;='EDT Y TAREAS'!AK44,215&lt;'EDT Y TAREAS'!AL44),'EDT Y TAREAS'!AE44/'EDT Y TAREAS'!M44,0),IF(AND(215&gt;='EDT Y TAREAS'!AK46,215&lt;'EDT Y TAREAS'!AL46),'EDT Y TAREAS'!AE46/'EDT Y TAREAS'!M46,0),IF(AND(215&gt;='EDT Y TAREAS'!AK47,215&lt;'EDT Y TAREAS'!AL47),'EDT Y TAREAS'!AE47/'EDT Y TAREAS'!M47,0),IF(AND(215&gt;='EDT Y TAREAS'!AK51,215&lt;'EDT Y TAREAS'!AL51),'EDT Y TAREAS'!AE51/'EDT Y TAREAS'!M51,0),IF(AND(215&gt;='EDT Y TAREAS'!AK52,215&lt;'EDT Y TAREAS'!AL52),'EDT Y TAREAS'!AE52/'EDT Y TAREAS'!M52,0))</x:f>
        <x:v>0</x:v>
      </x:c>
      <x:c r="D255" s="35" t="n">
        <x:f>SUM(IF(AND(215&gt;='EDT Y TAREAS'!AK11,215&lt;'EDT Y TAREAS'!AL11),'EDT Y TAREAS'!AF11/'EDT Y TAREAS'!M11,0),IF(AND(215&gt;='EDT Y TAREAS'!AK24,215&lt;'EDT Y TAREAS'!AL24),'EDT Y TAREAS'!AF24/'EDT Y TAREAS'!M24,0),IF(AND(215&gt;='EDT Y TAREAS'!AK25,215&lt;'EDT Y TAREAS'!AL25),'EDT Y TAREAS'!AF25/'EDT Y TAREAS'!M25,0),IF(AND(215&gt;='EDT Y TAREAS'!AK26,215&lt;'EDT Y TAREAS'!AL26),'EDT Y TAREAS'!AF26/'EDT Y TAREAS'!M26,0),IF(AND(215&gt;='EDT Y TAREAS'!AK27,215&lt;'EDT Y TAREAS'!AL27),'EDT Y TAREAS'!AF27/'EDT Y TAREAS'!M27,0),IF(AND(215&gt;='EDT Y TAREAS'!AK28,215&lt;'EDT Y TAREAS'!AL28),'EDT Y TAREAS'!AF28/'EDT Y TAREAS'!M28,0),IF(AND(215&gt;='EDT Y TAREAS'!AK31,215&lt;'EDT Y TAREAS'!AL31),'EDT Y TAREAS'!AF31/'EDT Y TAREAS'!M31,0),IF(AND(215&gt;='EDT Y TAREAS'!AK33,215&lt;'EDT Y TAREAS'!AL33),'EDT Y TAREAS'!AF33/'EDT Y TAREAS'!M33,0),IF(AND(215&gt;='EDT Y TAREAS'!AK34,215&lt;'EDT Y TAREAS'!AL34),'EDT Y TAREAS'!AF34/'EDT Y TAREAS'!M34,0),IF(AND(215&gt;='EDT Y TAREAS'!AK35,215&lt;'EDT Y TAREAS'!AL35),'EDT Y TAREAS'!AF35/'EDT Y TAREAS'!M35,0),IF(AND(215&gt;='EDT Y TAREAS'!AK37,215&lt;'EDT Y TAREAS'!AL37),'EDT Y TAREAS'!AF37/'EDT Y TAREAS'!M37,0),IF(AND(215&gt;='EDT Y TAREAS'!AK39,215&lt;'EDT Y TAREAS'!AL39),'EDT Y TAREAS'!AF39/'EDT Y TAREAS'!M39,0),IF(AND(215&gt;='EDT Y TAREAS'!AK40,215&lt;'EDT Y TAREAS'!AL40),'EDT Y TAREAS'!AF40/'EDT Y TAREAS'!M40,0),IF(AND(215&gt;='EDT Y TAREAS'!AK42,215&lt;'EDT Y TAREAS'!AL42),'EDT Y TAREAS'!AF42/'EDT Y TAREAS'!M42,0),IF(AND(215&gt;='EDT Y TAREAS'!AK45,215&lt;'EDT Y TAREAS'!AL45),'EDT Y TAREAS'!AF45/'EDT Y TAREAS'!M45,0),IF(AND(215&gt;='EDT Y TAREAS'!AK49,215&lt;'EDT Y TAREAS'!AL49),'EDT Y TAREAS'!AF49/'EDT Y TAREAS'!M49,0),IF(AND(215&gt;='EDT Y TAREAS'!AK52,215&lt;'EDT Y TAREAS'!AL52),'EDT Y TAREAS'!AF52/'EDT Y TAREAS'!M52,0))</x:f>
        <x:v>0</x:v>
      </x:c>
      <x:c r="E255" s="35" t="n">
        <x:f>SUM(IF(AND(215&gt;='EDT Y TAREAS'!AK29,215&lt;'EDT Y TAREAS'!AL29),'EDT Y TAREAS'!AG29/'EDT Y TAREAS'!M29,0),IF(AND(215&gt;='EDT Y TAREAS'!AK30,215&lt;'EDT Y TAREAS'!AL30),'EDT Y TAREAS'!AG30/'EDT Y TAREAS'!M30,0),IF(AND(215&gt;='EDT Y TAREAS'!AK31,215&lt;'EDT Y TAREAS'!AL31),'EDT Y TAREAS'!AG31/'EDT Y TAREAS'!M31,0),IF(AND(215&gt;='EDT Y TAREAS'!AK32,215&lt;'EDT Y TAREAS'!AL32),'EDT Y TAREAS'!AG32/'EDT Y TAREAS'!M32,0),IF(AND(215&gt;='EDT Y TAREAS'!AK41,215&lt;'EDT Y TAREAS'!AL41),'EDT Y TAREAS'!AG41/'EDT Y TAREAS'!M41,0),IF(AND(215&gt;='EDT Y TAREAS'!AK45,215&lt;'EDT Y TAREAS'!AL45),'EDT Y TAREAS'!AG45/'EDT Y TAREAS'!M45,0),IF(AND(215&gt;='EDT Y TAREAS'!AK48,215&lt;'EDT Y TAREAS'!AL48),'EDT Y TAREAS'!AG48/'EDT Y TAREAS'!M48,0))</x:f>
        <x:v>0</x:v>
      </x:c>
      <x:c r="F255" s="35" t="n">
        <x:f>SUM(IF(AND(215&gt;='EDT Y TAREAS'!AK10,215&lt;'EDT Y TAREAS'!AL10),'EDT Y TAREAS'!AH10/'EDT Y TAREAS'!M10,0),IF(AND(215&gt;='EDT Y TAREAS'!AK12,215&lt;'EDT Y TAREAS'!AL12),'EDT Y TAREAS'!AH12/'EDT Y TAREAS'!M12,0),IF(AND(215&gt;='EDT Y TAREAS'!AK22,215&lt;'EDT Y TAREAS'!AL22),'EDT Y TAREAS'!AH22/'EDT Y TAREAS'!M22,0),IF(AND(215&gt;='EDT Y TAREAS'!AK23,215&lt;'EDT Y TAREAS'!AL23),'EDT Y TAREAS'!AH23/'EDT Y TAREAS'!M23,0),IF(AND(215&gt;='EDT Y TAREAS'!AK29,215&lt;'EDT Y TAREAS'!AL29),'EDT Y TAREAS'!AH29/'EDT Y TAREAS'!M29,0),IF(AND(215&gt;='EDT Y TAREAS'!AK30,215&lt;'EDT Y TAREAS'!AL30),'EDT Y TAREAS'!AH30/'EDT Y TAREAS'!M30,0),IF(AND(215&gt;='EDT Y TAREAS'!AK32,215&lt;'EDT Y TAREAS'!AL32),'EDT Y TAREAS'!AH32/'EDT Y TAREAS'!M32,0),IF(AND(215&gt;='EDT Y TAREAS'!AK41,215&lt;'EDT Y TAREAS'!AL41),'EDT Y TAREAS'!AH41/'EDT Y TAREAS'!M41,0),IF(AND(215&gt;='EDT Y TAREAS'!AK44,215&lt;'EDT Y TAREAS'!AL44),'EDT Y TAREAS'!AH44/'EDT Y TAREAS'!M44,0),IF(AND(215&gt;='EDT Y TAREAS'!AK46,215&lt;'EDT Y TAREAS'!AL46),'EDT Y TAREAS'!AH46/'EDT Y TAREAS'!M46,0),IF(AND(215&gt;='EDT Y TAREAS'!AK48,215&lt;'EDT Y TAREAS'!AL48),'EDT Y TAREAS'!AH48/'EDT Y TAREAS'!M48,0))</x:f>
        <x:v>0</x:v>
      </x:c>
      <x:c r="G255" s="35" t="n">
        <x:f>SUM(IF(AND(215&gt;='EDT Y TAREAS'!AK20,215&lt;'EDT Y TAREAS'!AL20),'EDT Y TAREAS'!AI20/'EDT Y TAREAS'!M20,0),IF(AND(215&gt;='EDT Y TAREAS'!AK25,215&lt;'EDT Y TAREAS'!AL25),'EDT Y TAREAS'!AI25/'EDT Y TAREAS'!M25,0),IF(AND(215&gt;='EDT Y TAREAS'!AK33,215&lt;'EDT Y TAREAS'!AL33),'EDT Y TAREAS'!AI33/'EDT Y TAREAS'!M33,0),IF(AND(215&gt;='EDT Y TAREAS'!AK34,215&lt;'EDT Y TAREAS'!AL34),'EDT Y TAREAS'!AI34/'EDT Y TAREAS'!M34,0),IF(AND(215&gt;='EDT Y TAREAS'!AK36,215&lt;'EDT Y TAREAS'!AL36),'EDT Y TAREAS'!AI36/'EDT Y TAREAS'!M36,0),IF(AND(215&gt;='EDT Y TAREAS'!AK39,215&lt;'EDT Y TAREAS'!AL39),'EDT Y TAREAS'!AI39/'EDT Y TAREAS'!M39,0),IF(AND(215&gt;='EDT Y TAREAS'!AK40,215&lt;'EDT Y TAREAS'!AL40),'EDT Y TAREAS'!AI40/'EDT Y TAREAS'!M40,0),IF(AND(215&gt;='EDT Y TAREAS'!AK42,215&lt;'EDT Y TAREAS'!AL42),'EDT Y TAREAS'!AI42/'EDT Y TAREAS'!M42,0),IF(AND(215&gt;='EDT Y TAREAS'!AK43,215&lt;'EDT Y TAREAS'!AL43),'EDT Y TAREAS'!AI43/'EDT Y TAREAS'!M43,0),IF(AND(215&gt;='EDT Y TAREAS'!AK44,215&lt;'EDT Y TAREAS'!AL44),'EDT Y TAREAS'!AI44/'EDT Y TAREAS'!M44,0),IF(AND(215&gt;='EDT Y TAREAS'!AK45,215&lt;'EDT Y TAREAS'!AL45),'EDT Y TAREAS'!AI45/'EDT Y TAREAS'!M45,0),IF(AND(215&gt;='EDT Y TAREAS'!AK46,215&lt;'EDT Y TAREAS'!AL46),'EDT Y TAREAS'!AI46/'EDT Y TAREAS'!M46,0),IF(AND(215&gt;='EDT Y TAREAS'!AK48,215&lt;'EDT Y TAREAS'!AL48),'EDT Y TAREAS'!AI48/'EDT Y TAREAS'!M48,0),IF(AND(215&gt;='EDT Y TAREAS'!AK50,215&lt;'EDT Y TAREAS'!AL50),'EDT Y TAREAS'!AI50/'EDT Y TAREAS'!M50,0),IF(AND(215&gt;='EDT Y TAREAS'!AK52,215&lt;'EDT Y TAREAS'!AL52),'EDT Y TAREAS'!AI52/'EDT Y TAREAS'!M52,0))</x:f>
        <x:v>0</x:v>
      </x:c>
      <x:c r="H255" s="35" t="n">
        <x:f>SUM(IF(AND(215&gt;='EDT Y TAREAS'!AK11,215&lt;'EDT Y TAREAS'!AL11),'EDT Y TAREAS'!AJ11/'EDT Y TAREAS'!M11,0),IF(AND(215&gt;='EDT Y TAREAS'!AK24,215&lt;'EDT Y TAREAS'!AL24),'EDT Y TAREAS'!AJ24/'EDT Y TAREAS'!M24,0),IF(AND(215&gt;='EDT Y TAREAS'!AK27,215&lt;'EDT Y TAREAS'!AL27),'EDT Y TAREAS'!AJ27/'EDT Y TAREAS'!M27,0),IF(AND(215&gt;='EDT Y TAREAS'!AK28,215&lt;'EDT Y TAREAS'!AL28),'EDT Y TAREAS'!AJ28/'EDT Y TAREAS'!M28,0),IF(AND(215&gt;='EDT Y TAREAS'!AK33,215&lt;'EDT Y TAREAS'!AL33),'EDT Y TAREAS'!AJ33/'EDT Y TAREAS'!M33,0),IF(AND(215&gt;='EDT Y TAREAS'!AK35,215&lt;'EDT Y TAREAS'!AL35),'EDT Y TAREAS'!AJ35/'EDT Y TAREAS'!M35,0),IF(AND(215&gt;='EDT Y TAREAS'!AK36,215&lt;'EDT Y TAREAS'!AL36),'EDT Y TAREAS'!AJ36/'EDT Y TAREAS'!M36,0),IF(AND(215&gt;='EDT Y TAREAS'!AK37,215&lt;'EDT Y TAREAS'!AL37),'EDT Y TAREAS'!AJ37/'EDT Y TAREAS'!M37,0),IF(AND(215&gt;='EDT Y TAREAS'!AK40,215&lt;'EDT Y TAREAS'!AL40),'EDT Y TAREAS'!AJ40/'EDT Y TAREAS'!M40,0),IF(AND(215&gt;='EDT Y TAREAS'!AK42,215&lt;'EDT Y TAREAS'!AL42),'EDT Y TAREAS'!AJ42/'EDT Y TAREAS'!M42,0),IF(AND(215&gt;='EDT Y TAREAS'!AK49,215&lt;'EDT Y TAREAS'!AL49),'EDT Y TAREAS'!AJ49/'EDT Y TAREAS'!M49,0),IF(AND(215&gt;='EDT Y TAREAS'!AK50,215&lt;'EDT Y TAREAS'!AL50),'EDT Y TAREAS'!AJ50/'EDT Y TAREAS'!M50,0),IF(AND(215&gt;='EDT Y TAREAS'!AK51,215&lt;'EDT Y TAREAS'!AL51),'EDT Y TAREAS'!AJ51/'EDT Y TAREAS'!M51,0),IF(AND(215&gt;='EDT Y TAREAS'!AK52,215&lt;'EDT Y TAREAS'!AL52),'EDT Y TAREAS'!AJ52/'EDT Y TAREAS'!M52,0))</x:f>
        <x:v>0</x:v>
      </x:c>
      <x:c r="I255" s="10" t="n">
        <x:f>WORKDAY('RESUMEN'!$D$3-1,A255,'RESUMEN'!$J$6:$J$25)</x:f>
        <x:v>46629</x:v>
      </x:c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  <x:c r="AL255" s="3"/>
      <x:c r="AM255" s="3"/>
      <x:c r="AN255" s="3"/>
      <x:c r="AO255" s="3"/>
    </x:row>
    <x:row r="256" ht="24" customHeight="1">
      <x:c r="A256" s="3" t="n">
        <x:v>217</x:v>
      </x:c>
      <x:c r="B256" s="35" t="n">
        <x:f>SUM(IF(AND(216&gt;='EDT Y TAREAS'!AK6,216&lt;'EDT Y TAREAS'!AL6),'EDT Y TAREAS'!AD6/'EDT Y TAREAS'!M6,0),IF(AND(216&gt;='EDT Y TAREAS'!AK7,216&lt;'EDT Y TAREAS'!AL7),'EDT Y TAREAS'!AD7/'EDT Y TAREAS'!M7,0),IF(AND(216&gt;='EDT Y TAREAS'!AK8,216&lt;'EDT Y TAREAS'!AL8),'EDT Y TAREAS'!AD8/'EDT Y TAREAS'!M8,0),IF(AND(216&gt;='EDT Y TAREAS'!AK9,216&lt;'EDT Y TAREAS'!AL9),'EDT Y TAREAS'!AD9/'EDT Y TAREAS'!M9,0),IF(AND(216&gt;='EDT Y TAREAS'!AK10,216&lt;'EDT Y TAREAS'!AL10),'EDT Y TAREAS'!AD10/'EDT Y TAREAS'!M10,0),IF(AND(216&gt;='EDT Y TAREAS'!AK11,216&lt;'EDT Y TAREAS'!AL11),'EDT Y TAREAS'!AD11/'EDT Y TAREAS'!M11,0),IF(AND(216&gt;='EDT Y TAREAS'!AK12,216&lt;'EDT Y TAREAS'!AL12),'EDT Y TAREAS'!AD12/'EDT Y TAREAS'!M12,0),IF(AND(216&gt;='EDT Y TAREAS'!AK13,216&lt;'EDT Y TAREAS'!AL13),'EDT Y TAREAS'!AD13/'EDT Y TAREAS'!M13,0),IF(AND(216&gt;='EDT Y TAREAS'!AK14,216&lt;'EDT Y TAREAS'!AL14),'EDT Y TAREAS'!AD14/'EDT Y TAREAS'!M14,0),IF(AND(216&gt;='EDT Y TAREAS'!AK15,216&lt;'EDT Y TAREAS'!AL15),'EDT Y TAREAS'!AD15/'EDT Y TAREAS'!M15,0),IF(AND(216&gt;='EDT Y TAREAS'!AK16,216&lt;'EDT Y TAREAS'!AL16),'EDT Y TAREAS'!AD16/'EDT Y TAREAS'!M16,0),IF(AND(216&gt;='EDT Y TAREAS'!AK17,216&lt;'EDT Y TAREAS'!AL17),'EDT Y TAREAS'!AD17/'EDT Y TAREAS'!M17,0),IF(AND(216&gt;='EDT Y TAREAS'!AK18,216&lt;'EDT Y TAREAS'!AL18),'EDT Y TAREAS'!AD18/'EDT Y TAREAS'!M18,0),IF(AND(216&gt;='EDT Y TAREAS'!AK19,216&lt;'EDT Y TAREAS'!AL19),'EDT Y TAREAS'!AD19/'EDT Y TAREAS'!M19,0),IF(AND(216&gt;='EDT Y TAREAS'!AK20,216&lt;'EDT Y TAREAS'!AL20),'EDT Y TAREAS'!AD20/'EDT Y TAREAS'!M20,0),IF(AND(216&gt;='EDT Y TAREAS'!AK21,216&lt;'EDT Y TAREAS'!AL21),'EDT Y TAREAS'!AD21/'EDT Y TAREAS'!M21,0),IF(AND(216&gt;='EDT Y TAREAS'!AK22,216&lt;'EDT Y TAREAS'!AL22),'EDT Y TAREAS'!AD22/'EDT Y TAREAS'!M22,0),IF(AND(216&gt;='EDT Y TAREAS'!AK23,216&lt;'EDT Y TAREAS'!AL23),'EDT Y TAREAS'!AD23/'EDT Y TAREAS'!M23,0),IF(AND(216&gt;='EDT Y TAREAS'!AK26,216&lt;'EDT Y TAREAS'!AL26),'EDT Y TAREAS'!AD26/'EDT Y TAREAS'!M26,0),IF(AND(216&gt;='EDT Y TAREAS'!AK28,216&lt;'EDT Y TAREAS'!AL28),'EDT Y TAREAS'!AD28/'EDT Y TAREAS'!M28,0),IF(AND(216&gt;='EDT Y TAREAS'!AK30,216&lt;'EDT Y TAREAS'!AL30),'EDT Y TAREAS'!AD30/'EDT Y TAREAS'!M30,0),IF(AND(216&gt;='EDT Y TAREAS'!AK32,216&lt;'EDT Y TAREAS'!AL32),'EDT Y TAREAS'!AD32/'EDT Y TAREAS'!M32,0),IF(AND(216&gt;='EDT Y TAREAS'!AK34,216&lt;'EDT Y TAREAS'!AL34),'EDT Y TAREAS'!AD34/'EDT Y TAREAS'!M34,0),IF(AND(216&gt;='EDT Y TAREAS'!AK38,216&lt;'EDT Y TAREAS'!AL38),'EDT Y TAREAS'!AD38/'EDT Y TAREAS'!M38,0),IF(AND(216&gt;='EDT Y TAREAS'!AK39,216&lt;'EDT Y TAREAS'!AL39),'EDT Y TAREAS'!AD39/'EDT Y TAREAS'!M39,0),IF(AND(216&gt;='EDT Y TAREAS'!AK43,216&lt;'EDT Y TAREAS'!AL43),'EDT Y TAREAS'!AD43/'EDT Y TAREAS'!M43,0),IF(AND(216&gt;='EDT Y TAREAS'!AK44,216&lt;'EDT Y TAREAS'!AL44),'EDT Y TAREAS'!AD44/'EDT Y TAREAS'!M44,0),IF(AND(216&gt;='EDT Y TAREAS'!AK45,216&lt;'EDT Y TAREAS'!AL45),'EDT Y TAREAS'!AD45/'EDT Y TAREAS'!M45,0),IF(AND(216&gt;='EDT Y TAREAS'!AK46,216&lt;'EDT Y TAREAS'!AL46),'EDT Y TAREAS'!AD46/'EDT Y TAREAS'!M46,0),IF(AND(216&gt;='EDT Y TAREAS'!AK47,216&lt;'EDT Y TAREAS'!AL47),'EDT Y TAREAS'!AD47/'EDT Y TAREAS'!M47,0),IF(AND(216&gt;='EDT Y TAREAS'!AK49,216&lt;'EDT Y TAREAS'!AL49),'EDT Y TAREAS'!AD49/'EDT Y TAREAS'!M49,0),IF(AND(216&gt;='EDT Y TAREAS'!AK50,216&lt;'EDT Y TAREAS'!AL50),'EDT Y TAREAS'!AD50/'EDT Y TAREAS'!M50,0),IF(AND(216&gt;='EDT Y TAREAS'!AK51,216&lt;'EDT Y TAREAS'!AL51),'EDT Y TAREAS'!AD51/'EDT Y TAREAS'!M51,0),IF(AND(216&gt;='EDT Y TAREAS'!AK52,216&lt;'EDT Y TAREAS'!AL52),'EDT Y TAREAS'!AD52/'EDT Y TAREAS'!M52,0))</x:f>
        <x:v>0</x:v>
      </x:c>
      <x:c r="C256" s="35" t="n">
        <x:f>SUM(IF(AND(216&gt;='EDT Y TAREAS'!AK6,216&lt;'EDT Y TAREAS'!AL6),'EDT Y TAREAS'!AE6/'EDT Y TAREAS'!M6,0),IF(AND(216&gt;='EDT Y TAREAS'!AK8,216&lt;'EDT Y TAREAS'!AL8),'EDT Y TAREAS'!AE8/'EDT Y TAREAS'!M8,0),IF(AND(216&gt;='EDT Y TAREAS'!AK9,216&lt;'EDT Y TAREAS'!AL9),'EDT Y TAREAS'!AE9/'EDT Y TAREAS'!M9,0),IF(AND(216&gt;='EDT Y TAREAS'!AK10,216&lt;'EDT Y TAREAS'!AL10),'EDT Y TAREAS'!AE10/'EDT Y TAREAS'!M10,0),IF(AND(216&gt;='EDT Y TAREAS'!AK12,216&lt;'EDT Y TAREAS'!AL12),'EDT Y TAREAS'!AE12/'EDT Y TAREAS'!M12,0),IF(AND(216&gt;='EDT Y TAREAS'!AK16,216&lt;'EDT Y TAREAS'!AL16),'EDT Y TAREAS'!AE16/'EDT Y TAREAS'!M16,0),IF(AND(216&gt;='EDT Y TAREAS'!AK21,216&lt;'EDT Y TAREAS'!AL21),'EDT Y TAREAS'!AE21/'EDT Y TAREAS'!M21,0),IF(AND(216&gt;='EDT Y TAREAS'!AK23,216&lt;'EDT Y TAREAS'!AL23),'EDT Y TAREAS'!AE23/'EDT Y TAREAS'!M23,0),IF(AND(216&gt;='EDT Y TAREAS'!AK37,216&lt;'EDT Y TAREAS'!AL37),'EDT Y TAREAS'!AE37/'EDT Y TAREAS'!M37,0),IF(AND(216&gt;='EDT Y TAREAS'!AK38,216&lt;'EDT Y TAREAS'!AL38),'EDT Y TAREAS'!AE38/'EDT Y TAREAS'!M38,0),IF(AND(216&gt;='EDT Y TAREAS'!AK41,216&lt;'EDT Y TAREAS'!AL41),'EDT Y TAREAS'!AE41/'EDT Y TAREAS'!M41,0),IF(AND(216&gt;='EDT Y TAREAS'!AK43,216&lt;'EDT Y TAREAS'!AL43),'EDT Y TAREAS'!AE43/'EDT Y TAREAS'!M43,0),IF(AND(216&gt;='EDT Y TAREAS'!AK44,216&lt;'EDT Y TAREAS'!AL44),'EDT Y TAREAS'!AE44/'EDT Y TAREAS'!M44,0),IF(AND(216&gt;='EDT Y TAREAS'!AK46,216&lt;'EDT Y TAREAS'!AL46),'EDT Y TAREAS'!AE46/'EDT Y TAREAS'!M46,0),IF(AND(216&gt;='EDT Y TAREAS'!AK47,216&lt;'EDT Y TAREAS'!AL47),'EDT Y TAREAS'!AE47/'EDT Y TAREAS'!M47,0),IF(AND(216&gt;='EDT Y TAREAS'!AK51,216&lt;'EDT Y TAREAS'!AL51),'EDT Y TAREAS'!AE51/'EDT Y TAREAS'!M51,0),IF(AND(216&gt;='EDT Y TAREAS'!AK52,216&lt;'EDT Y TAREAS'!AL52),'EDT Y TAREAS'!AE52/'EDT Y TAREAS'!M52,0))</x:f>
        <x:v>0</x:v>
      </x:c>
      <x:c r="D256" s="35" t="n">
        <x:f>SUM(IF(AND(216&gt;='EDT Y TAREAS'!AK11,216&lt;'EDT Y TAREAS'!AL11),'EDT Y TAREAS'!AF11/'EDT Y TAREAS'!M11,0),IF(AND(216&gt;='EDT Y TAREAS'!AK24,216&lt;'EDT Y TAREAS'!AL24),'EDT Y TAREAS'!AF24/'EDT Y TAREAS'!M24,0),IF(AND(216&gt;='EDT Y TAREAS'!AK25,216&lt;'EDT Y TAREAS'!AL25),'EDT Y TAREAS'!AF25/'EDT Y TAREAS'!M25,0),IF(AND(216&gt;='EDT Y TAREAS'!AK26,216&lt;'EDT Y TAREAS'!AL26),'EDT Y TAREAS'!AF26/'EDT Y TAREAS'!M26,0),IF(AND(216&gt;='EDT Y TAREAS'!AK27,216&lt;'EDT Y TAREAS'!AL27),'EDT Y TAREAS'!AF27/'EDT Y TAREAS'!M27,0),IF(AND(216&gt;='EDT Y TAREAS'!AK28,216&lt;'EDT Y TAREAS'!AL28),'EDT Y TAREAS'!AF28/'EDT Y TAREAS'!M28,0),IF(AND(216&gt;='EDT Y TAREAS'!AK31,216&lt;'EDT Y TAREAS'!AL31),'EDT Y TAREAS'!AF31/'EDT Y TAREAS'!M31,0),IF(AND(216&gt;='EDT Y TAREAS'!AK33,216&lt;'EDT Y TAREAS'!AL33),'EDT Y TAREAS'!AF33/'EDT Y TAREAS'!M33,0),IF(AND(216&gt;='EDT Y TAREAS'!AK34,216&lt;'EDT Y TAREAS'!AL34),'EDT Y TAREAS'!AF34/'EDT Y TAREAS'!M34,0),IF(AND(216&gt;='EDT Y TAREAS'!AK35,216&lt;'EDT Y TAREAS'!AL35),'EDT Y TAREAS'!AF35/'EDT Y TAREAS'!M35,0),IF(AND(216&gt;='EDT Y TAREAS'!AK37,216&lt;'EDT Y TAREAS'!AL37),'EDT Y TAREAS'!AF37/'EDT Y TAREAS'!M37,0),IF(AND(216&gt;='EDT Y TAREAS'!AK39,216&lt;'EDT Y TAREAS'!AL39),'EDT Y TAREAS'!AF39/'EDT Y TAREAS'!M39,0),IF(AND(216&gt;='EDT Y TAREAS'!AK40,216&lt;'EDT Y TAREAS'!AL40),'EDT Y TAREAS'!AF40/'EDT Y TAREAS'!M40,0),IF(AND(216&gt;='EDT Y TAREAS'!AK42,216&lt;'EDT Y TAREAS'!AL42),'EDT Y TAREAS'!AF42/'EDT Y TAREAS'!M42,0),IF(AND(216&gt;='EDT Y TAREAS'!AK45,216&lt;'EDT Y TAREAS'!AL45),'EDT Y TAREAS'!AF45/'EDT Y TAREAS'!M45,0),IF(AND(216&gt;='EDT Y TAREAS'!AK49,216&lt;'EDT Y TAREAS'!AL49),'EDT Y TAREAS'!AF49/'EDT Y TAREAS'!M49,0),IF(AND(216&gt;='EDT Y TAREAS'!AK52,216&lt;'EDT Y TAREAS'!AL52),'EDT Y TAREAS'!AF52/'EDT Y TAREAS'!M52,0))</x:f>
        <x:v>0</x:v>
      </x:c>
      <x:c r="E256" s="35" t="n">
        <x:f>SUM(IF(AND(216&gt;='EDT Y TAREAS'!AK29,216&lt;'EDT Y TAREAS'!AL29),'EDT Y TAREAS'!AG29/'EDT Y TAREAS'!M29,0),IF(AND(216&gt;='EDT Y TAREAS'!AK30,216&lt;'EDT Y TAREAS'!AL30),'EDT Y TAREAS'!AG30/'EDT Y TAREAS'!M30,0),IF(AND(216&gt;='EDT Y TAREAS'!AK31,216&lt;'EDT Y TAREAS'!AL31),'EDT Y TAREAS'!AG31/'EDT Y TAREAS'!M31,0),IF(AND(216&gt;='EDT Y TAREAS'!AK32,216&lt;'EDT Y TAREAS'!AL32),'EDT Y TAREAS'!AG32/'EDT Y TAREAS'!M32,0),IF(AND(216&gt;='EDT Y TAREAS'!AK41,216&lt;'EDT Y TAREAS'!AL41),'EDT Y TAREAS'!AG41/'EDT Y TAREAS'!M41,0),IF(AND(216&gt;='EDT Y TAREAS'!AK45,216&lt;'EDT Y TAREAS'!AL45),'EDT Y TAREAS'!AG45/'EDT Y TAREAS'!M45,0),IF(AND(216&gt;='EDT Y TAREAS'!AK48,216&lt;'EDT Y TAREAS'!AL48),'EDT Y TAREAS'!AG48/'EDT Y TAREAS'!M48,0))</x:f>
        <x:v>0</x:v>
      </x:c>
      <x:c r="F256" s="35" t="n">
        <x:f>SUM(IF(AND(216&gt;='EDT Y TAREAS'!AK10,216&lt;'EDT Y TAREAS'!AL10),'EDT Y TAREAS'!AH10/'EDT Y TAREAS'!M10,0),IF(AND(216&gt;='EDT Y TAREAS'!AK12,216&lt;'EDT Y TAREAS'!AL12),'EDT Y TAREAS'!AH12/'EDT Y TAREAS'!M12,0),IF(AND(216&gt;='EDT Y TAREAS'!AK22,216&lt;'EDT Y TAREAS'!AL22),'EDT Y TAREAS'!AH22/'EDT Y TAREAS'!M22,0),IF(AND(216&gt;='EDT Y TAREAS'!AK23,216&lt;'EDT Y TAREAS'!AL23),'EDT Y TAREAS'!AH23/'EDT Y TAREAS'!M23,0),IF(AND(216&gt;='EDT Y TAREAS'!AK29,216&lt;'EDT Y TAREAS'!AL29),'EDT Y TAREAS'!AH29/'EDT Y TAREAS'!M29,0),IF(AND(216&gt;='EDT Y TAREAS'!AK30,216&lt;'EDT Y TAREAS'!AL30),'EDT Y TAREAS'!AH30/'EDT Y TAREAS'!M30,0),IF(AND(216&gt;='EDT Y TAREAS'!AK32,216&lt;'EDT Y TAREAS'!AL32),'EDT Y TAREAS'!AH32/'EDT Y TAREAS'!M32,0),IF(AND(216&gt;='EDT Y TAREAS'!AK41,216&lt;'EDT Y TAREAS'!AL41),'EDT Y TAREAS'!AH41/'EDT Y TAREAS'!M41,0),IF(AND(216&gt;='EDT Y TAREAS'!AK44,216&lt;'EDT Y TAREAS'!AL44),'EDT Y TAREAS'!AH44/'EDT Y TAREAS'!M44,0),IF(AND(216&gt;='EDT Y TAREAS'!AK46,216&lt;'EDT Y TAREAS'!AL46),'EDT Y TAREAS'!AH46/'EDT Y TAREAS'!M46,0),IF(AND(216&gt;='EDT Y TAREAS'!AK48,216&lt;'EDT Y TAREAS'!AL48),'EDT Y TAREAS'!AH48/'EDT Y TAREAS'!M48,0))</x:f>
        <x:v>0</x:v>
      </x:c>
      <x:c r="G256" s="35" t="n">
        <x:f>SUM(IF(AND(216&gt;='EDT Y TAREAS'!AK20,216&lt;'EDT Y TAREAS'!AL20),'EDT Y TAREAS'!AI20/'EDT Y TAREAS'!M20,0),IF(AND(216&gt;='EDT Y TAREAS'!AK25,216&lt;'EDT Y TAREAS'!AL25),'EDT Y TAREAS'!AI25/'EDT Y TAREAS'!M25,0),IF(AND(216&gt;='EDT Y TAREAS'!AK33,216&lt;'EDT Y TAREAS'!AL33),'EDT Y TAREAS'!AI33/'EDT Y TAREAS'!M33,0),IF(AND(216&gt;='EDT Y TAREAS'!AK34,216&lt;'EDT Y TAREAS'!AL34),'EDT Y TAREAS'!AI34/'EDT Y TAREAS'!M34,0),IF(AND(216&gt;='EDT Y TAREAS'!AK36,216&lt;'EDT Y TAREAS'!AL36),'EDT Y TAREAS'!AI36/'EDT Y TAREAS'!M36,0),IF(AND(216&gt;='EDT Y TAREAS'!AK39,216&lt;'EDT Y TAREAS'!AL39),'EDT Y TAREAS'!AI39/'EDT Y TAREAS'!M39,0),IF(AND(216&gt;='EDT Y TAREAS'!AK40,216&lt;'EDT Y TAREAS'!AL40),'EDT Y TAREAS'!AI40/'EDT Y TAREAS'!M40,0),IF(AND(216&gt;='EDT Y TAREAS'!AK42,216&lt;'EDT Y TAREAS'!AL42),'EDT Y TAREAS'!AI42/'EDT Y TAREAS'!M42,0),IF(AND(216&gt;='EDT Y TAREAS'!AK43,216&lt;'EDT Y TAREAS'!AL43),'EDT Y TAREAS'!AI43/'EDT Y TAREAS'!M43,0),IF(AND(216&gt;='EDT Y TAREAS'!AK44,216&lt;'EDT Y TAREAS'!AL44),'EDT Y TAREAS'!AI44/'EDT Y TAREAS'!M44,0),IF(AND(216&gt;='EDT Y TAREAS'!AK45,216&lt;'EDT Y TAREAS'!AL45),'EDT Y TAREAS'!AI45/'EDT Y TAREAS'!M45,0),IF(AND(216&gt;='EDT Y TAREAS'!AK46,216&lt;'EDT Y TAREAS'!AL46),'EDT Y TAREAS'!AI46/'EDT Y TAREAS'!M46,0),IF(AND(216&gt;='EDT Y TAREAS'!AK48,216&lt;'EDT Y TAREAS'!AL48),'EDT Y TAREAS'!AI48/'EDT Y TAREAS'!M48,0),IF(AND(216&gt;='EDT Y TAREAS'!AK50,216&lt;'EDT Y TAREAS'!AL50),'EDT Y TAREAS'!AI50/'EDT Y TAREAS'!M50,0),IF(AND(216&gt;='EDT Y TAREAS'!AK52,216&lt;'EDT Y TAREAS'!AL52),'EDT Y TAREAS'!AI52/'EDT Y TAREAS'!M52,0))</x:f>
        <x:v>0</x:v>
      </x:c>
      <x:c r="H256" s="35" t="n">
        <x:f>SUM(IF(AND(216&gt;='EDT Y TAREAS'!AK11,216&lt;'EDT Y TAREAS'!AL11),'EDT Y TAREAS'!AJ11/'EDT Y TAREAS'!M11,0),IF(AND(216&gt;='EDT Y TAREAS'!AK24,216&lt;'EDT Y TAREAS'!AL24),'EDT Y TAREAS'!AJ24/'EDT Y TAREAS'!M24,0),IF(AND(216&gt;='EDT Y TAREAS'!AK27,216&lt;'EDT Y TAREAS'!AL27),'EDT Y TAREAS'!AJ27/'EDT Y TAREAS'!M27,0),IF(AND(216&gt;='EDT Y TAREAS'!AK28,216&lt;'EDT Y TAREAS'!AL28),'EDT Y TAREAS'!AJ28/'EDT Y TAREAS'!M28,0),IF(AND(216&gt;='EDT Y TAREAS'!AK33,216&lt;'EDT Y TAREAS'!AL33),'EDT Y TAREAS'!AJ33/'EDT Y TAREAS'!M33,0),IF(AND(216&gt;='EDT Y TAREAS'!AK35,216&lt;'EDT Y TAREAS'!AL35),'EDT Y TAREAS'!AJ35/'EDT Y TAREAS'!M35,0),IF(AND(216&gt;='EDT Y TAREAS'!AK36,216&lt;'EDT Y TAREAS'!AL36),'EDT Y TAREAS'!AJ36/'EDT Y TAREAS'!M36,0),IF(AND(216&gt;='EDT Y TAREAS'!AK37,216&lt;'EDT Y TAREAS'!AL37),'EDT Y TAREAS'!AJ37/'EDT Y TAREAS'!M37,0),IF(AND(216&gt;='EDT Y TAREAS'!AK40,216&lt;'EDT Y TAREAS'!AL40),'EDT Y TAREAS'!AJ40/'EDT Y TAREAS'!M40,0),IF(AND(216&gt;='EDT Y TAREAS'!AK42,216&lt;'EDT Y TAREAS'!AL42),'EDT Y TAREAS'!AJ42/'EDT Y TAREAS'!M42,0),IF(AND(216&gt;='EDT Y TAREAS'!AK49,216&lt;'EDT Y TAREAS'!AL49),'EDT Y TAREAS'!AJ49/'EDT Y TAREAS'!M49,0),IF(AND(216&gt;='EDT Y TAREAS'!AK50,216&lt;'EDT Y TAREAS'!AL50),'EDT Y TAREAS'!AJ50/'EDT Y TAREAS'!M50,0),IF(AND(216&gt;='EDT Y TAREAS'!AK51,216&lt;'EDT Y TAREAS'!AL51),'EDT Y TAREAS'!AJ51/'EDT Y TAREAS'!M51,0),IF(AND(216&gt;='EDT Y TAREAS'!AK52,216&lt;'EDT Y TAREAS'!AL52),'EDT Y TAREAS'!AJ52/'EDT Y TAREAS'!M52,0))</x:f>
        <x:v>0</x:v>
      </x:c>
      <x:c r="I256" s="10" t="n">
        <x:f>WORKDAY('RESUMEN'!$D$3-1,A256,'RESUMEN'!$J$6:$J$25)</x:f>
        <x:v>46630</x:v>
      </x:c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  <x:c r="AL256" s="3"/>
      <x:c r="AM256" s="3"/>
      <x:c r="AN256" s="3"/>
      <x:c r="AO256" s="3"/>
    </x:row>
    <x:row r="257" ht="24" customHeight="1">
      <x:c r="A257" s="3" t="n">
        <x:v>218</x:v>
      </x:c>
      <x:c r="B257" s="35" t="n">
        <x:f>SUM(IF(AND(217&gt;='EDT Y TAREAS'!AK6,217&lt;'EDT Y TAREAS'!AL6),'EDT Y TAREAS'!AD6/'EDT Y TAREAS'!M6,0),IF(AND(217&gt;='EDT Y TAREAS'!AK7,217&lt;'EDT Y TAREAS'!AL7),'EDT Y TAREAS'!AD7/'EDT Y TAREAS'!M7,0),IF(AND(217&gt;='EDT Y TAREAS'!AK8,217&lt;'EDT Y TAREAS'!AL8),'EDT Y TAREAS'!AD8/'EDT Y TAREAS'!M8,0),IF(AND(217&gt;='EDT Y TAREAS'!AK9,217&lt;'EDT Y TAREAS'!AL9),'EDT Y TAREAS'!AD9/'EDT Y TAREAS'!M9,0),IF(AND(217&gt;='EDT Y TAREAS'!AK10,217&lt;'EDT Y TAREAS'!AL10),'EDT Y TAREAS'!AD10/'EDT Y TAREAS'!M10,0),IF(AND(217&gt;='EDT Y TAREAS'!AK11,217&lt;'EDT Y TAREAS'!AL11),'EDT Y TAREAS'!AD11/'EDT Y TAREAS'!M11,0),IF(AND(217&gt;='EDT Y TAREAS'!AK12,217&lt;'EDT Y TAREAS'!AL12),'EDT Y TAREAS'!AD12/'EDT Y TAREAS'!M12,0),IF(AND(217&gt;='EDT Y TAREAS'!AK13,217&lt;'EDT Y TAREAS'!AL13),'EDT Y TAREAS'!AD13/'EDT Y TAREAS'!M13,0),IF(AND(217&gt;='EDT Y TAREAS'!AK14,217&lt;'EDT Y TAREAS'!AL14),'EDT Y TAREAS'!AD14/'EDT Y TAREAS'!M14,0),IF(AND(217&gt;='EDT Y TAREAS'!AK15,217&lt;'EDT Y TAREAS'!AL15),'EDT Y TAREAS'!AD15/'EDT Y TAREAS'!M15,0),IF(AND(217&gt;='EDT Y TAREAS'!AK16,217&lt;'EDT Y TAREAS'!AL16),'EDT Y TAREAS'!AD16/'EDT Y TAREAS'!M16,0),IF(AND(217&gt;='EDT Y TAREAS'!AK17,217&lt;'EDT Y TAREAS'!AL17),'EDT Y TAREAS'!AD17/'EDT Y TAREAS'!M17,0),IF(AND(217&gt;='EDT Y TAREAS'!AK18,217&lt;'EDT Y TAREAS'!AL18),'EDT Y TAREAS'!AD18/'EDT Y TAREAS'!M18,0),IF(AND(217&gt;='EDT Y TAREAS'!AK19,217&lt;'EDT Y TAREAS'!AL19),'EDT Y TAREAS'!AD19/'EDT Y TAREAS'!M19,0),IF(AND(217&gt;='EDT Y TAREAS'!AK20,217&lt;'EDT Y TAREAS'!AL20),'EDT Y TAREAS'!AD20/'EDT Y TAREAS'!M20,0),IF(AND(217&gt;='EDT Y TAREAS'!AK21,217&lt;'EDT Y TAREAS'!AL21),'EDT Y TAREAS'!AD21/'EDT Y TAREAS'!M21,0),IF(AND(217&gt;='EDT Y TAREAS'!AK22,217&lt;'EDT Y TAREAS'!AL22),'EDT Y TAREAS'!AD22/'EDT Y TAREAS'!M22,0),IF(AND(217&gt;='EDT Y TAREAS'!AK23,217&lt;'EDT Y TAREAS'!AL23),'EDT Y TAREAS'!AD23/'EDT Y TAREAS'!M23,0),IF(AND(217&gt;='EDT Y TAREAS'!AK26,217&lt;'EDT Y TAREAS'!AL26),'EDT Y TAREAS'!AD26/'EDT Y TAREAS'!M26,0),IF(AND(217&gt;='EDT Y TAREAS'!AK28,217&lt;'EDT Y TAREAS'!AL28),'EDT Y TAREAS'!AD28/'EDT Y TAREAS'!M28,0),IF(AND(217&gt;='EDT Y TAREAS'!AK30,217&lt;'EDT Y TAREAS'!AL30),'EDT Y TAREAS'!AD30/'EDT Y TAREAS'!M30,0),IF(AND(217&gt;='EDT Y TAREAS'!AK32,217&lt;'EDT Y TAREAS'!AL32),'EDT Y TAREAS'!AD32/'EDT Y TAREAS'!M32,0),IF(AND(217&gt;='EDT Y TAREAS'!AK34,217&lt;'EDT Y TAREAS'!AL34),'EDT Y TAREAS'!AD34/'EDT Y TAREAS'!M34,0),IF(AND(217&gt;='EDT Y TAREAS'!AK38,217&lt;'EDT Y TAREAS'!AL38),'EDT Y TAREAS'!AD38/'EDT Y TAREAS'!M38,0),IF(AND(217&gt;='EDT Y TAREAS'!AK39,217&lt;'EDT Y TAREAS'!AL39),'EDT Y TAREAS'!AD39/'EDT Y TAREAS'!M39,0),IF(AND(217&gt;='EDT Y TAREAS'!AK43,217&lt;'EDT Y TAREAS'!AL43),'EDT Y TAREAS'!AD43/'EDT Y TAREAS'!M43,0),IF(AND(217&gt;='EDT Y TAREAS'!AK44,217&lt;'EDT Y TAREAS'!AL44),'EDT Y TAREAS'!AD44/'EDT Y TAREAS'!M44,0),IF(AND(217&gt;='EDT Y TAREAS'!AK45,217&lt;'EDT Y TAREAS'!AL45),'EDT Y TAREAS'!AD45/'EDT Y TAREAS'!M45,0),IF(AND(217&gt;='EDT Y TAREAS'!AK46,217&lt;'EDT Y TAREAS'!AL46),'EDT Y TAREAS'!AD46/'EDT Y TAREAS'!M46,0),IF(AND(217&gt;='EDT Y TAREAS'!AK47,217&lt;'EDT Y TAREAS'!AL47),'EDT Y TAREAS'!AD47/'EDT Y TAREAS'!M47,0),IF(AND(217&gt;='EDT Y TAREAS'!AK49,217&lt;'EDT Y TAREAS'!AL49),'EDT Y TAREAS'!AD49/'EDT Y TAREAS'!M49,0),IF(AND(217&gt;='EDT Y TAREAS'!AK50,217&lt;'EDT Y TAREAS'!AL50),'EDT Y TAREAS'!AD50/'EDT Y TAREAS'!M50,0),IF(AND(217&gt;='EDT Y TAREAS'!AK51,217&lt;'EDT Y TAREAS'!AL51),'EDT Y TAREAS'!AD51/'EDT Y TAREAS'!M51,0),IF(AND(217&gt;='EDT Y TAREAS'!AK52,217&lt;'EDT Y TAREAS'!AL52),'EDT Y TAREAS'!AD52/'EDT Y TAREAS'!M52,0))</x:f>
        <x:v>0</x:v>
      </x:c>
      <x:c r="C257" s="35" t="n">
        <x:f>SUM(IF(AND(217&gt;='EDT Y TAREAS'!AK6,217&lt;'EDT Y TAREAS'!AL6),'EDT Y TAREAS'!AE6/'EDT Y TAREAS'!M6,0),IF(AND(217&gt;='EDT Y TAREAS'!AK8,217&lt;'EDT Y TAREAS'!AL8),'EDT Y TAREAS'!AE8/'EDT Y TAREAS'!M8,0),IF(AND(217&gt;='EDT Y TAREAS'!AK9,217&lt;'EDT Y TAREAS'!AL9),'EDT Y TAREAS'!AE9/'EDT Y TAREAS'!M9,0),IF(AND(217&gt;='EDT Y TAREAS'!AK10,217&lt;'EDT Y TAREAS'!AL10),'EDT Y TAREAS'!AE10/'EDT Y TAREAS'!M10,0),IF(AND(217&gt;='EDT Y TAREAS'!AK12,217&lt;'EDT Y TAREAS'!AL12),'EDT Y TAREAS'!AE12/'EDT Y TAREAS'!M12,0),IF(AND(217&gt;='EDT Y TAREAS'!AK16,217&lt;'EDT Y TAREAS'!AL16),'EDT Y TAREAS'!AE16/'EDT Y TAREAS'!M16,0),IF(AND(217&gt;='EDT Y TAREAS'!AK21,217&lt;'EDT Y TAREAS'!AL21),'EDT Y TAREAS'!AE21/'EDT Y TAREAS'!M21,0),IF(AND(217&gt;='EDT Y TAREAS'!AK23,217&lt;'EDT Y TAREAS'!AL23),'EDT Y TAREAS'!AE23/'EDT Y TAREAS'!M23,0),IF(AND(217&gt;='EDT Y TAREAS'!AK37,217&lt;'EDT Y TAREAS'!AL37),'EDT Y TAREAS'!AE37/'EDT Y TAREAS'!M37,0),IF(AND(217&gt;='EDT Y TAREAS'!AK38,217&lt;'EDT Y TAREAS'!AL38),'EDT Y TAREAS'!AE38/'EDT Y TAREAS'!M38,0),IF(AND(217&gt;='EDT Y TAREAS'!AK41,217&lt;'EDT Y TAREAS'!AL41),'EDT Y TAREAS'!AE41/'EDT Y TAREAS'!M41,0),IF(AND(217&gt;='EDT Y TAREAS'!AK43,217&lt;'EDT Y TAREAS'!AL43),'EDT Y TAREAS'!AE43/'EDT Y TAREAS'!M43,0),IF(AND(217&gt;='EDT Y TAREAS'!AK44,217&lt;'EDT Y TAREAS'!AL44),'EDT Y TAREAS'!AE44/'EDT Y TAREAS'!M44,0),IF(AND(217&gt;='EDT Y TAREAS'!AK46,217&lt;'EDT Y TAREAS'!AL46),'EDT Y TAREAS'!AE46/'EDT Y TAREAS'!M46,0),IF(AND(217&gt;='EDT Y TAREAS'!AK47,217&lt;'EDT Y TAREAS'!AL47),'EDT Y TAREAS'!AE47/'EDT Y TAREAS'!M47,0),IF(AND(217&gt;='EDT Y TAREAS'!AK51,217&lt;'EDT Y TAREAS'!AL51),'EDT Y TAREAS'!AE51/'EDT Y TAREAS'!M51,0),IF(AND(217&gt;='EDT Y TAREAS'!AK52,217&lt;'EDT Y TAREAS'!AL52),'EDT Y TAREAS'!AE52/'EDT Y TAREAS'!M52,0))</x:f>
        <x:v>0</x:v>
      </x:c>
      <x:c r="D257" s="35" t="n">
        <x:f>SUM(IF(AND(217&gt;='EDT Y TAREAS'!AK11,217&lt;'EDT Y TAREAS'!AL11),'EDT Y TAREAS'!AF11/'EDT Y TAREAS'!M11,0),IF(AND(217&gt;='EDT Y TAREAS'!AK24,217&lt;'EDT Y TAREAS'!AL24),'EDT Y TAREAS'!AF24/'EDT Y TAREAS'!M24,0),IF(AND(217&gt;='EDT Y TAREAS'!AK25,217&lt;'EDT Y TAREAS'!AL25),'EDT Y TAREAS'!AF25/'EDT Y TAREAS'!M25,0),IF(AND(217&gt;='EDT Y TAREAS'!AK26,217&lt;'EDT Y TAREAS'!AL26),'EDT Y TAREAS'!AF26/'EDT Y TAREAS'!M26,0),IF(AND(217&gt;='EDT Y TAREAS'!AK27,217&lt;'EDT Y TAREAS'!AL27),'EDT Y TAREAS'!AF27/'EDT Y TAREAS'!M27,0),IF(AND(217&gt;='EDT Y TAREAS'!AK28,217&lt;'EDT Y TAREAS'!AL28),'EDT Y TAREAS'!AF28/'EDT Y TAREAS'!M28,0),IF(AND(217&gt;='EDT Y TAREAS'!AK31,217&lt;'EDT Y TAREAS'!AL31),'EDT Y TAREAS'!AF31/'EDT Y TAREAS'!M31,0),IF(AND(217&gt;='EDT Y TAREAS'!AK33,217&lt;'EDT Y TAREAS'!AL33),'EDT Y TAREAS'!AF33/'EDT Y TAREAS'!M33,0),IF(AND(217&gt;='EDT Y TAREAS'!AK34,217&lt;'EDT Y TAREAS'!AL34),'EDT Y TAREAS'!AF34/'EDT Y TAREAS'!M34,0),IF(AND(217&gt;='EDT Y TAREAS'!AK35,217&lt;'EDT Y TAREAS'!AL35),'EDT Y TAREAS'!AF35/'EDT Y TAREAS'!M35,0),IF(AND(217&gt;='EDT Y TAREAS'!AK37,217&lt;'EDT Y TAREAS'!AL37),'EDT Y TAREAS'!AF37/'EDT Y TAREAS'!M37,0),IF(AND(217&gt;='EDT Y TAREAS'!AK39,217&lt;'EDT Y TAREAS'!AL39),'EDT Y TAREAS'!AF39/'EDT Y TAREAS'!M39,0),IF(AND(217&gt;='EDT Y TAREAS'!AK40,217&lt;'EDT Y TAREAS'!AL40),'EDT Y TAREAS'!AF40/'EDT Y TAREAS'!M40,0),IF(AND(217&gt;='EDT Y TAREAS'!AK42,217&lt;'EDT Y TAREAS'!AL42),'EDT Y TAREAS'!AF42/'EDT Y TAREAS'!M42,0),IF(AND(217&gt;='EDT Y TAREAS'!AK45,217&lt;'EDT Y TAREAS'!AL45),'EDT Y TAREAS'!AF45/'EDT Y TAREAS'!M45,0),IF(AND(217&gt;='EDT Y TAREAS'!AK49,217&lt;'EDT Y TAREAS'!AL49),'EDT Y TAREAS'!AF49/'EDT Y TAREAS'!M49,0),IF(AND(217&gt;='EDT Y TAREAS'!AK52,217&lt;'EDT Y TAREAS'!AL52),'EDT Y TAREAS'!AF52/'EDT Y TAREAS'!M52,0))</x:f>
        <x:v>0</x:v>
      </x:c>
      <x:c r="E257" s="35" t="n">
        <x:f>SUM(IF(AND(217&gt;='EDT Y TAREAS'!AK29,217&lt;'EDT Y TAREAS'!AL29),'EDT Y TAREAS'!AG29/'EDT Y TAREAS'!M29,0),IF(AND(217&gt;='EDT Y TAREAS'!AK30,217&lt;'EDT Y TAREAS'!AL30),'EDT Y TAREAS'!AG30/'EDT Y TAREAS'!M30,0),IF(AND(217&gt;='EDT Y TAREAS'!AK31,217&lt;'EDT Y TAREAS'!AL31),'EDT Y TAREAS'!AG31/'EDT Y TAREAS'!M31,0),IF(AND(217&gt;='EDT Y TAREAS'!AK32,217&lt;'EDT Y TAREAS'!AL32),'EDT Y TAREAS'!AG32/'EDT Y TAREAS'!M32,0),IF(AND(217&gt;='EDT Y TAREAS'!AK41,217&lt;'EDT Y TAREAS'!AL41),'EDT Y TAREAS'!AG41/'EDT Y TAREAS'!M41,0),IF(AND(217&gt;='EDT Y TAREAS'!AK45,217&lt;'EDT Y TAREAS'!AL45),'EDT Y TAREAS'!AG45/'EDT Y TAREAS'!M45,0),IF(AND(217&gt;='EDT Y TAREAS'!AK48,217&lt;'EDT Y TAREAS'!AL48),'EDT Y TAREAS'!AG48/'EDT Y TAREAS'!M48,0))</x:f>
        <x:v>0</x:v>
      </x:c>
      <x:c r="F257" s="35" t="n">
        <x:f>SUM(IF(AND(217&gt;='EDT Y TAREAS'!AK10,217&lt;'EDT Y TAREAS'!AL10),'EDT Y TAREAS'!AH10/'EDT Y TAREAS'!M10,0),IF(AND(217&gt;='EDT Y TAREAS'!AK12,217&lt;'EDT Y TAREAS'!AL12),'EDT Y TAREAS'!AH12/'EDT Y TAREAS'!M12,0),IF(AND(217&gt;='EDT Y TAREAS'!AK22,217&lt;'EDT Y TAREAS'!AL22),'EDT Y TAREAS'!AH22/'EDT Y TAREAS'!M22,0),IF(AND(217&gt;='EDT Y TAREAS'!AK23,217&lt;'EDT Y TAREAS'!AL23),'EDT Y TAREAS'!AH23/'EDT Y TAREAS'!M23,0),IF(AND(217&gt;='EDT Y TAREAS'!AK29,217&lt;'EDT Y TAREAS'!AL29),'EDT Y TAREAS'!AH29/'EDT Y TAREAS'!M29,0),IF(AND(217&gt;='EDT Y TAREAS'!AK30,217&lt;'EDT Y TAREAS'!AL30),'EDT Y TAREAS'!AH30/'EDT Y TAREAS'!M30,0),IF(AND(217&gt;='EDT Y TAREAS'!AK32,217&lt;'EDT Y TAREAS'!AL32),'EDT Y TAREAS'!AH32/'EDT Y TAREAS'!M32,0),IF(AND(217&gt;='EDT Y TAREAS'!AK41,217&lt;'EDT Y TAREAS'!AL41),'EDT Y TAREAS'!AH41/'EDT Y TAREAS'!M41,0),IF(AND(217&gt;='EDT Y TAREAS'!AK44,217&lt;'EDT Y TAREAS'!AL44),'EDT Y TAREAS'!AH44/'EDT Y TAREAS'!M44,0),IF(AND(217&gt;='EDT Y TAREAS'!AK46,217&lt;'EDT Y TAREAS'!AL46),'EDT Y TAREAS'!AH46/'EDT Y TAREAS'!M46,0),IF(AND(217&gt;='EDT Y TAREAS'!AK48,217&lt;'EDT Y TAREAS'!AL48),'EDT Y TAREAS'!AH48/'EDT Y TAREAS'!M48,0))</x:f>
        <x:v>0</x:v>
      </x:c>
      <x:c r="G257" s="35" t="n">
        <x:f>SUM(IF(AND(217&gt;='EDT Y TAREAS'!AK20,217&lt;'EDT Y TAREAS'!AL20),'EDT Y TAREAS'!AI20/'EDT Y TAREAS'!M20,0),IF(AND(217&gt;='EDT Y TAREAS'!AK25,217&lt;'EDT Y TAREAS'!AL25),'EDT Y TAREAS'!AI25/'EDT Y TAREAS'!M25,0),IF(AND(217&gt;='EDT Y TAREAS'!AK33,217&lt;'EDT Y TAREAS'!AL33),'EDT Y TAREAS'!AI33/'EDT Y TAREAS'!M33,0),IF(AND(217&gt;='EDT Y TAREAS'!AK34,217&lt;'EDT Y TAREAS'!AL34),'EDT Y TAREAS'!AI34/'EDT Y TAREAS'!M34,0),IF(AND(217&gt;='EDT Y TAREAS'!AK36,217&lt;'EDT Y TAREAS'!AL36),'EDT Y TAREAS'!AI36/'EDT Y TAREAS'!M36,0),IF(AND(217&gt;='EDT Y TAREAS'!AK39,217&lt;'EDT Y TAREAS'!AL39),'EDT Y TAREAS'!AI39/'EDT Y TAREAS'!M39,0),IF(AND(217&gt;='EDT Y TAREAS'!AK40,217&lt;'EDT Y TAREAS'!AL40),'EDT Y TAREAS'!AI40/'EDT Y TAREAS'!M40,0),IF(AND(217&gt;='EDT Y TAREAS'!AK42,217&lt;'EDT Y TAREAS'!AL42),'EDT Y TAREAS'!AI42/'EDT Y TAREAS'!M42,0),IF(AND(217&gt;='EDT Y TAREAS'!AK43,217&lt;'EDT Y TAREAS'!AL43),'EDT Y TAREAS'!AI43/'EDT Y TAREAS'!M43,0),IF(AND(217&gt;='EDT Y TAREAS'!AK44,217&lt;'EDT Y TAREAS'!AL44),'EDT Y TAREAS'!AI44/'EDT Y TAREAS'!M44,0),IF(AND(217&gt;='EDT Y TAREAS'!AK45,217&lt;'EDT Y TAREAS'!AL45),'EDT Y TAREAS'!AI45/'EDT Y TAREAS'!M45,0),IF(AND(217&gt;='EDT Y TAREAS'!AK46,217&lt;'EDT Y TAREAS'!AL46),'EDT Y TAREAS'!AI46/'EDT Y TAREAS'!M46,0),IF(AND(217&gt;='EDT Y TAREAS'!AK48,217&lt;'EDT Y TAREAS'!AL48),'EDT Y TAREAS'!AI48/'EDT Y TAREAS'!M48,0),IF(AND(217&gt;='EDT Y TAREAS'!AK50,217&lt;'EDT Y TAREAS'!AL50),'EDT Y TAREAS'!AI50/'EDT Y TAREAS'!M50,0),IF(AND(217&gt;='EDT Y TAREAS'!AK52,217&lt;'EDT Y TAREAS'!AL52),'EDT Y TAREAS'!AI52/'EDT Y TAREAS'!M52,0))</x:f>
        <x:v>0</x:v>
      </x:c>
      <x:c r="H257" s="35" t="n">
        <x:f>SUM(IF(AND(217&gt;='EDT Y TAREAS'!AK11,217&lt;'EDT Y TAREAS'!AL11),'EDT Y TAREAS'!AJ11/'EDT Y TAREAS'!M11,0),IF(AND(217&gt;='EDT Y TAREAS'!AK24,217&lt;'EDT Y TAREAS'!AL24),'EDT Y TAREAS'!AJ24/'EDT Y TAREAS'!M24,0),IF(AND(217&gt;='EDT Y TAREAS'!AK27,217&lt;'EDT Y TAREAS'!AL27),'EDT Y TAREAS'!AJ27/'EDT Y TAREAS'!M27,0),IF(AND(217&gt;='EDT Y TAREAS'!AK28,217&lt;'EDT Y TAREAS'!AL28),'EDT Y TAREAS'!AJ28/'EDT Y TAREAS'!M28,0),IF(AND(217&gt;='EDT Y TAREAS'!AK33,217&lt;'EDT Y TAREAS'!AL33),'EDT Y TAREAS'!AJ33/'EDT Y TAREAS'!M33,0),IF(AND(217&gt;='EDT Y TAREAS'!AK35,217&lt;'EDT Y TAREAS'!AL35),'EDT Y TAREAS'!AJ35/'EDT Y TAREAS'!M35,0),IF(AND(217&gt;='EDT Y TAREAS'!AK36,217&lt;'EDT Y TAREAS'!AL36),'EDT Y TAREAS'!AJ36/'EDT Y TAREAS'!M36,0),IF(AND(217&gt;='EDT Y TAREAS'!AK37,217&lt;'EDT Y TAREAS'!AL37),'EDT Y TAREAS'!AJ37/'EDT Y TAREAS'!M37,0),IF(AND(217&gt;='EDT Y TAREAS'!AK40,217&lt;'EDT Y TAREAS'!AL40),'EDT Y TAREAS'!AJ40/'EDT Y TAREAS'!M40,0),IF(AND(217&gt;='EDT Y TAREAS'!AK42,217&lt;'EDT Y TAREAS'!AL42),'EDT Y TAREAS'!AJ42/'EDT Y TAREAS'!M42,0),IF(AND(217&gt;='EDT Y TAREAS'!AK49,217&lt;'EDT Y TAREAS'!AL49),'EDT Y TAREAS'!AJ49/'EDT Y TAREAS'!M49,0),IF(AND(217&gt;='EDT Y TAREAS'!AK50,217&lt;'EDT Y TAREAS'!AL50),'EDT Y TAREAS'!AJ50/'EDT Y TAREAS'!M50,0),IF(AND(217&gt;='EDT Y TAREAS'!AK51,217&lt;'EDT Y TAREAS'!AL51),'EDT Y TAREAS'!AJ51/'EDT Y TAREAS'!M51,0),IF(AND(217&gt;='EDT Y TAREAS'!AK52,217&lt;'EDT Y TAREAS'!AL52),'EDT Y TAREAS'!AJ52/'EDT Y TAREAS'!M52,0))</x:f>
        <x:v>0</x:v>
      </x:c>
      <x:c r="I257" s="10" t="n">
        <x:f>WORKDAY('RESUMEN'!$D$3-1,A257,'RESUMEN'!$J$6:$J$25)</x:f>
        <x:v>46631</x:v>
      </x:c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  <x:c r="AL257" s="3"/>
      <x:c r="AM257" s="3"/>
      <x:c r="AN257" s="3"/>
      <x:c r="AO257" s="3"/>
    </x:row>
    <x:row r="258" ht="24" customHeight="1">
      <x:c r="A258" s="3" t="n">
        <x:v>219</x:v>
      </x:c>
      <x:c r="B258" s="35" t="n">
        <x:f>SUM(IF(AND(218&gt;='EDT Y TAREAS'!AK6,218&lt;'EDT Y TAREAS'!AL6),'EDT Y TAREAS'!AD6/'EDT Y TAREAS'!M6,0),IF(AND(218&gt;='EDT Y TAREAS'!AK7,218&lt;'EDT Y TAREAS'!AL7),'EDT Y TAREAS'!AD7/'EDT Y TAREAS'!M7,0),IF(AND(218&gt;='EDT Y TAREAS'!AK8,218&lt;'EDT Y TAREAS'!AL8),'EDT Y TAREAS'!AD8/'EDT Y TAREAS'!M8,0),IF(AND(218&gt;='EDT Y TAREAS'!AK9,218&lt;'EDT Y TAREAS'!AL9),'EDT Y TAREAS'!AD9/'EDT Y TAREAS'!M9,0),IF(AND(218&gt;='EDT Y TAREAS'!AK10,218&lt;'EDT Y TAREAS'!AL10),'EDT Y TAREAS'!AD10/'EDT Y TAREAS'!M10,0),IF(AND(218&gt;='EDT Y TAREAS'!AK11,218&lt;'EDT Y TAREAS'!AL11),'EDT Y TAREAS'!AD11/'EDT Y TAREAS'!M11,0),IF(AND(218&gt;='EDT Y TAREAS'!AK12,218&lt;'EDT Y TAREAS'!AL12),'EDT Y TAREAS'!AD12/'EDT Y TAREAS'!M12,0),IF(AND(218&gt;='EDT Y TAREAS'!AK13,218&lt;'EDT Y TAREAS'!AL13),'EDT Y TAREAS'!AD13/'EDT Y TAREAS'!M13,0),IF(AND(218&gt;='EDT Y TAREAS'!AK14,218&lt;'EDT Y TAREAS'!AL14),'EDT Y TAREAS'!AD14/'EDT Y TAREAS'!M14,0),IF(AND(218&gt;='EDT Y TAREAS'!AK15,218&lt;'EDT Y TAREAS'!AL15),'EDT Y TAREAS'!AD15/'EDT Y TAREAS'!M15,0),IF(AND(218&gt;='EDT Y TAREAS'!AK16,218&lt;'EDT Y TAREAS'!AL16),'EDT Y TAREAS'!AD16/'EDT Y TAREAS'!M16,0),IF(AND(218&gt;='EDT Y TAREAS'!AK17,218&lt;'EDT Y TAREAS'!AL17),'EDT Y TAREAS'!AD17/'EDT Y TAREAS'!M17,0),IF(AND(218&gt;='EDT Y TAREAS'!AK18,218&lt;'EDT Y TAREAS'!AL18),'EDT Y TAREAS'!AD18/'EDT Y TAREAS'!M18,0),IF(AND(218&gt;='EDT Y TAREAS'!AK19,218&lt;'EDT Y TAREAS'!AL19),'EDT Y TAREAS'!AD19/'EDT Y TAREAS'!M19,0),IF(AND(218&gt;='EDT Y TAREAS'!AK20,218&lt;'EDT Y TAREAS'!AL20),'EDT Y TAREAS'!AD20/'EDT Y TAREAS'!M20,0),IF(AND(218&gt;='EDT Y TAREAS'!AK21,218&lt;'EDT Y TAREAS'!AL21),'EDT Y TAREAS'!AD21/'EDT Y TAREAS'!M21,0),IF(AND(218&gt;='EDT Y TAREAS'!AK22,218&lt;'EDT Y TAREAS'!AL22),'EDT Y TAREAS'!AD22/'EDT Y TAREAS'!M22,0),IF(AND(218&gt;='EDT Y TAREAS'!AK23,218&lt;'EDT Y TAREAS'!AL23),'EDT Y TAREAS'!AD23/'EDT Y TAREAS'!M23,0),IF(AND(218&gt;='EDT Y TAREAS'!AK26,218&lt;'EDT Y TAREAS'!AL26),'EDT Y TAREAS'!AD26/'EDT Y TAREAS'!M26,0),IF(AND(218&gt;='EDT Y TAREAS'!AK28,218&lt;'EDT Y TAREAS'!AL28),'EDT Y TAREAS'!AD28/'EDT Y TAREAS'!M28,0),IF(AND(218&gt;='EDT Y TAREAS'!AK30,218&lt;'EDT Y TAREAS'!AL30),'EDT Y TAREAS'!AD30/'EDT Y TAREAS'!M30,0),IF(AND(218&gt;='EDT Y TAREAS'!AK32,218&lt;'EDT Y TAREAS'!AL32),'EDT Y TAREAS'!AD32/'EDT Y TAREAS'!M32,0),IF(AND(218&gt;='EDT Y TAREAS'!AK34,218&lt;'EDT Y TAREAS'!AL34),'EDT Y TAREAS'!AD34/'EDT Y TAREAS'!M34,0),IF(AND(218&gt;='EDT Y TAREAS'!AK38,218&lt;'EDT Y TAREAS'!AL38),'EDT Y TAREAS'!AD38/'EDT Y TAREAS'!M38,0),IF(AND(218&gt;='EDT Y TAREAS'!AK39,218&lt;'EDT Y TAREAS'!AL39),'EDT Y TAREAS'!AD39/'EDT Y TAREAS'!M39,0),IF(AND(218&gt;='EDT Y TAREAS'!AK43,218&lt;'EDT Y TAREAS'!AL43),'EDT Y TAREAS'!AD43/'EDT Y TAREAS'!M43,0),IF(AND(218&gt;='EDT Y TAREAS'!AK44,218&lt;'EDT Y TAREAS'!AL44),'EDT Y TAREAS'!AD44/'EDT Y TAREAS'!M44,0),IF(AND(218&gt;='EDT Y TAREAS'!AK45,218&lt;'EDT Y TAREAS'!AL45),'EDT Y TAREAS'!AD45/'EDT Y TAREAS'!M45,0),IF(AND(218&gt;='EDT Y TAREAS'!AK46,218&lt;'EDT Y TAREAS'!AL46),'EDT Y TAREAS'!AD46/'EDT Y TAREAS'!M46,0),IF(AND(218&gt;='EDT Y TAREAS'!AK47,218&lt;'EDT Y TAREAS'!AL47),'EDT Y TAREAS'!AD47/'EDT Y TAREAS'!M47,0),IF(AND(218&gt;='EDT Y TAREAS'!AK49,218&lt;'EDT Y TAREAS'!AL49),'EDT Y TAREAS'!AD49/'EDT Y TAREAS'!M49,0),IF(AND(218&gt;='EDT Y TAREAS'!AK50,218&lt;'EDT Y TAREAS'!AL50),'EDT Y TAREAS'!AD50/'EDT Y TAREAS'!M50,0),IF(AND(218&gt;='EDT Y TAREAS'!AK51,218&lt;'EDT Y TAREAS'!AL51),'EDT Y TAREAS'!AD51/'EDT Y TAREAS'!M51,0),IF(AND(218&gt;='EDT Y TAREAS'!AK52,218&lt;'EDT Y TAREAS'!AL52),'EDT Y TAREAS'!AD52/'EDT Y TAREAS'!M52,0))</x:f>
        <x:v>0</x:v>
      </x:c>
      <x:c r="C258" s="35" t="n">
        <x:f>SUM(IF(AND(218&gt;='EDT Y TAREAS'!AK6,218&lt;'EDT Y TAREAS'!AL6),'EDT Y TAREAS'!AE6/'EDT Y TAREAS'!M6,0),IF(AND(218&gt;='EDT Y TAREAS'!AK8,218&lt;'EDT Y TAREAS'!AL8),'EDT Y TAREAS'!AE8/'EDT Y TAREAS'!M8,0),IF(AND(218&gt;='EDT Y TAREAS'!AK9,218&lt;'EDT Y TAREAS'!AL9),'EDT Y TAREAS'!AE9/'EDT Y TAREAS'!M9,0),IF(AND(218&gt;='EDT Y TAREAS'!AK10,218&lt;'EDT Y TAREAS'!AL10),'EDT Y TAREAS'!AE10/'EDT Y TAREAS'!M10,0),IF(AND(218&gt;='EDT Y TAREAS'!AK12,218&lt;'EDT Y TAREAS'!AL12),'EDT Y TAREAS'!AE12/'EDT Y TAREAS'!M12,0),IF(AND(218&gt;='EDT Y TAREAS'!AK16,218&lt;'EDT Y TAREAS'!AL16),'EDT Y TAREAS'!AE16/'EDT Y TAREAS'!M16,0),IF(AND(218&gt;='EDT Y TAREAS'!AK21,218&lt;'EDT Y TAREAS'!AL21),'EDT Y TAREAS'!AE21/'EDT Y TAREAS'!M21,0),IF(AND(218&gt;='EDT Y TAREAS'!AK23,218&lt;'EDT Y TAREAS'!AL23),'EDT Y TAREAS'!AE23/'EDT Y TAREAS'!M23,0),IF(AND(218&gt;='EDT Y TAREAS'!AK37,218&lt;'EDT Y TAREAS'!AL37),'EDT Y TAREAS'!AE37/'EDT Y TAREAS'!M37,0),IF(AND(218&gt;='EDT Y TAREAS'!AK38,218&lt;'EDT Y TAREAS'!AL38),'EDT Y TAREAS'!AE38/'EDT Y TAREAS'!M38,0),IF(AND(218&gt;='EDT Y TAREAS'!AK41,218&lt;'EDT Y TAREAS'!AL41),'EDT Y TAREAS'!AE41/'EDT Y TAREAS'!M41,0),IF(AND(218&gt;='EDT Y TAREAS'!AK43,218&lt;'EDT Y TAREAS'!AL43),'EDT Y TAREAS'!AE43/'EDT Y TAREAS'!M43,0),IF(AND(218&gt;='EDT Y TAREAS'!AK44,218&lt;'EDT Y TAREAS'!AL44),'EDT Y TAREAS'!AE44/'EDT Y TAREAS'!M44,0),IF(AND(218&gt;='EDT Y TAREAS'!AK46,218&lt;'EDT Y TAREAS'!AL46),'EDT Y TAREAS'!AE46/'EDT Y TAREAS'!M46,0),IF(AND(218&gt;='EDT Y TAREAS'!AK47,218&lt;'EDT Y TAREAS'!AL47),'EDT Y TAREAS'!AE47/'EDT Y TAREAS'!M47,0),IF(AND(218&gt;='EDT Y TAREAS'!AK51,218&lt;'EDT Y TAREAS'!AL51),'EDT Y TAREAS'!AE51/'EDT Y TAREAS'!M51,0),IF(AND(218&gt;='EDT Y TAREAS'!AK52,218&lt;'EDT Y TAREAS'!AL52),'EDT Y TAREAS'!AE52/'EDT Y TAREAS'!M52,0))</x:f>
        <x:v>0</x:v>
      </x:c>
      <x:c r="D258" s="35" t="n">
        <x:f>SUM(IF(AND(218&gt;='EDT Y TAREAS'!AK11,218&lt;'EDT Y TAREAS'!AL11),'EDT Y TAREAS'!AF11/'EDT Y TAREAS'!M11,0),IF(AND(218&gt;='EDT Y TAREAS'!AK24,218&lt;'EDT Y TAREAS'!AL24),'EDT Y TAREAS'!AF24/'EDT Y TAREAS'!M24,0),IF(AND(218&gt;='EDT Y TAREAS'!AK25,218&lt;'EDT Y TAREAS'!AL25),'EDT Y TAREAS'!AF25/'EDT Y TAREAS'!M25,0),IF(AND(218&gt;='EDT Y TAREAS'!AK26,218&lt;'EDT Y TAREAS'!AL26),'EDT Y TAREAS'!AF26/'EDT Y TAREAS'!M26,0),IF(AND(218&gt;='EDT Y TAREAS'!AK27,218&lt;'EDT Y TAREAS'!AL27),'EDT Y TAREAS'!AF27/'EDT Y TAREAS'!M27,0),IF(AND(218&gt;='EDT Y TAREAS'!AK28,218&lt;'EDT Y TAREAS'!AL28),'EDT Y TAREAS'!AF28/'EDT Y TAREAS'!M28,0),IF(AND(218&gt;='EDT Y TAREAS'!AK31,218&lt;'EDT Y TAREAS'!AL31),'EDT Y TAREAS'!AF31/'EDT Y TAREAS'!M31,0),IF(AND(218&gt;='EDT Y TAREAS'!AK33,218&lt;'EDT Y TAREAS'!AL33),'EDT Y TAREAS'!AF33/'EDT Y TAREAS'!M33,0),IF(AND(218&gt;='EDT Y TAREAS'!AK34,218&lt;'EDT Y TAREAS'!AL34),'EDT Y TAREAS'!AF34/'EDT Y TAREAS'!M34,0),IF(AND(218&gt;='EDT Y TAREAS'!AK35,218&lt;'EDT Y TAREAS'!AL35),'EDT Y TAREAS'!AF35/'EDT Y TAREAS'!M35,0),IF(AND(218&gt;='EDT Y TAREAS'!AK37,218&lt;'EDT Y TAREAS'!AL37),'EDT Y TAREAS'!AF37/'EDT Y TAREAS'!M37,0),IF(AND(218&gt;='EDT Y TAREAS'!AK39,218&lt;'EDT Y TAREAS'!AL39),'EDT Y TAREAS'!AF39/'EDT Y TAREAS'!M39,0),IF(AND(218&gt;='EDT Y TAREAS'!AK40,218&lt;'EDT Y TAREAS'!AL40),'EDT Y TAREAS'!AF40/'EDT Y TAREAS'!M40,0),IF(AND(218&gt;='EDT Y TAREAS'!AK42,218&lt;'EDT Y TAREAS'!AL42),'EDT Y TAREAS'!AF42/'EDT Y TAREAS'!M42,0),IF(AND(218&gt;='EDT Y TAREAS'!AK45,218&lt;'EDT Y TAREAS'!AL45),'EDT Y TAREAS'!AF45/'EDT Y TAREAS'!M45,0),IF(AND(218&gt;='EDT Y TAREAS'!AK49,218&lt;'EDT Y TAREAS'!AL49),'EDT Y TAREAS'!AF49/'EDT Y TAREAS'!M49,0),IF(AND(218&gt;='EDT Y TAREAS'!AK52,218&lt;'EDT Y TAREAS'!AL52),'EDT Y TAREAS'!AF52/'EDT Y TAREAS'!M52,0))</x:f>
        <x:v>0</x:v>
      </x:c>
      <x:c r="E258" s="35" t="n">
        <x:f>SUM(IF(AND(218&gt;='EDT Y TAREAS'!AK29,218&lt;'EDT Y TAREAS'!AL29),'EDT Y TAREAS'!AG29/'EDT Y TAREAS'!M29,0),IF(AND(218&gt;='EDT Y TAREAS'!AK30,218&lt;'EDT Y TAREAS'!AL30),'EDT Y TAREAS'!AG30/'EDT Y TAREAS'!M30,0),IF(AND(218&gt;='EDT Y TAREAS'!AK31,218&lt;'EDT Y TAREAS'!AL31),'EDT Y TAREAS'!AG31/'EDT Y TAREAS'!M31,0),IF(AND(218&gt;='EDT Y TAREAS'!AK32,218&lt;'EDT Y TAREAS'!AL32),'EDT Y TAREAS'!AG32/'EDT Y TAREAS'!M32,0),IF(AND(218&gt;='EDT Y TAREAS'!AK41,218&lt;'EDT Y TAREAS'!AL41),'EDT Y TAREAS'!AG41/'EDT Y TAREAS'!M41,0),IF(AND(218&gt;='EDT Y TAREAS'!AK45,218&lt;'EDT Y TAREAS'!AL45),'EDT Y TAREAS'!AG45/'EDT Y TAREAS'!M45,0),IF(AND(218&gt;='EDT Y TAREAS'!AK48,218&lt;'EDT Y TAREAS'!AL48),'EDT Y TAREAS'!AG48/'EDT Y TAREAS'!M48,0))</x:f>
        <x:v>0</x:v>
      </x:c>
      <x:c r="F258" s="35" t="n">
        <x:f>SUM(IF(AND(218&gt;='EDT Y TAREAS'!AK10,218&lt;'EDT Y TAREAS'!AL10),'EDT Y TAREAS'!AH10/'EDT Y TAREAS'!M10,0),IF(AND(218&gt;='EDT Y TAREAS'!AK12,218&lt;'EDT Y TAREAS'!AL12),'EDT Y TAREAS'!AH12/'EDT Y TAREAS'!M12,0),IF(AND(218&gt;='EDT Y TAREAS'!AK22,218&lt;'EDT Y TAREAS'!AL22),'EDT Y TAREAS'!AH22/'EDT Y TAREAS'!M22,0),IF(AND(218&gt;='EDT Y TAREAS'!AK23,218&lt;'EDT Y TAREAS'!AL23),'EDT Y TAREAS'!AH23/'EDT Y TAREAS'!M23,0),IF(AND(218&gt;='EDT Y TAREAS'!AK29,218&lt;'EDT Y TAREAS'!AL29),'EDT Y TAREAS'!AH29/'EDT Y TAREAS'!M29,0),IF(AND(218&gt;='EDT Y TAREAS'!AK30,218&lt;'EDT Y TAREAS'!AL30),'EDT Y TAREAS'!AH30/'EDT Y TAREAS'!M30,0),IF(AND(218&gt;='EDT Y TAREAS'!AK32,218&lt;'EDT Y TAREAS'!AL32),'EDT Y TAREAS'!AH32/'EDT Y TAREAS'!M32,0),IF(AND(218&gt;='EDT Y TAREAS'!AK41,218&lt;'EDT Y TAREAS'!AL41),'EDT Y TAREAS'!AH41/'EDT Y TAREAS'!M41,0),IF(AND(218&gt;='EDT Y TAREAS'!AK44,218&lt;'EDT Y TAREAS'!AL44),'EDT Y TAREAS'!AH44/'EDT Y TAREAS'!M44,0),IF(AND(218&gt;='EDT Y TAREAS'!AK46,218&lt;'EDT Y TAREAS'!AL46),'EDT Y TAREAS'!AH46/'EDT Y TAREAS'!M46,0),IF(AND(218&gt;='EDT Y TAREAS'!AK48,218&lt;'EDT Y TAREAS'!AL48),'EDT Y TAREAS'!AH48/'EDT Y TAREAS'!M48,0))</x:f>
        <x:v>0</x:v>
      </x:c>
      <x:c r="G258" s="35" t="n">
        <x:f>SUM(IF(AND(218&gt;='EDT Y TAREAS'!AK20,218&lt;'EDT Y TAREAS'!AL20),'EDT Y TAREAS'!AI20/'EDT Y TAREAS'!M20,0),IF(AND(218&gt;='EDT Y TAREAS'!AK25,218&lt;'EDT Y TAREAS'!AL25),'EDT Y TAREAS'!AI25/'EDT Y TAREAS'!M25,0),IF(AND(218&gt;='EDT Y TAREAS'!AK33,218&lt;'EDT Y TAREAS'!AL33),'EDT Y TAREAS'!AI33/'EDT Y TAREAS'!M33,0),IF(AND(218&gt;='EDT Y TAREAS'!AK34,218&lt;'EDT Y TAREAS'!AL34),'EDT Y TAREAS'!AI34/'EDT Y TAREAS'!M34,0),IF(AND(218&gt;='EDT Y TAREAS'!AK36,218&lt;'EDT Y TAREAS'!AL36),'EDT Y TAREAS'!AI36/'EDT Y TAREAS'!M36,0),IF(AND(218&gt;='EDT Y TAREAS'!AK39,218&lt;'EDT Y TAREAS'!AL39),'EDT Y TAREAS'!AI39/'EDT Y TAREAS'!M39,0),IF(AND(218&gt;='EDT Y TAREAS'!AK40,218&lt;'EDT Y TAREAS'!AL40),'EDT Y TAREAS'!AI40/'EDT Y TAREAS'!M40,0),IF(AND(218&gt;='EDT Y TAREAS'!AK42,218&lt;'EDT Y TAREAS'!AL42),'EDT Y TAREAS'!AI42/'EDT Y TAREAS'!M42,0),IF(AND(218&gt;='EDT Y TAREAS'!AK43,218&lt;'EDT Y TAREAS'!AL43),'EDT Y TAREAS'!AI43/'EDT Y TAREAS'!M43,0),IF(AND(218&gt;='EDT Y TAREAS'!AK44,218&lt;'EDT Y TAREAS'!AL44),'EDT Y TAREAS'!AI44/'EDT Y TAREAS'!M44,0),IF(AND(218&gt;='EDT Y TAREAS'!AK45,218&lt;'EDT Y TAREAS'!AL45),'EDT Y TAREAS'!AI45/'EDT Y TAREAS'!M45,0),IF(AND(218&gt;='EDT Y TAREAS'!AK46,218&lt;'EDT Y TAREAS'!AL46),'EDT Y TAREAS'!AI46/'EDT Y TAREAS'!M46,0),IF(AND(218&gt;='EDT Y TAREAS'!AK48,218&lt;'EDT Y TAREAS'!AL48),'EDT Y TAREAS'!AI48/'EDT Y TAREAS'!M48,0),IF(AND(218&gt;='EDT Y TAREAS'!AK50,218&lt;'EDT Y TAREAS'!AL50),'EDT Y TAREAS'!AI50/'EDT Y TAREAS'!M50,0),IF(AND(218&gt;='EDT Y TAREAS'!AK52,218&lt;'EDT Y TAREAS'!AL52),'EDT Y TAREAS'!AI52/'EDT Y TAREAS'!M52,0))</x:f>
        <x:v>0</x:v>
      </x:c>
      <x:c r="H258" s="35" t="n">
        <x:f>SUM(IF(AND(218&gt;='EDT Y TAREAS'!AK11,218&lt;'EDT Y TAREAS'!AL11),'EDT Y TAREAS'!AJ11/'EDT Y TAREAS'!M11,0),IF(AND(218&gt;='EDT Y TAREAS'!AK24,218&lt;'EDT Y TAREAS'!AL24),'EDT Y TAREAS'!AJ24/'EDT Y TAREAS'!M24,0),IF(AND(218&gt;='EDT Y TAREAS'!AK27,218&lt;'EDT Y TAREAS'!AL27),'EDT Y TAREAS'!AJ27/'EDT Y TAREAS'!M27,0),IF(AND(218&gt;='EDT Y TAREAS'!AK28,218&lt;'EDT Y TAREAS'!AL28),'EDT Y TAREAS'!AJ28/'EDT Y TAREAS'!M28,0),IF(AND(218&gt;='EDT Y TAREAS'!AK33,218&lt;'EDT Y TAREAS'!AL33),'EDT Y TAREAS'!AJ33/'EDT Y TAREAS'!M33,0),IF(AND(218&gt;='EDT Y TAREAS'!AK35,218&lt;'EDT Y TAREAS'!AL35),'EDT Y TAREAS'!AJ35/'EDT Y TAREAS'!M35,0),IF(AND(218&gt;='EDT Y TAREAS'!AK36,218&lt;'EDT Y TAREAS'!AL36),'EDT Y TAREAS'!AJ36/'EDT Y TAREAS'!M36,0),IF(AND(218&gt;='EDT Y TAREAS'!AK37,218&lt;'EDT Y TAREAS'!AL37),'EDT Y TAREAS'!AJ37/'EDT Y TAREAS'!M37,0),IF(AND(218&gt;='EDT Y TAREAS'!AK40,218&lt;'EDT Y TAREAS'!AL40),'EDT Y TAREAS'!AJ40/'EDT Y TAREAS'!M40,0),IF(AND(218&gt;='EDT Y TAREAS'!AK42,218&lt;'EDT Y TAREAS'!AL42),'EDT Y TAREAS'!AJ42/'EDT Y TAREAS'!M42,0),IF(AND(218&gt;='EDT Y TAREAS'!AK49,218&lt;'EDT Y TAREAS'!AL49),'EDT Y TAREAS'!AJ49/'EDT Y TAREAS'!M49,0),IF(AND(218&gt;='EDT Y TAREAS'!AK50,218&lt;'EDT Y TAREAS'!AL50),'EDT Y TAREAS'!AJ50/'EDT Y TAREAS'!M50,0),IF(AND(218&gt;='EDT Y TAREAS'!AK51,218&lt;'EDT Y TAREAS'!AL51),'EDT Y TAREAS'!AJ51/'EDT Y TAREAS'!M51,0),IF(AND(218&gt;='EDT Y TAREAS'!AK52,218&lt;'EDT Y TAREAS'!AL52),'EDT Y TAREAS'!AJ52/'EDT Y TAREAS'!M52,0))</x:f>
        <x:v>0</x:v>
      </x:c>
      <x:c r="I258" s="10" t="n">
        <x:f>WORKDAY('RESUMEN'!$D$3-1,A258,'RESUMEN'!$J$6:$J$25)</x:f>
        <x:v>46632</x:v>
      </x:c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  <x:c r="AA258" s="3"/>
      <x:c r="AB258" s="3"/>
      <x:c r="AC258" s="3"/>
      <x:c r="AD258" s="3"/>
      <x:c r="AE258" s="3"/>
      <x:c r="AF258" s="3"/>
      <x:c r="AG258" s="3"/>
      <x:c r="AH258" s="3"/>
      <x:c r="AI258" s="3"/>
      <x:c r="AJ258" s="3"/>
      <x:c r="AK258" s="3"/>
      <x:c r="AL258" s="3"/>
      <x:c r="AM258" s="3"/>
      <x:c r="AN258" s="3"/>
      <x:c r="AO258" s="3"/>
    </x:row>
    <x:row r="259" ht="24" customHeight="1">
      <x:c r="A259" s="3" t="n">
        <x:v>220</x:v>
      </x:c>
      <x:c r="B259" s="35" t="n">
        <x:f>SUM(IF(AND(219&gt;='EDT Y TAREAS'!AK6,219&lt;'EDT Y TAREAS'!AL6),'EDT Y TAREAS'!AD6/'EDT Y TAREAS'!M6,0),IF(AND(219&gt;='EDT Y TAREAS'!AK7,219&lt;'EDT Y TAREAS'!AL7),'EDT Y TAREAS'!AD7/'EDT Y TAREAS'!M7,0),IF(AND(219&gt;='EDT Y TAREAS'!AK8,219&lt;'EDT Y TAREAS'!AL8),'EDT Y TAREAS'!AD8/'EDT Y TAREAS'!M8,0),IF(AND(219&gt;='EDT Y TAREAS'!AK9,219&lt;'EDT Y TAREAS'!AL9),'EDT Y TAREAS'!AD9/'EDT Y TAREAS'!M9,0),IF(AND(219&gt;='EDT Y TAREAS'!AK10,219&lt;'EDT Y TAREAS'!AL10),'EDT Y TAREAS'!AD10/'EDT Y TAREAS'!M10,0),IF(AND(219&gt;='EDT Y TAREAS'!AK11,219&lt;'EDT Y TAREAS'!AL11),'EDT Y TAREAS'!AD11/'EDT Y TAREAS'!M11,0),IF(AND(219&gt;='EDT Y TAREAS'!AK12,219&lt;'EDT Y TAREAS'!AL12),'EDT Y TAREAS'!AD12/'EDT Y TAREAS'!M12,0),IF(AND(219&gt;='EDT Y TAREAS'!AK13,219&lt;'EDT Y TAREAS'!AL13),'EDT Y TAREAS'!AD13/'EDT Y TAREAS'!M13,0),IF(AND(219&gt;='EDT Y TAREAS'!AK14,219&lt;'EDT Y TAREAS'!AL14),'EDT Y TAREAS'!AD14/'EDT Y TAREAS'!M14,0),IF(AND(219&gt;='EDT Y TAREAS'!AK15,219&lt;'EDT Y TAREAS'!AL15),'EDT Y TAREAS'!AD15/'EDT Y TAREAS'!M15,0),IF(AND(219&gt;='EDT Y TAREAS'!AK16,219&lt;'EDT Y TAREAS'!AL16),'EDT Y TAREAS'!AD16/'EDT Y TAREAS'!M16,0),IF(AND(219&gt;='EDT Y TAREAS'!AK17,219&lt;'EDT Y TAREAS'!AL17),'EDT Y TAREAS'!AD17/'EDT Y TAREAS'!M17,0),IF(AND(219&gt;='EDT Y TAREAS'!AK18,219&lt;'EDT Y TAREAS'!AL18),'EDT Y TAREAS'!AD18/'EDT Y TAREAS'!M18,0),IF(AND(219&gt;='EDT Y TAREAS'!AK19,219&lt;'EDT Y TAREAS'!AL19),'EDT Y TAREAS'!AD19/'EDT Y TAREAS'!M19,0),IF(AND(219&gt;='EDT Y TAREAS'!AK20,219&lt;'EDT Y TAREAS'!AL20),'EDT Y TAREAS'!AD20/'EDT Y TAREAS'!M20,0),IF(AND(219&gt;='EDT Y TAREAS'!AK21,219&lt;'EDT Y TAREAS'!AL21),'EDT Y TAREAS'!AD21/'EDT Y TAREAS'!M21,0),IF(AND(219&gt;='EDT Y TAREAS'!AK22,219&lt;'EDT Y TAREAS'!AL22),'EDT Y TAREAS'!AD22/'EDT Y TAREAS'!M22,0),IF(AND(219&gt;='EDT Y TAREAS'!AK23,219&lt;'EDT Y TAREAS'!AL23),'EDT Y TAREAS'!AD23/'EDT Y TAREAS'!M23,0),IF(AND(219&gt;='EDT Y TAREAS'!AK26,219&lt;'EDT Y TAREAS'!AL26),'EDT Y TAREAS'!AD26/'EDT Y TAREAS'!M26,0),IF(AND(219&gt;='EDT Y TAREAS'!AK28,219&lt;'EDT Y TAREAS'!AL28),'EDT Y TAREAS'!AD28/'EDT Y TAREAS'!M28,0),IF(AND(219&gt;='EDT Y TAREAS'!AK30,219&lt;'EDT Y TAREAS'!AL30),'EDT Y TAREAS'!AD30/'EDT Y TAREAS'!M30,0),IF(AND(219&gt;='EDT Y TAREAS'!AK32,219&lt;'EDT Y TAREAS'!AL32),'EDT Y TAREAS'!AD32/'EDT Y TAREAS'!M32,0),IF(AND(219&gt;='EDT Y TAREAS'!AK34,219&lt;'EDT Y TAREAS'!AL34),'EDT Y TAREAS'!AD34/'EDT Y TAREAS'!M34,0),IF(AND(219&gt;='EDT Y TAREAS'!AK38,219&lt;'EDT Y TAREAS'!AL38),'EDT Y TAREAS'!AD38/'EDT Y TAREAS'!M38,0),IF(AND(219&gt;='EDT Y TAREAS'!AK39,219&lt;'EDT Y TAREAS'!AL39),'EDT Y TAREAS'!AD39/'EDT Y TAREAS'!M39,0),IF(AND(219&gt;='EDT Y TAREAS'!AK43,219&lt;'EDT Y TAREAS'!AL43),'EDT Y TAREAS'!AD43/'EDT Y TAREAS'!M43,0),IF(AND(219&gt;='EDT Y TAREAS'!AK44,219&lt;'EDT Y TAREAS'!AL44),'EDT Y TAREAS'!AD44/'EDT Y TAREAS'!M44,0),IF(AND(219&gt;='EDT Y TAREAS'!AK45,219&lt;'EDT Y TAREAS'!AL45),'EDT Y TAREAS'!AD45/'EDT Y TAREAS'!M45,0),IF(AND(219&gt;='EDT Y TAREAS'!AK46,219&lt;'EDT Y TAREAS'!AL46),'EDT Y TAREAS'!AD46/'EDT Y TAREAS'!M46,0),IF(AND(219&gt;='EDT Y TAREAS'!AK47,219&lt;'EDT Y TAREAS'!AL47),'EDT Y TAREAS'!AD47/'EDT Y TAREAS'!M47,0),IF(AND(219&gt;='EDT Y TAREAS'!AK49,219&lt;'EDT Y TAREAS'!AL49),'EDT Y TAREAS'!AD49/'EDT Y TAREAS'!M49,0),IF(AND(219&gt;='EDT Y TAREAS'!AK50,219&lt;'EDT Y TAREAS'!AL50),'EDT Y TAREAS'!AD50/'EDT Y TAREAS'!M50,0),IF(AND(219&gt;='EDT Y TAREAS'!AK51,219&lt;'EDT Y TAREAS'!AL51),'EDT Y TAREAS'!AD51/'EDT Y TAREAS'!M51,0),IF(AND(219&gt;='EDT Y TAREAS'!AK52,219&lt;'EDT Y TAREAS'!AL52),'EDT Y TAREAS'!AD52/'EDT Y TAREAS'!M52,0))</x:f>
        <x:v>0</x:v>
      </x:c>
      <x:c r="C259" s="35" t="n">
        <x:f>SUM(IF(AND(219&gt;='EDT Y TAREAS'!AK6,219&lt;'EDT Y TAREAS'!AL6),'EDT Y TAREAS'!AE6/'EDT Y TAREAS'!M6,0),IF(AND(219&gt;='EDT Y TAREAS'!AK8,219&lt;'EDT Y TAREAS'!AL8),'EDT Y TAREAS'!AE8/'EDT Y TAREAS'!M8,0),IF(AND(219&gt;='EDT Y TAREAS'!AK9,219&lt;'EDT Y TAREAS'!AL9),'EDT Y TAREAS'!AE9/'EDT Y TAREAS'!M9,0),IF(AND(219&gt;='EDT Y TAREAS'!AK10,219&lt;'EDT Y TAREAS'!AL10),'EDT Y TAREAS'!AE10/'EDT Y TAREAS'!M10,0),IF(AND(219&gt;='EDT Y TAREAS'!AK12,219&lt;'EDT Y TAREAS'!AL12),'EDT Y TAREAS'!AE12/'EDT Y TAREAS'!M12,0),IF(AND(219&gt;='EDT Y TAREAS'!AK16,219&lt;'EDT Y TAREAS'!AL16),'EDT Y TAREAS'!AE16/'EDT Y TAREAS'!M16,0),IF(AND(219&gt;='EDT Y TAREAS'!AK21,219&lt;'EDT Y TAREAS'!AL21),'EDT Y TAREAS'!AE21/'EDT Y TAREAS'!M21,0),IF(AND(219&gt;='EDT Y TAREAS'!AK23,219&lt;'EDT Y TAREAS'!AL23),'EDT Y TAREAS'!AE23/'EDT Y TAREAS'!M23,0),IF(AND(219&gt;='EDT Y TAREAS'!AK37,219&lt;'EDT Y TAREAS'!AL37),'EDT Y TAREAS'!AE37/'EDT Y TAREAS'!M37,0),IF(AND(219&gt;='EDT Y TAREAS'!AK38,219&lt;'EDT Y TAREAS'!AL38),'EDT Y TAREAS'!AE38/'EDT Y TAREAS'!M38,0),IF(AND(219&gt;='EDT Y TAREAS'!AK41,219&lt;'EDT Y TAREAS'!AL41),'EDT Y TAREAS'!AE41/'EDT Y TAREAS'!M41,0),IF(AND(219&gt;='EDT Y TAREAS'!AK43,219&lt;'EDT Y TAREAS'!AL43),'EDT Y TAREAS'!AE43/'EDT Y TAREAS'!M43,0),IF(AND(219&gt;='EDT Y TAREAS'!AK44,219&lt;'EDT Y TAREAS'!AL44),'EDT Y TAREAS'!AE44/'EDT Y TAREAS'!M44,0),IF(AND(219&gt;='EDT Y TAREAS'!AK46,219&lt;'EDT Y TAREAS'!AL46),'EDT Y TAREAS'!AE46/'EDT Y TAREAS'!M46,0),IF(AND(219&gt;='EDT Y TAREAS'!AK47,219&lt;'EDT Y TAREAS'!AL47),'EDT Y TAREAS'!AE47/'EDT Y TAREAS'!M47,0),IF(AND(219&gt;='EDT Y TAREAS'!AK51,219&lt;'EDT Y TAREAS'!AL51),'EDT Y TAREAS'!AE51/'EDT Y TAREAS'!M51,0),IF(AND(219&gt;='EDT Y TAREAS'!AK52,219&lt;'EDT Y TAREAS'!AL52),'EDT Y TAREAS'!AE52/'EDT Y TAREAS'!M52,0))</x:f>
        <x:v>0</x:v>
      </x:c>
      <x:c r="D259" s="35" t="n">
        <x:f>SUM(IF(AND(219&gt;='EDT Y TAREAS'!AK11,219&lt;'EDT Y TAREAS'!AL11),'EDT Y TAREAS'!AF11/'EDT Y TAREAS'!M11,0),IF(AND(219&gt;='EDT Y TAREAS'!AK24,219&lt;'EDT Y TAREAS'!AL24),'EDT Y TAREAS'!AF24/'EDT Y TAREAS'!M24,0),IF(AND(219&gt;='EDT Y TAREAS'!AK25,219&lt;'EDT Y TAREAS'!AL25),'EDT Y TAREAS'!AF25/'EDT Y TAREAS'!M25,0),IF(AND(219&gt;='EDT Y TAREAS'!AK26,219&lt;'EDT Y TAREAS'!AL26),'EDT Y TAREAS'!AF26/'EDT Y TAREAS'!M26,0),IF(AND(219&gt;='EDT Y TAREAS'!AK27,219&lt;'EDT Y TAREAS'!AL27),'EDT Y TAREAS'!AF27/'EDT Y TAREAS'!M27,0),IF(AND(219&gt;='EDT Y TAREAS'!AK28,219&lt;'EDT Y TAREAS'!AL28),'EDT Y TAREAS'!AF28/'EDT Y TAREAS'!M28,0),IF(AND(219&gt;='EDT Y TAREAS'!AK31,219&lt;'EDT Y TAREAS'!AL31),'EDT Y TAREAS'!AF31/'EDT Y TAREAS'!M31,0),IF(AND(219&gt;='EDT Y TAREAS'!AK33,219&lt;'EDT Y TAREAS'!AL33),'EDT Y TAREAS'!AF33/'EDT Y TAREAS'!M33,0),IF(AND(219&gt;='EDT Y TAREAS'!AK34,219&lt;'EDT Y TAREAS'!AL34),'EDT Y TAREAS'!AF34/'EDT Y TAREAS'!M34,0),IF(AND(219&gt;='EDT Y TAREAS'!AK35,219&lt;'EDT Y TAREAS'!AL35),'EDT Y TAREAS'!AF35/'EDT Y TAREAS'!M35,0),IF(AND(219&gt;='EDT Y TAREAS'!AK37,219&lt;'EDT Y TAREAS'!AL37),'EDT Y TAREAS'!AF37/'EDT Y TAREAS'!M37,0),IF(AND(219&gt;='EDT Y TAREAS'!AK39,219&lt;'EDT Y TAREAS'!AL39),'EDT Y TAREAS'!AF39/'EDT Y TAREAS'!M39,0),IF(AND(219&gt;='EDT Y TAREAS'!AK40,219&lt;'EDT Y TAREAS'!AL40),'EDT Y TAREAS'!AF40/'EDT Y TAREAS'!M40,0),IF(AND(219&gt;='EDT Y TAREAS'!AK42,219&lt;'EDT Y TAREAS'!AL42),'EDT Y TAREAS'!AF42/'EDT Y TAREAS'!M42,0),IF(AND(219&gt;='EDT Y TAREAS'!AK45,219&lt;'EDT Y TAREAS'!AL45),'EDT Y TAREAS'!AF45/'EDT Y TAREAS'!M45,0),IF(AND(219&gt;='EDT Y TAREAS'!AK49,219&lt;'EDT Y TAREAS'!AL49),'EDT Y TAREAS'!AF49/'EDT Y TAREAS'!M49,0),IF(AND(219&gt;='EDT Y TAREAS'!AK52,219&lt;'EDT Y TAREAS'!AL52),'EDT Y TAREAS'!AF52/'EDT Y TAREAS'!M52,0))</x:f>
        <x:v>0</x:v>
      </x:c>
      <x:c r="E259" s="35" t="n">
        <x:f>SUM(IF(AND(219&gt;='EDT Y TAREAS'!AK29,219&lt;'EDT Y TAREAS'!AL29),'EDT Y TAREAS'!AG29/'EDT Y TAREAS'!M29,0),IF(AND(219&gt;='EDT Y TAREAS'!AK30,219&lt;'EDT Y TAREAS'!AL30),'EDT Y TAREAS'!AG30/'EDT Y TAREAS'!M30,0),IF(AND(219&gt;='EDT Y TAREAS'!AK31,219&lt;'EDT Y TAREAS'!AL31),'EDT Y TAREAS'!AG31/'EDT Y TAREAS'!M31,0),IF(AND(219&gt;='EDT Y TAREAS'!AK32,219&lt;'EDT Y TAREAS'!AL32),'EDT Y TAREAS'!AG32/'EDT Y TAREAS'!M32,0),IF(AND(219&gt;='EDT Y TAREAS'!AK41,219&lt;'EDT Y TAREAS'!AL41),'EDT Y TAREAS'!AG41/'EDT Y TAREAS'!M41,0),IF(AND(219&gt;='EDT Y TAREAS'!AK45,219&lt;'EDT Y TAREAS'!AL45),'EDT Y TAREAS'!AG45/'EDT Y TAREAS'!M45,0),IF(AND(219&gt;='EDT Y TAREAS'!AK48,219&lt;'EDT Y TAREAS'!AL48),'EDT Y TAREAS'!AG48/'EDT Y TAREAS'!M48,0))</x:f>
        <x:v>0</x:v>
      </x:c>
      <x:c r="F259" s="35" t="n">
        <x:f>SUM(IF(AND(219&gt;='EDT Y TAREAS'!AK10,219&lt;'EDT Y TAREAS'!AL10),'EDT Y TAREAS'!AH10/'EDT Y TAREAS'!M10,0),IF(AND(219&gt;='EDT Y TAREAS'!AK12,219&lt;'EDT Y TAREAS'!AL12),'EDT Y TAREAS'!AH12/'EDT Y TAREAS'!M12,0),IF(AND(219&gt;='EDT Y TAREAS'!AK22,219&lt;'EDT Y TAREAS'!AL22),'EDT Y TAREAS'!AH22/'EDT Y TAREAS'!M22,0),IF(AND(219&gt;='EDT Y TAREAS'!AK23,219&lt;'EDT Y TAREAS'!AL23),'EDT Y TAREAS'!AH23/'EDT Y TAREAS'!M23,0),IF(AND(219&gt;='EDT Y TAREAS'!AK29,219&lt;'EDT Y TAREAS'!AL29),'EDT Y TAREAS'!AH29/'EDT Y TAREAS'!M29,0),IF(AND(219&gt;='EDT Y TAREAS'!AK30,219&lt;'EDT Y TAREAS'!AL30),'EDT Y TAREAS'!AH30/'EDT Y TAREAS'!M30,0),IF(AND(219&gt;='EDT Y TAREAS'!AK32,219&lt;'EDT Y TAREAS'!AL32),'EDT Y TAREAS'!AH32/'EDT Y TAREAS'!M32,0),IF(AND(219&gt;='EDT Y TAREAS'!AK41,219&lt;'EDT Y TAREAS'!AL41),'EDT Y TAREAS'!AH41/'EDT Y TAREAS'!M41,0),IF(AND(219&gt;='EDT Y TAREAS'!AK44,219&lt;'EDT Y TAREAS'!AL44),'EDT Y TAREAS'!AH44/'EDT Y TAREAS'!M44,0),IF(AND(219&gt;='EDT Y TAREAS'!AK46,219&lt;'EDT Y TAREAS'!AL46),'EDT Y TAREAS'!AH46/'EDT Y TAREAS'!M46,0),IF(AND(219&gt;='EDT Y TAREAS'!AK48,219&lt;'EDT Y TAREAS'!AL48),'EDT Y TAREAS'!AH48/'EDT Y TAREAS'!M48,0))</x:f>
        <x:v>0</x:v>
      </x:c>
      <x:c r="G259" s="35" t="n">
        <x:f>SUM(IF(AND(219&gt;='EDT Y TAREAS'!AK20,219&lt;'EDT Y TAREAS'!AL20),'EDT Y TAREAS'!AI20/'EDT Y TAREAS'!M20,0),IF(AND(219&gt;='EDT Y TAREAS'!AK25,219&lt;'EDT Y TAREAS'!AL25),'EDT Y TAREAS'!AI25/'EDT Y TAREAS'!M25,0),IF(AND(219&gt;='EDT Y TAREAS'!AK33,219&lt;'EDT Y TAREAS'!AL33),'EDT Y TAREAS'!AI33/'EDT Y TAREAS'!M33,0),IF(AND(219&gt;='EDT Y TAREAS'!AK34,219&lt;'EDT Y TAREAS'!AL34),'EDT Y TAREAS'!AI34/'EDT Y TAREAS'!M34,0),IF(AND(219&gt;='EDT Y TAREAS'!AK36,219&lt;'EDT Y TAREAS'!AL36),'EDT Y TAREAS'!AI36/'EDT Y TAREAS'!M36,0),IF(AND(219&gt;='EDT Y TAREAS'!AK39,219&lt;'EDT Y TAREAS'!AL39),'EDT Y TAREAS'!AI39/'EDT Y TAREAS'!M39,0),IF(AND(219&gt;='EDT Y TAREAS'!AK40,219&lt;'EDT Y TAREAS'!AL40),'EDT Y TAREAS'!AI40/'EDT Y TAREAS'!M40,0),IF(AND(219&gt;='EDT Y TAREAS'!AK42,219&lt;'EDT Y TAREAS'!AL42),'EDT Y TAREAS'!AI42/'EDT Y TAREAS'!M42,0),IF(AND(219&gt;='EDT Y TAREAS'!AK43,219&lt;'EDT Y TAREAS'!AL43),'EDT Y TAREAS'!AI43/'EDT Y TAREAS'!M43,0),IF(AND(219&gt;='EDT Y TAREAS'!AK44,219&lt;'EDT Y TAREAS'!AL44),'EDT Y TAREAS'!AI44/'EDT Y TAREAS'!M44,0),IF(AND(219&gt;='EDT Y TAREAS'!AK45,219&lt;'EDT Y TAREAS'!AL45),'EDT Y TAREAS'!AI45/'EDT Y TAREAS'!M45,0),IF(AND(219&gt;='EDT Y TAREAS'!AK46,219&lt;'EDT Y TAREAS'!AL46),'EDT Y TAREAS'!AI46/'EDT Y TAREAS'!M46,0),IF(AND(219&gt;='EDT Y TAREAS'!AK48,219&lt;'EDT Y TAREAS'!AL48),'EDT Y TAREAS'!AI48/'EDT Y TAREAS'!M48,0),IF(AND(219&gt;='EDT Y TAREAS'!AK50,219&lt;'EDT Y TAREAS'!AL50),'EDT Y TAREAS'!AI50/'EDT Y TAREAS'!M50,0),IF(AND(219&gt;='EDT Y TAREAS'!AK52,219&lt;'EDT Y TAREAS'!AL52),'EDT Y TAREAS'!AI52/'EDT Y TAREAS'!M52,0))</x:f>
        <x:v>0</x:v>
      </x:c>
      <x:c r="H259" s="35" t="n">
        <x:f>SUM(IF(AND(219&gt;='EDT Y TAREAS'!AK11,219&lt;'EDT Y TAREAS'!AL11),'EDT Y TAREAS'!AJ11/'EDT Y TAREAS'!M11,0),IF(AND(219&gt;='EDT Y TAREAS'!AK24,219&lt;'EDT Y TAREAS'!AL24),'EDT Y TAREAS'!AJ24/'EDT Y TAREAS'!M24,0),IF(AND(219&gt;='EDT Y TAREAS'!AK27,219&lt;'EDT Y TAREAS'!AL27),'EDT Y TAREAS'!AJ27/'EDT Y TAREAS'!M27,0),IF(AND(219&gt;='EDT Y TAREAS'!AK28,219&lt;'EDT Y TAREAS'!AL28),'EDT Y TAREAS'!AJ28/'EDT Y TAREAS'!M28,0),IF(AND(219&gt;='EDT Y TAREAS'!AK33,219&lt;'EDT Y TAREAS'!AL33),'EDT Y TAREAS'!AJ33/'EDT Y TAREAS'!M33,0),IF(AND(219&gt;='EDT Y TAREAS'!AK35,219&lt;'EDT Y TAREAS'!AL35),'EDT Y TAREAS'!AJ35/'EDT Y TAREAS'!M35,0),IF(AND(219&gt;='EDT Y TAREAS'!AK36,219&lt;'EDT Y TAREAS'!AL36),'EDT Y TAREAS'!AJ36/'EDT Y TAREAS'!M36,0),IF(AND(219&gt;='EDT Y TAREAS'!AK37,219&lt;'EDT Y TAREAS'!AL37),'EDT Y TAREAS'!AJ37/'EDT Y TAREAS'!M37,0),IF(AND(219&gt;='EDT Y TAREAS'!AK40,219&lt;'EDT Y TAREAS'!AL40),'EDT Y TAREAS'!AJ40/'EDT Y TAREAS'!M40,0),IF(AND(219&gt;='EDT Y TAREAS'!AK42,219&lt;'EDT Y TAREAS'!AL42),'EDT Y TAREAS'!AJ42/'EDT Y TAREAS'!M42,0),IF(AND(219&gt;='EDT Y TAREAS'!AK49,219&lt;'EDT Y TAREAS'!AL49),'EDT Y TAREAS'!AJ49/'EDT Y TAREAS'!M49,0),IF(AND(219&gt;='EDT Y TAREAS'!AK50,219&lt;'EDT Y TAREAS'!AL50),'EDT Y TAREAS'!AJ50/'EDT Y TAREAS'!M50,0),IF(AND(219&gt;='EDT Y TAREAS'!AK51,219&lt;'EDT Y TAREAS'!AL51),'EDT Y TAREAS'!AJ51/'EDT Y TAREAS'!M51,0),IF(AND(219&gt;='EDT Y TAREAS'!AK52,219&lt;'EDT Y TAREAS'!AL52),'EDT Y TAREAS'!AJ52/'EDT Y TAREAS'!M52,0))</x:f>
        <x:v>0</x:v>
      </x:c>
      <x:c r="I259" s="10" t="n">
        <x:f>WORKDAY('RESUMEN'!$D$3-1,A259,'RESUMEN'!$J$6:$J$25)</x:f>
        <x:v>46633</x:v>
      </x:c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  <x:c r="AA259" s="3"/>
      <x:c r="AB259" s="3"/>
      <x:c r="AC259" s="3"/>
      <x:c r="AD259" s="3"/>
      <x:c r="AE259" s="3"/>
      <x:c r="AF259" s="3"/>
      <x:c r="AG259" s="3"/>
      <x:c r="AH259" s="3"/>
      <x:c r="AI259" s="3"/>
      <x:c r="AJ259" s="3"/>
      <x:c r="AK259" s="3"/>
      <x:c r="AL259" s="3"/>
      <x:c r="AM259" s="3"/>
      <x:c r="AN259" s="3"/>
      <x:c r="AO259" s="3"/>
    </x:row>
    <x:row r="260" ht="24" customHeight="1">
      <x:c r="A260" s="3" t="n">
        <x:v>221</x:v>
      </x:c>
      <x:c r="B260" s="35" t="n">
        <x:f>SUM(IF(AND(220&gt;='EDT Y TAREAS'!AK6,220&lt;'EDT Y TAREAS'!AL6),'EDT Y TAREAS'!AD6/'EDT Y TAREAS'!M6,0),IF(AND(220&gt;='EDT Y TAREAS'!AK7,220&lt;'EDT Y TAREAS'!AL7),'EDT Y TAREAS'!AD7/'EDT Y TAREAS'!M7,0),IF(AND(220&gt;='EDT Y TAREAS'!AK8,220&lt;'EDT Y TAREAS'!AL8),'EDT Y TAREAS'!AD8/'EDT Y TAREAS'!M8,0),IF(AND(220&gt;='EDT Y TAREAS'!AK9,220&lt;'EDT Y TAREAS'!AL9),'EDT Y TAREAS'!AD9/'EDT Y TAREAS'!M9,0),IF(AND(220&gt;='EDT Y TAREAS'!AK10,220&lt;'EDT Y TAREAS'!AL10),'EDT Y TAREAS'!AD10/'EDT Y TAREAS'!M10,0),IF(AND(220&gt;='EDT Y TAREAS'!AK11,220&lt;'EDT Y TAREAS'!AL11),'EDT Y TAREAS'!AD11/'EDT Y TAREAS'!M11,0),IF(AND(220&gt;='EDT Y TAREAS'!AK12,220&lt;'EDT Y TAREAS'!AL12),'EDT Y TAREAS'!AD12/'EDT Y TAREAS'!M12,0),IF(AND(220&gt;='EDT Y TAREAS'!AK13,220&lt;'EDT Y TAREAS'!AL13),'EDT Y TAREAS'!AD13/'EDT Y TAREAS'!M13,0),IF(AND(220&gt;='EDT Y TAREAS'!AK14,220&lt;'EDT Y TAREAS'!AL14),'EDT Y TAREAS'!AD14/'EDT Y TAREAS'!M14,0),IF(AND(220&gt;='EDT Y TAREAS'!AK15,220&lt;'EDT Y TAREAS'!AL15),'EDT Y TAREAS'!AD15/'EDT Y TAREAS'!M15,0),IF(AND(220&gt;='EDT Y TAREAS'!AK16,220&lt;'EDT Y TAREAS'!AL16),'EDT Y TAREAS'!AD16/'EDT Y TAREAS'!M16,0),IF(AND(220&gt;='EDT Y TAREAS'!AK17,220&lt;'EDT Y TAREAS'!AL17),'EDT Y TAREAS'!AD17/'EDT Y TAREAS'!M17,0),IF(AND(220&gt;='EDT Y TAREAS'!AK18,220&lt;'EDT Y TAREAS'!AL18),'EDT Y TAREAS'!AD18/'EDT Y TAREAS'!M18,0),IF(AND(220&gt;='EDT Y TAREAS'!AK19,220&lt;'EDT Y TAREAS'!AL19),'EDT Y TAREAS'!AD19/'EDT Y TAREAS'!M19,0),IF(AND(220&gt;='EDT Y TAREAS'!AK20,220&lt;'EDT Y TAREAS'!AL20),'EDT Y TAREAS'!AD20/'EDT Y TAREAS'!M20,0),IF(AND(220&gt;='EDT Y TAREAS'!AK21,220&lt;'EDT Y TAREAS'!AL21),'EDT Y TAREAS'!AD21/'EDT Y TAREAS'!M21,0),IF(AND(220&gt;='EDT Y TAREAS'!AK22,220&lt;'EDT Y TAREAS'!AL22),'EDT Y TAREAS'!AD22/'EDT Y TAREAS'!M22,0),IF(AND(220&gt;='EDT Y TAREAS'!AK23,220&lt;'EDT Y TAREAS'!AL23),'EDT Y TAREAS'!AD23/'EDT Y TAREAS'!M23,0),IF(AND(220&gt;='EDT Y TAREAS'!AK26,220&lt;'EDT Y TAREAS'!AL26),'EDT Y TAREAS'!AD26/'EDT Y TAREAS'!M26,0),IF(AND(220&gt;='EDT Y TAREAS'!AK28,220&lt;'EDT Y TAREAS'!AL28),'EDT Y TAREAS'!AD28/'EDT Y TAREAS'!M28,0),IF(AND(220&gt;='EDT Y TAREAS'!AK30,220&lt;'EDT Y TAREAS'!AL30),'EDT Y TAREAS'!AD30/'EDT Y TAREAS'!M30,0),IF(AND(220&gt;='EDT Y TAREAS'!AK32,220&lt;'EDT Y TAREAS'!AL32),'EDT Y TAREAS'!AD32/'EDT Y TAREAS'!M32,0),IF(AND(220&gt;='EDT Y TAREAS'!AK34,220&lt;'EDT Y TAREAS'!AL34),'EDT Y TAREAS'!AD34/'EDT Y TAREAS'!M34,0),IF(AND(220&gt;='EDT Y TAREAS'!AK38,220&lt;'EDT Y TAREAS'!AL38),'EDT Y TAREAS'!AD38/'EDT Y TAREAS'!M38,0),IF(AND(220&gt;='EDT Y TAREAS'!AK39,220&lt;'EDT Y TAREAS'!AL39),'EDT Y TAREAS'!AD39/'EDT Y TAREAS'!M39,0),IF(AND(220&gt;='EDT Y TAREAS'!AK43,220&lt;'EDT Y TAREAS'!AL43),'EDT Y TAREAS'!AD43/'EDT Y TAREAS'!M43,0),IF(AND(220&gt;='EDT Y TAREAS'!AK44,220&lt;'EDT Y TAREAS'!AL44),'EDT Y TAREAS'!AD44/'EDT Y TAREAS'!M44,0),IF(AND(220&gt;='EDT Y TAREAS'!AK45,220&lt;'EDT Y TAREAS'!AL45),'EDT Y TAREAS'!AD45/'EDT Y TAREAS'!M45,0),IF(AND(220&gt;='EDT Y TAREAS'!AK46,220&lt;'EDT Y TAREAS'!AL46),'EDT Y TAREAS'!AD46/'EDT Y TAREAS'!M46,0),IF(AND(220&gt;='EDT Y TAREAS'!AK47,220&lt;'EDT Y TAREAS'!AL47),'EDT Y TAREAS'!AD47/'EDT Y TAREAS'!M47,0),IF(AND(220&gt;='EDT Y TAREAS'!AK49,220&lt;'EDT Y TAREAS'!AL49),'EDT Y TAREAS'!AD49/'EDT Y TAREAS'!M49,0),IF(AND(220&gt;='EDT Y TAREAS'!AK50,220&lt;'EDT Y TAREAS'!AL50),'EDT Y TAREAS'!AD50/'EDT Y TAREAS'!M50,0),IF(AND(220&gt;='EDT Y TAREAS'!AK51,220&lt;'EDT Y TAREAS'!AL51),'EDT Y TAREAS'!AD51/'EDT Y TAREAS'!M51,0),IF(AND(220&gt;='EDT Y TAREAS'!AK52,220&lt;'EDT Y TAREAS'!AL52),'EDT Y TAREAS'!AD52/'EDT Y TAREAS'!M52,0))</x:f>
        <x:v>0</x:v>
      </x:c>
      <x:c r="C260" s="35" t="n">
        <x:f>SUM(IF(AND(220&gt;='EDT Y TAREAS'!AK6,220&lt;'EDT Y TAREAS'!AL6),'EDT Y TAREAS'!AE6/'EDT Y TAREAS'!M6,0),IF(AND(220&gt;='EDT Y TAREAS'!AK8,220&lt;'EDT Y TAREAS'!AL8),'EDT Y TAREAS'!AE8/'EDT Y TAREAS'!M8,0),IF(AND(220&gt;='EDT Y TAREAS'!AK9,220&lt;'EDT Y TAREAS'!AL9),'EDT Y TAREAS'!AE9/'EDT Y TAREAS'!M9,0),IF(AND(220&gt;='EDT Y TAREAS'!AK10,220&lt;'EDT Y TAREAS'!AL10),'EDT Y TAREAS'!AE10/'EDT Y TAREAS'!M10,0),IF(AND(220&gt;='EDT Y TAREAS'!AK12,220&lt;'EDT Y TAREAS'!AL12),'EDT Y TAREAS'!AE12/'EDT Y TAREAS'!M12,0),IF(AND(220&gt;='EDT Y TAREAS'!AK16,220&lt;'EDT Y TAREAS'!AL16),'EDT Y TAREAS'!AE16/'EDT Y TAREAS'!M16,0),IF(AND(220&gt;='EDT Y TAREAS'!AK21,220&lt;'EDT Y TAREAS'!AL21),'EDT Y TAREAS'!AE21/'EDT Y TAREAS'!M21,0),IF(AND(220&gt;='EDT Y TAREAS'!AK23,220&lt;'EDT Y TAREAS'!AL23),'EDT Y TAREAS'!AE23/'EDT Y TAREAS'!M23,0),IF(AND(220&gt;='EDT Y TAREAS'!AK37,220&lt;'EDT Y TAREAS'!AL37),'EDT Y TAREAS'!AE37/'EDT Y TAREAS'!M37,0),IF(AND(220&gt;='EDT Y TAREAS'!AK38,220&lt;'EDT Y TAREAS'!AL38),'EDT Y TAREAS'!AE38/'EDT Y TAREAS'!M38,0),IF(AND(220&gt;='EDT Y TAREAS'!AK41,220&lt;'EDT Y TAREAS'!AL41),'EDT Y TAREAS'!AE41/'EDT Y TAREAS'!M41,0),IF(AND(220&gt;='EDT Y TAREAS'!AK43,220&lt;'EDT Y TAREAS'!AL43),'EDT Y TAREAS'!AE43/'EDT Y TAREAS'!M43,0),IF(AND(220&gt;='EDT Y TAREAS'!AK44,220&lt;'EDT Y TAREAS'!AL44),'EDT Y TAREAS'!AE44/'EDT Y TAREAS'!M44,0),IF(AND(220&gt;='EDT Y TAREAS'!AK46,220&lt;'EDT Y TAREAS'!AL46),'EDT Y TAREAS'!AE46/'EDT Y TAREAS'!M46,0),IF(AND(220&gt;='EDT Y TAREAS'!AK47,220&lt;'EDT Y TAREAS'!AL47),'EDT Y TAREAS'!AE47/'EDT Y TAREAS'!M47,0),IF(AND(220&gt;='EDT Y TAREAS'!AK51,220&lt;'EDT Y TAREAS'!AL51),'EDT Y TAREAS'!AE51/'EDT Y TAREAS'!M51,0),IF(AND(220&gt;='EDT Y TAREAS'!AK52,220&lt;'EDT Y TAREAS'!AL52),'EDT Y TAREAS'!AE52/'EDT Y TAREAS'!M52,0))</x:f>
        <x:v>0</x:v>
      </x:c>
      <x:c r="D260" s="35" t="n">
        <x:f>SUM(IF(AND(220&gt;='EDT Y TAREAS'!AK11,220&lt;'EDT Y TAREAS'!AL11),'EDT Y TAREAS'!AF11/'EDT Y TAREAS'!M11,0),IF(AND(220&gt;='EDT Y TAREAS'!AK24,220&lt;'EDT Y TAREAS'!AL24),'EDT Y TAREAS'!AF24/'EDT Y TAREAS'!M24,0),IF(AND(220&gt;='EDT Y TAREAS'!AK25,220&lt;'EDT Y TAREAS'!AL25),'EDT Y TAREAS'!AF25/'EDT Y TAREAS'!M25,0),IF(AND(220&gt;='EDT Y TAREAS'!AK26,220&lt;'EDT Y TAREAS'!AL26),'EDT Y TAREAS'!AF26/'EDT Y TAREAS'!M26,0),IF(AND(220&gt;='EDT Y TAREAS'!AK27,220&lt;'EDT Y TAREAS'!AL27),'EDT Y TAREAS'!AF27/'EDT Y TAREAS'!M27,0),IF(AND(220&gt;='EDT Y TAREAS'!AK28,220&lt;'EDT Y TAREAS'!AL28),'EDT Y TAREAS'!AF28/'EDT Y TAREAS'!M28,0),IF(AND(220&gt;='EDT Y TAREAS'!AK31,220&lt;'EDT Y TAREAS'!AL31),'EDT Y TAREAS'!AF31/'EDT Y TAREAS'!M31,0),IF(AND(220&gt;='EDT Y TAREAS'!AK33,220&lt;'EDT Y TAREAS'!AL33),'EDT Y TAREAS'!AF33/'EDT Y TAREAS'!M33,0),IF(AND(220&gt;='EDT Y TAREAS'!AK34,220&lt;'EDT Y TAREAS'!AL34),'EDT Y TAREAS'!AF34/'EDT Y TAREAS'!M34,0),IF(AND(220&gt;='EDT Y TAREAS'!AK35,220&lt;'EDT Y TAREAS'!AL35),'EDT Y TAREAS'!AF35/'EDT Y TAREAS'!M35,0),IF(AND(220&gt;='EDT Y TAREAS'!AK37,220&lt;'EDT Y TAREAS'!AL37),'EDT Y TAREAS'!AF37/'EDT Y TAREAS'!M37,0),IF(AND(220&gt;='EDT Y TAREAS'!AK39,220&lt;'EDT Y TAREAS'!AL39),'EDT Y TAREAS'!AF39/'EDT Y TAREAS'!M39,0),IF(AND(220&gt;='EDT Y TAREAS'!AK40,220&lt;'EDT Y TAREAS'!AL40),'EDT Y TAREAS'!AF40/'EDT Y TAREAS'!M40,0),IF(AND(220&gt;='EDT Y TAREAS'!AK42,220&lt;'EDT Y TAREAS'!AL42),'EDT Y TAREAS'!AF42/'EDT Y TAREAS'!M42,0),IF(AND(220&gt;='EDT Y TAREAS'!AK45,220&lt;'EDT Y TAREAS'!AL45),'EDT Y TAREAS'!AF45/'EDT Y TAREAS'!M45,0),IF(AND(220&gt;='EDT Y TAREAS'!AK49,220&lt;'EDT Y TAREAS'!AL49),'EDT Y TAREAS'!AF49/'EDT Y TAREAS'!M49,0),IF(AND(220&gt;='EDT Y TAREAS'!AK52,220&lt;'EDT Y TAREAS'!AL52),'EDT Y TAREAS'!AF52/'EDT Y TAREAS'!M52,0))</x:f>
        <x:v>0</x:v>
      </x:c>
      <x:c r="E260" s="35" t="n">
        <x:f>SUM(IF(AND(220&gt;='EDT Y TAREAS'!AK29,220&lt;'EDT Y TAREAS'!AL29),'EDT Y TAREAS'!AG29/'EDT Y TAREAS'!M29,0),IF(AND(220&gt;='EDT Y TAREAS'!AK30,220&lt;'EDT Y TAREAS'!AL30),'EDT Y TAREAS'!AG30/'EDT Y TAREAS'!M30,0),IF(AND(220&gt;='EDT Y TAREAS'!AK31,220&lt;'EDT Y TAREAS'!AL31),'EDT Y TAREAS'!AG31/'EDT Y TAREAS'!M31,0),IF(AND(220&gt;='EDT Y TAREAS'!AK32,220&lt;'EDT Y TAREAS'!AL32),'EDT Y TAREAS'!AG32/'EDT Y TAREAS'!M32,0),IF(AND(220&gt;='EDT Y TAREAS'!AK41,220&lt;'EDT Y TAREAS'!AL41),'EDT Y TAREAS'!AG41/'EDT Y TAREAS'!M41,0),IF(AND(220&gt;='EDT Y TAREAS'!AK45,220&lt;'EDT Y TAREAS'!AL45),'EDT Y TAREAS'!AG45/'EDT Y TAREAS'!M45,0),IF(AND(220&gt;='EDT Y TAREAS'!AK48,220&lt;'EDT Y TAREAS'!AL48),'EDT Y TAREAS'!AG48/'EDT Y TAREAS'!M48,0))</x:f>
        <x:v>0</x:v>
      </x:c>
      <x:c r="F260" s="35" t="n">
        <x:f>SUM(IF(AND(220&gt;='EDT Y TAREAS'!AK10,220&lt;'EDT Y TAREAS'!AL10),'EDT Y TAREAS'!AH10/'EDT Y TAREAS'!M10,0),IF(AND(220&gt;='EDT Y TAREAS'!AK12,220&lt;'EDT Y TAREAS'!AL12),'EDT Y TAREAS'!AH12/'EDT Y TAREAS'!M12,0),IF(AND(220&gt;='EDT Y TAREAS'!AK22,220&lt;'EDT Y TAREAS'!AL22),'EDT Y TAREAS'!AH22/'EDT Y TAREAS'!M22,0),IF(AND(220&gt;='EDT Y TAREAS'!AK23,220&lt;'EDT Y TAREAS'!AL23),'EDT Y TAREAS'!AH23/'EDT Y TAREAS'!M23,0),IF(AND(220&gt;='EDT Y TAREAS'!AK29,220&lt;'EDT Y TAREAS'!AL29),'EDT Y TAREAS'!AH29/'EDT Y TAREAS'!M29,0),IF(AND(220&gt;='EDT Y TAREAS'!AK30,220&lt;'EDT Y TAREAS'!AL30),'EDT Y TAREAS'!AH30/'EDT Y TAREAS'!M30,0),IF(AND(220&gt;='EDT Y TAREAS'!AK32,220&lt;'EDT Y TAREAS'!AL32),'EDT Y TAREAS'!AH32/'EDT Y TAREAS'!M32,0),IF(AND(220&gt;='EDT Y TAREAS'!AK41,220&lt;'EDT Y TAREAS'!AL41),'EDT Y TAREAS'!AH41/'EDT Y TAREAS'!M41,0),IF(AND(220&gt;='EDT Y TAREAS'!AK44,220&lt;'EDT Y TAREAS'!AL44),'EDT Y TAREAS'!AH44/'EDT Y TAREAS'!M44,0),IF(AND(220&gt;='EDT Y TAREAS'!AK46,220&lt;'EDT Y TAREAS'!AL46),'EDT Y TAREAS'!AH46/'EDT Y TAREAS'!M46,0),IF(AND(220&gt;='EDT Y TAREAS'!AK48,220&lt;'EDT Y TAREAS'!AL48),'EDT Y TAREAS'!AH48/'EDT Y TAREAS'!M48,0))</x:f>
        <x:v>0</x:v>
      </x:c>
      <x:c r="G260" s="35" t="n">
        <x:f>SUM(IF(AND(220&gt;='EDT Y TAREAS'!AK20,220&lt;'EDT Y TAREAS'!AL20),'EDT Y TAREAS'!AI20/'EDT Y TAREAS'!M20,0),IF(AND(220&gt;='EDT Y TAREAS'!AK25,220&lt;'EDT Y TAREAS'!AL25),'EDT Y TAREAS'!AI25/'EDT Y TAREAS'!M25,0),IF(AND(220&gt;='EDT Y TAREAS'!AK33,220&lt;'EDT Y TAREAS'!AL33),'EDT Y TAREAS'!AI33/'EDT Y TAREAS'!M33,0),IF(AND(220&gt;='EDT Y TAREAS'!AK34,220&lt;'EDT Y TAREAS'!AL34),'EDT Y TAREAS'!AI34/'EDT Y TAREAS'!M34,0),IF(AND(220&gt;='EDT Y TAREAS'!AK36,220&lt;'EDT Y TAREAS'!AL36),'EDT Y TAREAS'!AI36/'EDT Y TAREAS'!M36,0),IF(AND(220&gt;='EDT Y TAREAS'!AK39,220&lt;'EDT Y TAREAS'!AL39),'EDT Y TAREAS'!AI39/'EDT Y TAREAS'!M39,0),IF(AND(220&gt;='EDT Y TAREAS'!AK40,220&lt;'EDT Y TAREAS'!AL40),'EDT Y TAREAS'!AI40/'EDT Y TAREAS'!M40,0),IF(AND(220&gt;='EDT Y TAREAS'!AK42,220&lt;'EDT Y TAREAS'!AL42),'EDT Y TAREAS'!AI42/'EDT Y TAREAS'!M42,0),IF(AND(220&gt;='EDT Y TAREAS'!AK43,220&lt;'EDT Y TAREAS'!AL43),'EDT Y TAREAS'!AI43/'EDT Y TAREAS'!M43,0),IF(AND(220&gt;='EDT Y TAREAS'!AK44,220&lt;'EDT Y TAREAS'!AL44),'EDT Y TAREAS'!AI44/'EDT Y TAREAS'!M44,0),IF(AND(220&gt;='EDT Y TAREAS'!AK45,220&lt;'EDT Y TAREAS'!AL45),'EDT Y TAREAS'!AI45/'EDT Y TAREAS'!M45,0),IF(AND(220&gt;='EDT Y TAREAS'!AK46,220&lt;'EDT Y TAREAS'!AL46),'EDT Y TAREAS'!AI46/'EDT Y TAREAS'!M46,0),IF(AND(220&gt;='EDT Y TAREAS'!AK48,220&lt;'EDT Y TAREAS'!AL48),'EDT Y TAREAS'!AI48/'EDT Y TAREAS'!M48,0),IF(AND(220&gt;='EDT Y TAREAS'!AK50,220&lt;'EDT Y TAREAS'!AL50),'EDT Y TAREAS'!AI50/'EDT Y TAREAS'!M50,0),IF(AND(220&gt;='EDT Y TAREAS'!AK52,220&lt;'EDT Y TAREAS'!AL52),'EDT Y TAREAS'!AI52/'EDT Y TAREAS'!M52,0))</x:f>
        <x:v>0</x:v>
      </x:c>
      <x:c r="H260" s="35" t="n">
        <x:f>SUM(IF(AND(220&gt;='EDT Y TAREAS'!AK11,220&lt;'EDT Y TAREAS'!AL11),'EDT Y TAREAS'!AJ11/'EDT Y TAREAS'!M11,0),IF(AND(220&gt;='EDT Y TAREAS'!AK24,220&lt;'EDT Y TAREAS'!AL24),'EDT Y TAREAS'!AJ24/'EDT Y TAREAS'!M24,0),IF(AND(220&gt;='EDT Y TAREAS'!AK27,220&lt;'EDT Y TAREAS'!AL27),'EDT Y TAREAS'!AJ27/'EDT Y TAREAS'!M27,0),IF(AND(220&gt;='EDT Y TAREAS'!AK28,220&lt;'EDT Y TAREAS'!AL28),'EDT Y TAREAS'!AJ28/'EDT Y TAREAS'!M28,0),IF(AND(220&gt;='EDT Y TAREAS'!AK33,220&lt;'EDT Y TAREAS'!AL33),'EDT Y TAREAS'!AJ33/'EDT Y TAREAS'!M33,0),IF(AND(220&gt;='EDT Y TAREAS'!AK35,220&lt;'EDT Y TAREAS'!AL35),'EDT Y TAREAS'!AJ35/'EDT Y TAREAS'!M35,0),IF(AND(220&gt;='EDT Y TAREAS'!AK36,220&lt;'EDT Y TAREAS'!AL36),'EDT Y TAREAS'!AJ36/'EDT Y TAREAS'!M36,0),IF(AND(220&gt;='EDT Y TAREAS'!AK37,220&lt;'EDT Y TAREAS'!AL37),'EDT Y TAREAS'!AJ37/'EDT Y TAREAS'!M37,0),IF(AND(220&gt;='EDT Y TAREAS'!AK40,220&lt;'EDT Y TAREAS'!AL40),'EDT Y TAREAS'!AJ40/'EDT Y TAREAS'!M40,0),IF(AND(220&gt;='EDT Y TAREAS'!AK42,220&lt;'EDT Y TAREAS'!AL42),'EDT Y TAREAS'!AJ42/'EDT Y TAREAS'!M42,0),IF(AND(220&gt;='EDT Y TAREAS'!AK49,220&lt;'EDT Y TAREAS'!AL49),'EDT Y TAREAS'!AJ49/'EDT Y TAREAS'!M49,0),IF(AND(220&gt;='EDT Y TAREAS'!AK50,220&lt;'EDT Y TAREAS'!AL50),'EDT Y TAREAS'!AJ50/'EDT Y TAREAS'!M50,0),IF(AND(220&gt;='EDT Y TAREAS'!AK51,220&lt;'EDT Y TAREAS'!AL51),'EDT Y TAREAS'!AJ51/'EDT Y TAREAS'!M51,0),IF(AND(220&gt;='EDT Y TAREAS'!AK52,220&lt;'EDT Y TAREAS'!AL52),'EDT Y TAREAS'!AJ52/'EDT Y TAREAS'!M52,0))</x:f>
        <x:v>0</x:v>
      </x:c>
      <x:c r="I260" s="10" t="n">
        <x:f>WORKDAY('RESUMEN'!$D$3-1,A260,'RESUMEN'!$J$6:$J$25)</x:f>
        <x:v>46636</x:v>
      </x:c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/>
      <x:c r="AG260" s="3"/>
      <x:c r="AH260" s="3"/>
      <x:c r="AI260" s="3"/>
      <x:c r="AJ260" s="3"/>
      <x:c r="AK260" s="3"/>
      <x:c r="AL260" s="3"/>
      <x:c r="AM260" s="3"/>
      <x:c r="AN260" s="3"/>
      <x:c r="AO260" s="3"/>
    </x:row>
    <x:row r="261" ht="24" customHeight="1">
      <x:c r="A261" s="3" t="n">
        <x:v>222</x:v>
      </x:c>
      <x:c r="B261" s="35" t="n">
        <x:f>SUM(IF(AND(221&gt;='EDT Y TAREAS'!AK6,221&lt;'EDT Y TAREAS'!AL6),'EDT Y TAREAS'!AD6/'EDT Y TAREAS'!M6,0),IF(AND(221&gt;='EDT Y TAREAS'!AK7,221&lt;'EDT Y TAREAS'!AL7),'EDT Y TAREAS'!AD7/'EDT Y TAREAS'!M7,0),IF(AND(221&gt;='EDT Y TAREAS'!AK8,221&lt;'EDT Y TAREAS'!AL8),'EDT Y TAREAS'!AD8/'EDT Y TAREAS'!M8,0),IF(AND(221&gt;='EDT Y TAREAS'!AK9,221&lt;'EDT Y TAREAS'!AL9),'EDT Y TAREAS'!AD9/'EDT Y TAREAS'!M9,0),IF(AND(221&gt;='EDT Y TAREAS'!AK10,221&lt;'EDT Y TAREAS'!AL10),'EDT Y TAREAS'!AD10/'EDT Y TAREAS'!M10,0),IF(AND(221&gt;='EDT Y TAREAS'!AK11,221&lt;'EDT Y TAREAS'!AL11),'EDT Y TAREAS'!AD11/'EDT Y TAREAS'!M11,0),IF(AND(221&gt;='EDT Y TAREAS'!AK12,221&lt;'EDT Y TAREAS'!AL12),'EDT Y TAREAS'!AD12/'EDT Y TAREAS'!M12,0),IF(AND(221&gt;='EDT Y TAREAS'!AK13,221&lt;'EDT Y TAREAS'!AL13),'EDT Y TAREAS'!AD13/'EDT Y TAREAS'!M13,0),IF(AND(221&gt;='EDT Y TAREAS'!AK14,221&lt;'EDT Y TAREAS'!AL14),'EDT Y TAREAS'!AD14/'EDT Y TAREAS'!M14,0),IF(AND(221&gt;='EDT Y TAREAS'!AK15,221&lt;'EDT Y TAREAS'!AL15),'EDT Y TAREAS'!AD15/'EDT Y TAREAS'!M15,0),IF(AND(221&gt;='EDT Y TAREAS'!AK16,221&lt;'EDT Y TAREAS'!AL16),'EDT Y TAREAS'!AD16/'EDT Y TAREAS'!M16,0),IF(AND(221&gt;='EDT Y TAREAS'!AK17,221&lt;'EDT Y TAREAS'!AL17),'EDT Y TAREAS'!AD17/'EDT Y TAREAS'!M17,0),IF(AND(221&gt;='EDT Y TAREAS'!AK18,221&lt;'EDT Y TAREAS'!AL18),'EDT Y TAREAS'!AD18/'EDT Y TAREAS'!M18,0),IF(AND(221&gt;='EDT Y TAREAS'!AK19,221&lt;'EDT Y TAREAS'!AL19),'EDT Y TAREAS'!AD19/'EDT Y TAREAS'!M19,0),IF(AND(221&gt;='EDT Y TAREAS'!AK20,221&lt;'EDT Y TAREAS'!AL20),'EDT Y TAREAS'!AD20/'EDT Y TAREAS'!M20,0),IF(AND(221&gt;='EDT Y TAREAS'!AK21,221&lt;'EDT Y TAREAS'!AL21),'EDT Y TAREAS'!AD21/'EDT Y TAREAS'!M21,0),IF(AND(221&gt;='EDT Y TAREAS'!AK22,221&lt;'EDT Y TAREAS'!AL22),'EDT Y TAREAS'!AD22/'EDT Y TAREAS'!M22,0),IF(AND(221&gt;='EDT Y TAREAS'!AK23,221&lt;'EDT Y TAREAS'!AL23),'EDT Y TAREAS'!AD23/'EDT Y TAREAS'!M23,0),IF(AND(221&gt;='EDT Y TAREAS'!AK26,221&lt;'EDT Y TAREAS'!AL26),'EDT Y TAREAS'!AD26/'EDT Y TAREAS'!M26,0),IF(AND(221&gt;='EDT Y TAREAS'!AK28,221&lt;'EDT Y TAREAS'!AL28),'EDT Y TAREAS'!AD28/'EDT Y TAREAS'!M28,0),IF(AND(221&gt;='EDT Y TAREAS'!AK30,221&lt;'EDT Y TAREAS'!AL30),'EDT Y TAREAS'!AD30/'EDT Y TAREAS'!M30,0),IF(AND(221&gt;='EDT Y TAREAS'!AK32,221&lt;'EDT Y TAREAS'!AL32),'EDT Y TAREAS'!AD32/'EDT Y TAREAS'!M32,0),IF(AND(221&gt;='EDT Y TAREAS'!AK34,221&lt;'EDT Y TAREAS'!AL34),'EDT Y TAREAS'!AD34/'EDT Y TAREAS'!M34,0),IF(AND(221&gt;='EDT Y TAREAS'!AK38,221&lt;'EDT Y TAREAS'!AL38),'EDT Y TAREAS'!AD38/'EDT Y TAREAS'!M38,0),IF(AND(221&gt;='EDT Y TAREAS'!AK39,221&lt;'EDT Y TAREAS'!AL39),'EDT Y TAREAS'!AD39/'EDT Y TAREAS'!M39,0),IF(AND(221&gt;='EDT Y TAREAS'!AK43,221&lt;'EDT Y TAREAS'!AL43),'EDT Y TAREAS'!AD43/'EDT Y TAREAS'!M43,0),IF(AND(221&gt;='EDT Y TAREAS'!AK44,221&lt;'EDT Y TAREAS'!AL44),'EDT Y TAREAS'!AD44/'EDT Y TAREAS'!M44,0),IF(AND(221&gt;='EDT Y TAREAS'!AK45,221&lt;'EDT Y TAREAS'!AL45),'EDT Y TAREAS'!AD45/'EDT Y TAREAS'!M45,0),IF(AND(221&gt;='EDT Y TAREAS'!AK46,221&lt;'EDT Y TAREAS'!AL46),'EDT Y TAREAS'!AD46/'EDT Y TAREAS'!M46,0),IF(AND(221&gt;='EDT Y TAREAS'!AK47,221&lt;'EDT Y TAREAS'!AL47),'EDT Y TAREAS'!AD47/'EDT Y TAREAS'!M47,0),IF(AND(221&gt;='EDT Y TAREAS'!AK49,221&lt;'EDT Y TAREAS'!AL49),'EDT Y TAREAS'!AD49/'EDT Y TAREAS'!M49,0),IF(AND(221&gt;='EDT Y TAREAS'!AK50,221&lt;'EDT Y TAREAS'!AL50),'EDT Y TAREAS'!AD50/'EDT Y TAREAS'!M50,0),IF(AND(221&gt;='EDT Y TAREAS'!AK51,221&lt;'EDT Y TAREAS'!AL51),'EDT Y TAREAS'!AD51/'EDT Y TAREAS'!M51,0),IF(AND(221&gt;='EDT Y TAREAS'!AK52,221&lt;'EDT Y TAREAS'!AL52),'EDT Y TAREAS'!AD52/'EDT Y TAREAS'!M52,0))</x:f>
        <x:v>0</x:v>
      </x:c>
      <x:c r="C261" s="35" t="n">
        <x:f>SUM(IF(AND(221&gt;='EDT Y TAREAS'!AK6,221&lt;'EDT Y TAREAS'!AL6),'EDT Y TAREAS'!AE6/'EDT Y TAREAS'!M6,0),IF(AND(221&gt;='EDT Y TAREAS'!AK8,221&lt;'EDT Y TAREAS'!AL8),'EDT Y TAREAS'!AE8/'EDT Y TAREAS'!M8,0),IF(AND(221&gt;='EDT Y TAREAS'!AK9,221&lt;'EDT Y TAREAS'!AL9),'EDT Y TAREAS'!AE9/'EDT Y TAREAS'!M9,0),IF(AND(221&gt;='EDT Y TAREAS'!AK10,221&lt;'EDT Y TAREAS'!AL10),'EDT Y TAREAS'!AE10/'EDT Y TAREAS'!M10,0),IF(AND(221&gt;='EDT Y TAREAS'!AK12,221&lt;'EDT Y TAREAS'!AL12),'EDT Y TAREAS'!AE12/'EDT Y TAREAS'!M12,0),IF(AND(221&gt;='EDT Y TAREAS'!AK16,221&lt;'EDT Y TAREAS'!AL16),'EDT Y TAREAS'!AE16/'EDT Y TAREAS'!M16,0),IF(AND(221&gt;='EDT Y TAREAS'!AK21,221&lt;'EDT Y TAREAS'!AL21),'EDT Y TAREAS'!AE21/'EDT Y TAREAS'!M21,0),IF(AND(221&gt;='EDT Y TAREAS'!AK23,221&lt;'EDT Y TAREAS'!AL23),'EDT Y TAREAS'!AE23/'EDT Y TAREAS'!M23,0),IF(AND(221&gt;='EDT Y TAREAS'!AK37,221&lt;'EDT Y TAREAS'!AL37),'EDT Y TAREAS'!AE37/'EDT Y TAREAS'!M37,0),IF(AND(221&gt;='EDT Y TAREAS'!AK38,221&lt;'EDT Y TAREAS'!AL38),'EDT Y TAREAS'!AE38/'EDT Y TAREAS'!M38,0),IF(AND(221&gt;='EDT Y TAREAS'!AK41,221&lt;'EDT Y TAREAS'!AL41),'EDT Y TAREAS'!AE41/'EDT Y TAREAS'!M41,0),IF(AND(221&gt;='EDT Y TAREAS'!AK43,221&lt;'EDT Y TAREAS'!AL43),'EDT Y TAREAS'!AE43/'EDT Y TAREAS'!M43,0),IF(AND(221&gt;='EDT Y TAREAS'!AK44,221&lt;'EDT Y TAREAS'!AL44),'EDT Y TAREAS'!AE44/'EDT Y TAREAS'!M44,0),IF(AND(221&gt;='EDT Y TAREAS'!AK46,221&lt;'EDT Y TAREAS'!AL46),'EDT Y TAREAS'!AE46/'EDT Y TAREAS'!M46,0),IF(AND(221&gt;='EDT Y TAREAS'!AK47,221&lt;'EDT Y TAREAS'!AL47),'EDT Y TAREAS'!AE47/'EDT Y TAREAS'!M47,0),IF(AND(221&gt;='EDT Y TAREAS'!AK51,221&lt;'EDT Y TAREAS'!AL51),'EDT Y TAREAS'!AE51/'EDT Y TAREAS'!M51,0),IF(AND(221&gt;='EDT Y TAREAS'!AK52,221&lt;'EDT Y TAREAS'!AL52),'EDT Y TAREAS'!AE52/'EDT Y TAREAS'!M52,0))</x:f>
        <x:v>0</x:v>
      </x:c>
      <x:c r="D261" s="35" t="n">
        <x:f>SUM(IF(AND(221&gt;='EDT Y TAREAS'!AK11,221&lt;'EDT Y TAREAS'!AL11),'EDT Y TAREAS'!AF11/'EDT Y TAREAS'!M11,0),IF(AND(221&gt;='EDT Y TAREAS'!AK24,221&lt;'EDT Y TAREAS'!AL24),'EDT Y TAREAS'!AF24/'EDT Y TAREAS'!M24,0),IF(AND(221&gt;='EDT Y TAREAS'!AK25,221&lt;'EDT Y TAREAS'!AL25),'EDT Y TAREAS'!AF25/'EDT Y TAREAS'!M25,0),IF(AND(221&gt;='EDT Y TAREAS'!AK26,221&lt;'EDT Y TAREAS'!AL26),'EDT Y TAREAS'!AF26/'EDT Y TAREAS'!M26,0),IF(AND(221&gt;='EDT Y TAREAS'!AK27,221&lt;'EDT Y TAREAS'!AL27),'EDT Y TAREAS'!AF27/'EDT Y TAREAS'!M27,0),IF(AND(221&gt;='EDT Y TAREAS'!AK28,221&lt;'EDT Y TAREAS'!AL28),'EDT Y TAREAS'!AF28/'EDT Y TAREAS'!M28,0),IF(AND(221&gt;='EDT Y TAREAS'!AK31,221&lt;'EDT Y TAREAS'!AL31),'EDT Y TAREAS'!AF31/'EDT Y TAREAS'!M31,0),IF(AND(221&gt;='EDT Y TAREAS'!AK33,221&lt;'EDT Y TAREAS'!AL33),'EDT Y TAREAS'!AF33/'EDT Y TAREAS'!M33,0),IF(AND(221&gt;='EDT Y TAREAS'!AK34,221&lt;'EDT Y TAREAS'!AL34),'EDT Y TAREAS'!AF34/'EDT Y TAREAS'!M34,0),IF(AND(221&gt;='EDT Y TAREAS'!AK35,221&lt;'EDT Y TAREAS'!AL35),'EDT Y TAREAS'!AF35/'EDT Y TAREAS'!M35,0),IF(AND(221&gt;='EDT Y TAREAS'!AK37,221&lt;'EDT Y TAREAS'!AL37),'EDT Y TAREAS'!AF37/'EDT Y TAREAS'!M37,0),IF(AND(221&gt;='EDT Y TAREAS'!AK39,221&lt;'EDT Y TAREAS'!AL39),'EDT Y TAREAS'!AF39/'EDT Y TAREAS'!M39,0),IF(AND(221&gt;='EDT Y TAREAS'!AK40,221&lt;'EDT Y TAREAS'!AL40),'EDT Y TAREAS'!AF40/'EDT Y TAREAS'!M40,0),IF(AND(221&gt;='EDT Y TAREAS'!AK42,221&lt;'EDT Y TAREAS'!AL42),'EDT Y TAREAS'!AF42/'EDT Y TAREAS'!M42,0),IF(AND(221&gt;='EDT Y TAREAS'!AK45,221&lt;'EDT Y TAREAS'!AL45),'EDT Y TAREAS'!AF45/'EDT Y TAREAS'!M45,0),IF(AND(221&gt;='EDT Y TAREAS'!AK49,221&lt;'EDT Y TAREAS'!AL49),'EDT Y TAREAS'!AF49/'EDT Y TAREAS'!M49,0),IF(AND(221&gt;='EDT Y TAREAS'!AK52,221&lt;'EDT Y TAREAS'!AL52),'EDT Y TAREAS'!AF52/'EDT Y TAREAS'!M52,0))</x:f>
        <x:v>0</x:v>
      </x:c>
      <x:c r="E261" s="35" t="n">
        <x:f>SUM(IF(AND(221&gt;='EDT Y TAREAS'!AK29,221&lt;'EDT Y TAREAS'!AL29),'EDT Y TAREAS'!AG29/'EDT Y TAREAS'!M29,0),IF(AND(221&gt;='EDT Y TAREAS'!AK30,221&lt;'EDT Y TAREAS'!AL30),'EDT Y TAREAS'!AG30/'EDT Y TAREAS'!M30,0),IF(AND(221&gt;='EDT Y TAREAS'!AK31,221&lt;'EDT Y TAREAS'!AL31),'EDT Y TAREAS'!AG31/'EDT Y TAREAS'!M31,0),IF(AND(221&gt;='EDT Y TAREAS'!AK32,221&lt;'EDT Y TAREAS'!AL32),'EDT Y TAREAS'!AG32/'EDT Y TAREAS'!M32,0),IF(AND(221&gt;='EDT Y TAREAS'!AK41,221&lt;'EDT Y TAREAS'!AL41),'EDT Y TAREAS'!AG41/'EDT Y TAREAS'!M41,0),IF(AND(221&gt;='EDT Y TAREAS'!AK45,221&lt;'EDT Y TAREAS'!AL45),'EDT Y TAREAS'!AG45/'EDT Y TAREAS'!M45,0),IF(AND(221&gt;='EDT Y TAREAS'!AK48,221&lt;'EDT Y TAREAS'!AL48),'EDT Y TAREAS'!AG48/'EDT Y TAREAS'!M48,0))</x:f>
        <x:v>0</x:v>
      </x:c>
      <x:c r="F261" s="35" t="n">
        <x:f>SUM(IF(AND(221&gt;='EDT Y TAREAS'!AK10,221&lt;'EDT Y TAREAS'!AL10),'EDT Y TAREAS'!AH10/'EDT Y TAREAS'!M10,0),IF(AND(221&gt;='EDT Y TAREAS'!AK12,221&lt;'EDT Y TAREAS'!AL12),'EDT Y TAREAS'!AH12/'EDT Y TAREAS'!M12,0),IF(AND(221&gt;='EDT Y TAREAS'!AK22,221&lt;'EDT Y TAREAS'!AL22),'EDT Y TAREAS'!AH22/'EDT Y TAREAS'!M22,0),IF(AND(221&gt;='EDT Y TAREAS'!AK23,221&lt;'EDT Y TAREAS'!AL23),'EDT Y TAREAS'!AH23/'EDT Y TAREAS'!M23,0),IF(AND(221&gt;='EDT Y TAREAS'!AK29,221&lt;'EDT Y TAREAS'!AL29),'EDT Y TAREAS'!AH29/'EDT Y TAREAS'!M29,0),IF(AND(221&gt;='EDT Y TAREAS'!AK30,221&lt;'EDT Y TAREAS'!AL30),'EDT Y TAREAS'!AH30/'EDT Y TAREAS'!M30,0),IF(AND(221&gt;='EDT Y TAREAS'!AK32,221&lt;'EDT Y TAREAS'!AL32),'EDT Y TAREAS'!AH32/'EDT Y TAREAS'!M32,0),IF(AND(221&gt;='EDT Y TAREAS'!AK41,221&lt;'EDT Y TAREAS'!AL41),'EDT Y TAREAS'!AH41/'EDT Y TAREAS'!M41,0),IF(AND(221&gt;='EDT Y TAREAS'!AK44,221&lt;'EDT Y TAREAS'!AL44),'EDT Y TAREAS'!AH44/'EDT Y TAREAS'!M44,0),IF(AND(221&gt;='EDT Y TAREAS'!AK46,221&lt;'EDT Y TAREAS'!AL46),'EDT Y TAREAS'!AH46/'EDT Y TAREAS'!M46,0),IF(AND(221&gt;='EDT Y TAREAS'!AK48,221&lt;'EDT Y TAREAS'!AL48),'EDT Y TAREAS'!AH48/'EDT Y TAREAS'!M48,0))</x:f>
        <x:v>0</x:v>
      </x:c>
      <x:c r="G261" s="35" t="n">
        <x:f>SUM(IF(AND(221&gt;='EDT Y TAREAS'!AK20,221&lt;'EDT Y TAREAS'!AL20),'EDT Y TAREAS'!AI20/'EDT Y TAREAS'!M20,0),IF(AND(221&gt;='EDT Y TAREAS'!AK25,221&lt;'EDT Y TAREAS'!AL25),'EDT Y TAREAS'!AI25/'EDT Y TAREAS'!M25,0),IF(AND(221&gt;='EDT Y TAREAS'!AK33,221&lt;'EDT Y TAREAS'!AL33),'EDT Y TAREAS'!AI33/'EDT Y TAREAS'!M33,0),IF(AND(221&gt;='EDT Y TAREAS'!AK34,221&lt;'EDT Y TAREAS'!AL34),'EDT Y TAREAS'!AI34/'EDT Y TAREAS'!M34,0),IF(AND(221&gt;='EDT Y TAREAS'!AK36,221&lt;'EDT Y TAREAS'!AL36),'EDT Y TAREAS'!AI36/'EDT Y TAREAS'!M36,0),IF(AND(221&gt;='EDT Y TAREAS'!AK39,221&lt;'EDT Y TAREAS'!AL39),'EDT Y TAREAS'!AI39/'EDT Y TAREAS'!M39,0),IF(AND(221&gt;='EDT Y TAREAS'!AK40,221&lt;'EDT Y TAREAS'!AL40),'EDT Y TAREAS'!AI40/'EDT Y TAREAS'!M40,0),IF(AND(221&gt;='EDT Y TAREAS'!AK42,221&lt;'EDT Y TAREAS'!AL42),'EDT Y TAREAS'!AI42/'EDT Y TAREAS'!M42,0),IF(AND(221&gt;='EDT Y TAREAS'!AK43,221&lt;'EDT Y TAREAS'!AL43),'EDT Y TAREAS'!AI43/'EDT Y TAREAS'!M43,0),IF(AND(221&gt;='EDT Y TAREAS'!AK44,221&lt;'EDT Y TAREAS'!AL44),'EDT Y TAREAS'!AI44/'EDT Y TAREAS'!M44,0),IF(AND(221&gt;='EDT Y TAREAS'!AK45,221&lt;'EDT Y TAREAS'!AL45),'EDT Y TAREAS'!AI45/'EDT Y TAREAS'!M45,0),IF(AND(221&gt;='EDT Y TAREAS'!AK46,221&lt;'EDT Y TAREAS'!AL46),'EDT Y TAREAS'!AI46/'EDT Y TAREAS'!M46,0),IF(AND(221&gt;='EDT Y TAREAS'!AK48,221&lt;'EDT Y TAREAS'!AL48),'EDT Y TAREAS'!AI48/'EDT Y TAREAS'!M48,0),IF(AND(221&gt;='EDT Y TAREAS'!AK50,221&lt;'EDT Y TAREAS'!AL50),'EDT Y TAREAS'!AI50/'EDT Y TAREAS'!M50,0),IF(AND(221&gt;='EDT Y TAREAS'!AK52,221&lt;'EDT Y TAREAS'!AL52),'EDT Y TAREAS'!AI52/'EDT Y TAREAS'!M52,0))</x:f>
        <x:v>0</x:v>
      </x:c>
      <x:c r="H261" s="35" t="n">
        <x:f>SUM(IF(AND(221&gt;='EDT Y TAREAS'!AK11,221&lt;'EDT Y TAREAS'!AL11),'EDT Y TAREAS'!AJ11/'EDT Y TAREAS'!M11,0),IF(AND(221&gt;='EDT Y TAREAS'!AK24,221&lt;'EDT Y TAREAS'!AL24),'EDT Y TAREAS'!AJ24/'EDT Y TAREAS'!M24,0),IF(AND(221&gt;='EDT Y TAREAS'!AK27,221&lt;'EDT Y TAREAS'!AL27),'EDT Y TAREAS'!AJ27/'EDT Y TAREAS'!M27,0),IF(AND(221&gt;='EDT Y TAREAS'!AK28,221&lt;'EDT Y TAREAS'!AL28),'EDT Y TAREAS'!AJ28/'EDT Y TAREAS'!M28,0),IF(AND(221&gt;='EDT Y TAREAS'!AK33,221&lt;'EDT Y TAREAS'!AL33),'EDT Y TAREAS'!AJ33/'EDT Y TAREAS'!M33,0),IF(AND(221&gt;='EDT Y TAREAS'!AK35,221&lt;'EDT Y TAREAS'!AL35),'EDT Y TAREAS'!AJ35/'EDT Y TAREAS'!M35,0),IF(AND(221&gt;='EDT Y TAREAS'!AK36,221&lt;'EDT Y TAREAS'!AL36),'EDT Y TAREAS'!AJ36/'EDT Y TAREAS'!M36,0),IF(AND(221&gt;='EDT Y TAREAS'!AK37,221&lt;'EDT Y TAREAS'!AL37),'EDT Y TAREAS'!AJ37/'EDT Y TAREAS'!M37,0),IF(AND(221&gt;='EDT Y TAREAS'!AK40,221&lt;'EDT Y TAREAS'!AL40),'EDT Y TAREAS'!AJ40/'EDT Y TAREAS'!M40,0),IF(AND(221&gt;='EDT Y TAREAS'!AK42,221&lt;'EDT Y TAREAS'!AL42),'EDT Y TAREAS'!AJ42/'EDT Y TAREAS'!M42,0),IF(AND(221&gt;='EDT Y TAREAS'!AK49,221&lt;'EDT Y TAREAS'!AL49),'EDT Y TAREAS'!AJ49/'EDT Y TAREAS'!M49,0),IF(AND(221&gt;='EDT Y TAREAS'!AK50,221&lt;'EDT Y TAREAS'!AL50),'EDT Y TAREAS'!AJ50/'EDT Y TAREAS'!M50,0),IF(AND(221&gt;='EDT Y TAREAS'!AK51,221&lt;'EDT Y TAREAS'!AL51),'EDT Y TAREAS'!AJ51/'EDT Y TAREAS'!M51,0),IF(AND(221&gt;='EDT Y TAREAS'!AK52,221&lt;'EDT Y TAREAS'!AL52),'EDT Y TAREAS'!AJ52/'EDT Y TAREAS'!M52,0))</x:f>
        <x:v>0</x:v>
      </x:c>
      <x:c r="I261" s="10" t="n">
        <x:f>WORKDAY('RESUMEN'!$D$3-1,A261,'RESUMEN'!$J$6:$J$25)</x:f>
        <x:v>46637</x:v>
      </x:c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  <x:c r="AA261" s="3"/>
      <x:c r="AB261" s="3"/>
      <x:c r="AC261" s="3"/>
      <x:c r="AD261" s="3"/>
      <x:c r="AE261" s="3"/>
      <x:c r="AF261" s="3"/>
      <x:c r="AG261" s="3"/>
      <x:c r="AH261" s="3"/>
      <x:c r="AI261" s="3"/>
      <x:c r="AJ261" s="3"/>
      <x:c r="AK261" s="3"/>
      <x:c r="AL261" s="3"/>
      <x:c r="AM261" s="3"/>
      <x:c r="AN261" s="3"/>
      <x:c r="AO261" s="3"/>
    </x:row>
    <x:row r="262" ht="24" customHeight="1">
      <x:c r="A262" s="3" t="n">
        <x:v>223</x:v>
      </x:c>
      <x:c r="B262" s="35" t="n">
        <x:f>SUM(IF(AND(222&gt;='EDT Y TAREAS'!AK6,222&lt;'EDT Y TAREAS'!AL6),'EDT Y TAREAS'!AD6/'EDT Y TAREAS'!M6,0),IF(AND(222&gt;='EDT Y TAREAS'!AK7,222&lt;'EDT Y TAREAS'!AL7),'EDT Y TAREAS'!AD7/'EDT Y TAREAS'!M7,0),IF(AND(222&gt;='EDT Y TAREAS'!AK8,222&lt;'EDT Y TAREAS'!AL8),'EDT Y TAREAS'!AD8/'EDT Y TAREAS'!M8,0),IF(AND(222&gt;='EDT Y TAREAS'!AK9,222&lt;'EDT Y TAREAS'!AL9),'EDT Y TAREAS'!AD9/'EDT Y TAREAS'!M9,0),IF(AND(222&gt;='EDT Y TAREAS'!AK10,222&lt;'EDT Y TAREAS'!AL10),'EDT Y TAREAS'!AD10/'EDT Y TAREAS'!M10,0),IF(AND(222&gt;='EDT Y TAREAS'!AK11,222&lt;'EDT Y TAREAS'!AL11),'EDT Y TAREAS'!AD11/'EDT Y TAREAS'!M11,0),IF(AND(222&gt;='EDT Y TAREAS'!AK12,222&lt;'EDT Y TAREAS'!AL12),'EDT Y TAREAS'!AD12/'EDT Y TAREAS'!M12,0),IF(AND(222&gt;='EDT Y TAREAS'!AK13,222&lt;'EDT Y TAREAS'!AL13),'EDT Y TAREAS'!AD13/'EDT Y TAREAS'!M13,0),IF(AND(222&gt;='EDT Y TAREAS'!AK14,222&lt;'EDT Y TAREAS'!AL14),'EDT Y TAREAS'!AD14/'EDT Y TAREAS'!M14,0),IF(AND(222&gt;='EDT Y TAREAS'!AK15,222&lt;'EDT Y TAREAS'!AL15),'EDT Y TAREAS'!AD15/'EDT Y TAREAS'!M15,0),IF(AND(222&gt;='EDT Y TAREAS'!AK16,222&lt;'EDT Y TAREAS'!AL16),'EDT Y TAREAS'!AD16/'EDT Y TAREAS'!M16,0),IF(AND(222&gt;='EDT Y TAREAS'!AK17,222&lt;'EDT Y TAREAS'!AL17),'EDT Y TAREAS'!AD17/'EDT Y TAREAS'!M17,0),IF(AND(222&gt;='EDT Y TAREAS'!AK18,222&lt;'EDT Y TAREAS'!AL18),'EDT Y TAREAS'!AD18/'EDT Y TAREAS'!M18,0),IF(AND(222&gt;='EDT Y TAREAS'!AK19,222&lt;'EDT Y TAREAS'!AL19),'EDT Y TAREAS'!AD19/'EDT Y TAREAS'!M19,0),IF(AND(222&gt;='EDT Y TAREAS'!AK20,222&lt;'EDT Y TAREAS'!AL20),'EDT Y TAREAS'!AD20/'EDT Y TAREAS'!M20,0),IF(AND(222&gt;='EDT Y TAREAS'!AK21,222&lt;'EDT Y TAREAS'!AL21),'EDT Y TAREAS'!AD21/'EDT Y TAREAS'!M21,0),IF(AND(222&gt;='EDT Y TAREAS'!AK22,222&lt;'EDT Y TAREAS'!AL22),'EDT Y TAREAS'!AD22/'EDT Y TAREAS'!M22,0),IF(AND(222&gt;='EDT Y TAREAS'!AK23,222&lt;'EDT Y TAREAS'!AL23),'EDT Y TAREAS'!AD23/'EDT Y TAREAS'!M23,0),IF(AND(222&gt;='EDT Y TAREAS'!AK26,222&lt;'EDT Y TAREAS'!AL26),'EDT Y TAREAS'!AD26/'EDT Y TAREAS'!M26,0),IF(AND(222&gt;='EDT Y TAREAS'!AK28,222&lt;'EDT Y TAREAS'!AL28),'EDT Y TAREAS'!AD28/'EDT Y TAREAS'!M28,0),IF(AND(222&gt;='EDT Y TAREAS'!AK30,222&lt;'EDT Y TAREAS'!AL30),'EDT Y TAREAS'!AD30/'EDT Y TAREAS'!M30,0),IF(AND(222&gt;='EDT Y TAREAS'!AK32,222&lt;'EDT Y TAREAS'!AL32),'EDT Y TAREAS'!AD32/'EDT Y TAREAS'!M32,0),IF(AND(222&gt;='EDT Y TAREAS'!AK34,222&lt;'EDT Y TAREAS'!AL34),'EDT Y TAREAS'!AD34/'EDT Y TAREAS'!M34,0),IF(AND(222&gt;='EDT Y TAREAS'!AK38,222&lt;'EDT Y TAREAS'!AL38),'EDT Y TAREAS'!AD38/'EDT Y TAREAS'!M38,0),IF(AND(222&gt;='EDT Y TAREAS'!AK39,222&lt;'EDT Y TAREAS'!AL39),'EDT Y TAREAS'!AD39/'EDT Y TAREAS'!M39,0),IF(AND(222&gt;='EDT Y TAREAS'!AK43,222&lt;'EDT Y TAREAS'!AL43),'EDT Y TAREAS'!AD43/'EDT Y TAREAS'!M43,0),IF(AND(222&gt;='EDT Y TAREAS'!AK44,222&lt;'EDT Y TAREAS'!AL44),'EDT Y TAREAS'!AD44/'EDT Y TAREAS'!M44,0),IF(AND(222&gt;='EDT Y TAREAS'!AK45,222&lt;'EDT Y TAREAS'!AL45),'EDT Y TAREAS'!AD45/'EDT Y TAREAS'!M45,0),IF(AND(222&gt;='EDT Y TAREAS'!AK46,222&lt;'EDT Y TAREAS'!AL46),'EDT Y TAREAS'!AD46/'EDT Y TAREAS'!M46,0),IF(AND(222&gt;='EDT Y TAREAS'!AK47,222&lt;'EDT Y TAREAS'!AL47),'EDT Y TAREAS'!AD47/'EDT Y TAREAS'!M47,0),IF(AND(222&gt;='EDT Y TAREAS'!AK49,222&lt;'EDT Y TAREAS'!AL49),'EDT Y TAREAS'!AD49/'EDT Y TAREAS'!M49,0),IF(AND(222&gt;='EDT Y TAREAS'!AK50,222&lt;'EDT Y TAREAS'!AL50),'EDT Y TAREAS'!AD50/'EDT Y TAREAS'!M50,0),IF(AND(222&gt;='EDT Y TAREAS'!AK51,222&lt;'EDT Y TAREAS'!AL51),'EDT Y TAREAS'!AD51/'EDT Y TAREAS'!M51,0),IF(AND(222&gt;='EDT Y TAREAS'!AK52,222&lt;'EDT Y TAREAS'!AL52),'EDT Y TAREAS'!AD52/'EDT Y TAREAS'!M52,0))</x:f>
        <x:v>0</x:v>
      </x:c>
      <x:c r="C262" s="35" t="n">
        <x:f>SUM(IF(AND(222&gt;='EDT Y TAREAS'!AK6,222&lt;'EDT Y TAREAS'!AL6),'EDT Y TAREAS'!AE6/'EDT Y TAREAS'!M6,0),IF(AND(222&gt;='EDT Y TAREAS'!AK8,222&lt;'EDT Y TAREAS'!AL8),'EDT Y TAREAS'!AE8/'EDT Y TAREAS'!M8,0),IF(AND(222&gt;='EDT Y TAREAS'!AK9,222&lt;'EDT Y TAREAS'!AL9),'EDT Y TAREAS'!AE9/'EDT Y TAREAS'!M9,0),IF(AND(222&gt;='EDT Y TAREAS'!AK10,222&lt;'EDT Y TAREAS'!AL10),'EDT Y TAREAS'!AE10/'EDT Y TAREAS'!M10,0),IF(AND(222&gt;='EDT Y TAREAS'!AK12,222&lt;'EDT Y TAREAS'!AL12),'EDT Y TAREAS'!AE12/'EDT Y TAREAS'!M12,0),IF(AND(222&gt;='EDT Y TAREAS'!AK16,222&lt;'EDT Y TAREAS'!AL16),'EDT Y TAREAS'!AE16/'EDT Y TAREAS'!M16,0),IF(AND(222&gt;='EDT Y TAREAS'!AK21,222&lt;'EDT Y TAREAS'!AL21),'EDT Y TAREAS'!AE21/'EDT Y TAREAS'!M21,0),IF(AND(222&gt;='EDT Y TAREAS'!AK23,222&lt;'EDT Y TAREAS'!AL23),'EDT Y TAREAS'!AE23/'EDT Y TAREAS'!M23,0),IF(AND(222&gt;='EDT Y TAREAS'!AK37,222&lt;'EDT Y TAREAS'!AL37),'EDT Y TAREAS'!AE37/'EDT Y TAREAS'!M37,0),IF(AND(222&gt;='EDT Y TAREAS'!AK38,222&lt;'EDT Y TAREAS'!AL38),'EDT Y TAREAS'!AE38/'EDT Y TAREAS'!M38,0),IF(AND(222&gt;='EDT Y TAREAS'!AK41,222&lt;'EDT Y TAREAS'!AL41),'EDT Y TAREAS'!AE41/'EDT Y TAREAS'!M41,0),IF(AND(222&gt;='EDT Y TAREAS'!AK43,222&lt;'EDT Y TAREAS'!AL43),'EDT Y TAREAS'!AE43/'EDT Y TAREAS'!M43,0),IF(AND(222&gt;='EDT Y TAREAS'!AK44,222&lt;'EDT Y TAREAS'!AL44),'EDT Y TAREAS'!AE44/'EDT Y TAREAS'!M44,0),IF(AND(222&gt;='EDT Y TAREAS'!AK46,222&lt;'EDT Y TAREAS'!AL46),'EDT Y TAREAS'!AE46/'EDT Y TAREAS'!M46,0),IF(AND(222&gt;='EDT Y TAREAS'!AK47,222&lt;'EDT Y TAREAS'!AL47),'EDT Y TAREAS'!AE47/'EDT Y TAREAS'!M47,0),IF(AND(222&gt;='EDT Y TAREAS'!AK51,222&lt;'EDT Y TAREAS'!AL51),'EDT Y TAREAS'!AE51/'EDT Y TAREAS'!M51,0),IF(AND(222&gt;='EDT Y TAREAS'!AK52,222&lt;'EDT Y TAREAS'!AL52),'EDT Y TAREAS'!AE52/'EDT Y TAREAS'!M52,0))</x:f>
        <x:v>0</x:v>
      </x:c>
      <x:c r="D262" s="35" t="n">
        <x:f>SUM(IF(AND(222&gt;='EDT Y TAREAS'!AK11,222&lt;'EDT Y TAREAS'!AL11),'EDT Y TAREAS'!AF11/'EDT Y TAREAS'!M11,0),IF(AND(222&gt;='EDT Y TAREAS'!AK24,222&lt;'EDT Y TAREAS'!AL24),'EDT Y TAREAS'!AF24/'EDT Y TAREAS'!M24,0),IF(AND(222&gt;='EDT Y TAREAS'!AK25,222&lt;'EDT Y TAREAS'!AL25),'EDT Y TAREAS'!AF25/'EDT Y TAREAS'!M25,0),IF(AND(222&gt;='EDT Y TAREAS'!AK26,222&lt;'EDT Y TAREAS'!AL26),'EDT Y TAREAS'!AF26/'EDT Y TAREAS'!M26,0),IF(AND(222&gt;='EDT Y TAREAS'!AK27,222&lt;'EDT Y TAREAS'!AL27),'EDT Y TAREAS'!AF27/'EDT Y TAREAS'!M27,0),IF(AND(222&gt;='EDT Y TAREAS'!AK28,222&lt;'EDT Y TAREAS'!AL28),'EDT Y TAREAS'!AF28/'EDT Y TAREAS'!M28,0),IF(AND(222&gt;='EDT Y TAREAS'!AK31,222&lt;'EDT Y TAREAS'!AL31),'EDT Y TAREAS'!AF31/'EDT Y TAREAS'!M31,0),IF(AND(222&gt;='EDT Y TAREAS'!AK33,222&lt;'EDT Y TAREAS'!AL33),'EDT Y TAREAS'!AF33/'EDT Y TAREAS'!M33,0),IF(AND(222&gt;='EDT Y TAREAS'!AK34,222&lt;'EDT Y TAREAS'!AL34),'EDT Y TAREAS'!AF34/'EDT Y TAREAS'!M34,0),IF(AND(222&gt;='EDT Y TAREAS'!AK35,222&lt;'EDT Y TAREAS'!AL35),'EDT Y TAREAS'!AF35/'EDT Y TAREAS'!M35,0),IF(AND(222&gt;='EDT Y TAREAS'!AK37,222&lt;'EDT Y TAREAS'!AL37),'EDT Y TAREAS'!AF37/'EDT Y TAREAS'!M37,0),IF(AND(222&gt;='EDT Y TAREAS'!AK39,222&lt;'EDT Y TAREAS'!AL39),'EDT Y TAREAS'!AF39/'EDT Y TAREAS'!M39,0),IF(AND(222&gt;='EDT Y TAREAS'!AK40,222&lt;'EDT Y TAREAS'!AL40),'EDT Y TAREAS'!AF40/'EDT Y TAREAS'!M40,0),IF(AND(222&gt;='EDT Y TAREAS'!AK42,222&lt;'EDT Y TAREAS'!AL42),'EDT Y TAREAS'!AF42/'EDT Y TAREAS'!M42,0),IF(AND(222&gt;='EDT Y TAREAS'!AK45,222&lt;'EDT Y TAREAS'!AL45),'EDT Y TAREAS'!AF45/'EDT Y TAREAS'!M45,0),IF(AND(222&gt;='EDT Y TAREAS'!AK49,222&lt;'EDT Y TAREAS'!AL49),'EDT Y TAREAS'!AF49/'EDT Y TAREAS'!M49,0),IF(AND(222&gt;='EDT Y TAREAS'!AK52,222&lt;'EDT Y TAREAS'!AL52),'EDT Y TAREAS'!AF52/'EDT Y TAREAS'!M52,0))</x:f>
        <x:v>0</x:v>
      </x:c>
      <x:c r="E262" s="35" t="n">
        <x:f>SUM(IF(AND(222&gt;='EDT Y TAREAS'!AK29,222&lt;'EDT Y TAREAS'!AL29),'EDT Y TAREAS'!AG29/'EDT Y TAREAS'!M29,0),IF(AND(222&gt;='EDT Y TAREAS'!AK30,222&lt;'EDT Y TAREAS'!AL30),'EDT Y TAREAS'!AG30/'EDT Y TAREAS'!M30,0),IF(AND(222&gt;='EDT Y TAREAS'!AK31,222&lt;'EDT Y TAREAS'!AL31),'EDT Y TAREAS'!AG31/'EDT Y TAREAS'!M31,0),IF(AND(222&gt;='EDT Y TAREAS'!AK32,222&lt;'EDT Y TAREAS'!AL32),'EDT Y TAREAS'!AG32/'EDT Y TAREAS'!M32,0),IF(AND(222&gt;='EDT Y TAREAS'!AK41,222&lt;'EDT Y TAREAS'!AL41),'EDT Y TAREAS'!AG41/'EDT Y TAREAS'!M41,0),IF(AND(222&gt;='EDT Y TAREAS'!AK45,222&lt;'EDT Y TAREAS'!AL45),'EDT Y TAREAS'!AG45/'EDT Y TAREAS'!M45,0),IF(AND(222&gt;='EDT Y TAREAS'!AK48,222&lt;'EDT Y TAREAS'!AL48),'EDT Y TAREAS'!AG48/'EDT Y TAREAS'!M48,0))</x:f>
        <x:v>0</x:v>
      </x:c>
      <x:c r="F262" s="35" t="n">
        <x:f>SUM(IF(AND(222&gt;='EDT Y TAREAS'!AK10,222&lt;'EDT Y TAREAS'!AL10),'EDT Y TAREAS'!AH10/'EDT Y TAREAS'!M10,0),IF(AND(222&gt;='EDT Y TAREAS'!AK12,222&lt;'EDT Y TAREAS'!AL12),'EDT Y TAREAS'!AH12/'EDT Y TAREAS'!M12,0),IF(AND(222&gt;='EDT Y TAREAS'!AK22,222&lt;'EDT Y TAREAS'!AL22),'EDT Y TAREAS'!AH22/'EDT Y TAREAS'!M22,0),IF(AND(222&gt;='EDT Y TAREAS'!AK23,222&lt;'EDT Y TAREAS'!AL23),'EDT Y TAREAS'!AH23/'EDT Y TAREAS'!M23,0),IF(AND(222&gt;='EDT Y TAREAS'!AK29,222&lt;'EDT Y TAREAS'!AL29),'EDT Y TAREAS'!AH29/'EDT Y TAREAS'!M29,0),IF(AND(222&gt;='EDT Y TAREAS'!AK30,222&lt;'EDT Y TAREAS'!AL30),'EDT Y TAREAS'!AH30/'EDT Y TAREAS'!M30,0),IF(AND(222&gt;='EDT Y TAREAS'!AK32,222&lt;'EDT Y TAREAS'!AL32),'EDT Y TAREAS'!AH32/'EDT Y TAREAS'!M32,0),IF(AND(222&gt;='EDT Y TAREAS'!AK41,222&lt;'EDT Y TAREAS'!AL41),'EDT Y TAREAS'!AH41/'EDT Y TAREAS'!M41,0),IF(AND(222&gt;='EDT Y TAREAS'!AK44,222&lt;'EDT Y TAREAS'!AL44),'EDT Y TAREAS'!AH44/'EDT Y TAREAS'!M44,0),IF(AND(222&gt;='EDT Y TAREAS'!AK46,222&lt;'EDT Y TAREAS'!AL46),'EDT Y TAREAS'!AH46/'EDT Y TAREAS'!M46,0),IF(AND(222&gt;='EDT Y TAREAS'!AK48,222&lt;'EDT Y TAREAS'!AL48),'EDT Y TAREAS'!AH48/'EDT Y TAREAS'!M48,0))</x:f>
        <x:v>0</x:v>
      </x:c>
      <x:c r="G262" s="35" t="n">
        <x:f>SUM(IF(AND(222&gt;='EDT Y TAREAS'!AK20,222&lt;'EDT Y TAREAS'!AL20),'EDT Y TAREAS'!AI20/'EDT Y TAREAS'!M20,0),IF(AND(222&gt;='EDT Y TAREAS'!AK25,222&lt;'EDT Y TAREAS'!AL25),'EDT Y TAREAS'!AI25/'EDT Y TAREAS'!M25,0),IF(AND(222&gt;='EDT Y TAREAS'!AK33,222&lt;'EDT Y TAREAS'!AL33),'EDT Y TAREAS'!AI33/'EDT Y TAREAS'!M33,0),IF(AND(222&gt;='EDT Y TAREAS'!AK34,222&lt;'EDT Y TAREAS'!AL34),'EDT Y TAREAS'!AI34/'EDT Y TAREAS'!M34,0),IF(AND(222&gt;='EDT Y TAREAS'!AK36,222&lt;'EDT Y TAREAS'!AL36),'EDT Y TAREAS'!AI36/'EDT Y TAREAS'!M36,0),IF(AND(222&gt;='EDT Y TAREAS'!AK39,222&lt;'EDT Y TAREAS'!AL39),'EDT Y TAREAS'!AI39/'EDT Y TAREAS'!M39,0),IF(AND(222&gt;='EDT Y TAREAS'!AK40,222&lt;'EDT Y TAREAS'!AL40),'EDT Y TAREAS'!AI40/'EDT Y TAREAS'!M40,0),IF(AND(222&gt;='EDT Y TAREAS'!AK42,222&lt;'EDT Y TAREAS'!AL42),'EDT Y TAREAS'!AI42/'EDT Y TAREAS'!M42,0),IF(AND(222&gt;='EDT Y TAREAS'!AK43,222&lt;'EDT Y TAREAS'!AL43),'EDT Y TAREAS'!AI43/'EDT Y TAREAS'!M43,0),IF(AND(222&gt;='EDT Y TAREAS'!AK44,222&lt;'EDT Y TAREAS'!AL44),'EDT Y TAREAS'!AI44/'EDT Y TAREAS'!M44,0),IF(AND(222&gt;='EDT Y TAREAS'!AK45,222&lt;'EDT Y TAREAS'!AL45),'EDT Y TAREAS'!AI45/'EDT Y TAREAS'!M45,0),IF(AND(222&gt;='EDT Y TAREAS'!AK46,222&lt;'EDT Y TAREAS'!AL46),'EDT Y TAREAS'!AI46/'EDT Y TAREAS'!M46,0),IF(AND(222&gt;='EDT Y TAREAS'!AK48,222&lt;'EDT Y TAREAS'!AL48),'EDT Y TAREAS'!AI48/'EDT Y TAREAS'!M48,0),IF(AND(222&gt;='EDT Y TAREAS'!AK50,222&lt;'EDT Y TAREAS'!AL50),'EDT Y TAREAS'!AI50/'EDT Y TAREAS'!M50,0),IF(AND(222&gt;='EDT Y TAREAS'!AK52,222&lt;'EDT Y TAREAS'!AL52),'EDT Y TAREAS'!AI52/'EDT Y TAREAS'!M52,0))</x:f>
        <x:v>0</x:v>
      </x:c>
      <x:c r="H262" s="35" t="n">
        <x:f>SUM(IF(AND(222&gt;='EDT Y TAREAS'!AK11,222&lt;'EDT Y TAREAS'!AL11),'EDT Y TAREAS'!AJ11/'EDT Y TAREAS'!M11,0),IF(AND(222&gt;='EDT Y TAREAS'!AK24,222&lt;'EDT Y TAREAS'!AL24),'EDT Y TAREAS'!AJ24/'EDT Y TAREAS'!M24,0),IF(AND(222&gt;='EDT Y TAREAS'!AK27,222&lt;'EDT Y TAREAS'!AL27),'EDT Y TAREAS'!AJ27/'EDT Y TAREAS'!M27,0),IF(AND(222&gt;='EDT Y TAREAS'!AK28,222&lt;'EDT Y TAREAS'!AL28),'EDT Y TAREAS'!AJ28/'EDT Y TAREAS'!M28,0),IF(AND(222&gt;='EDT Y TAREAS'!AK33,222&lt;'EDT Y TAREAS'!AL33),'EDT Y TAREAS'!AJ33/'EDT Y TAREAS'!M33,0),IF(AND(222&gt;='EDT Y TAREAS'!AK35,222&lt;'EDT Y TAREAS'!AL35),'EDT Y TAREAS'!AJ35/'EDT Y TAREAS'!M35,0),IF(AND(222&gt;='EDT Y TAREAS'!AK36,222&lt;'EDT Y TAREAS'!AL36),'EDT Y TAREAS'!AJ36/'EDT Y TAREAS'!M36,0),IF(AND(222&gt;='EDT Y TAREAS'!AK37,222&lt;'EDT Y TAREAS'!AL37),'EDT Y TAREAS'!AJ37/'EDT Y TAREAS'!M37,0),IF(AND(222&gt;='EDT Y TAREAS'!AK40,222&lt;'EDT Y TAREAS'!AL40),'EDT Y TAREAS'!AJ40/'EDT Y TAREAS'!M40,0),IF(AND(222&gt;='EDT Y TAREAS'!AK42,222&lt;'EDT Y TAREAS'!AL42),'EDT Y TAREAS'!AJ42/'EDT Y TAREAS'!M42,0),IF(AND(222&gt;='EDT Y TAREAS'!AK49,222&lt;'EDT Y TAREAS'!AL49),'EDT Y TAREAS'!AJ49/'EDT Y TAREAS'!M49,0),IF(AND(222&gt;='EDT Y TAREAS'!AK50,222&lt;'EDT Y TAREAS'!AL50),'EDT Y TAREAS'!AJ50/'EDT Y TAREAS'!M50,0),IF(AND(222&gt;='EDT Y TAREAS'!AK51,222&lt;'EDT Y TAREAS'!AL51),'EDT Y TAREAS'!AJ51/'EDT Y TAREAS'!M51,0),IF(AND(222&gt;='EDT Y TAREAS'!AK52,222&lt;'EDT Y TAREAS'!AL52),'EDT Y TAREAS'!AJ52/'EDT Y TAREAS'!M52,0))</x:f>
        <x:v>0</x:v>
      </x:c>
      <x:c r="I262" s="10" t="n">
        <x:f>WORKDAY('RESUMEN'!$D$3-1,A262,'RESUMEN'!$J$6:$J$25)</x:f>
        <x:v>46638</x:v>
      </x:c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  <x:c r="AA262" s="3"/>
      <x:c r="AB262" s="3"/>
      <x:c r="AC262" s="3"/>
      <x:c r="AD262" s="3"/>
      <x:c r="AE262" s="3"/>
      <x:c r="AF262" s="3"/>
      <x:c r="AG262" s="3"/>
      <x:c r="AH262" s="3"/>
      <x:c r="AI262" s="3"/>
      <x:c r="AJ262" s="3"/>
      <x:c r="AK262" s="3"/>
      <x:c r="AL262" s="3"/>
      <x:c r="AM262" s="3"/>
      <x:c r="AN262" s="3"/>
      <x:c r="AO262" s="3"/>
    </x:row>
    <x:row r="263" ht="24" customHeight="1">
      <x:c r="A263" s="3" t="n">
        <x:v>224</x:v>
      </x:c>
      <x:c r="B263" s="35" t="n">
        <x:f>SUM(IF(AND(223&gt;='EDT Y TAREAS'!AK6,223&lt;'EDT Y TAREAS'!AL6),'EDT Y TAREAS'!AD6/'EDT Y TAREAS'!M6,0),IF(AND(223&gt;='EDT Y TAREAS'!AK7,223&lt;'EDT Y TAREAS'!AL7),'EDT Y TAREAS'!AD7/'EDT Y TAREAS'!M7,0),IF(AND(223&gt;='EDT Y TAREAS'!AK8,223&lt;'EDT Y TAREAS'!AL8),'EDT Y TAREAS'!AD8/'EDT Y TAREAS'!M8,0),IF(AND(223&gt;='EDT Y TAREAS'!AK9,223&lt;'EDT Y TAREAS'!AL9),'EDT Y TAREAS'!AD9/'EDT Y TAREAS'!M9,0),IF(AND(223&gt;='EDT Y TAREAS'!AK10,223&lt;'EDT Y TAREAS'!AL10),'EDT Y TAREAS'!AD10/'EDT Y TAREAS'!M10,0),IF(AND(223&gt;='EDT Y TAREAS'!AK11,223&lt;'EDT Y TAREAS'!AL11),'EDT Y TAREAS'!AD11/'EDT Y TAREAS'!M11,0),IF(AND(223&gt;='EDT Y TAREAS'!AK12,223&lt;'EDT Y TAREAS'!AL12),'EDT Y TAREAS'!AD12/'EDT Y TAREAS'!M12,0),IF(AND(223&gt;='EDT Y TAREAS'!AK13,223&lt;'EDT Y TAREAS'!AL13),'EDT Y TAREAS'!AD13/'EDT Y TAREAS'!M13,0),IF(AND(223&gt;='EDT Y TAREAS'!AK14,223&lt;'EDT Y TAREAS'!AL14),'EDT Y TAREAS'!AD14/'EDT Y TAREAS'!M14,0),IF(AND(223&gt;='EDT Y TAREAS'!AK15,223&lt;'EDT Y TAREAS'!AL15),'EDT Y TAREAS'!AD15/'EDT Y TAREAS'!M15,0),IF(AND(223&gt;='EDT Y TAREAS'!AK16,223&lt;'EDT Y TAREAS'!AL16),'EDT Y TAREAS'!AD16/'EDT Y TAREAS'!M16,0),IF(AND(223&gt;='EDT Y TAREAS'!AK17,223&lt;'EDT Y TAREAS'!AL17),'EDT Y TAREAS'!AD17/'EDT Y TAREAS'!M17,0),IF(AND(223&gt;='EDT Y TAREAS'!AK18,223&lt;'EDT Y TAREAS'!AL18),'EDT Y TAREAS'!AD18/'EDT Y TAREAS'!M18,0),IF(AND(223&gt;='EDT Y TAREAS'!AK19,223&lt;'EDT Y TAREAS'!AL19),'EDT Y TAREAS'!AD19/'EDT Y TAREAS'!M19,0),IF(AND(223&gt;='EDT Y TAREAS'!AK20,223&lt;'EDT Y TAREAS'!AL20),'EDT Y TAREAS'!AD20/'EDT Y TAREAS'!M20,0),IF(AND(223&gt;='EDT Y TAREAS'!AK21,223&lt;'EDT Y TAREAS'!AL21),'EDT Y TAREAS'!AD21/'EDT Y TAREAS'!M21,0),IF(AND(223&gt;='EDT Y TAREAS'!AK22,223&lt;'EDT Y TAREAS'!AL22),'EDT Y TAREAS'!AD22/'EDT Y TAREAS'!M22,0),IF(AND(223&gt;='EDT Y TAREAS'!AK23,223&lt;'EDT Y TAREAS'!AL23),'EDT Y TAREAS'!AD23/'EDT Y TAREAS'!M23,0),IF(AND(223&gt;='EDT Y TAREAS'!AK26,223&lt;'EDT Y TAREAS'!AL26),'EDT Y TAREAS'!AD26/'EDT Y TAREAS'!M26,0),IF(AND(223&gt;='EDT Y TAREAS'!AK28,223&lt;'EDT Y TAREAS'!AL28),'EDT Y TAREAS'!AD28/'EDT Y TAREAS'!M28,0),IF(AND(223&gt;='EDT Y TAREAS'!AK30,223&lt;'EDT Y TAREAS'!AL30),'EDT Y TAREAS'!AD30/'EDT Y TAREAS'!M30,0),IF(AND(223&gt;='EDT Y TAREAS'!AK32,223&lt;'EDT Y TAREAS'!AL32),'EDT Y TAREAS'!AD32/'EDT Y TAREAS'!M32,0),IF(AND(223&gt;='EDT Y TAREAS'!AK34,223&lt;'EDT Y TAREAS'!AL34),'EDT Y TAREAS'!AD34/'EDT Y TAREAS'!M34,0),IF(AND(223&gt;='EDT Y TAREAS'!AK38,223&lt;'EDT Y TAREAS'!AL38),'EDT Y TAREAS'!AD38/'EDT Y TAREAS'!M38,0),IF(AND(223&gt;='EDT Y TAREAS'!AK39,223&lt;'EDT Y TAREAS'!AL39),'EDT Y TAREAS'!AD39/'EDT Y TAREAS'!M39,0),IF(AND(223&gt;='EDT Y TAREAS'!AK43,223&lt;'EDT Y TAREAS'!AL43),'EDT Y TAREAS'!AD43/'EDT Y TAREAS'!M43,0),IF(AND(223&gt;='EDT Y TAREAS'!AK44,223&lt;'EDT Y TAREAS'!AL44),'EDT Y TAREAS'!AD44/'EDT Y TAREAS'!M44,0),IF(AND(223&gt;='EDT Y TAREAS'!AK45,223&lt;'EDT Y TAREAS'!AL45),'EDT Y TAREAS'!AD45/'EDT Y TAREAS'!M45,0),IF(AND(223&gt;='EDT Y TAREAS'!AK46,223&lt;'EDT Y TAREAS'!AL46),'EDT Y TAREAS'!AD46/'EDT Y TAREAS'!M46,0),IF(AND(223&gt;='EDT Y TAREAS'!AK47,223&lt;'EDT Y TAREAS'!AL47),'EDT Y TAREAS'!AD47/'EDT Y TAREAS'!M47,0),IF(AND(223&gt;='EDT Y TAREAS'!AK49,223&lt;'EDT Y TAREAS'!AL49),'EDT Y TAREAS'!AD49/'EDT Y TAREAS'!M49,0),IF(AND(223&gt;='EDT Y TAREAS'!AK50,223&lt;'EDT Y TAREAS'!AL50),'EDT Y TAREAS'!AD50/'EDT Y TAREAS'!M50,0),IF(AND(223&gt;='EDT Y TAREAS'!AK51,223&lt;'EDT Y TAREAS'!AL51),'EDT Y TAREAS'!AD51/'EDT Y TAREAS'!M51,0),IF(AND(223&gt;='EDT Y TAREAS'!AK52,223&lt;'EDT Y TAREAS'!AL52),'EDT Y TAREAS'!AD52/'EDT Y TAREAS'!M52,0))</x:f>
        <x:v>0</x:v>
      </x:c>
      <x:c r="C263" s="35" t="n">
        <x:f>SUM(IF(AND(223&gt;='EDT Y TAREAS'!AK6,223&lt;'EDT Y TAREAS'!AL6),'EDT Y TAREAS'!AE6/'EDT Y TAREAS'!M6,0),IF(AND(223&gt;='EDT Y TAREAS'!AK8,223&lt;'EDT Y TAREAS'!AL8),'EDT Y TAREAS'!AE8/'EDT Y TAREAS'!M8,0),IF(AND(223&gt;='EDT Y TAREAS'!AK9,223&lt;'EDT Y TAREAS'!AL9),'EDT Y TAREAS'!AE9/'EDT Y TAREAS'!M9,0),IF(AND(223&gt;='EDT Y TAREAS'!AK10,223&lt;'EDT Y TAREAS'!AL10),'EDT Y TAREAS'!AE10/'EDT Y TAREAS'!M10,0),IF(AND(223&gt;='EDT Y TAREAS'!AK12,223&lt;'EDT Y TAREAS'!AL12),'EDT Y TAREAS'!AE12/'EDT Y TAREAS'!M12,0),IF(AND(223&gt;='EDT Y TAREAS'!AK16,223&lt;'EDT Y TAREAS'!AL16),'EDT Y TAREAS'!AE16/'EDT Y TAREAS'!M16,0),IF(AND(223&gt;='EDT Y TAREAS'!AK21,223&lt;'EDT Y TAREAS'!AL21),'EDT Y TAREAS'!AE21/'EDT Y TAREAS'!M21,0),IF(AND(223&gt;='EDT Y TAREAS'!AK23,223&lt;'EDT Y TAREAS'!AL23),'EDT Y TAREAS'!AE23/'EDT Y TAREAS'!M23,0),IF(AND(223&gt;='EDT Y TAREAS'!AK37,223&lt;'EDT Y TAREAS'!AL37),'EDT Y TAREAS'!AE37/'EDT Y TAREAS'!M37,0),IF(AND(223&gt;='EDT Y TAREAS'!AK38,223&lt;'EDT Y TAREAS'!AL38),'EDT Y TAREAS'!AE38/'EDT Y TAREAS'!M38,0),IF(AND(223&gt;='EDT Y TAREAS'!AK41,223&lt;'EDT Y TAREAS'!AL41),'EDT Y TAREAS'!AE41/'EDT Y TAREAS'!M41,0),IF(AND(223&gt;='EDT Y TAREAS'!AK43,223&lt;'EDT Y TAREAS'!AL43),'EDT Y TAREAS'!AE43/'EDT Y TAREAS'!M43,0),IF(AND(223&gt;='EDT Y TAREAS'!AK44,223&lt;'EDT Y TAREAS'!AL44),'EDT Y TAREAS'!AE44/'EDT Y TAREAS'!M44,0),IF(AND(223&gt;='EDT Y TAREAS'!AK46,223&lt;'EDT Y TAREAS'!AL46),'EDT Y TAREAS'!AE46/'EDT Y TAREAS'!M46,0),IF(AND(223&gt;='EDT Y TAREAS'!AK47,223&lt;'EDT Y TAREAS'!AL47),'EDT Y TAREAS'!AE47/'EDT Y TAREAS'!M47,0),IF(AND(223&gt;='EDT Y TAREAS'!AK51,223&lt;'EDT Y TAREAS'!AL51),'EDT Y TAREAS'!AE51/'EDT Y TAREAS'!M51,0),IF(AND(223&gt;='EDT Y TAREAS'!AK52,223&lt;'EDT Y TAREAS'!AL52),'EDT Y TAREAS'!AE52/'EDT Y TAREAS'!M52,0))</x:f>
        <x:v>0</x:v>
      </x:c>
      <x:c r="D263" s="35" t="n">
        <x:f>SUM(IF(AND(223&gt;='EDT Y TAREAS'!AK11,223&lt;'EDT Y TAREAS'!AL11),'EDT Y TAREAS'!AF11/'EDT Y TAREAS'!M11,0),IF(AND(223&gt;='EDT Y TAREAS'!AK24,223&lt;'EDT Y TAREAS'!AL24),'EDT Y TAREAS'!AF24/'EDT Y TAREAS'!M24,0),IF(AND(223&gt;='EDT Y TAREAS'!AK25,223&lt;'EDT Y TAREAS'!AL25),'EDT Y TAREAS'!AF25/'EDT Y TAREAS'!M25,0),IF(AND(223&gt;='EDT Y TAREAS'!AK26,223&lt;'EDT Y TAREAS'!AL26),'EDT Y TAREAS'!AF26/'EDT Y TAREAS'!M26,0),IF(AND(223&gt;='EDT Y TAREAS'!AK27,223&lt;'EDT Y TAREAS'!AL27),'EDT Y TAREAS'!AF27/'EDT Y TAREAS'!M27,0),IF(AND(223&gt;='EDT Y TAREAS'!AK28,223&lt;'EDT Y TAREAS'!AL28),'EDT Y TAREAS'!AF28/'EDT Y TAREAS'!M28,0),IF(AND(223&gt;='EDT Y TAREAS'!AK31,223&lt;'EDT Y TAREAS'!AL31),'EDT Y TAREAS'!AF31/'EDT Y TAREAS'!M31,0),IF(AND(223&gt;='EDT Y TAREAS'!AK33,223&lt;'EDT Y TAREAS'!AL33),'EDT Y TAREAS'!AF33/'EDT Y TAREAS'!M33,0),IF(AND(223&gt;='EDT Y TAREAS'!AK34,223&lt;'EDT Y TAREAS'!AL34),'EDT Y TAREAS'!AF34/'EDT Y TAREAS'!M34,0),IF(AND(223&gt;='EDT Y TAREAS'!AK35,223&lt;'EDT Y TAREAS'!AL35),'EDT Y TAREAS'!AF35/'EDT Y TAREAS'!M35,0),IF(AND(223&gt;='EDT Y TAREAS'!AK37,223&lt;'EDT Y TAREAS'!AL37),'EDT Y TAREAS'!AF37/'EDT Y TAREAS'!M37,0),IF(AND(223&gt;='EDT Y TAREAS'!AK39,223&lt;'EDT Y TAREAS'!AL39),'EDT Y TAREAS'!AF39/'EDT Y TAREAS'!M39,0),IF(AND(223&gt;='EDT Y TAREAS'!AK40,223&lt;'EDT Y TAREAS'!AL40),'EDT Y TAREAS'!AF40/'EDT Y TAREAS'!M40,0),IF(AND(223&gt;='EDT Y TAREAS'!AK42,223&lt;'EDT Y TAREAS'!AL42),'EDT Y TAREAS'!AF42/'EDT Y TAREAS'!M42,0),IF(AND(223&gt;='EDT Y TAREAS'!AK45,223&lt;'EDT Y TAREAS'!AL45),'EDT Y TAREAS'!AF45/'EDT Y TAREAS'!M45,0),IF(AND(223&gt;='EDT Y TAREAS'!AK49,223&lt;'EDT Y TAREAS'!AL49),'EDT Y TAREAS'!AF49/'EDT Y TAREAS'!M49,0),IF(AND(223&gt;='EDT Y TAREAS'!AK52,223&lt;'EDT Y TAREAS'!AL52),'EDT Y TAREAS'!AF52/'EDT Y TAREAS'!M52,0))</x:f>
        <x:v>0</x:v>
      </x:c>
      <x:c r="E263" s="35" t="n">
        <x:f>SUM(IF(AND(223&gt;='EDT Y TAREAS'!AK29,223&lt;'EDT Y TAREAS'!AL29),'EDT Y TAREAS'!AG29/'EDT Y TAREAS'!M29,0),IF(AND(223&gt;='EDT Y TAREAS'!AK30,223&lt;'EDT Y TAREAS'!AL30),'EDT Y TAREAS'!AG30/'EDT Y TAREAS'!M30,0),IF(AND(223&gt;='EDT Y TAREAS'!AK31,223&lt;'EDT Y TAREAS'!AL31),'EDT Y TAREAS'!AG31/'EDT Y TAREAS'!M31,0),IF(AND(223&gt;='EDT Y TAREAS'!AK32,223&lt;'EDT Y TAREAS'!AL32),'EDT Y TAREAS'!AG32/'EDT Y TAREAS'!M32,0),IF(AND(223&gt;='EDT Y TAREAS'!AK41,223&lt;'EDT Y TAREAS'!AL41),'EDT Y TAREAS'!AG41/'EDT Y TAREAS'!M41,0),IF(AND(223&gt;='EDT Y TAREAS'!AK45,223&lt;'EDT Y TAREAS'!AL45),'EDT Y TAREAS'!AG45/'EDT Y TAREAS'!M45,0),IF(AND(223&gt;='EDT Y TAREAS'!AK48,223&lt;'EDT Y TAREAS'!AL48),'EDT Y TAREAS'!AG48/'EDT Y TAREAS'!M48,0))</x:f>
        <x:v>0</x:v>
      </x:c>
      <x:c r="F263" s="35" t="n">
        <x:f>SUM(IF(AND(223&gt;='EDT Y TAREAS'!AK10,223&lt;'EDT Y TAREAS'!AL10),'EDT Y TAREAS'!AH10/'EDT Y TAREAS'!M10,0),IF(AND(223&gt;='EDT Y TAREAS'!AK12,223&lt;'EDT Y TAREAS'!AL12),'EDT Y TAREAS'!AH12/'EDT Y TAREAS'!M12,0),IF(AND(223&gt;='EDT Y TAREAS'!AK22,223&lt;'EDT Y TAREAS'!AL22),'EDT Y TAREAS'!AH22/'EDT Y TAREAS'!M22,0),IF(AND(223&gt;='EDT Y TAREAS'!AK23,223&lt;'EDT Y TAREAS'!AL23),'EDT Y TAREAS'!AH23/'EDT Y TAREAS'!M23,0),IF(AND(223&gt;='EDT Y TAREAS'!AK29,223&lt;'EDT Y TAREAS'!AL29),'EDT Y TAREAS'!AH29/'EDT Y TAREAS'!M29,0),IF(AND(223&gt;='EDT Y TAREAS'!AK30,223&lt;'EDT Y TAREAS'!AL30),'EDT Y TAREAS'!AH30/'EDT Y TAREAS'!M30,0),IF(AND(223&gt;='EDT Y TAREAS'!AK32,223&lt;'EDT Y TAREAS'!AL32),'EDT Y TAREAS'!AH32/'EDT Y TAREAS'!M32,0),IF(AND(223&gt;='EDT Y TAREAS'!AK41,223&lt;'EDT Y TAREAS'!AL41),'EDT Y TAREAS'!AH41/'EDT Y TAREAS'!M41,0),IF(AND(223&gt;='EDT Y TAREAS'!AK44,223&lt;'EDT Y TAREAS'!AL44),'EDT Y TAREAS'!AH44/'EDT Y TAREAS'!M44,0),IF(AND(223&gt;='EDT Y TAREAS'!AK46,223&lt;'EDT Y TAREAS'!AL46),'EDT Y TAREAS'!AH46/'EDT Y TAREAS'!M46,0),IF(AND(223&gt;='EDT Y TAREAS'!AK48,223&lt;'EDT Y TAREAS'!AL48),'EDT Y TAREAS'!AH48/'EDT Y TAREAS'!M48,0))</x:f>
        <x:v>0</x:v>
      </x:c>
      <x:c r="G263" s="35" t="n">
        <x:f>SUM(IF(AND(223&gt;='EDT Y TAREAS'!AK20,223&lt;'EDT Y TAREAS'!AL20),'EDT Y TAREAS'!AI20/'EDT Y TAREAS'!M20,0),IF(AND(223&gt;='EDT Y TAREAS'!AK25,223&lt;'EDT Y TAREAS'!AL25),'EDT Y TAREAS'!AI25/'EDT Y TAREAS'!M25,0),IF(AND(223&gt;='EDT Y TAREAS'!AK33,223&lt;'EDT Y TAREAS'!AL33),'EDT Y TAREAS'!AI33/'EDT Y TAREAS'!M33,0),IF(AND(223&gt;='EDT Y TAREAS'!AK34,223&lt;'EDT Y TAREAS'!AL34),'EDT Y TAREAS'!AI34/'EDT Y TAREAS'!M34,0),IF(AND(223&gt;='EDT Y TAREAS'!AK36,223&lt;'EDT Y TAREAS'!AL36),'EDT Y TAREAS'!AI36/'EDT Y TAREAS'!M36,0),IF(AND(223&gt;='EDT Y TAREAS'!AK39,223&lt;'EDT Y TAREAS'!AL39),'EDT Y TAREAS'!AI39/'EDT Y TAREAS'!M39,0),IF(AND(223&gt;='EDT Y TAREAS'!AK40,223&lt;'EDT Y TAREAS'!AL40),'EDT Y TAREAS'!AI40/'EDT Y TAREAS'!M40,0),IF(AND(223&gt;='EDT Y TAREAS'!AK42,223&lt;'EDT Y TAREAS'!AL42),'EDT Y TAREAS'!AI42/'EDT Y TAREAS'!M42,0),IF(AND(223&gt;='EDT Y TAREAS'!AK43,223&lt;'EDT Y TAREAS'!AL43),'EDT Y TAREAS'!AI43/'EDT Y TAREAS'!M43,0),IF(AND(223&gt;='EDT Y TAREAS'!AK44,223&lt;'EDT Y TAREAS'!AL44),'EDT Y TAREAS'!AI44/'EDT Y TAREAS'!M44,0),IF(AND(223&gt;='EDT Y TAREAS'!AK45,223&lt;'EDT Y TAREAS'!AL45),'EDT Y TAREAS'!AI45/'EDT Y TAREAS'!M45,0),IF(AND(223&gt;='EDT Y TAREAS'!AK46,223&lt;'EDT Y TAREAS'!AL46),'EDT Y TAREAS'!AI46/'EDT Y TAREAS'!M46,0),IF(AND(223&gt;='EDT Y TAREAS'!AK48,223&lt;'EDT Y TAREAS'!AL48),'EDT Y TAREAS'!AI48/'EDT Y TAREAS'!M48,0),IF(AND(223&gt;='EDT Y TAREAS'!AK50,223&lt;'EDT Y TAREAS'!AL50),'EDT Y TAREAS'!AI50/'EDT Y TAREAS'!M50,0),IF(AND(223&gt;='EDT Y TAREAS'!AK52,223&lt;'EDT Y TAREAS'!AL52),'EDT Y TAREAS'!AI52/'EDT Y TAREAS'!M52,0))</x:f>
        <x:v>0</x:v>
      </x:c>
      <x:c r="H263" s="35" t="n">
        <x:f>SUM(IF(AND(223&gt;='EDT Y TAREAS'!AK11,223&lt;'EDT Y TAREAS'!AL11),'EDT Y TAREAS'!AJ11/'EDT Y TAREAS'!M11,0),IF(AND(223&gt;='EDT Y TAREAS'!AK24,223&lt;'EDT Y TAREAS'!AL24),'EDT Y TAREAS'!AJ24/'EDT Y TAREAS'!M24,0),IF(AND(223&gt;='EDT Y TAREAS'!AK27,223&lt;'EDT Y TAREAS'!AL27),'EDT Y TAREAS'!AJ27/'EDT Y TAREAS'!M27,0),IF(AND(223&gt;='EDT Y TAREAS'!AK28,223&lt;'EDT Y TAREAS'!AL28),'EDT Y TAREAS'!AJ28/'EDT Y TAREAS'!M28,0),IF(AND(223&gt;='EDT Y TAREAS'!AK33,223&lt;'EDT Y TAREAS'!AL33),'EDT Y TAREAS'!AJ33/'EDT Y TAREAS'!M33,0),IF(AND(223&gt;='EDT Y TAREAS'!AK35,223&lt;'EDT Y TAREAS'!AL35),'EDT Y TAREAS'!AJ35/'EDT Y TAREAS'!M35,0),IF(AND(223&gt;='EDT Y TAREAS'!AK36,223&lt;'EDT Y TAREAS'!AL36),'EDT Y TAREAS'!AJ36/'EDT Y TAREAS'!M36,0),IF(AND(223&gt;='EDT Y TAREAS'!AK37,223&lt;'EDT Y TAREAS'!AL37),'EDT Y TAREAS'!AJ37/'EDT Y TAREAS'!M37,0),IF(AND(223&gt;='EDT Y TAREAS'!AK40,223&lt;'EDT Y TAREAS'!AL40),'EDT Y TAREAS'!AJ40/'EDT Y TAREAS'!M40,0),IF(AND(223&gt;='EDT Y TAREAS'!AK42,223&lt;'EDT Y TAREAS'!AL42),'EDT Y TAREAS'!AJ42/'EDT Y TAREAS'!M42,0),IF(AND(223&gt;='EDT Y TAREAS'!AK49,223&lt;'EDT Y TAREAS'!AL49),'EDT Y TAREAS'!AJ49/'EDT Y TAREAS'!M49,0),IF(AND(223&gt;='EDT Y TAREAS'!AK50,223&lt;'EDT Y TAREAS'!AL50),'EDT Y TAREAS'!AJ50/'EDT Y TAREAS'!M50,0),IF(AND(223&gt;='EDT Y TAREAS'!AK51,223&lt;'EDT Y TAREAS'!AL51),'EDT Y TAREAS'!AJ51/'EDT Y TAREAS'!M51,0),IF(AND(223&gt;='EDT Y TAREAS'!AK52,223&lt;'EDT Y TAREAS'!AL52),'EDT Y TAREAS'!AJ52/'EDT Y TAREAS'!M52,0))</x:f>
        <x:v>0</x:v>
      </x:c>
      <x:c r="I263" s="10" t="n">
        <x:f>WORKDAY('RESUMEN'!$D$3-1,A263,'RESUMEN'!$J$6:$J$25)</x:f>
        <x:v>46639</x:v>
      </x:c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  <x:c r="AA263" s="3"/>
      <x:c r="AB263" s="3"/>
      <x:c r="AC263" s="3"/>
      <x:c r="AD263" s="3"/>
      <x:c r="AE263" s="3"/>
      <x:c r="AF263" s="3"/>
      <x:c r="AG263" s="3"/>
      <x:c r="AH263" s="3"/>
      <x:c r="AI263" s="3"/>
      <x:c r="AJ263" s="3"/>
      <x:c r="AK263" s="3"/>
      <x:c r="AL263" s="3"/>
      <x:c r="AM263" s="3"/>
      <x:c r="AN263" s="3"/>
      <x:c r="AO263" s="3"/>
    </x:row>
    <x:row r="264" ht="24" customHeight="1">
      <x:c r="A264" s="3" t="n">
        <x:v>225</x:v>
      </x:c>
      <x:c r="B264" s="35" t="n">
        <x:f>SUM(IF(AND(224&gt;='EDT Y TAREAS'!AK6,224&lt;'EDT Y TAREAS'!AL6),'EDT Y TAREAS'!AD6/'EDT Y TAREAS'!M6,0),IF(AND(224&gt;='EDT Y TAREAS'!AK7,224&lt;'EDT Y TAREAS'!AL7),'EDT Y TAREAS'!AD7/'EDT Y TAREAS'!M7,0),IF(AND(224&gt;='EDT Y TAREAS'!AK8,224&lt;'EDT Y TAREAS'!AL8),'EDT Y TAREAS'!AD8/'EDT Y TAREAS'!M8,0),IF(AND(224&gt;='EDT Y TAREAS'!AK9,224&lt;'EDT Y TAREAS'!AL9),'EDT Y TAREAS'!AD9/'EDT Y TAREAS'!M9,0),IF(AND(224&gt;='EDT Y TAREAS'!AK10,224&lt;'EDT Y TAREAS'!AL10),'EDT Y TAREAS'!AD10/'EDT Y TAREAS'!M10,0),IF(AND(224&gt;='EDT Y TAREAS'!AK11,224&lt;'EDT Y TAREAS'!AL11),'EDT Y TAREAS'!AD11/'EDT Y TAREAS'!M11,0),IF(AND(224&gt;='EDT Y TAREAS'!AK12,224&lt;'EDT Y TAREAS'!AL12),'EDT Y TAREAS'!AD12/'EDT Y TAREAS'!M12,0),IF(AND(224&gt;='EDT Y TAREAS'!AK13,224&lt;'EDT Y TAREAS'!AL13),'EDT Y TAREAS'!AD13/'EDT Y TAREAS'!M13,0),IF(AND(224&gt;='EDT Y TAREAS'!AK14,224&lt;'EDT Y TAREAS'!AL14),'EDT Y TAREAS'!AD14/'EDT Y TAREAS'!M14,0),IF(AND(224&gt;='EDT Y TAREAS'!AK15,224&lt;'EDT Y TAREAS'!AL15),'EDT Y TAREAS'!AD15/'EDT Y TAREAS'!M15,0),IF(AND(224&gt;='EDT Y TAREAS'!AK16,224&lt;'EDT Y TAREAS'!AL16),'EDT Y TAREAS'!AD16/'EDT Y TAREAS'!M16,0),IF(AND(224&gt;='EDT Y TAREAS'!AK17,224&lt;'EDT Y TAREAS'!AL17),'EDT Y TAREAS'!AD17/'EDT Y TAREAS'!M17,0),IF(AND(224&gt;='EDT Y TAREAS'!AK18,224&lt;'EDT Y TAREAS'!AL18),'EDT Y TAREAS'!AD18/'EDT Y TAREAS'!M18,0),IF(AND(224&gt;='EDT Y TAREAS'!AK19,224&lt;'EDT Y TAREAS'!AL19),'EDT Y TAREAS'!AD19/'EDT Y TAREAS'!M19,0),IF(AND(224&gt;='EDT Y TAREAS'!AK20,224&lt;'EDT Y TAREAS'!AL20),'EDT Y TAREAS'!AD20/'EDT Y TAREAS'!M20,0),IF(AND(224&gt;='EDT Y TAREAS'!AK21,224&lt;'EDT Y TAREAS'!AL21),'EDT Y TAREAS'!AD21/'EDT Y TAREAS'!M21,0),IF(AND(224&gt;='EDT Y TAREAS'!AK22,224&lt;'EDT Y TAREAS'!AL22),'EDT Y TAREAS'!AD22/'EDT Y TAREAS'!M22,0),IF(AND(224&gt;='EDT Y TAREAS'!AK23,224&lt;'EDT Y TAREAS'!AL23),'EDT Y TAREAS'!AD23/'EDT Y TAREAS'!M23,0),IF(AND(224&gt;='EDT Y TAREAS'!AK26,224&lt;'EDT Y TAREAS'!AL26),'EDT Y TAREAS'!AD26/'EDT Y TAREAS'!M26,0),IF(AND(224&gt;='EDT Y TAREAS'!AK28,224&lt;'EDT Y TAREAS'!AL28),'EDT Y TAREAS'!AD28/'EDT Y TAREAS'!M28,0),IF(AND(224&gt;='EDT Y TAREAS'!AK30,224&lt;'EDT Y TAREAS'!AL30),'EDT Y TAREAS'!AD30/'EDT Y TAREAS'!M30,0),IF(AND(224&gt;='EDT Y TAREAS'!AK32,224&lt;'EDT Y TAREAS'!AL32),'EDT Y TAREAS'!AD32/'EDT Y TAREAS'!M32,0),IF(AND(224&gt;='EDT Y TAREAS'!AK34,224&lt;'EDT Y TAREAS'!AL34),'EDT Y TAREAS'!AD34/'EDT Y TAREAS'!M34,0),IF(AND(224&gt;='EDT Y TAREAS'!AK38,224&lt;'EDT Y TAREAS'!AL38),'EDT Y TAREAS'!AD38/'EDT Y TAREAS'!M38,0),IF(AND(224&gt;='EDT Y TAREAS'!AK39,224&lt;'EDT Y TAREAS'!AL39),'EDT Y TAREAS'!AD39/'EDT Y TAREAS'!M39,0),IF(AND(224&gt;='EDT Y TAREAS'!AK43,224&lt;'EDT Y TAREAS'!AL43),'EDT Y TAREAS'!AD43/'EDT Y TAREAS'!M43,0),IF(AND(224&gt;='EDT Y TAREAS'!AK44,224&lt;'EDT Y TAREAS'!AL44),'EDT Y TAREAS'!AD44/'EDT Y TAREAS'!M44,0),IF(AND(224&gt;='EDT Y TAREAS'!AK45,224&lt;'EDT Y TAREAS'!AL45),'EDT Y TAREAS'!AD45/'EDT Y TAREAS'!M45,0),IF(AND(224&gt;='EDT Y TAREAS'!AK46,224&lt;'EDT Y TAREAS'!AL46),'EDT Y TAREAS'!AD46/'EDT Y TAREAS'!M46,0),IF(AND(224&gt;='EDT Y TAREAS'!AK47,224&lt;'EDT Y TAREAS'!AL47),'EDT Y TAREAS'!AD47/'EDT Y TAREAS'!M47,0),IF(AND(224&gt;='EDT Y TAREAS'!AK49,224&lt;'EDT Y TAREAS'!AL49),'EDT Y TAREAS'!AD49/'EDT Y TAREAS'!M49,0),IF(AND(224&gt;='EDT Y TAREAS'!AK50,224&lt;'EDT Y TAREAS'!AL50),'EDT Y TAREAS'!AD50/'EDT Y TAREAS'!M50,0),IF(AND(224&gt;='EDT Y TAREAS'!AK51,224&lt;'EDT Y TAREAS'!AL51),'EDT Y TAREAS'!AD51/'EDT Y TAREAS'!M51,0),IF(AND(224&gt;='EDT Y TAREAS'!AK52,224&lt;'EDT Y TAREAS'!AL52),'EDT Y TAREAS'!AD52/'EDT Y TAREAS'!M52,0))</x:f>
        <x:v>0</x:v>
      </x:c>
      <x:c r="C264" s="35" t="n">
        <x:f>SUM(IF(AND(224&gt;='EDT Y TAREAS'!AK6,224&lt;'EDT Y TAREAS'!AL6),'EDT Y TAREAS'!AE6/'EDT Y TAREAS'!M6,0),IF(AND(224&gt;='EDT Y TAREAS'!AK8,224&lt;'EDT Y TAREAS'!AL8),'EDT Y TAREAS'!AE8/'EDT Y TAREAS'!M8,0),IF(AND(224&gt;='EDT Y TAREAS'!AK9,224&lt;'EDT Y TAREAS'!AL9),'EDT Y TAREAS'!AE9/'EDT Y TAREAS'!M9,0),IF(AND(224&gt;='EDT Y TAREAS'!AK10,224&lt;'EDT Y TAREAS'!AL10),'EDT Y TAREAS'!AE10/'EDT Y TAREAS'!M10,0),IF(AND(224&gt;='EDT Y TAREAS'!AK12,224&lt;'EDT Y TAREAS'!AL12),'EDT Y TAREAS'!AE12/'EDT Y TAREAS'!M12,0),IF(AND(224&gt;='EDT Y TAREAS'!AK16,224&lt;'EDT Y TAREAS'!AL16),'EDT Y TAREAS'!AE16/'EDT Y TAREAS'!M16,0),IF(AND(224&gt;='EDT Y TAREAS'!AK21,224&lt;'EDT Y TAREAS'!AL21),'EDT Y TAREAS'!AE21/'EDT Y TAREAS'!M21,0),IF(AND(224&gt;='EDT Y TAREAS'!AK23,224&lt;'EDT Y TAREAS'!AL23),'EDT Y TAREAS'!AE23/'EDT Y TAREAS'!M23,0),IF(AND(224&gt;='EDT Y TAREAS'!AK37,224&lt;'EDT Y TAREAS'!AL37),'EDT Y TAREAS'!AE37/'EDT Y TAREAS'!M37,0),IF(AND(224&gt;='EDT Y TAREAS'!AK38,224&lt;'EDT Y TAREAS'!AL38),'EDT Y TAREAS'!AE38/'EDT Y TAREAS'!M38,0),IF(AND(224&gt;='EDT Y TAREAS'!AK41,224&lt;'EDT Y TAREAS'!AL41),'EDT Y TAREAS'!AE41/'EDT Y TAREAS'!M41,0),IF(AND(224&gt;='EDT Y TAREAS'!AK43,224&lt;'EDT Y TAREAS'!AL43),'EDT Y TAREAS'!AE43/'EDT Y TAREAS'!M43,0),IF(AND(224&gt;='EDT Y TAREAS'!AK44,224&lt;'EDT Y TAREAS'!AL44),'EDT Y TAREAS'!AE44/'EDT Y TAREAS'!M44,0),IF(AND(224&gt;='EDT Y TAREAS'!AK46,224&lt;'EDT Y TAREAS'!AL46),'EDT Y TAREAS'!AE46/'EDT Y TAREAS'!M46,0),IF(AND(224&gt;='EDT Y TAREAS'!AK47,224&lt;'EDT Y TAREAS'!AL47),'EDT Y TAREAS'!AE47/'EDT Y TAREAS'!M47,0),IF(AND(224&gt;='EDT Y TAREAS'!AK51,224&lt;'EDT Y TAREAS'!AL51),'EDT Y TAREAS'!AE51/'EDT Y TAREAS'!M51,0),IF(AND(224&gt;='EDT Y TAREAS'!AK52,224&lt;'EDT Y TAREAS'!AL52),'EDT Y TAREAS'!AE52/'EDT Y TAREAS'!M52,0))</x:f>
        <x:v>0</x:v>
      </x:c>
      <x:c r="D264" s="35" t="n">
        <x:f>SUM(IF(AND(224&gt;='EDT Y TAREAS'!AK11,224&lt;'EDT Y TAREAS'!AL11),'EDT Y TAREAS'!AF11/'EDT Y TAREAS'!M11,0),IF(AND(224&gt;='EDT Y TAREAS'!AK24,224&lt;'EDT Y TAREAS'!AL24),'EDT Y TAREAS'!AF24/'EDT Y TAREAS'!M24,0),IF(AND(224&gt;='EDT Y TAREAS'!AK25,224&lt;'EDT Y TAREAS'!AL25),'EDT Y TAREAS'!AF25/'EDT Y TAREAS'!M25,0),IF(AND(224&gt;='EDT Y TAREAS'!AK26,224&lt;'EDT Y TAREAS'!AL26),'EDT Y TAREAS'!AF26/'EDT Y TAREAS'!M26,0),IF(AND(224&gt;='EDT Y TAREAS'!AK27,224&lt;'EDT Y TAREAS'!AL27),'EDT Y TAREAS'!AF27/'EDT Y TAREAS'!M27,0),IF(AND(224&gt;='EDT Y TAREAS'!AK28,224&lt;'EDT Y TAREAS'!AL28),'EDT Y TAREAS'!AF28/'EDT Y TAREAS'!M28,0),IF(AND(224&gt;='EDT Y TAREAS'!AK31,224&lt;'EDT Y TAREAS'!AL31),'EDT Y TAREAS'!AF31/'EDT Y TAREAS'!M31,0),IF(AND(224&gt;='EDT Y TAREAS'!AK33,224&lt;'EDT Y TAREAS'!AL33),'EDT Y TAREAS'!AF33/'EDT Y TAREAS'!M33,0),IF(AND(224&gt;='EDT Y TAREAS'!AK34,224&lt;'EDT Y TAREAS'!AL34),'EDT Y TAREAS'!AF34/'EDT Y TAREAS'!M34,0),IF(AND(224&gt;='EDT Y TAREAS'!AK35,224&lt;'EDT Y TAREAS'!AL35),'EDT Y TAREAS'!AF35/'EDT Y TAREAS'!M35,0),IF(AND(224&gt;='EDT Y TAREAS'!AK37,224&lt;'EDT Y TAREAS'!AL37),'EDT Y TAREAS'!AF37/'EDT Y TAREAS'!M37,0),IF(AND(224&gt;='EDT Y TAREAS'!AK39,224&lt;'EDT Y TAREAS'!AL39),'EDT Y TAREAS'!AF39/'EDT Y TAREAS'!M39,0),IF(AND(224&gt;='EDT Y TAREAS'!AK40,224&lt;'EDT Y TAREAS'!AL40),'EDT Y TAREAS'!AF40/'EDT Y TAREAS'!M40,0),IF(AND(224&gt;='EDT Y TAREAS'!AK42,224&lt;'EDT Y TAREAS'!AL42),'EDT Y TAREAS'!AF42/'EDT Y TAREAS'!M42,0),IF(AND(224&gt;='EDT Y TAREAS'!AK45,224&lt;'EDT Y TAREAS'!AL45),'EDT Y TAREAS'!AF45/'EDT Y TAREAS'!M45,0),IF(AND(224&gt;='EDT Y TAREAS'!AK49,224&lt;'EDT Y TAREAS'!AL49),'EDT Y TAREAS'!AF49/'EDT Y TAREAS'!M49,0),IF(AND(224&gt;='EDT Y TAREAS'!AK52,224&lt;'EDT Y TAREAS'!AL52),'EDT Y TAREAS'!AF52/'EDT Y TAREAS'!M52,0))</x:f>
        <x:v>0</x:v>
      </x:c>
      <x:c r="E264" s="35" t="n">
        <x:f>SUM(IF(AND(224&gt;='EDT Y TAREAS'!AK29,224&lt;'EDT Y TAREAS'!AL29),'EDT Y TAREAS'!AG29/'EDT Y TAREAS'!M29,0),IF(AND(224&gt;='EDT Y TAREAS'!AK30,224&lt;'EDT Y TAREAS'!AL30),'EDT Y TAREAS'!AG30/'EDT Y TAREAS'!M30,0),IF(AND(224&gt;='EDT Y TAREAS'!AK31,224&lt;'EDT Y TAREAS'!AL31),'EDT Y TAREAS'!AG31/'EDT Y TAREAS'!M31,0),IF(AND(224&gt;='EDT Y TAREAS'!AK32,224&lt;'EDT Y TAREAS'!AL32),'EDT Y TAREAS'!AG32/'EDT Y TAREAS'!M32,0),IF(AND(224&gt;='EDT Y TAREAS'!AK41,224&lt;'EDT Y TAREAS'!AL41),'EDT Y TAREAS'!AG41/'EDT Y TAREAS'!M41,0),IF(AND(224&gt;='EDT Y TAREAS'!AK45,224&lt;'EDT Y TAREAS'!AL45),'EDT Y TAREAS'!AG45/'EDT Y TAREAS'!M45,0),IF(AND(224&gt;='EDT Y TAREAS'!AK48,224&lt;'EDT Y TAREAS'!AL48),'EDT Y TAREAS'!AG48/'EDT Y TAREAS'!M48,0))</x:f>
        <x:v>0</x:v>
      </x:c>
      <x:c r="F264" s="35" t="n">
        <x:f>SUM(IF(AND(224&gt;='EDT Y TAREAS'!AK10,224&lt;'EDT Y TAREAS'!AL10),'EDT Y TAREAS'!AH10/'EDT Y TAREAS'!M10,0),IF(AND(224&gt;='EDT Y TAREAS'!AK12,224&lt;'EDT Y TAREAS'!AL12),'EDT Y TAREAS'!AH12/'EDT Y TAREAS'!M12,0),IF(AND(224&gt;='EDT Y TAREAS'!AK22,224&lt;'EDT Y TAREAS'!AL22),'EDT Y TAREAS'!AH22/'EDT Y TAREAS'!M22,0),IF(AND(224&gt;='EDT Y TAREAS'!AK23,224&lt;'EDT Y TAREAS'!AL23),'EDT Y TAREAS'!AH23/'EDT Y TAREAS'!M23,0),IF(AND(224&gt;='EDT Y TAREAS'!AK29,224&lt;'EDT Y TAREAS'!AL29),'EDT Y TAREAS'!AH29/'EDT Y TAREAS'!M29,0),IF(AND(224&gt;='EDT Y TAREAS'!AK30,224&lt;'EDT Y TAREAS'!AL30),'EDT Y TAREAS'!AH30/'EDT Y TAREAS'!M30,0),IF(AND(224&gt;='EDT Y TAREAS'!AK32,224&lt;'EDT Y TAREAS'!AL32),'EDT Y TAREAS'!AH32/'EDT Y TAREAS'!M32,0),IF(AND(224&gt;='EDT Y TAREAS'!AK41,224&lt;'EDT Y TAREAS'!AL41),'EDT Y TAREAS'!AH41/'EDT Y TAREAS'!M41,0),IF(AND(224&gt;='EDT Y TAREAS'!AK44,224&lt;'EDT Y TAREAS'!AL44),'EDT Y TAREAS'!AH44/'EDT Y TAREAS'!M44,0),IF(AND(224&gt;='EDT Y TAREAS'!AK46,224&lt;'EDT Y TAREAS'!AL46),'EDT Y TAREAS'!AH46/'EDT Y TAREAS'!M46,0),IF(AND(224&gt;='EDT Y TAREAS'!AK48,224&lt;'EDT Y TAREAS'!AL48),'EDT Y TAREAS'!AH48/'EDT Y TAREAS'!M48,0))</x:f>
        <x:v>0</x:v>
      </x:c>
      <x:c r="G264" s="35" t="n">
        <x:f>SUM(IF(AND(224&gt;='EDT Y TAREAS'!AK20,224&lt;'EDT Y TAREAS'!AL20),'EDT Y TAREAS'!AI20/'EDT Y TAREAS'!M20,0),IF(AND(224&gt;='EDT Y TAREAS'!AK25,224&lt;'EDT Y TAREAS'!AL25),'EDT Y TAREAS'!AI25/'EDT Y TAREAS'!M25,0),IF(AND(224&gt;='EDT Y TAREAS'!AK33,224&lt;'EDT Y TAREAS'!AL33),'EDT Y TAREAS'!AI33/'EDT Y TAREAS'!M33,0),IF(AND(224&gt;='EDT Y TAREAS'!AK34,224&lt;'EDT Y TAREAS'!AL34),'EDT Y TAREAS'!AI34/'EDT Y TAREAS'!M34,0),IF(AND(224&gt;='EDT Y TAREAS'!AK36,224&lt;'EDT Y TAREAS'!AL36),'EDT Y TAREAS'!AI36/'EDT Y TAREAS'!M36,0),IF(AND(224&gt;='EDT Y TAREAS'!AK39,224&lt;'EDT Y TAREAS'!AL39),'EDT Y TAREAS'!AI39/'EDT Y TAREAS'!M39,0),IF(AND(224&gt;='EDT Y TAREAS'!AK40,224&lt;'EDT Y TAREAS'!AL40),'EDT Y TAREAS'!AI40/'EDT Y TAREAS'!M40,0),IF(AND(224&gt;='EDT Y TAREAS'!AK42,224&lt;'EDT Y TAREAS'!AL42),'EDT Y TAREAS'!AI42/'EDT Y TAREAS'!M42,0),IF(AND(224&gt;='EDT Y TAREAS'!AK43,224&lt;'EDT Y TAREAS'!AL43),'EDT Y TAREAS'!AI43/'EDT Y TAREAS'!M43,0),IF(AND(224&gt;='EDT Y TAREAS'!AK44,224&lt;'EDT Y TAREAS'!AL44),'EDT Y TAREAS'!AI44/'EDT Y TAREAS'!M44,0),IF(AND(224&gt;='EDT Y TAREAS'!AK45,224&lt;'EDT Y TAREAS'!AL45),'EDT Y TAREAS'!AI45/'EDT Y TAREAS'!M45,0),IF(AND(224&gt;='EDT Y TAREAS'!AK46,224&lt;'EDT Y TAREAS'!AL46),'EDT Y TAREAS'!AI46/'EDT Y TAREAS'!M46,0),IF(AND(224&gt;='EDT Y TAREAS'!AK48,224&lt;'EDT Y TAREAS'!AL48),'EDT Y TAREAS'!AI48/'EDT Y TAREAS'!M48,0),IF(AND(224&gt;='EDT Y TAREAS'!AK50,224&lt;'EDT Y TAREAS'!AL50),'EDT Y TAREAS'!AI50/'EDT Y TAREAS'!M50,0),IF(AND(224&gt;='EDT Y TAREAS'!AK52,224&lt;'EDT Y TAREAS'!AL52),'EDT Y TAREAS'!AI52/'EDT Y TAREAS'!M52,0))</x:f>
        <x:v>0</x:v>
      </x:c>
      <x:c r="H264" s="35" t="n">
        <x:f>SUM(IF(AND(224&gt;='EDT Y TAREAS'!AK11,224&lt;'EDT Y TAREAS'!AL11),'EDT Y TAREAS'!AJ11/'EDT Y TAREAS'!M11,0),IF(AND(224&gt;='EDT Y TAREAS'!AK24,224&lt;'EDT Y TAREAS'!AL24),'EDT Y TAREAS'!AJ24/'EDT Y TAREAS'!M24,0),IF(AND(224&gt;='EDT Y TAREAS'!AK27,224&lt;'EDT Y TAREAS'!AL27),'EDT Y TAREAS'!AJ27/'EDT Y TAREAS'!M27,0),IF(AND(224&gt;='EDT Y TAREAS'!AK28,224&lt;'EDT Y TAREAS'!AL28),'EDT Y TAREAS'!AJ28/'EDT Y TAREAS'!M28,0),IF(AND(224&gt;='EDT Y TAREAS'!AK33,224&lt;'EDT Y TAREAS'!AL33),'EDT Y TAREAS'!AJ33/'EDT Y TAREAS'!M33,0),IF(AND(224&gt;='EDT Y TAREAS'!AK35,224&lt;'EDT Y TAREAS'!AL35),'EDT Y TAREAS'!AJ35/'EDT Y TAREAS'!M35,0),IF(AND(224&gt;='EDT Y TAREAS'!AK36,224&lt;'EDT Y TAREAS'!AL36),'EDT Y TAREAS'!AJ36/'EDT Y TAREAS'!M36,0),IF(AND(224&gt;='EDT Y TAREAS'!AK37,224&lt;'EDT Y TAREAS'!AL37),'EDT Y TAREAS'!AJ37/'EDT Y TAREAS'!M37,0),IF(AND(224&gt;='EDT Y TAREAS'!AK40,224&lt;'EDT Y TAREAS'!AL40),'EDT Y TAREAS'!AJ40/'EDT Y TAREAS'!M40,0),IF(AND(224&gt;='EDT Y TAREAS'!AK42,224&lt;'EDT Y TAREAS'!AL42),'EDT Y TAREAS'!AJ42/'EDT Y TAREAS'!M42,0),IF(AND(224&gt;='EDT Y TAREAS'!AK49,224&lt;'EDT Y TAREAS'!AL49),'EDT Y TAREAS'!AJ49/'EDT Y TAREAS'!M49,0),IF(AND(224&gt;='EDT Y TAREAS'!AK50,224&lt;'EDT Y TAREAS'!AL50),'EDT Y TAREAS'!AJ50/'EDT Y TAREAS'!M50,0),IF(AND(224&gt;='EDT Y TAREAS'!AK51,224&lt;'EDT Y TAREAS'!AL51),'EDT Y TAREAS'!AJ51/'EDT Y TAREAS'!M51,0),IF(AND(224&gt;='EDT Y TAREAS'!AK52,224&lt;'EDT Y TAREAS'!AL52),'EDT Y TAREAS'!AJ52/'EDT Y TAREAS'!M52,0))</x:f>
        <x:v>0</x:v>
      </x:c>
      <x:c r="I264" s="10" t="n">
        <x:f>WORKDAY('RESUMEN'!$D$3-1,A264,'RESUMEN'!$J$6:$J$25)</x:f>
        <x:v>46640</x:v>
      </x:c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  <x:c r="AA264" s="3"/>
      <x:c r="AB264" s="3"/>
      <x:c r="AC264" s="3"/>
      <x:c r="AD264" s="3"/>
      <x:c r="AE264" s="3"/>
      <x:c r="AF264" s="3"/>
      <x:c r="AG264" s="3"/>
      <x:c r="AH264" s="3"/>
      <x:c r="AI264" s="3"/>
      <x:c r="AJ264" s="3"/>
      <x:c r="AK264" s="3"/>
      <x:c r="AL264" s="3"/>
      <x:c r="AM264" s="3"/>
      <x:c r="AN264" s="3"/>
      <x:c r="AO264" s="3"/>
    </x:row>
    <x:row r="265" ht="24" customHeight="1">
      <x:c r="A265" s="3" t="n">
        <x:v>226</x:v>
      </x:c>
      <x:c r="B265" s="35" t="n">
        <x:f>SUM(IF(AND(225&gt;='EDT Y TAREAS'!AK6,225&lt;'EDT Y TAREAS'!AL6),'EDT Y TAREAS'!AD6/'EDT Y TAREAS'!M6,0),IF(AND(225&gt;='EDT Y TAREAS'!AK7,225&lt;'EDT Y TAREAS'!AL7),'EDT Y TAREAS'!AD7/'EDT Y TAREAS'!M7,0),IF(AND(225&gt;='EDT Y TAREAS'!AK8,225&lt;'EDT Y TAREAS'!AL8),'EDT Y TAREAS'!AD8/'EDT Y TAREAS'!M8,0),IF(AND(225&gt;='EDT Y TAREAS'!AK9,225&lt;'EDT Y TAREAS'!AL9),'EDT Y TAREAS'!AD9/'EDT Y TAREAS'!M9,0),IF(AND(225&gt;='EDT Y TAREAS'!AK10,225&lt;'EDT Y TAREAS'!AL10),'EDT Y TAREAS'!AD10/'EDT Y TAREAS'!M10,0),IF(AND(225&gt;='EDT Y TAREAS'!AK11,225&lt;'EDT Y TAREAS'!AL11),'EDT Y TAREAS'!AD11/'EDT Y TAREAS'!M11,0),IF(AND(225&gt;='EDT Y TAREAS'!AK12,225&lt;'EDT Y TAREAS'!AL12),'EDT Y TAREAS'!AD12/'EDT Y TAREAS'!M12,0),IF(AND(225&gt;='EDT Y TAREAS'!AK13,225&lt;'EDT Y TAREAS'!AL13),'EDT Y TAREAS'!AD13/'EDT Y TAREAS'!M13,0),IF(AND(225&gt;='EDT Y TAREAS'!AK14,225&lt;'EDT Y TAREAS'!AL14),'EDT Y TAREAS'!AD14/'EDT Y TAREAS'!M14,0),IF(AND(225&gt;='EDT Y TAREAS'!AK15,225&lt;'EDT Y TAREAS'!AL15),'EDT Y TAREAS'!AD15/'EDT Y TAREAS'!M15,0),IF(AND(225&gt;='EDT Y TAREAS'!AK16,225&lt;'EDT Y TAREAS'!AL16),'EDT Y TAREAS'!AD16/'EDT Y TAREAS'!M16,0),IF(AND(225&gt;='EDT Y TAREAS'!AK17,225&lt;'EDT Y TAREAS'!AL17),'EDT Y TAREAS'!AD17/'EDT Y TAREAS'!M17,0),IF(AND(225&gt;='EDT Y TAREAS'!AK18,225&lt;'EDT Y TAREAS'!AL18),'EDT Y TAREAS'!AD18/'EDT Y TAREAS'!M18,0),IF(AND(225&gt;='EDT Y TAREAS'!AK19,225&lt;'EDT Y TAREAS'!AL19),'EDT Y TAREAS'!AD19/'EDT Y TAREAS'!M19,0),IF(AND(225&gt;='EDT Y TAREAS'!AK20,225&lt;'EDT Y TAREAS'!AL20),'EDT Y TAREAS'!AD20/'EDT Y TAREAS'!M20,0),IF(AND(225&gt;='EDT Y TAREAS'!AK21,225&lt;'EDT Y TAREAS'!AL21),'EDT Y TAREAS'!AD21/'EDT Y TAREAS'!M21,0),IF(AND(225&gt;='EDT Y TAREAS'!AK22,225&lt;'EDT Y TAREAS'!AL22),'EDT Y TAREAS'!AD22/'EDT Y TAREAS'!M22,0),IF(AND(225&gt;='EDT Y TAREAS'!AK23,225&lt;'EDT Y TAREAS'!AL23),'EDT Y TAREAS'!AD23/'EDT Y TAREAS'!M23,0),IF(AND(225&gt;='EDT Y TAREAS'!AK26,225&lt;'EDT Y TAREAS'!AL26),'EDT Y TAREAS'!AD26/'EDT Y TAREAS'!M26,0),IF(AND(225&gt;='EDT Y TAREAS'!AK28,225&lt;'EDT Y TAREAS'!AL28),'EDT Y TAREAS'!AD28/'EDT Y TAREAS'!M28,0),IF(AND(225&gt;='EDT Y TAREAS'!AK30,225&lt;'EDT Y TAREAS'!AL30),'EDT Y TAREAS'!AD30/'EDT Y TAREAS'!M30,0),IF(AND(225&gt;='EDT Y TAREAS'!AK32,225&lt;'EDT Y TAREAS'!AL32),'EDT Y TAREAS'!AD32/'EDT Y TAREAS'!M32,0),IF(AND(225&gt;='EDT Y TAREAS'!AK34,225&lt;'EDT Y TAREAS'!AL34),'EDT Y TAREAS'!AD34/'EDT Y TAREAS'!M34,0),IF(AND(225&gt;='EDT Y TAREAS'!AK38,225&lt;'EDT Y TAREAS'!AL38),'EDT Y TAREAS'!AD38/'EDT Y TAREAS'!M38,0),IF(AND(225&gt;='EDT Y TAREAS'!AK39,225&lt;'EDT Y TAREAS'!AL39),'EDT Y TAREAS'!AD39/'EDT Y TAREAS'!M39,0),IF(AND(225&gt;='EDT Y TAREAS'!AK43,225&lt;'EDT Y TAREAS'!AL43),'EDT Y TAREAS'!AD43/'EDT Y TAREAS'!M43,0),IF(AND(225&gt;='EDT Y TAREAS'!AK44,225&lt;'EDT Y TAREAS'!AL44),'EDT Y TAREAS'!AD44/'EDT Y TAREAS'!M44,0),IF(AND(225&gt;='EDT Y TAREAS'!AK45,225&lt;'EDT Y TAREAS'!AL45),'EDT Y TAREAS'!AD45/'EDT Y TAREAS'!M45,0),IF(AND(225&gt;='EDT Y TAREAS'!AK46,225&lt;'EDT Y TAREAS'!AL46),'EDT Y TAREAS'!AD46/'EDT Y TAREAS'!M46,0),IF(AND(225&gt;='EDT Y TAREAS'!AK47,225&lt;'EDT Y TAREAS'!AL47),'EDT Y TAREAS'!AD47/'EDT Y TAREAS'!M47,0),IF(AND(225&gt;='EDT Y TAREAS'!AK49,225&lt;'EDT Y TAREAS'!AL49),'EDT Y TAREAS'!AD49/'EDT Y TAREAS'!M49,0),IF(AND(225&gt;='EDT Y TAREAS'!AK50,225&lt;'EDT Y TAREAS'!AL50),'EDT Y TAREAS'!AD50/'EDT Y TAREAS'!M50,0),IF(AND(225&gt;='EDT Y TAREAS'!AK51,225&lt;'EDT Y TAREAS'!AL51),'EDT Y TAREAS'!AD51/'EDT Y TAREAS'!M51,0),IF(AND(225&gt;='EDT Y TAREAS'!AK52,225&lt;'EDT Y TAREAS'!AL52),'EDT Y TAREAS'!AD52/'EDT Y TAREAS'!M52,0))</x:f>
        <x:v>0</x:v>
      </x:c>
      <x:c r="C265" s="35" t="n">
        <x:f>SUM(IF(AND(225&gt;='EDT Y TAREAS'!AK6,225&lt;'EDT Y TAREAS'!AL6),'EDT Y TAREAS'!AE6/'EDT Y TAREAS'!M6,0),IF(AND(225&gt;='EDT Y TAREAS'!AK8,225&lt;'EDT Y TAREAS'!AL8),'EDT Y TAREAS'!AE8/'EDT Y TAREAS'!M8,0),IF(AND(225&gt;='EDT Y TAREAS'!AK9,225&lt;'EDT Y TAREAS'!AL9),'EDT Y TAREAS'!AE9/'EDT Y TAREAS'!M9,0),IF(AND(225&gt;='EDT Y TAREAS'!AK10,225&lt;'EDT Y TAREAS'!AL10),'EDT Y TAREAS'!AE10/'EDT Y TAREAS'!M10,0),IF(AND(225&gt;='EDT Y TAREAS'!AK12,225&lt;'EDT Y TAREAS'!AL12),'EDT Y TAREAS'!AE12/'EDT Y TAREAS'!M12,0),IF(AND(225&gt;='EDT Y TAREAS'!AK16,225&lt;'EDT Y TAREAS'!AL16),'EDT Y TAREAS'!AE16/'EDT Y TAREAS'!M16,0),IF(AND(225&gt;='EDT Y TAREAS'!AK21,225&lt;'EDT Y TAREAS'!AL21),'EDT Y TAREAS'!AE21/'EDT Y TAREAS'!M21,0),IF(AND(225&gt;='EDT Y TAREAS'!AK23,225&lt;'EDT Y TAREAS'!AL23),'EDT Y TAREAS'!AE23/'EDT Y TAREAS'!M23,0),IF(AND(225&gt;='EDT Y TAREAS'!AK37,225&lt;'EDT Y TAREAS'!AL37),'EDT Y TAREAS'!AE37/'EDT Y TAREAS'!M37,0),IF(AND(225&gt;='EDT Y TAREAS'!AK38,225&lt;'EDT Y TAREAS'!AL38),'EDT Y TAREAS'!AE38/'EDT Y TAREAS'!M38,0),IF(AND(225&gt;='EDT Y TAREAS'!AK41,225&lt;'EDT Y TAREAS'!AL41),'EDT Y TAREAS'!AE41/'EDT Y TAREAS'!M41,0),IF(AND(225&gt;='EDT Y TAREAS'!AK43,225&lt;'EDT Y TAREAS'!AL43),'EDT Y TAREAS'!AE43/'EDT Y TAREAS'!M43,0),IF(AND(225&gt;='EDT Y TAREAS'!AK44,225&lt;'EDT Y TAREAS'!AL44),'EDT Y TAREAS'!AE44/'EDT Y TAREAS'!M44,0),IF(AND(225&gt;='EDT Y TAREAS'!AK46,225&lt;'EDT Y TAREAS'!AL46),'EDT Y TAREAS'!AE46/'EDT Y TAREAS'!M46,0),IF(AND(225&gt;='EDT Y TAREAS'!AK47,225&lt;'EDT Y TAREAS'!AL47),'EDT Y TAREAS'!AE47/'EDT Y TAREAS'!M47,0),IF(AND(225&gt;='EDT Y TAREAS'!AK51,225&lt;'EDT Y TAREAS'!AL51),'EDT Y TAREAS'!AE51/'EDT Y TAREAS'!M51,0),IF(AND(225&gt;='EDT Y TAREAS'!AK52,225&lt;'EDT Y TAREAS'!AL52),'EDT Y TAREAS'!AE52/'EDT Y TAREAS'!M52,0))</x:f>
        <x:v>0</x:v>
      </x:c>
      <x:c r="D265" s="35" t="n">
        <x:f>SUM(IF(AND(225&gt;='EDT Y TAREAS'!AK11,225&lt;'EDT Y TAREAS'!AL11),'EDT Y TAREAS'!AF11/'EDT Y TAREAS'!M11,0),IF(AND(225&gt;='EDT Y TAREAS'!AK24,225&lt;'EDT Y TAREAS'!AL24),'EDT Y TAREAS'!AF24/'EDT Y TAREAS'!M24,0),IF(AND(225&gt;='EDT Y TAREAS'!AK25,225&lt;'EDT Y TAREAS'!AL25),'EDT Y TAREAS'!AF25/'EDT Y TAREAS'!M25,0),IF(AND(225&gt;='EDT Y TAREAS'!AK26,225&lt;'EDT Y TAREAS'!AL26),'EDT Y TAREAS'!AF26/'EDT Y TAREAS'!M26,0),IF(AND(225&gt;='EDT Y TAREAS'!AK27,225&lt;'EDT Y TAREAS'!AL27),'EDT Y TAREAS'!AF27/'EDT Y TAREAS'!M27,0),IF(AND(225&gt;='EDT Y TAREAS'!AK28,225&lt;'EDT Y TAREAS'!AL28),'EDT Y TAREAS'!AF28/'EDT Y TAREAS'!M28,0),IF(AND(225&gt;='EDT Y TAREAS'!AK31,225&lt;'EDT Y TAREAS'!AL31),'EDT Y TAREAS'!AF31/'EDT Y TAREAS'!M31,0),IF(AND(225&gt;='EDT Y TAREAS'!AK33,225&lt;'EDT Y TAREAS'!AL33),'EDT Y TAREAS'!AF33/'EDT Y TAREAS'!M33,0),IF(AND(225&gt;='EDT Y TAREAS'!AK34,225&lt;'EDT Y TAREAS'!AL34),'EDT Y TAREAS'!AF34/'EDT Y TAREAS'!M34,0),IF(AND(225&gt;='EDT Y TAREAS'!AK35,225&lt;'EDT Y TAREAS'!AL35),'EDT Y TAREAS'!AF35/'EDT Y TAREAS'!M35,0),IF(AND(225&gt;='EDT Y TAREAS'!AK37,225&lt;'EDT Y TAREAS'!AL37),'EDT Y TAREAS'!AF37/'EDT Y TAREAS'!M37,0),IF(AND(225&gt;='EDT Y TAREAS'!AK39,225&lt;'EDT Y TAREAS'!AL39),'EDT Y TAREAS'!AF39/'EDT Y TAREAS'!M39,0),IF(AND(225&gt;='EDT Y TAREAS'!AK40,225&lt;'EDT Y TAREAS'!AL40),'EDT Y TAREAS'!AF40/'EDT Y TAREAS'!M40,0),IF(AND(225&gt;='EDT Y TAREAS'!AK42,225&lt;'EDT Y TAREAS'!AL42),'EDT Y TAREAS'!AF42/'EDT Y TAREAS'!M42,0),IF(AND(225&gt;='EDT Y TAREAS'!AK45,225&lt;'EDT Y TAREAS'!AL45),'EDT Y TAREAS'!AF45/'EDT Y TAREAS'!M45,0),IF(AND(225&gt;='EDT Y TAREAS'!AK49,225&lt;'EDT Y TAREAS'!AL49),'EDT Y TAREAS'!AF49/'EDT Y TAREAS'!M49,0),IF(AND(225&gt;='EDT Y TAREAS'!AK52,225&lt;'EDT Y TAREAS'!AL52),'EDT Y TAREAS'!AF52/'EDT Y TAREAS'!M52,0))</x:f>
        <x:v>0</x:v>
      </x:c>
      <x:c r="E265" s="35" t="n">
        <x:f>SUM(IF(AND(225&gt;='EDT Y TAREAS'!AK29,225&lt;'EDT Y TAREAS'!AL29),'EDT Y TAREAS'!AG29/'EDT Y TAREAS'!M29,0),IF(AND(225&gt;='EDT Y TAREAS'!AK30,225&lt;'EDT Y TAREAS'!AL30),'EDT Y TAREAS'!AG30/'EDT Y TAREAS'!M30,0),IF(AND(225&gt;='EDT Y TAREAS'!AK31,225&lt;'EDT Y TAREAS'!AL31),'EDT Y TAREAS'!AG31/'EDT Y TAREAS'!M31,0),IF(AND(225&gt;='EDT Y TAREAS'!AK32,225&lt;'EDT Y TAREAS'!AL32),'EDT Y TAREAS'!AG32/'EDT Y TAREAS'!M32,0),IF(AND(225&gt;='EDT Y TAREAS'!AK41,225&lt;'EDT Y TAREAS'!AL41),'EDT Y TAREAS'!AG41/'EDT Y TAREAS'!M41,0),IF(AND(225&gt;='EDT Y TAREAS'!AK45,225&lt;'EDT Y TAREAS'!AL45),'EDT Y TAREAS'!AG45/'EDT Y TAREAS'!M45,0),IF(AND(225&gt;='EDT Y TAREAS'!AK48,225&lt;'EDT Y TAREAS'!AL48),'EDT Y TAREAS'!AG48/'EDT Y TAREAS'!M48,0))</x:f>
        <x:v>0</x:v>
      </x:c>
      <x:c r="F265" s="35" t="n">
        <x:f>SUM(IF(AND(225&gt;='EDT Y TAREAS'!AK10,225&lt;'EDT Y TAREAS'!AL10),'EDT Y TAREAS'!AH10/'EDT Y TAREAS'!M10,0),IF(AND(225&gt;='EDT Y TAREAS'!AK12,225&lt;'EDT Y TAREAS'!AL12),'EDT Y TAREAS'!AH12/'EDT Y TAREAS'!M12,0),IF(AND(225&gt;='EDT Y TAREAS'!AK22,225&lt;'EDT Y TAREAS'!AL22),'EDT Y TAREAS'!AH22/'EDT Y TAREAS'!M22,0),IF(AND(225&gt;='EDT Y TAREAS'!AK23,225&lt;'EDT Y TAREAS'!AL23),'EDT Y TAREAS'!AH23/'EDT Y TAREAS'!M23,0),IF(AND(225&gt;='EDT Y TAREAS'!AK29,225&lt;'EDT Y TAREAS'!AL29),'EDT Y TAREAS'!AH29/'EDT Y TAREAS'!M29,0),IF(AND(225&gt;='EDT Y TAREAS'!AK30,225&lt;'EDT Y TAREAS'!AL30),'EDT Y TAREAS'!AH30/'EDT Y TAREAS'!M30,0),IF(AND(225&gt;='EDT Y TAREAS'!AK32,225&lt;'EDT Y TAREAS'!AL32),'EDT Y TAREAS'!AH32/'EDT Y TAREAS'!M32,0),IF(AND(225&gt;='EDT Y TAREAS'!AK41,225&lt;'EDT Y TAREAS'!AL41),'EDT Y TAREAS'!AH41/'EDT Y TAREAS'!M41,0),IF(AND(225&gt;='EDT Y TAREAS'!AK44,225&lt;'EDT Y TAREAS'!AL44),'EDT Y TAREAS'!AH44/'EDT Y TAREAS'!M44,0),IF(AND(225&gt;='EDT Y TAREAS'!AK46,225&lt;'EDT Y TAREAS'!AL46),'EDT Y TAREAS'!AH46/'EDT Y TAREAS'!M46,0),IF(AND(225&gt;='EDT Y TAREAS'!AK48,225&lt;'EDT Y TAREAS'!AL48),'EDT Y TAREAS'!AH48/'EDT Y TAREAS'!M48,0))</x:f>
        <x:v>0</x:v>
      </x:c>
      <x:c r="G265" s="35" t="n">
        <x:f>SUM(IF(AND(225&gt;='EDT Y TAREAS'!AK20,225&lt;'EDT Y TAREAS'!AL20),'EDT Y TAREAS'!AI20/'EDT Y TAREAS'!M20,0),IF(AND(225&gt;='EDT Y TAREAS'!AK25,225&lt;'EDT Y TAREAS'!AL25),'EDT Y TAREAS'!AI25/'EDT Y TAREAS'!M25,0),IF(AND(225&gt;='EDT Y TAREAS'!AK33,225&lt;'EDT Y TAREAS'!AL33),'EDT Y TAREAS'!AI33/'EDT Y TAREAS'!M33,0),IF(AND(225&gt;='EDT Y TAREAS'!AK34,225&lt;'EDT Y TAREAS'!AL34),'EDT Y TAREAS'!AI34/'EDT Y TAREAS'!M34,0),IF(AND(225&gt;='EDT Y TAREAS'!AK36,225&lt;'EDT Y TAREAS'!AL36),'EDT Y TAREAS'!AI36/'EDT Y TAREAS'!M36,0),IF(AND(225&gt;='EDT Y TAREAS'!AK39,225&lt;'EDT Y TAREAS'!AL39),'EDT Y TAREAS'!AI39/'EDT Y TAREAS'!M39,0),IF(AND(225&gt;='EDT Y TAREAS'!AK40,225&lt;'EDT Y TAREAS'!AL40),'EDT Y TAREAS'!AI40/'EDT Y TAREAS'!M40,0),IF(AND(225&gt;='EDT Y TAREAS'!AK42,225&lt;'EDT Y TAREAS'!AL42),'EDT Y TAREAS'!AI42/'EDT Y TAREAS'!M42,0),IF(AND(225&gt;='EDT Y TAREAS'!AK43,225&lt;'EDT Y TAREAS'!AL43),'EDT Y TAREAS'!AI43/'EDT Y TAREAS'!M43,0),IF(AND(225&gt;='EDT Y TAREAS'!AK44,225&lt;'EDT Y TAREAS'!AL44),'EDT Y TAREAS'!AI44/'EDT Y TAREAS'!M44,0),IF(AND(225&gt;='EDT Y TAREAS'!AK45,225&lt;'EDT Y TAREAS'!AL45),'EDT Y TAREAS'!AI45/'EDT Y TAREAS'!M45,0),IF(AND(225&gt;='EDT Y TAREAS'!AK46,225&lt;'EDT Y TAREAS'!AL46),'EDT Y TAREAS'!AI46/'EDT Y TAREAS'!M46,0),IF(AND(225&gt;='EDT Y TAREAS'!AK48,225&lt;'EDT Y TAREAS'!AL48),'EDT Y TAREAS'!AI48/'EDT Y TAREAS'!M48,0),IF(AND(225&gt;='EDT Y TAREAS'!AK50,225&lt;'EDT Y TAREAS'!AL50),'EDT Y TAREAS'!AI50/'EDT Y TAREAS'!M50,0),IF(AND(225&gt;='EDT Y TAREAS'!AK52,225&lt;'EDT Y TAREAS'!AL52),'EDT Y TAREAS'!AI52/'EDT Y TAREAS'!M52,0))</x:f>
        <x:v>0</x:v>
      </x:c>
      <x:c r="H265" s="35" t="n">
        <x:f>SUM(IF(AND(225&gt;='EDT Y TAREAS'!AK11,225&lt;'EDT Y TAREAS'!AL11),'EDT Y TAREAS'!AJ11/'EDT Y TAREAS'!M11,0),IF(AND(225&gt;='EDT Y TAREAS'!AK24,225&lt;'EDT Y TAREAS'!AL24),'EDT Y TAREAS'!AJ24/'EDT Y TAREAS'!M24,0),IF(AND(225&gt;='EDT Y TAREAS'!AK27,225&lt;'EDT Y TAREAS'!AL27),'EDT Y TAREAS'!AJ27/'EDT Y TAREAS'!M27,0),IF(AND(225&gt;='EDT Y TAREAS'!AK28,225&lt;'EDT Y TAREAS'!AL28),'EDT Y TAREAS'!AJ28/'EDT Y TAREAS'!M28,0),IF(AND(225&gt;='EDT Y TAREAS'!AK33,225&lt;'EDT Y TAREAS'!AL33),'EDT Y TAREAS'!AJ33/'EDT Y TAREAS'!M33,0),IF(AND(225&gt;='EDT Y TAREAS'!AK35,225&lt;'EDT Y TAREAS'!AL35),'EDT Y TAREAS'!AJ35/'EDT Y TAREAS'!M35,0),IF(AND(225&gt;='EDT Y TAREAS'!AK36,225&lt;'EDT Y TAREAS'!AL36),'EDT Y TAREAS'!AJ36/'EDT Y TAREAS'!M36,0),IF(AND(225&gt;='EDT Y TAREAS'!AK37,225&lt;'EDT Y TAREAS'!AL37),'EDT Y TAREAS'!AJ37/'EDT Y TAREAS'!M37,0),IF(AND(225&gt;='EDT Y TAREAS'!AK40,225&lt;'EDT Y TAREAS'!AL40),'EDT Y TAREAS'!AJ40/'EDT Y TAREAS'!M40,0),IF(AND(225&gt;='EDT Y TAREAS'!AK42,225&lt;'EDT Y TAREAS'!AL42),'EDT Y TAREAS'!AJ42/'EDT Y TAREAS'!M42,0),IF(AND(225&gt;='EDT Y TAREAS'!AK49,225&lt;'EDT Y TAREAS'!AL49),'EDT Y TAREAS'!AJ49/'EDT Y TAREAS'!M49,0),IF(AND(225&gt;='EDT Y TAREAS'!AK50,225&lt;'EDT Y TAREAS'!AL50),'EDT Y TAREAS'!AJ50/'EDT Y TAREAS'!M50,0),IF(AND(225&gt;='EDT Y TAREAS'!AK51,225&lt;'EDT Y TAREAS'!AL51),'EDT Y TAREAS'!AJ51/'EDT Y TAREAS'!M51,0),IF(AND(225&gt;='EDT Y TAREAS'!AK52,225&lt;'EDT Y TAREAS'!AL52),'EDT Y TAREAS'!AJ52/'EDT Y TAREAS'!M52,0))</x:f>
        <x:v>0</x:v>
      </x:c>
      <x:c r="I265" s="10" t="n">
        <x:f>WORKDAY('RESUMEN'!$D$3-1,A265,'RESUMEN'!$J$6:$J$25)</x:f>
        <x:v>46643</x:v>
      </x:c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  <x:c r="AA265" s="3"/>
      <x:c r="AB265" s="3"/>
      <x:c r="AC265" s="3"/>
      <x:c r="AD265" s="3"/>
      <x:c r="AE265" s="3"/>
      <x:c r="AF265" s="3"/>
      <x:c r="AG265" s="3"/>
      <x:c r="AH265" s="3"/>
      <x:c r="AI265" s="3"/>
      <x:c r="AJ265" s="3"/>
      <x:c r="AK265" s="3"/>
      <x:c r="AL265" s="3"/>
      <x:c r="AM265" s="3"/>
      <x:c r="AN265" s="3"/>
      <x:c r="AO265" s="3"/>
    </x:row>
    <x:row r="266" ht="24" customHeight="1">
      <x:c r="A266" s="3" t="n">
        <x:v>227</x:v>
      </x:c>
      <x:c r="B266" s="35" t="n">
        <x:f>SUM(IF(AND(226&gt;='EDT Y TAREAS'!AK6,226&lt;'EDT Y TAREAS'!AL6),'EDT Y TAREAS'!AD6/'EDT Y TAREAS'!M6,0),IF(AND(226&gt;='EDT Y TAREAS'!AK7,226&lt;'EDT Y TAREAS'!AL7),'EDT Y TAREAS'!AD7/'EDT Y TAREAS'!M7,0),IF(AND(226&gt;='EDT Y TAREAS'!AK8,226&lt;'EDT Y TAREAS'!AL8),'EDT Y TAREAS'!AD8/'EDT Y TAREAS'!M8,0),IF(AND(226&gt;='EDT Y TAREAS'!AK9,226&lt;'EDT Y TAREAS'!AL9),'EDT Y TAREAS'!AD9/'EDT Y TAREAS'!M9,0),IF(AND(226&gt;='EDT Y TAREAS'!AK10,226&lt;'EDT Y TAREAS'!AL10),'EDT Y TAREAS'!AD10/'EDT Y TAREAS'!M10,0),IF(AND(226&gt;='EDT Y TAREAS'!AK11,226&lt;'EDT Y TAREAS'!AL11),'EDT Y TAREAS'!AD11/'EDT Y TAREAS'!M11,0),IF(AND(226&gt;='EDT Y TAREAS'!AK12,226&lt;'EDT Y TAREAS'!AL12),'EDT Y TAREAS'!AD12/'EDT Y TAREAS'!M12,0),IF(AND(226&gt;='EDT Y TAREAS'!AK13,226&lt;'EDT Y TAREAS'!AL13),'EDT Y TAREAS'!AD13/'EDT Y TAREAS'!M13,0),IF(AND(226&gt;='EDT Y TAREAS'!AK14,226&lt;'EDT Y TAREAS'!AL14),'EDT Y TAREAS'!AD14/'EDT Y TAREAS'!M14,0),IF(AND(226&gt;='EDT Y TAREAS'!AK15,226&lt;'EDT Y TAREAS'!AL15),'EDT Y TAREAS'!AD15/'EDT Y TAREAS'!M15,0),IF(AND(226&gt;='EDT Y TAREAS'!AK16,226&lt;'EDT Y TAREAS'!AL16),'EDT Y TAREAS'!AD16/'EDT Y TAREAS'!M16,0),IF(AND(226&gt;='EDT Y TAREAS'!AK17,226&lt;'EDT Y TAREAS'!AL17),'EDT Y TAREAS'!AD17/'EDT Y TAREAS'!M17,0),IF(AND(226&gt;='EDT Y TAREAS'!AK18,226&lt;'EDT Y TAREAS'!AL18),'EDT Y TAREAS'!AD18/'EDT Y TAREAS'!M18,0),IF(AND(226&gt;='EDT Y TAREAS'!AK19,226&lt;'EDT Y TAREAS'!AL19),'EDT Y TAREAS'!AD19/'EDT Y TAREAS'!M19,0),IF(AND(226&gt;='EDT Y TAREAS'!AK20,226&lt;'EDT Y TAREAS'!AL20),'EDT Y TAREAS'!AD20/'EDT Y TAREAS'!M20,0),IF(AND(226&gt;='EDT Y TAREAS'!AK21,226&lt;'EDT Y TAREAS'!AL21),'EDT Y TAREAS'!AD21/'EDT Y TAREAS'!M21,0),IF(AND(226&gt;='EDT Y TAREAS'!AK22,226&lt;'EDT Y TAREAS'!AL22),'EDT Y TAREAS'!AD22/'EDT Y TAREAS'!M22,0),IF(AND(226&gt;='EDT Y TAREAS'!AK23,226&lt;'EDT Y TAREAS'!AL23),'EDT Y TAREAS'!AD23/'EDT Y TAREAS'!M23,0),IF(AND(226&gt;='EDT Y TAREAS'!AK26,226&lt;'EDT Y TAREAS'!AL26),'EDT Y TAREAS'!AD26/'EDT Y TAREAS'!M26,0),IF(AND(226&gt;='EDT Y TAREAS'!AK28,226&lt;'EDT Y TAREAS'!AL28),'EDT Y TAREAS'!AD28/'EDT Y TAREAS'!M28,0),IF(AND(226&gt;='EDT Y TAREAS'!AK30,226&lt;'EDT Y TAREAS'!AL30),'EDT Y TAREAS'!AD30/'EDT Y TAREAS'!M30,0),IF(AND(226&gt;='EDT Y TAREAS'!AK32,226&lt;'EDT Y TAREAS'!AL32),'EDT Y TAREAS'!AD32/'EDT Y TAREAS'!M32,0),IF(AND(226&gt;='EDT Y TAREAS'!AK34,226&lt;'EDT Y TAREAS'!AL34),'EDT Y TAREAS'!AD34/'EDT Y TAREAS'!M34,0),IF(AND(226&gt;='EDT Y TAREAS'!AK38,226&lt;'EDT Y TAREAS'!AL38),'EDT Y TAREAS'!AD38/'EDT Y TAREAS'!M38,0),IF(AND(226&gt;='EDT Y TAREAS'!AK39,226&lt;'EDT Y TAREAS'!AL39),'EDT Y TAREAS'!AD39/'EDT Y TAREAS'!M39,0),IF(AND(226&gt;='EDT Y TAREAS'!AK43,226&lt;'EDT Y TAREAS'!AL43),'EDT Y TAREAS'!AD43/'EDT Y TAREAS'!M43,0),IF(AND(226&gt;='EDT Y TAREAS'!AK44,226&lt;'EDT Y TAREAS'!AL44),'EDT Y TAREAS'!AD44/'EDT Y TAREAS'!M44,0),IF(AND(226&gt;='EDT Y TAREAS'!AK45,226&lt;'EDT Y TAREAS'!AL45),'EDT Y TAREAS'!AD45/'EDT Y TAREAS'!M45,0),IF(AND(226&gt;='EDT Y TAREAS'!AK46,226&lt;'EDT Y TAREAS'!AL46),'EDT Y TAREAS'!AD46/'EDT Y TAREAS'!M46,0),IF(AND(226&gt;='EDT Y TAREAS'!AK47,226&lt;'EDT Y TAREAS'!AL47),'EDT Y TAREAS'!AD47/'EDT Y TAREAS'!M47,0),IF(AND(226&gt;='EDT Y TAREAS'!AK49,226&lt;'EDT Y TAREAS'!AL49),'EDT Y TAREAS'!AD49/'EDT Y TAREAS'!M49,0),IF(AND(226&gt;='EDT Y TAREAS'!AK50,226&lt;'EDT Y TAREAS'!AL50),'EDT Y TAREAS'!AD50/'EDT Y TAREAS'!M50,0),IF(AND(226&gt;='EDT Y TAREAS'!AK51,226&lt;'EDT Y TAREAS'!AL51),'EDT Y TAREAS'!AD51/'EDT Y TAREAS'!M51,0),IF(AND(226&gt;='EDT Y TAREAS'!AK52,226&lt;'EDT Y TAREAS'!AL52),'EDT Y TAREAS'!AD52/'EDT Y TAREAS'!M52,0))</x:f>
        <x:v>0</x:v>
      </x:c>
      <x:c r="C266" s="35" t="n">
        <x:f>SUM(IF(AND(226&gt;='EDT Y TAREAS'!AK6,226&lt;'EDT Y TAREAS'!AL6),'EDT Y TAREAS'!AE6/'EDT Y TAREAS'!M6,0),IF(AND(226&gt;='EDT Y TAREAS'!AK8,226&lt;'EDT Y TAREAS'!AL8),'EDT Y TAREAS'!AE8/'EDT Y TAREAS'!M8,0),IF(AND(226&gt;='EDT Y TAREAS'!AK9,226&lt;'EDT Y TAREAS'!AL9),'EDT Y TAREAS'!AE9/'EDT Y TAREAS'!M9,0),IF(AND(226&gt;='EDT Y TAREAS'!AK10,226&lt;'EDT Y TAREAS'!AL10),'EDT Y TAREAS'!AE10/'EDT Y TAREAS'!M10,0),IF(AND(226&gt;='EDT Y TAREAS'!AK12,226&lt;'EDT Y TAREAS'!AL12),'EDT Y TAREAS'!AE12/'EDT Y TAREAS'!M12,0),IF(AND(226&gt;='EDT Y TAREAS'!AK16,226&lt;'EDT Y TAREAS'!AL16),'EDT Y TAREAS'!AE16/'EDT Y TAREAS'!M16,0),IF(AND(226&gt;='EDT Y TAREAS'!AK21,226&lt;'EDT Y TAREAS'!AL21),'EDT Y TAREAS'!AE21/'EDT Y TAREAS'!M21,0),IF(AND(226&gt;='EDT Y TAREAS'!AK23,226&lt;'EDT Y TAREAS'!AL23),'EDT Y TAREAS'!AE23/'EDT Y TAREAS'!M23,0),IF(AND(226&gt;='EDT Y TAREAS'!AK37,226&lt;'EDT Y TAREAS'!AL37),'EDT Y TAREAS'!AE37/'EDT Y TAREAS'!M37,0),IF(AND(226&gt;='EDT Y TAREAS'!AK38,226&lt;'EDT Y TAREAS'!AL38),'EDT Y TAREAS'!AE38/'EDT Y TAREAS'!M38,0),IF(AND(226&gt;='EDT Y TAREAS'!AK41,226&lt;'EDT Y TAREAS'!AL41),'EDT Y TAREAS'!AE41/'EDT Y TAREAS'!M41,0),IF(AND(226&gt;='EDT Y TAREAS'!AK43,226&lt;'EDT Y TAREAS'!AL43),'EDT Y TAREAS'!AE43/'EDT Y TAREAS'!M43,0),IF(AND(226&gt;='EDT Y TAREAS'!AK44,226&lt;'EDT Y TAREAS'!AL44),'EDT Y TAREAS'!AE44/'EDT Y TAREAS'!M44,0),IF(AND(226&gt;='EDT Y TAREAS'!AK46,226&lt;'EDT Y TAREAS'!AL46),'EDT Y TAREAS'!AE46/'EDT Y TAREAS'!M46,0),IF(AND(226&gt;='EDT Y TAREAS'!AK47,226&lt;'EDT Y TAREAS'!AL47),'EDT Y TAREAS'!AE47/'EDT Y TAREAS'!M47,0),IF(AND(226&gt;='EDT Y TAREAS'!AK51,226&lt;'EDT Y TAREAS'!AL51),'EDT Y TAREAS'!AE51/'EDT Y TAREAS'!M51,0),IF(AND(226&gt;='EDT Y TAREAS'!AK52,226&lt;'EDT Y TAREAS'!AL52),'EDT Y TAREAS'!AE52/'EDT Y TAREAS'!M52,0))</x:f>
        <x:v>0</x:v>
      </x:c>
      <x:c r="D266" s="35" t="n">
        <x:f>SUM(IF(AND(226&gt;='EDT Y TAREAS'!AK11,226&lt;'EDT Y TAREAS'!AL11),'EDT Y TAREAS'!AF11/'EDT Y TAREAS'!M11,0),IF(AND(226&gt;='EDT Y TAREAS'!AK24,226&lt;'EDT Y TAREAS'!AL24),'EDT Y TAREAS'!AF24/'EDT Y TAREAS'!M24,0),IF(AND(226&gt;='EDT Y TAREAS'!AK25,226&lt;'EDT Y TAREAS'!AL25),'EDT Y TAREAS'!AF25/'EDT Y TAREAS'!M25,0),IF(AND(226&gt;='EDT Y TAREAS'!AK26,226&lt;'EDT Y TAREAS'!AL26),'EDT Y TAREAS'!AF26/'EDT Y TAREAS'!M26,0),IF(AND(226&gt;='EDT Y TAREAS'!AK27,226&lt;'EDT Y TAREAS'!AL27),'EDT Y TAREAS'!AF27/'EDT Y TAREAS'!M27,0),IF(AND(226&gt;='EDT Y TAREAS'!AK28,226&lt;'EDT Y TAREAS'!AL28),'EDT Y TAREAS'!AF28/'EDT Y TAREAS'!M28,0),IF(AND(226&gt;='EDT Y TAREAS'!AK31,226&lt;'EDT Y TAREAS'!AL31),'EDT Y TAREAS'!AF31/'EDT Y TAREAS'!M31,0),IF(AND(226&gt;='EDT Y TAREAS'!AK33,226&lt;'EDT Y TAREAS'!AL33),'EDT Y TAREAS'!AF33/'EDT Y TAREAS'!M33,0),IF(AND(226&gt;='EDT Y TAREAS'!AK34,226&lt;'EDT Y TAREAS'!AL34),'EDT Y TAREAS'!AF34/'EDT Y TAREAS'!M34,0),IF(AND(226&gt;='EDT Y TAREAS'!AK35,226&lt;'EDT Y TAREAS'!AL35),'EDT Y TAREAS'!AF35/'EDT Y TAREAS'!M35,0),IF(AND(226&gt;='EDT Y TAREAS'!AK37,226&lt;'EDT Y TAREAS'!AL37),'EDT Y TAREAS'!AF37/'EDT Y TAREAS'!M37,0),IF(AND(226&gt;='EDT Y TAREAS'!AK39,226&lt;'EDT Y TAREAS'!AL39),'EDT Y TAREAS'!AF39/'EDT Y TAREAS'!M39,0),IF(AND(226&gt;='EDT Y TAREAS'!AK40,226&lt;'EDT Y TAREAS'!AL40),'EDT Y TAREAS'!AF40/'EDT Y TAREAS'!M40,0),IF(AND(226&gt;='EDT Y TAREAS'!AK42,226&lt;'EDT Y TAREAS'!AL42),'EDT Y TAREAS'!AF42/'EDT Y TAREAS'!M42,0),IF(AND(226&gt;='EDT Y TAREAS'!AK45,226&lt;'EDT Y TAREAS'!AL45),'EDT Y TAREAS'!AF45/'EDT Y TAREAS'!M45,0),IF(AND(226&gt;='EDT Y TAREAS'!AK49,226&lt;'EDT Y TAREAS'!AL49),'EDT Y TAREAS'!AF49/'EDT Y TAREAS'!M49,0),IF(AND(226&gt;='EDT Y TAREAS'!AK52,226&lt;'EDT Y TAREAS'!AL52),'EDT Y TAREAS'!AF52/'EDT Y TAREAS'!M52,0))</x:f>
        <x:v>0</x:v>
      </x:c>
      <x:c r="E266" s="35" t="n">
        <x:f>SUM(IF(AND(226&gt;='EDT Y TAREAS'!AK29,226&lt;'EDT Y TAREAS'!AL29),'EDT Y TAREAS'!AG29/'EDT Y TAREAS'!M29,0),IF(AND(226&gt;='EDT Y TAREAS'!AK30,226&lt;'EDT Y TAREAS'!AL30),'EDT Y TAREAS'!AG30/'EDT Y TAREAS'!M30,0),IF(AND(226&gt;='EDT Y TAREAS'!AK31,226&lt;'EDT Y TAREAS'!AL31),'EDT Y TAREAS'!AG31/'EDT Y TAREAS'!M31,0),IF(AND(226&gt;='EDT Y TAREAS'!AK32,226&lt;'EDT Y TAREAS'!AL32),'EDT Y TAREAS'!AG32/'EDT Y TAREAS'!M32,0),IF(AND(226&gt;='EDT Y TAREAS'!AK41,226&lt;'EDT Y TAREAS'!AL41),'EDT Y TAREAS'!AG41/'EDT Y TAREAS'!M41,0),IF(AND(226&gt;='EDT Y TAREAS'!AK45,226&lt;'EDT Y TAREAS'!AL45),'EDT Y TAREAS'!AG45/'EDT Y TAREAS'!M45,0),IF(AND(226&gt;='EDT Y TAREAS'!AK48,226&lt;'EDT Y TAREAS'!AL48),'EDT Y TAREAS'!AG48/'EDT Y TAREAS'!M48,0))</x:f>
        <x:v>0</x:v>
      </x:c>
      <x:c r="F266" s="35" t="n">
        <x:f>SUM(IF(AND(226&gt;='EDT Y TAREAS'!AK10,226&lt;'EDT Y TAREAS'!AL10),'EDT Y TAREAS'!AH10/'EDT Y TAREAS'!M10,0),IF(AND(226&gt;='EDT Y TAREAS'!AK12,226&lt;'EDT Y TAREAS'!AL12),'EDT Y TAREAS'!AH12/'EDT Y TAREAS'!M12,0),IF(AND(226&gt;='EDT Y TAREAS'!AK22,226&lt;'EDT Y TAREAS'!AL22),'EDT Y TAREAS'!AH22/'EDT Y TAREAS'!M22,0),IF(AND(226&gt;='EDT Y TAREAS'!AK23,226&lt;'EDT Y TAREAS'!AL23),'EDT Y TAREAS'!AH23/'EDT Y TAREAS'!M23,0),IF(AND(226&gt;='EDT Y TAREAS'!AK29,226&lt;'EDT Y TAREAS'!AL29),'EDT Y TAREAS'!AH29/'EDT Y TAREAS'!M29,0),IF(AND(226&gt;='EDT Y TAREAS'!AK30,226&lt;'EDT Y TAREAS'!AL30),'EDT Y TAREAS'!AH30/'EDT Y TAREAS'!M30,0),IF(AND(226&gt;='EDT Y TAREAS'!AK32,226&lt;'EDT Y TAREAS'!AL32),'EDT Y TAREAS'!AH32/'EDT Y TAREAS'!M32,0),IF(AND(226&gt;='EDT Y TAREAS'!AK41,226&lt;'EDT Y TAREAS'!AL41),'EDT Y TAREAS'!AH41/'EDT Y TAREAS'!M41,0),IF(AND(226&gt;='EDT Y TAREAS'!AK44,226&lt;'EDT Y TAREAS'!AL44),'EDT Y TAREAS'!AH44/'EDT Y TAREAS'!M44,0),IF(AND(226&gt;='EDT Y TAREAS'!AK46,226&lt;'EDT Y TAREAS'!AL46),'EDT Y TAREAS'!AH46/'EDT Y TAREAS'!M46,0),IF(AND(226&gt;='EDT Y TAREAS'!AK48,226&lt;'EDT Y TAREAS'!AL48),'EDT Y TAREAS'!AH48/'EDT Y TAREAS'!M48,0))</x:f>
        <x:v>0</x:v>
      </x:c>
      <x:c r="G266" s="35" t="n">
        <x:f>SUM(IF(AND(226&gt;='EDT Y TAREAS'!AK20,226&lt;'EDT Y TAREAS'!AL20),'EDT Y TAREAS'!AI20/'EDT Y TAREAS'!M20,0),IF(AND(226&gt;='EDT Y TAREAS'!AK25,226&lt;'EDT Y TAREAS'!AL25),'EDT Y TAREAS'!AI25/'EDT Y TAREAS'!M25,0),IF(AND(226&gt;='EDT Y TAREAS'!AK33,226&lt;'EDT Y TAREAS'!AL33),'EDT Y TAREAS'!AI33/'EDT Y TAREAS'!M33,0),IF(AND(226&gt;='EDT Y TAREAS'!AK34,226&lt;'EDT Y TAREAS'!AL34),'EDT Y TAREAS'!AI34/'EDT Y TAREAS'!M34,0),IF(AND(226&gt;='EDT Y TAREAS'!AK36,226&lt;'EDT Y TAREAS'!AL36),'EDT Y TAREAS'!AI36/'EDT Y TAREAS'!M36,0),IF(AND(226&gt;='EDT Y TAREAS'!AK39,226&lt;'EDT Y TAREAS'!AL39),'EDT Y TAREAS'!AI39/'EDT Y TAREAS'!M39,0),IF(AND(226&gt;='EDT Y TAREAS'!AK40,226&lt;'EDT Y TAREAS'!AL40),'EDT Y TAREAS'!AI40/'EDT Y TAREAS'!M40,0),IF(AND(226&gt;='EDT Y TAREAS'!AK42,226&lt;'EDT Y TAREAS'!AL42),'EDT Y TAREAS'!AI42/'EDT Y TAREAS'!M42,0),IF(AND(226&gt;='EDT Y TAREAS'!AK43,226&lt;'EDT Y TAREAS'!AL43),'EDT Y TAREAS'!AI43/'EDT Y TAREAS'!M43,0),IF(AND(226&gt;='EDT Y TAREAS'!AK44,226&lt;'EDT Y TAREAS'!AL44),'EDT Y TAREAS'!AI44/'EDT Y TAREAS'!M44,0),IF(AND(226&gt;='EDT Y TAREAS'!AK45,226&lt;'EDT Y TAREAS'!AL45),'EDT Y TAREAS'!AI45/'EDT Y TAREAS'!M45,0),IF(AND(226&gt;='EDT Y TAREAS'!AK46,226&lt;'EDT Y TAREAS'!AL46),'EDT Y TAREAS'!AI46/'EDT Y TAREAS'!M46,0),IF(AND(226&gt;='EDT Y TAREAS'!AK48,226&lt;'EDT Y TAREAS'!AL48),'EDT Y TAREAS'!AI48/'EDT Y TAREAS'!M48,0),IF(AND(226&gt;='EDT Y TAREAS'!AK50,226&lt;'EDT Y TAREAS'!AL50),'EDT Y TAREAS'!AI50/'EDT Y TAREAS'!M50,0),IF(AND(226&gt;='EDT Y TAREAS'!AK52,226&lt;'EDT Y TAREAS'!AL52),'EDT Y TAREAS'!AI52/'EDT Y TAREAS'!M52,0))</x:f>
        <x:v>0</x:v>
      </x:c>
      <x:c r="H266" s="35" t="n">
        <x:f>SUM(IF(AND(226&gt;='EDT Y TAREAS'!AK11,226&lt;'EDT Y TAREAS'!AL11),'EDT Y TAREAS'!AJ11/'EDT Y TAREAS'!M11,0),IF(AND(226&gt;='EDT Y TAREAS'!AK24,226&lt;'EDT Y TAREAS'!AL24),'EDT Y TAREAS'!AJ24/'EDT Y TAREAS'!M24,0),IF(AND(226&gt;='EDT Y TAREAS'!AK27,226&lt;'EDT Y TAREAS'!AL27),'EDT Y TAREAS'!AJ27/'EDT Y TAREAS'!M27,0),IF(AND(226&gt;='EDT Y TAREAS'!AK28,226&lt;'EDT Y TAREAS'!AL28),'EDT Y TAREAS'!AJ28/'EDT Y TAREAS'!M28,0),IF(AND(226&gt;='EDT Y TAREAS'!AK33,226&lt;'EDT Y TAREAS'!AL33),'EDT Y TAREAS'!AJ33/'EDT Y TAREAS'!M33,0),IF(AND(226&gt;='EDT Y TAREAS'!AK35,226&lt;'EDT Y TAREAS'!AL35),'EDT Y TAREAS'!AJ35/'EDT Y TAREAS'!M35,0),IF(AND(226&gt;='EDT Y TAREAS'!AK36,226&lt;'EDT Y TAREAS'!AL36),'EDT Y TAREAS'!AJ36/'EDT Y TAREAS'!M36,0),IF(AND(226&gt;='EDT Y TAREAS'!AK37,226&lt;'EDT Y TAREAS'!AL37),'EDT Y TAREAS'!AJ37/'EDT Y TAREAS'!M37,0),IF(AND(226&gt;='EDT Y TAREAS'!AK40,226&lt;'EDT Y TAREAS'!AL40),'EDT Y TAREAS'!AJ40/'EDT Y TAREAS'!M40,0),IF(AND(226&gt;='EDT Y TAREAS'!AK42,226&lt;'EDT Y TAREAS'!AL42),'EDT Y TAREAS'!AJ42/'EDT Y TAREAS'!M42,0),IF(AND(226&gt;='EDT Y TAREAS'!AK49,226&lt;'EDT Y TAREAS'!AL49),'EDT Y TAREAS'!AJ49/'EDT Y TAREAS'!M49,0),IF(AND(226&gt;='EDT Y TAREAS'!AK50,226&lt;'EDT Y TAREAS'!AL50),'EDT Y TAREAS'!AJ50/'EDT Y TAREAS'!M50,0),IF(AND(226&gt;='EDT Y TAREAS'!AK51,226&lt;'EDT Y TAREAS'!AL51),'EDT Y TAREAS'!AJ51/'EDT Y TAREAS'!M51,0),IF(AND(226&gt;='EDT Y TAREAS'!AK52,226&lt;'EDT Y TAREAS'!AL52),'EDT Y TAREAS'!AJ52/'EDT Y TAREAS'!M52,0))</x:f>
        <x:v>0</x:v>
      </x:c>
      <x:c r="I266" s="10" t="n">
        <x:f>WORKDAY('RESUMEN'!$D$3-1,A266,'RESUMEN'!$J$6:$J$25)</x:f>
        <x:v>46644</x:v>
      </x:c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  <x:c r="AA266" s="3"/>
      <x:c r="AB266" s="3"/>
      <x:c r="AC266" s="3"/>
      <x:c r="AD266" s="3"/>
      <x:c r="AE266" s="3"/>
      <x:c r="AF266" s="3"/>
      <x:c r="AG266" s="3"/>
      <x:c r="AH266" s="3"/>
      <x:c r="AI266" s="3"/>
      <x:c r="AJ266" s="3"/>
      <x:c r="AK266" s="3"/>
      <x:c r="AL266" s="3"/>
      <x:c r="AM266" s="3"/>
      <x:c r="AN266" s="3"/>
      <x:c r="AO266" s="3"/>
    </x:row>
    <x:row r="267" ht="24" customHeight="1">
      <x:c r="A267" s="3" t="n">
        <x:v>228</x:v>
      </x:c>
      <x:c r="B267" s="35" t="n">
        <x:f>SUM(IF(AND(227&gt;='EDT Y TAREAS'!AK6,227&lt;'EDT Y TAREAS'!AL6),'EDT Y TAREAS'!AD6/'EDT Y TAREAS'!M6,0),IF(AND(227&gt;='EDT Y TAREAS'!AK7,227&lt;'EDT Y TAREAS'!AL7),'EDT Y TAREAS'!AD7/'EDT Y TAREAS'!M7,0),IF(AND(227&gt;='EDT Y TAREAS'!AK8,227&lt;'EDT Y TAREAS'!AL8),'EDT Y TAREAS'!AD8/'EDT Y TAREAS'!M8,0),IF(AND(227&gt;='EDT Y TAREAS'!AK9,227&lt;'EDT Y TAREAS'!AL9),'EDT Y TAREAS'!AD9/'EDT Y TAREAS'!M9,0),IF(AND(227&gt;='EDT Y TAREAS'!AK10,227&lt;'EDT Y TAREAS'!AL10),'EDT Y TAREAS'!AD10/'EDT Y TAREAS'!M10,0),IF(AND(227&gt;='EDT Y TAREAS'!AK11,227&lt;'EDT Y TAREAS'!AL11),'EDT Y TAREAS'!AD11/'EDT Y TAREAS'!M11,0),IF(AND(227&gt;='EDT Y TAREAS'!AK12,227&lt;'EDT Y TAREAS'!AL12),'EDT Y TAREAS'!AD12/'EDT Y TAREAS'!M12,0),IF(AND(227&gt;='EDT Y TAREAS'!AK13,227&lt;'EDT Y TAREAS'!AL13),'EDT Y TAREAS'!AD13/'EDT Y TAREAS'!M13,0),IF(AND(227&gt;='EDT Y TAREAS'!AK14,227&lt;'EDT Y TAREAS'!AL14),'EDT Y TAREAS'!AD14/'EDT Y TAREAS'!M14,0),IF(AND(227&gt;='EDT Y TAREAS'!AK15,227&lt;'EDT Y TAREAS'!AL15),'EDT Y TAREAS'!AD15/'EDT Y TAREAS'!M15,0),IF(AND(227&gt;='EDT Y TAREAS'!AK16,227&lt;'EDT Y TAREAS'!AL16),'EDT Y TAREAS'!AD16/'EDT Y TAREAS'!M16,0),IF(AND(227&gt;='EDT Y TAREAS'!AK17,227&lt;'EDT Y TAREAS'!AL17),'EDT Y TAREAS'!AD17/'EDT Y TAREAS'!M17,0),IF(AND(227&gt;='EDT Y TAREAS'!AK18,227&lt;'EDT Y TAREAS'!AL18),'EDT Y TAREAS'!AD18/'EDT Y TAREAS'!M18,0),IF(AND(227&gt;='EDT Y TAREAS'!AK19,227&lt;'EDT Y TAREAS'!AL19),'EDT Y TAREAS'!AD19/'EDT Y TAREAS'!M19,0),IF(AND(227&gt;='EDT Y TAREAS'!AK20,227&lt;'EDT Y TAREAS'!AL20),'EDT Y TAREAS'!AD20/'EDT Y TAREAS'!M20,0),IF(AND(227&gt;='EDT Y TAREAS'!AK21,227&lt;'EDT Y TAREAS'!AL21),'EDT Y TAREAS'!AD21/'EDT Y TAREAS'!M21,0),IF(AND(227&gt;='EDT Y TAREAS'!AK22,227&lt;'EDT Y TAREAS'!AL22),'EDT Y TAREAS'!AD22/'EDT Y TAREAS'!M22,0),IF(AND(227&gt;='EDT Y TAREAS'!AK23,227&lt;'EDT Y TAREAS'!AL23),'EDT Y TAREAS'!AD23/'EDT Y TAREAS'!M23,0),IF(AND(227&gt;='EDT Y TAREAS'!AK26,227&lt;'EDT Y TAREAS'!AL26),'EDT Y TAREAS'!AD26/'EDT Y TAREAS'!M26,0),IF(AND(227&gt;='EDT Y TAREAS'!AK28,227&lt;'EDT Y TAREAS'!AL28),'EDT Y TAREAS'!AD28/'EDT Y TAREAS'!M28,0),IF(AND(227&gt;='EDT Y TAREAS'!AK30,227&lt;'EDT Y TAREAS'!AL30),'EDT Y TAREAS'!AD30/'EDT Y TAREAS'!M30,0),IF(AND(227&gt;='EDT Y TAREAS'!AK32,227&lt;'EDT Y TAREAS'!AL32),'EDT Y TAREAS'!AD32/'EDT Y TAREAS'!M32,0),IF(AND(227&gt;='EDT Y TAREAS'!AK34,227&lt;'EDT Y TAREAS'!AL34),'EDT Y TAREAS'!AD34/'EDT Y TAREAS'!M34,0),IF(AND(227&gt;='EDT Y TAREAS'!AK38,227&lt;'EDT Y TAREAS'!AL38),'EDT Y TAREAS'!AD38/'EDT Y TAREAS'!M38,0),IF(AND(227&gt;='EDT Y TAREAS'!AK39,227&lt;'EDT Y TAREAS'!AL39),'EDT Y TAREAS'!AD39/'EDT Y TAREAS'!M39,0),IF(AND(227&gt;='EDT Y TAREAS'!AK43,227&lt;'EDT Y TAREAS'!AL43),'EDT Y TAREAS'!AD43/'EDT Y TAREAS'!M43,0),IF(AND(227&gt;='EDT Y TAREAS'!AK44,227&lt;'EDT Y TAREAS'!AL44),'EDT Y TAREAS'!AD44/'EDT Y TAREAS'!M44,0),IF(AND(227&gt;='EDT Y TAREAS'!AK45,227&lt;'EDT Y TAREAS'!AL45),'EDT Y TAREAS'!AD45/'EDT Y TAREAS'!M45,0),IF(AND(227&gt;='EDT Y TAREAS'!AK46,227&lt;'EDT Y TAREAS'!AL46),'EDT Y TAREAS'!AD46/'EDT Y TAREAS'!M46,0),IF(AND(227&gt;='EDT Y TAREAS'!AK47,227&lt;'EDT Y TAREAS'!AL47),'EDT Y TAREAS'!AD47/'EDT Y TAREAS'!M47,0),IF(AND(227&gt;='EDT Y TAREAS'!AK49,227&lt;'EDT Y TAREAS'!AL49),'EDT Y TAREAS'!AD49/'EDT Y TAREAS'!M49,0),IF(AND(227&gt;='EDT Y TAREAS'!AK50,227&lt;'EDT Y TAREAS'!AL50),'EDT Y TAREAS'!AD50/'EDT Y TAREAS'!M50,0),IF(AND(227&gt;='EDT Y TAREAS'!AK51,227&lt;'EDT Y TAREAS'!AL51),'EDT Y TAREAS'!AD51/'EDT Y TAREAS'!M51,0),IF(AND(227&gt;='EDT Y TAREAS'!AK52,227&lt;'EDT Y TAREAS'!AL52),'EDT Y TAREAS'!AD52/'EDT Y TAREAS'!M52,0))</x:f>
        <x:v>0</x:v>
      </x:c>
      <x:c r="C267" s="35" t="n">
        <x:f>SUM(IF(AND(227&gt;='EDT Y TAREAS'!AK6,227&lt;'EDT Y TAREAS'!AL6),'EDT Y TAREAS'!AE6/'EDT Y TAREAS'!M6,0),IF(AND(227&gt;='EDT Y TAREAS'!AK8,227&lt;'EDT Y TAREAS'!AL8),'EDT Y TAREAS'!AE8/'EDT Y TAREAS'!M8,0),IF(AND(227&gt;='EDT Y TAREAS'!AK9,227&lt;'EDT Y TAREAS'!AL9),'EDT Y TAREAS'!AE9/'EDT Y TAREAS'!M9,0),IF(AND(227&gt;='EDT Y TAREAS'!AK10,227&lt;'EDT Y TAREAS'!AL10),'EDT Y TAREAS'!AE10/'EDT Y TAREAS'!M10,0),IF(AND(227&gt;='EDT Y TAREAS'!AK12,227&lt;'EDT Y TAREAS'!AL12),'EDT Y TAREAS'!AE12/'EDT Y TAREAS'!M12,0),IF(AND(227&gt;='EDT Y TAREAS'!AK16,227&lt;'EDT Y TAREAS'!AL16),'EDT Y TAREAS'!AE16/'EDT Y TAREAS'!M16,0),IF(AND(227&gt;='EDT Y TAREAS'!AK21,227&lt;'EDT Y TAREAS'!AL21),'EDT Y TAREAS'!AE21/'EDT Y TAREAS'!M21,0),IF(AND(227&gt;='EDT Y TAREAS'!AK23,227&lt;'EDT Y TAREAS'!AL23),'EDT Y TAREAS'!AE23/'EDT Y TAREAS'!M23,0),IF(AND(227&gt;='EDT Y TAREAS'!AK37,227&lt;'EDT Y TAREAS'!AL37),'EDT Y TAREAS'!AE37/'EDT Y TAREAS'!M37,0),IF(AND(227&gt;='EDT Y TAREAS'!AK38,227&lt;'EDT Y TAREAS'!AL38),'EDT Y TAREAS'!AE38/'EDT Y TAREAS'!M38,0),IF(AND(227&gt;='EDT Y TAREAS'!AK41,227&lt;'EDT Y TAREAS'!AL41),'EDT Y TAREAS'!AE41/'EDT Y TAREAS'!M41,0),IF(AND(227&gt;='EDT Y TAREAS'!AK43,227&lt;'EDT Y TAREAS'!AL43),'EDT Y TAREAS'!AE43/'EDT Y TAREAS'!M43,0),IF(AND(227&gt;='EDT Y TAREAS'!AK44,227&lt;'EDT Y TAREAS'!AL44),'EDT Y TAREAS'!AE44/'EDT Y TAREAS'!M44,0),IF(AND(227&gt;='EDT Y TAREAS'!AK46,227&lt;'EDT Y TAREAS'!AL46),'EDT Y TAREAS'!AE46/'EDT Y TAREAS'!M46,0),IF(AND(227&gt;='EDT Y TAREAS'!AK47,227&lt;'EDT Y TAREAS'!AL47),'EDT Y TAREAS'!AE47/'EDT Y TAREAS'!M47,0),IF(AND(227&gt;='EDT Y TAREAS'!AK51,227&lt;'EDT Y TAREAS'!AL51),'EDT Y TAREAS'!AE51/'EDT Y TAREAS'!M51,0),IF(AND(227&gt;='EDT Y TAREAS'!AK52,227&lt;'EDT Y TAREAS'!AL52),'EDT Y TAREAS'!AE52/'EDT Y TAREAS'!M52,0))</x:f>
        <x:v>0</x:v>
      </x:c>
      <x:c r="D267" s="35" t="n">
        <x:f>SUM(IF(AND(227&gt;='EDT Y TAREAS'!AK11,227&lt;'EDT Y TAREAS'!AL11),'EDT Y TAREAS'!AF11/'EDT Y TAREAS'!M11,0),IF(AND(227&gt;='EDT Y TAREAS'!AK24,227&lt;'EDT Y TAREAS'!AL24),'EDT Y TAREAS'!AF24/'EDT Y TAREAS'!M24,0),IF(AND(227&gt;='EDT Y TAREAS'!AK25,227&lt;'EDT Y TAREAS'!AL25),'EDT Y TAREAS'!AF25/'EDT Y TAREAS'!M25,0),IF(AND(227&gt;='EDT Y TAREAS'!AK26,227&lt;'EDT Y TAREAS'!AL26),'EDT Y TAREAS'!AF26/'EDT Y TAREAS'!M26,0),IF(AND(227&gt;='EDT Y TAREAS'!AK27,227&lt;'EDT Y TAREAS'!AL27),'EDT Y TAREAS'!AF27/'EDT Y TAREAS'!M27,0),IF(AND(227&gt;='EDT Y TAREAS'!AK28,227&lt;'EDT Y TAREAS'!AL28),'EDT Y TAREAS'!AF28/'EDT Y TAREAS'!M28,0),IF(AND(227&gt;='EDT Y TAREAS'!AK31,227&lt;'EDT Y TAREAS'!AL31),'EDT Y TAREAS'!AF31/'EDT Y TAREAS'!M31,0),IF(AND(227&gt;='EDT Y TAREAS'!AK33,227&lt;'EDT Y TAREAS'!AL33),'EDT Y TAREAS'!AF33/'EDT Y TAREAS'!M33,0),IF(AND(227&gt;='EDT Y TAREAS'!AK34,227&lt;'EDT Y TAREAS'!AL34),'EDT Y TAREAS'!AF34/'EDT Y TAREAS'!M34,0),IF(AND(227&gt;='EDT Y TAREAS'!AK35,227&lt;'EDT Y TAREAS'!AL35),'EDT Y TAREAS'!AF35/'EDT Y TAREAS'!M35,0),IF(AND(227&gt;='EDT Y TAREAS'!AK37,227&lt;'EDT Y TAREAS'!AL37),'EDT Y TAREAS'!AF37/'EDT Y TAREAS'!M37,0),IF(AND(227&gt;='EDT Y TAREAS'!AK39,227&lt;'EDT Y TAREAS'!AL39),'EDT Y TAREAS'!AF39/'EDT Y TAREAS'!M39,0),IF(AND(227&gt;='EDT Y TAREAS'!AK40,227&lt;'EDT Y TAREAS'!AL40),'EDT Y TAREAS'!AF40/'EDT Y TAREAS'!M40,0),IF(AND(227&gt;='EDT Y TAREAS'!AK42,227&lt;'EDT Y TAREAS'!AL42),'EDT Y TAREAS'!AF42/'EDT Y TAREAS'!M42,0),IF(AND(227&gt;='EDT Y TAREAS'!AK45,227&lt;'EDT Y TAREAS'!AL45),'EDT Y TAREAS'!AF45/'EDT Y TAREAS'!M45,0),IF(AND(227&gt;='EDT Y TAREAS'!AK49,227&lt;'EDT Y TAREAS'!AL49),'EDT Y TAREAS'!AF49/'EDT Y TAREAS'!M49,0),IF(AND(227&gt;='EDT Y TAREAS'!AK52,227&lt;'EDT Y TAREAS'!AL52),'EDT Y TAREAS'!AF52/'EDT Y TAREAS'!M52,0))</x:f>
        <x:v>0</x:v>
      </x:c>
      <x:c r="E267" s="35" t="n">
        <x:f>SUM(IF(AND(227&gt;='EDT Y TAREAS'!AK29,227&lt;'EDT Y TAREAS'!AL29),'EDT Y TAREAS'!AG29/'EDT Y TAREAS'!M29,0),IF(AND(227&gt;='EDT Y TAREAS'!AK30,227&lt;'EDT Y TAREAS'!AL30),'EDT Y TAREAS'!AG30/'EDT Y TAREAS'!M30,0),IF(AND(227&gt;='EDT Y TAREAS'!AK31,227&lt;'EDT Y TAREAS'!AL31),'EDT Y TAREAS'!AG31/'EDT Y TAREAS'!M31,0),IF(AND(227&gt;='EDT Y TAREAS'!AK32,227&lt;'EDT Y TAREAS'!AL32),'EDT Y TAREAS'!AG32/'EDT Y TAREAS'!M32,0),IF(AND(227&gt;='EDT Y TAREAS'!AK41,227&lt;'EDT Y TAREAS'!AL41),'EDT Y TAREAS'!AG41/'EDT Y TAREAS'!M41,0),IF(AND(227&gt;='EDT Y TAREAS'!AK45,227&lt;'EDT Y TAREAS'!AL45),'EDT Y TAREAS'!AG45/'EDT Y TAREAS'!M45,0),IF(AND(227&gt;='EDT Y TAREAS'!AK48,227&lt;'EDT Y TAREAS'!AL48),'EDT Y TAREAS'!AG48/'EDT Y TAREAS'!M48,0))</x:f>
        <x:v>0</x:v>
      </x:c>
      <x:c r="F267" s="35" t="n">
        <x:f>SUM(IF(AND(227&gt;='EDT Y TAREAS'!AK10,227&lt;'EDT Y TAREAS'!AL10),'EDT Y TAREAS'!AH10/'EDT Y TAREAS'!M10,0),IF(AND(227&gt;='EDT Y TAREAS'!AK12,227&lt;'EDT Y TAREAS'!AL12),'EDT Y TAREAS'!AH12/'EDT Y TAREAS'!M12,0),IF(AND(227&gt;='EDT Y TAREAS'!AK22,227&lt;'EDT Y TAREAS'!AL22),'EDT Y TAREAS'!AH22/'EDT Y TAREAS'!M22,0),IF(AND(227&gt;='EDT Y TAREAS'!AK23,227&lt;'EDT Y TAREAS'!AL23),'EDT Y TAREAS'!AH23/'EDT Y TAREAS'!M23,0),IF(AND(227&gt;='EDT Y TAREAS'!AK29,227&lt;'EDT Y TAREAS'!AL29),'EDT Y TAREAS'!AH29/'EDT Y TAREAS'!M29,0),IF(AND(227&gt;='EDT Y TAREAS'!AK30,227&lt;'EDT Y TAREAS'!AL30),'EDT Y TAREAS'!AH30/'EDT Y TAREAS'!M30,0),IF(AND(227&gt;='EDT Y TAREAS'!AK32,227&lt;'EDT Y TAREAS'!AL32),'EDT Y TAREAS'!AH32/'EDT Y TAREAS'!M32,0),IF(AND(227&gt;='EDT Y TAREAS'!AK41,227&lt;'EDT Y TAREAS'!AL41),'EDT Y TAREAS'!AH41/'EDT Y TAREAS'!M41,0),IF(AND(227&gt;='EDT Y TAREAS'!AK44,227&lt;'EDT Y TAREAS'!AL44),'EDT Y TAREAS'!AH44/'EDT Y TAREAS'!M44,0),IF(AND(227&gt;='EDT Y TAREAS'!AK46,227&lt;'EDT Y TAREAS'!AL46),'EDT Y TAREAS'!AH46/'EDT Y TAREAS'!M46,0),IF(AND(227&gt;='EDT Y TAREAS'!AK48,227&lt;'EDT Y TAREAS'!AL48),'EDT Y TAREAS'!AH48/'EDT Y TAREAS'!M48,0))</x:f>
        <x:v>0</x:v>
      </x:c>
      <x:c r="G267" s="35" t="n">
        <x:f>SUM(IF(AND(227&gt;='EDT Y TAREAS'!AK20,227&lt;'EDT Y TAREAS'!AL20),'EDT Y TAREAS'!AI20/'EDT Y TAREAS'!M20,0),IF(AND(227&gt;='EDT Y TAREAS'!AK25,227&lt;'EDT Y TAREAS'!AL25),'EDT Y TAREAS'!AI25/'EDT Y TAREAS'!M25,0),IF(AND(227&gt;='EDT Y TAREAS'!AK33,227&lt;'EDT Y TAREAS'!AL33),'EDT Y TAREAS'!AI33/'EDT Y TAREAS'!M33,0),IF(AND(227&gt;='EDT Y TAREAS'!AK34,227&lt;'EDT Y TAREAS'!AL34),'EDT Y TAREAS'!AI34/'EDT Y TAREAS'!M34,0),IF(AND(227&gt;='EDT Y TAREAS'!AK36,227&lt;'EDT Y TAREAS'!AL36),'EDT Y TAREAS'!AI36/'EDT Y TAREAS'!M36,0),IF(AND(227&gt;='EDT Y TAREAS'!AK39,227&lt;'EDT Y TAREAS'!AL39),'EDT Y TAREAS'!AI39/'EDT Y TAREAS'!M39,0),IF(AND(227&gt;='EDT Y TAREAS'!AK40,227&lt;'EDT Y TAREAS'!AL40),'EDT Y TAREAS'!AI40/'EDT Y TAREAS'!M40,0),IF(AND(227&gt;='EDT Y TAREAS'!AK42,227&lt;'EDT Y TAREAS'!AL42),'EDT Y TAREAS'!AI42/'EDT Y TAREAS'!M42,0),IF(AND(227&gt;='EDT Y TAREAS'!AK43,227&lt;'EDT Y TAREAS'!AL43),'EDT Y TAREAS'!AI43/'EDT Y TAREAS'!M43,0),IF(AND(227&gt;='EDT Y TAREAS'!AK44,227&lt;'EDT Y TAREAS'!AL44),'EDT Y TAREAS'!AI44/'EDT Y TAREAS'!M44,0),IF(AND(227&gt;='EDT Y TAREAS'!AK45,227&lt;'EDT Y TAREAS'!AL45),'EDT Y TAREAS'!AI45/'EDT Y TAREAS'!M45,0),IF(AND(227&gt;='EDT Y TAREAS'!AK46,227&lt;'EDT Y TAREAS'!AL46),'EDT Y TAREAS'!AI46/'EDT Y TAREAS'!M46,0),IF(AND(227&gt;='EDT Y TAREAS'!AK48,227&lt;'EDT Y TAREAS'!AL48),'EDT Y TAREAS'!AI48/'EDT Y TAREAS'!M48,0),IF(AND(227&gt;='EDT Y TAREAS'!AK50,227&lt;'EDT Y TAREAS'!AL50),'EDT Y TAREAS'!AI50/'EDT Y TAREAS'!M50,0),IF(AND(227&gt;='EDT Y TAREAS'!AK52,227&lt;'EDT Y TAREAS'!AL52),'EDT Y TAREAS'!AI52/'EDT Y TAREAS'!M52,0))</x:f>
        <x:v>0</x:v>
      </x:c>
      <x:c r="H267" s="35" t="n">
        <x:f>SUM(IF(AND(227&gt;='EDT Y TAREAS'!AK11,227&lt;'EDT Y TAREAS'!AL11),'EDT Y TAREAS'!AJ11/'EDT Y TAREAS'!M11,0),IF(AND(227&gt;='EDT Y TAREAS'!AK24,227&lt;'EDT Y TAREAS'!AL24),'EDT Y TAREAS'!AJ24/'EDT Y TAREAS'!M24,0),IF(AND(227&gt;='EDT Y TAREAS'!AK27,227&lt;'EDT Y TAREAS'!AL27),'EDT Y TAREAS'!AJ27/'EDT Y TAREAS'!M27,0),IF(AND(227&gt;='EDT Y TAREAS'!AK28,227&lt;'EDT Y TAREAS'!AL28),'EDT Y TAREAS'!AJ28/'EDT Y TAREAS'!M28,0),IF(AND(227&gt;='EDT Y TAREAS'!AK33,227&lt;'EDT Y TAREAS'!AL33),'EDT Y TAREAS'!AJ33/'EDT Y TAREAS'!M33,0),IF(AND(227&gt;='EDT Y TAREAS'!AK35,227&lt;'EDT Y TAREAS'!AL35),'EDT Y TAREAS'!AJ35/'EDT Y TAREAS'!M35,0),IF(AND(227&gt;='EDT Y TAREAS'!AK36,227&lt;'EDT Y TAREAS'!AL36),'EDT Y TAREAS'!AJ36/'EDT Y TAREAS'!M36,0),IF(AND(227&gt;='EDT Y TAREAS'!AK37,227&lt;'EDT Y TAREAS'!AL37),'EDT Y TAREAS'!AJ37/'EDT Y TAREAS'!M37,0),IF(AND(227&gt;='EDT Y TAREAS'!AK40,227&lt;'EDT Y TAREAS'!AL40),'EDT Y TAREAS'!AJ40/'EDT Y TAREAS'!M40,0),IF(AND(227&gt;='EDT Y TAREAS'!AK42,227&lt;'EDT Y TAREAS'!AL42),'EDT Y TAREAS'!AJ42/'EDT Y TAREAS'!M42,0),IF(AND(227&gt;='EDT Y TAREAS'!AK49,227&lt;'EDT Y TAREAS'!AL49),'EDT Y TAREAS'!AJ49/'EDT Y TAREAS'!M49,0),IF(AND(227&gt;='EDT Y TAREAS'!AK50,227&lt;'EDT Y TAREAS'!AL50),'EDT Y TAREAS'!AJ50/'EDT Y TAREAS'!M50,0),IF(AND(227&gt;='EDT Y TAREAS'!AK51,227&lt;'EDT Y TAREAS'!AL51),'EDT Y TAREAS'!AJ51/'EDT Y TAREAS'!M51,0),IF(AND(227&gt;='EDT Y TAREAS'!AK52,227&lt;'EDT Y TAREAS'!AL52),'EDT Y TAREAS'!AJ52/'EDT Y TAREAS'!M52,0))</x:f>
        <x:v>0</x:v>
      </x:c>
      <x:c r="I267" s="10" t="n">
        <x:f>WORKDAY('RESUMEN'!$D$3-1,A267,'RESUMEN'!$J$6:$J$25)</x:f>
        <x:v>46645</x:v>
      </x:c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  <x:c r="AA267" s="3"/>
      <x:c r="AB267" s="3"/>
      <x:c r="AC267" s="3"/>
      <x:c r="AD267" s="3"/>
      <x:c r="AE267" s="3"/>
      <x:c r="AF267" s="3"/>
      <x:c r="AG267" s="3"/>
      <x:c r="AH267" s="3"/>
      <x:c r="AI267" s="3"/>
      <x:c r="AJ267" s="3"/>
      <x:c r="AK267" s="3"/>
      <x:c r="AL267" s="3"/>
      <x:c r="AM267" s="3"/>
      <x:c r="AN267" s="3"/>
      <x:c r="AO267" s="3"/>
    </x:row>
    <x:row r="268" ht="24" customHeight="1">
      <x:c r="A268" s="3" t="n">
        <x:v>229</x:v>
      </x:c>
      <x:c r="B268" s="35" t="n">
        <x:f>SUM(IF(AND(228&gt;='EDT Y TAREAS'!AK6,228&lt;'EDT Y TAREAS'!AL6),'EDT Y TAREAS'!AD6/'EDT Y TAREAS'!M6,0),IF(AND(228&gt;='EDT Y TAREAS'!AK7,228&lt;'EDT Y TAREAS'!AL7),'EDT Y TAREAS'!AD7/'EDT Y TAREAS'!M7,0),IF(AND(228&gt;='EDT Y TAREAS'!AK8,228&lt;'EDT Y TAREAS'!AL8),'EDT Y TAREAS'!AD8/'EDT Y TAREAS'!M8,0),IF(AND(228&gt;='EDT Y TAREAS'!AK9,228&lt;'EDT Y TAREAS'!AL9),'EDT Y TAREAS'!AD9/'EDT Y TAREAS'!M9,0),IF(AND(228&gt;='EDT Y TAREAS'!AK10,228&lt;'EDT Y TAREAS'!AL10),'EDT Y TAREAS'!AD10/'EDT Y TAREAS'!M10,0),IF(AND(228&gt;='EDT Y TAREAS'!AK11,228&lt;'EDT Y TAREAS'!AL11),'EDT Y TAREAS'!AD11/'EDT Y TAREAS'!M11,0),IF(AND(228&gt;='EDT Y TAREAS'!AK12,228&lt;'EDT Y TAREAS'!AL12),'EDT Y TAREAS'!AD12/'EDT Y TAREAS'!M12,0),IF(AND(228&gt;='EDT Y TAREAS'!AK13,228&lt;'EDT Y TAREAS'!AL13),'EDT Y TAREAS'!AD13/'EDT Y TAREAS'!M13,0),IF(AND(228&gt;='EDT Y TAREAS'!AK14,228&lt;'EDT Y TAREAS'!AL14),'EDT Y TAREAS'!AD14/'EDT Y TAREAS'!M14,0),IF(AND(228&gt;='EDT Y TAREAS'!AK15,228&lt;'EDT Y TAREAS'!AL15),'EDT Y TAREAS'!AD15/'EDT Y TAREAS'!M15,0),IF(AND(228&gt;='EDT Y TAREAS'!AK16,228&lt;'EDT Y TAREAS'!AL16),'EDT Y TAREAS'!AD16/'EDT Y TAREAS'!M16,0),IF(AND(228&gt;='EDT Y TAREAS'!AK17,228&lt;'EDT Y TAREAS'!AL17),'EDT Y TAREAS'!AD17/'EDT Y TAREAS'!M17,0),IF(AND(228&gt;='EDT Y TAREAS'!AK18,228&lt;'EDT Y TAREAS'!AL18),'EDT Y TAREAS'!AD18/'EDT Y TAREAS'!M18,0),IF(AND(228&gt;='EDT Y TAREAS'!AK19,228&lt;'EDT Y TAREAS'!AL19),'EDT Y TAREAS'!AD19/'EDT Y TAREAS'!M19,0),IF(AND(228&gt;='EDT Y TAREAS'!AK20,228&lt;'EDT Y TAREAS'!AL20),'EDT Y TAREAS'!AD20/'EDT Y TAREAS'!M20,0),IF(AND(228&gt;='EDT Y TAREAS'!AK21,228&lt;'EDT Y TAREAS'!AL21),'EDT Y TAREAS'!AD21/'EDT Y TAREAS'!M21,0),IF(AND(228&gt;='EDT Y TAREAS'!AK22,228&lt;'EDT Y TAREAS'!AL22),'EDT Y TAREAS'!AD22/'EDT Y TAREAS'!M22,0),IF(AND(228&gt;='EDT Y TAREAS'!AK23,228&lt;'EDT Y TAREAS'!AL23),'EDT Y TAREAS'!AD23/'EDT Y TAREAS'!M23,0),IF(AND(228&gt;='EDT Y TAREAS'!AK26,228&lt;'EDT Y TAREAS'!AL26),'EDT Y TAREAS'!AD26/'EDT Y TAREAS'!M26,0),IF(AND(228&gt;='EDT Y TAREAS'!AK28,228&lt;'EDT Y TAREAS'!AL28),'EDT Y TAREAS'!AD28/'EDT Y TAREAS'!M28,0),IF(AND(228&gt;='EDT Y TAREAS'!AK30,228&lt;'EDT Y TAREAS'!AL30),'EDT Y TAREAS'!AD30/'EDT Y TAREAS'!M30,0),IF(AND(228&gt;='EDT Y TAREAS'!AK32,228&lt;'EDT Y TAREAS'!AL32),'EDT Y TAREAS'!AD32/'EDT Y TAREAS'!M32,0),IF(AND(228&gt;='EDT Y TAREAS'!AK34,228&lt;'EDT Y TAREAS'!AL34),'EDT Y TAREAS'!AD34/'EDT Y TAREAS'!M34,0),IF(AND(228&gt;='EDT Y TAREAS'!AK38,228&lt;'EDT Y TAREAS'!AL38),'EDT Y TAREAS'!AD38/'EDT Y TAREAS'!M38,0),IF(AND(228&gt;='EDT Y TAREAS'!AK39,228&lt;'EDT Y TAREAS'!AL39),'EDT Y TAREAS'!AD39/'EDT Y TAREAS'!M39,0),IF(AND(228&gt;='EDT Y TAREAS'!AK43,228&lt;'EDT Y TAREAS'!AL43),'EDT Y TAREAS'!AD43/'EDT Y TAREAS'!M43,0),IF(AND(228&gt;='EDT Y TAREAS'!AK44,228&lt;'EDT Y TAREAS'!AL44),'EDT Y TAREAS'!AD44/'EDT Y TAREAS'!M44,0),IF(AND(228&gt;='EDT Y TAREAS'!AK45,228&lt;'EDT Y TAREAS'!AL45),'EDT Y TAREAS'!AD45/'EDT Y TAREAS'!M45,0),IF(AND(228&gt;='EDT Y TAREAS'!AK46,228&lt;'EDT Y TAREAS'!AL46),'EDT Y TAREAS'!AD46/'EDT Y TAREAS'!M46,0),IF(AND(228&gt;='EDT Y TAREAS'!AK47,228&lt;'EDT Y TAREAS'!AL47),'EDT Y TAREAS'!AD47/'EDT Y TAREAS'!M47,0),IF(AND(228&gt;='EDT Y TAREAS'!AK49,228&lt;'EDT Y TAREAS'!AL49),'EDT Y TAREAS'!AD49/'EDT Y TAREAS'!M49,0),IF(AND(228&gt;='EDT Y TAREAS'!AK50,228&lt;'EDT Y TAREAS'!AL50),'EDT Y TAREAS'!AD50/'EDT Y TAREAS'!M50,0),IF(AND(228&gt;='EDT Y TAREAS'!AK51,228&lt;'EDT Y TAREAS'!AL51),'EDT Y TAREAS'!AD51/'EDT Y TAREAS'!M51,0),IF(AND(228&gt;='EDT Y TAREAS'!AK52,228&lt;'EDT Y TAREAS'!AL52),'EDT Y TAREAS'!AD52/'EDT Y TAREAS'!M52,0))</x:f>
        <x:v>0</x:v>
      </x:c>
      <x:c r="C268" s="35" t="n">
        <x:f>SUM(IF(AND(228&gt;='EDT Y TAREAS'!AK6,228&lt;'EDT Y TAREAS'!AL6),'EDT Y TAREAS'!AE6/'EDT Y TAREAS'!M6,0),IF(AND(228&gt;='EDT Y TAREAS'!AK8,228&lt;'EDT Y TAREAS'!AL8),'EDT Y TAREAS'!AE8/'EDT Y TAREAS'!M8,0),IF(AND(228&gt;='EDT Y TAREAS'!AK9,228&lt;'EDT Y TAREAS'!AL9),'EDT Y TAREAS'!AE9/'EDT Y TAREAS'!M9,0),IF(AND(228&gt;='EDT Y TAREAS'!AK10,228&lt;'EDT Y TAREAS'!AL10),'EDT Y TAREAS'!AE10/'EDT Y TAREAS'!M10,0),IF(AND(228&gt;='EDT Y TAREAS'!AK12,228&lt;'EDT Y TAREAS'!AL12),'EDT Y TAREAS'!AE12/'EDT Y TAREAS'!M12,0),IF(AND(228&gt;='EDT Y TAREAS'!AK16,228&lt;'EDT Y TAREAS'!AL16),'EDT Y TAREAS'!AE16/'EDT Y TAREAS'!M16,0),IF(AND(228&gt;='EDT Y TAREAS'!AK21,228&lt;'EDT Y TAREAS'!AL21),'EDT Y TAREAS'!AE21/'EDT Y TAREAS'!M21,0),IF(AND(228&gt;='EDT Y TAREAS'!AK23,228&lt;'EDT Y TAREAS'!AL23),'EDT Y TAREAS'!AE23/'EDT Y TAREAS'!M23,0),IF(AND(228&gt;='EDT Y TAREAS'!AK37,228&lt;'EDT Y TAREAS'!AL37),'EDT Y TAREAS'!AE37/'EDT Y TAREAS'!M37,0),IF(AND(228&gt;='EDT Y TAREAS'!AK38,228&lt;'EDT Y TAREAS'!AL38),'EDT Y TAREAS'!AE38/'EDT Y TAREAS'!M38,0),IF(AND(228&gt;='EDT Y TAREAS'!AK41,228&lt;'EDT Y TAREAS'!AL41),'EDT Y TAREAS'!AE41/'EDT Y TAREAS'!M41,0),IF(AND(228&gt;='EDT Y TAREAS'!AK43,228&lt;'EDT Y TAREAS'!AL43),'EDT Y TAREAS'!AE43/'EDT Y TAREAS'!M43,0),IF(AND(228&gt;='EDT Y TAREAS'!AK44,228&lt;'EDT Y TAREAS'!AL44),'EDT Y TAREAS'!AE44/'EDT Y TAREAS'!M44,0),IF(AND(228&gt;='EDT Y TAREAS'!AK46,228&lt;'EDT Y TAREAS'!AL46),'EDT Y TAREAS'!AE46/'EDT Y TAREAS'!M46,0),IF(AND(228&gt;='EDT Y TAREAS'!AK47,228&lt;'EDT Y TAREAS'!AL47),'EDT Y TAREAS'!AE47/'EDT Y TAREAS'!M47,0),IF(AND(228&gt;='EDT Y TAREAS'!AK51,228&lt;'EDT Y TAREAS'!AL51),'EDT Y TAREAS'!AE51/'EDT Y TAREAS'!M51,0),IF(AND(228&gt;='EDT Y TAREAS'!AK52,228&lt;'EDT Y TAREAS'!AL52),'EDT Y TAREAS'!AE52/'EDT Y TAREAS'!M52,0))</x:f>
        <x:v>0</x:v>
      </x:c>
      <x:c r="D268" s="35" t="n">
        <x:f>SUM(IF(AND(228&gt;='EDT Y TAREAS'!AK11,228&lt;'EDT Y TAREAS'!AL11),'EDT Y TAREAS'!AF11/'EDT Y TAREAS'!M11,0),IF(AND(228&gt;='EDT Y TAREAS'!AK24,228&lt;'EDT Y TAREAS'!AL24),'EDT Y TAREAS'!AF24/'EDT Y TAREAS'!M24,0),IF(AND(228&gt;='EDT Y TAREAS'!AK25,228&lt;'EDT Y TAREAS'!AL25),'EDT Y TAREAS'!AF25/'EDT Y TAREAS'!M25,0),IF(AND(228&gt;='EDT Y TAREAS'!AK26,228&lt;'EDT Y TAREAS'!AL26),'EDT Y TAREAS'!AF26/'EDT Y TAREAS'!M26,0),IF(AND(228&gt;='EDT Y TAREAS'!AK27,228&lt;'EDT Y TAREAS'!AL27),'EDT Y TAREAS'!AF27/'EDT Y TAREAS'!M27,0),IF(AND(228&gt;='EDT Y TAREAS'!AK28,228&lt;'EDT Y TAREAS'!AL28),'EDT Y TAREAS'!AF28/'EDT Y TAREAS'!M28,0),IF(AND(228&gt;='EDT Y TAREAS'!AK31,228&lt;'EDT Y TAREAS'!AL31),'EDT Y TAREAS'!AF31/'EDT Y TAREAS'!M31,0),IF(AND(228&gt;='EDT Y TAREAS'!AK33,228&lt;'EDT Y TAREAS'!AL33),'EDT Y TAREAS'!AF33/'EDT Y TAREAS'!M33,0),IF(AND(228&gt;='EDT Y TAREAS'!AK34,228&lt;'EDT Y TAREAS'!AL34),'EDT Y TAREAS'!AF34/'EDT Y TAREAS'!M34,0),IF(AND(228&gt;='EDT Y TAREAS'!AK35,228&lt;'EDT Y TAREAS'!AL35),'EDT Y TAREAS'!AF35/'EDT Y TAREAS'!M35,0),IF(AND(228&gt;='EDT Y TAREAS'!AK37,228&lt;'EDT Y TAREAS'!AL37),'EDT Y TAREAS'!AF37/'EDT Y TAREAS'!M37,0),IF(AND(228&gt;='EDT Y TAREAS'!AK39,228&lt;'EDT Y TAREAS'!AL39),'EDT Y TAREAS'!AF39/'EDT Y TAREAS'!M39,0),IF(AND(228&gt;='EDT Y TAREAS'!AK40,228&lt;'EDT Y TAREAS'!AL40),'EDT Y TAREAS'!AF40/'EDT Y TAREAS'!M40,0),IF(AND(228&gt;='EDT Y TAREAS'!AK42,228&lt;'EDT Y TAREAS'!AL42),'EDT Y TAREAS'!AF42/'EDT Y TAREAS'!M42,0),IF(AND(228&gt;='EDT Y TAREAS'!AK45,228&lt;'EDT Y TAREAS'!AL45),'EDT Y TAREAS'!AF45/'EDT Y TAREAS'!M45,0),IF(AND(228&gt;='EDT Y TAREAS'!AK49,228&lt;'EDT Y TAREAS'!AL49),'EDT Y TAREAS'!AF49/'EDT Y TAREAS'!M49,0),IF(AND(228&gt;='EDT Y TAREAS'!AK52,228&lt;'EDT Y TAREAS'!AL52),'EDT Y TAREAS'!AF52/'EDT Y TAREAS'!M52,0))</x:f>
        <x:v>0</x:v>
      </x:c>
      <x:c r="E268" s="35" t="n">
        <x:f>SUM(IF(AND(228&gt;='EDT Y TAREAS'!AK29,228&lt;'EDT Y TAREAS'!AL29),'EDT Y TAREAS'!AG29/'EDT Y TAREAS'!M29,0),IF(AND(228&gt;='EDT Y TAREAS'!AK30,228&lt;'EDT Y TAREAS'!AL30),'EDT Y TAREAS'!AG30/'EDT Y TAREAS'!M30,0),IF(AND(228&gt;='EDT Y TAREAS'!AK31,228&lt;'EDT Y TAREAS'!AL31),'EDT Y TAREAS'!AG31/'EDT Y TAREAS'!M31,0),IF(AND(228&gt;='EDT Y TAREAS'!AK32,228&lt;'EDT Y TAREAS'!AL32),'EDT Y TAREAS'!AG32/'EDT Y TAREAS'!M32,0),IF(AND(228&gt;='EDT Y TAREAS'!AK41,228&lt;'EDT Y TAREAS'!AL41),'EDT Y TAREAS'!AG41/'EDT Y TAREAS'!M41,0),IF(AND(228&gt;='EDT Y TAREAS'!AK45,228&lt;'EDT Y TAREAS'!AL45),'EDT Y TAREAS'!AG45/'EDT Y TAREAS'!M45,0),IF(AND(228&gt;='EDT Y TAREAS'!AK48,228&lt;'EDT Y TAREAS'!AL48),'EDT Y TAREAS'!AG48/'EDT Y TAREAS'!M48,0))</x:f>
        <x:v>0</x:v>
      </x:c>
      <x:c r="F268" s="35" t="n">
        <x:f>SUM(IF(AND(228&gt;='EDT Y TAREAS'!AK10,228&lt;'EDT Y TAREAS'!AL10),'EDT Y TAREAS'!AH10/'EDT Y TAREAS'!M10,0),IF(AND(228&gt;='EDT Y TAREAS'!AK12,228&lt;'EDT Y TAREAS'!AL12),'EDT Y TAREAS'!AH12/'EDT Y TAREAS'!M12,0),IF(AND(228&gt;='EDT Y TAREAS'!AK22,228&lt;'EDT Y TAREAS'!AL22),'EDT Y TAREAS'!AH22/'EDT Y TAREAS'!M22,0),IF(AND(228&gt;='EDT Y TAREAS'!AK23,228&lt;'EDT Y TAREAS'!AL23),'EDT Y TAREAS'!AH23/'EDT Y TAREAS'!M23,0),IF(AND(228&gt;='EDT Y TAREAS'!AK29,228&lt;'EDT Y TAREAS'!AL29),'EDT Y TAREAS'!AH29/'EDT Y TAREAS'!M29,0),IF(AND(228&gt;='EDT Y TAREAS'!AK30,228&lt;'EDT Y TAREAS'!AL30),'EDT Y TAREAS'!AH30/'EDT Y TAREAS'!M30,0),IF(AND(228&gt;='EDT Y TAREAS'!AK32,228&lt;'EDT Y TAREAS'!AL32),'EDT Y TAREAS'!AH32/'EDT Y TAREAS'!M32,0),IF(AND(228&gt;='EDT Y TAREAS'!AK41,228&lt;'EDT Y TAREAS'!AL41),'EDT Y TAREAS'!AH41/'EDT Y TAREAS'!M41,0),IF(AND(228&gt;='EDT Y TAREAS'!AK44,228&lt;'EDT Y TAREAS'!AL44),'EDT Y TAREAS'!AH44/'EDT Y TAREAS'!M44,0),IF(AND(228&gt;='EDT Y TAREAS'!AK46,228&lt;'EDT Y TAREAS'!AL46),'EDT Y TAREAS'!AH46/'EDT Y TAREAS'!M46,0),IF(AND(228&gt;='EDT Y TAREAS'!AK48,228&lt;'EDT Y TAREAS'!AL48),'EDT Y TAREAS'!AH48/'EDT Y TAREAS'!M48,0))</x:f>
        <x:v>0</x:v>
      </x:c>
      <x:c r="G268" s="35" t="n">
        <x:f>SUM(IF(AND(228&gt;='EDT Y TAREAS'!AK20,228&lt;'EDT Y TAREAS'!AL20),'EDT Y TAREAS'!AI20/'EDT Y TAREAS'!M20,0),IF(AND(228&gt;='EDT Y TAREAS'!AK25,228&lt;'EDT Y TAREAS'!AL25),'EDT Y TAREAS'!AI25/'EDT Y TAREAS'!M25,0),IF(AND(228&gt;='EDT Y TAREAS'!AK33,228&lt;'EDT Y TAREAS'!AL33),'EDT Y TAREAS'!AI33/'EDT Y TAREAS'!M33,0),IF(AND(228&gt;='EDT Y TAREAS'!AK34,228&lt;'EDT Y TAREAS'!AL34),'EDT Y TAREAS'!AI34/'EDT Y TAREAS'!M34,0),IF(AND(228&gt;='EDT Y TAREAS'!AK36,228&lt;'EDT Y TAREAS'!AL36),'EDT Y TAREAS'!AI36/'EDT Y TAREAS'!M36,0),IF(AND(228&gt;='EDT Y TAREAS'!AK39,228&lt;'EDT Y TAREAS'!AL39),'EDT Y TAREAS'!AI39/'EDT Y TAREAS'!M39,0),IF(AND(228&gt;='EDT Y TAREAS'!AK40,228&lt;'EDT Y TAREAS'!AL40),'EDT Y TAREAS'!AI40/'EDT Y TAREAS'!M40,0),IF(AND(228&gt;='EDT Y TAREAS'!AK42,228&lt;'EDT Y TAREAS'!AL42),'EDT Y TAREAS'!AI42/'EDT Y TAREAS'!M42,0),IF(AND(228&gt;='EDT Y TAREAS'!AK43,228&lt;'EDT Y TAREAS'!AL43),'EDT Y TAREAS'!AI43/'EDT Y TAREAS'!M43,0),IF(AND(228&gt;='EDT Y TAREAS'!AK44,228&lt;'EDT Y TAREAS'!AL44),'EDT Y TAREAS'!AI44/'EDT Y TAREAS'!M44,0),IF(AND(228&gt;='EDT Y TAREAS'!AK45,228&lt;'EDT Y TAREAS'!AL45),'EDT Y TAREAS'!AI45/'EDT Y TAREAS'!M45,0),IF(AND(228&gt;='EDT Y TAREAS'!AK46,228&lt;'EDT Y TAREAS'!AL46),'EDT Y TAREAS'!AI46/'EDT Y TAREAS'!M46,0),IF(AND(228&gt;='EDT Y TAREAS'!AK48,228&lt;'EDT Y TAREAS'!AL48),'EDT Y TAREAS'!AI48/'EDT Y TAREAS'!M48,0),IF(AND(228&gt;='EDT Y TAREAS'!AK50,228&lt;'EDT Y TAREAS'!AL50),'EDT Y TAREAS'!AI50/'EDT Y TAREAS'!M50,0),IF(AND(228&gt;='EDT Y TAREAS'!AK52,228&lt;'EDT Y TAREAS'!AL52),'EDT Y TAREAS'!AI52/'EDT Y TAREAS'!M52,0))</x:f>
        <x:v>0</x:v>
      </x:c>
      <x:c r="H268" s="35" t="n">
        <x:f>SUM(IF(AND(228&gt;='EDT Y TAREAS'!AK11,228&lt;'EDT Y TAREAS'!AL11),'EDT Y TAREAS'!AJ11/'EDT Y TAREAS'!M11,0),IF(AND(228&gt;='EDT Y TAREAS'!AK24,228&lt;'EDT Y TAREAS'!AL24),'EDT Y TAREAS'!AJ24/'EDT Y TAREAS'!M24,0),IF(AND(228&gt;='EDT Y TAREAS'!AK27,228&lt;'EDT Y TAREAS'!AL27),'EDT Y TAREAS'!AJ27/'EDT Y TAREAS'!M27,0),IF(AND(228&gt;='EDT Y TAREAS'!AK28,228&lt;'EDT Y TAREAS'!AL28),'EDT Y TAREAS'!AJ28/'EDT Y TAREAS'!M28,0),IF(AND(228&gt;='EDT Y TAREAS'!AK33,228&lt;'EDT Y TAREAS'!AL33),'EDT Y TAREAS'!AJ33/'EDT Y TAREAS'!M33,0),IF(AND(228&gt;='EDT Y TAREAS'!AK35,228&lt;'EDT Y TAREAS'!AL35),'EDT Y TAREAS'!AJ35/'EDT Y TAREAS'!M35,0),IF(AND(228&gt;='EDT Y TAREAS'!AK36,228&lt;'EDT Y TAREAS'!AL36),'EDT Y TAREAS'!AJ36/'EDT Y TAREAS'!M36,0),IF(AND(228&gt;='EDT Y TAREAS'!AK37,228&lt;'EDT Y TAREAS'!AL37),'EDT Y TAREAS'!AJ37/'EDT Y TAREAS'!M37,0),IF(AND(228&gt;='EDT Y TAREAS'!AK40,228&lt;'EDT Y TAREAS'!AL40),'EDT Y TAREAS'!AJ40/'EDT Y TAREAS'!M40,0),IF(AND(228&gt;='EDT Y TAREAS'!AK42,228&lt;'EDT Y TAREAS'!AL42),'EDT Y TAREAS'!AJ42/'EDT Y TAREAS'!M42,0),IF(AND(228&gt;='EDT Y TAREAS'!AK49,228&lt;'EDT Y TAREAS'!AL49),'EDT Y TAREAS'!AJ49/'EDT Y TAREAS'!M49,0),IF(AND(228&gt;='EDT Y TAREAS'!AK50,228&lt;'EDT Y TAREAS'!AL50),'EDT Y TAREAS'!AJ50/'EDT Y TAREAS'!M50,0),IF(AND(228&gt;='EDT Y TAREAS'!AK51,228&lt;'EDT Y TAREAS'!AL51),'EDT Y TAREAS'!AJ51/'EDT Y TAREAS'!M51,0),IF(AND(228&gt;='EDT Y TAREAS'!AK52,228&lt;'EDT Y TAREAS'!AL52),'EDT Y TAREAS'!AJ52/'EDT Y TAREAS'!M52,0))</x:f>
        <x:v>0</x:v>
      </x:c>
      <x:c r="I268" s="10" t="n">
        <x:f>WORKDAY('RESUMEN'!$D$3-1,A268,'RESUMEN'!$J$6:$J$25)</x:f>
        <x:v>46646</x:v>
      </x:c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  <x:c r="AA268" s="3"/>
      <x:c r="AB268" s="3"/>
      <x:c r="AC268" s="3"/>
      <x:c r="AD268" s="3"/>
      <x:c r="AE268" s="3"/>
      <x:c r="AF268" s="3"/>
      <x:c r="AG268" s="3"/>
      <x:c r="AH268" s="3"/>
      <x:c r="AI268" s="3"/>
      <x:c r="AJ268" s="3"/>
      <x:c r="AK268" s="3"/>
      <x:c r="AL268" s="3"/>
      <x:c r="AM268" s="3"/>
      <x:c r="AN268" s="3"/>
      <x:c r="AO268" s="3"/>
    </x:row>
    <x:row r="269" ht="24" customHeight="1">
      <x:c r="A269" s="3" t="n">
        <x:v>230</x:v>
      </x:c>
      <x:c r="B269" s="35" t="n">
        <x:f>SUM(IF(AND(229&gt;='EDT Y TAREAS'!AK6,229&lt;'EDT Y TAREAS'!AL6),'EDT Y TAREAS'!AD6/'EDT Y TAREAS'!M6,0),IF(AND(229&gt;='EDT Y TAREAS'!AK7,229&lt;'EDT Y TAREAS'!AL7),'EDT Y TAREAS'!AD7/'EDT Y TAREAS'!M7,0),IF(AND(229&gt;='EDT Y TAREAS'!AK8,229&lt;'EDT Y TAREAS'!AL8),'EDT Y TAREAS'!AD8/'EDT Y TAREAS'!M8,0),IF(AND(229&gt;='EDT Y TAREAS'!AK9,229&lt;'EDT Y TAREAS'!AL9),'EDT Y TAREAS'!AD9/'EDT Y TAREAS'!M9,0),IF(AND(229&gt;='EDT Y TAREAS'!AK10,229&lt;'EDT Y TAREAS'!AL10),'EDT Y TAREAS'!AD10/'EDT Y TAREAS'!M10,0),IF(AND(229&gt;='EDT Y TAREAS'!AK11,229&lt;'EDT Y TAREAS'!AL11),'EDT Y TAREAS'!AD11/'EDT Y TAREAS'!M11,0),IF(AND(229&gt;='EDT Y TAREAS'!AK12,229&lt;'EDT Y TAREAS'!AL12),'EDT Y TAREAS'!AD12/'EDT Y TAREAS'!M12,0),IF(AND(229&gt;='EDT Y TAREAS'!AK13,229&lt;'EDT Y TAREAS'!AL13),'EDT Y TAREAS'!AD13/'EDT Y TAREAS'!M13,0),IF(AND(229&gt;='EDT Y TAREAS'!AK14,229&lt;'EDT Y TAREAS'!AL14),'EDT Y TAREAS'!AD14/'EDT Y TAREAS'!M14,0),IF(AND(229&gt;='EDT Y TAREAS'!AK15,229&lt;'EDT Y TAREAS'!AL15),'EDT Y TAREAS'!AD15/'EDT Y TAREAS'!M15,0),IF(AND(229&gt;='EDT Y TAREAS'!AK16,229&lt;'EDT Y TAREAS'!AL16),'EDT Y TAREAS'!AD16/'EDT Y TAREAS'!M16,0),IF(AND(229&gt;='EDT Y TAREAS'!AK17,229&lt;'EDT Y TAREAS'!AL17),'EDT Y TAREAS'!AD17/'EDT Y TAREAS'!M17,0),IF(AND(229&gt;='EDT Y TAREAS'!AK18,229&lt;'EDT Y TAREAS'!AL18),'EDT Y TAREAS'!AD18/'EDT Y TAREAS'!M18,0),IF(AND(229&gt;='EDT Y TAREAS'!AK19,229&lt;'EDT Y TAREAS'!AL19),'EDT Y TAREAS'!AD19/'EDT Y TAREAS'!M19,0),IF(AND(229&gt;='EDT Y TAREAS'!AK20,229&lt;'EDT Y TAREAS'!AL20),'EDT Y TAREAS'!AD20/'EDT Y TAREAS'!M20,0),IF(AND(229&gt;='EDT Y TAREAS'!AK21,229&lt;'EDT Y TAREAS'!AL21),'EDT Y TAREAS'!AD21/'EDT Y TAREAS'!M21,0),IF(AND(229&gt;='EDT Y TAREAS'!AK22,229&lt;'EDT Y TAREAS'!AL22),'EDT Y TAREAS'!AD22/'EDT Y TAREAS'!M22,0),IF(AND(229&gt;='EDT Y TAREAS'!AK23,229&lt;'EDT Y TAREAS'!AL23),'EDT Y TAREAS'!AD23/'EDT Y TAREAS'!M23,0),IF(AND(229&gt;='EDT Y TAREAS'!AK26,229&lt;'EDT Y TAREAS'!AL26),'EDT Y TAREAS'!AD26/'EDT Y TAREAS'!M26,0),IF(AND(229&gt;='EDT Y TAREAS'!AK28,229&lt;'EDT Y TAREAS'!AL28),'EDT Y TAREAS'!AD28/'EDT Y TAREAS'!M28,0),IF(AND(229&gt;='EDT Y TAREAS'!AK30,229&lt;'EDT Y TAREAS'!AL30),'EDT Y TAREAS'!AD30/'EDT Y TAREAS'!M30,0),IF(AND(229&gt;='EDT Y TAREAS'!AK32,229&lt;'EDT Y TAREAS'!AL32),'EDT Y TAREAS'!AD32/'EDT Y TAREAS'!M32,0),IF(AND(229&gt;='EDT Y TAREAS'!AK34,229&lt;'EDT Y TAREAS'!AL34),'EDT Y TAREAS'!AD34/'EDT Y TAREAS'!M34,0),IF(AND(229&gt;='EDT Y TAREAS'!AK38,229&lt;'EDT Y TAREAS'!AL38),'EDT Y TAREAS'!AD38/'EDT Y TAREAS'!M38,0),IF(AND(229&gt;='EDT Y TAREAS'!AK39,229&lt;'EDT Y TAREAS'!AL39),'EDT Y TAREAS'!AD39/'EDT Y TAREAS'!M39,0),IF(AND(229&gt;='EDT Y TAREAS'!AK43,229&lt;'EDT Y TAREAS'!AL43),'EDT Y TAREAS'!AD43/'EDT Y TAREAS'!M43,0),IF(AND(229&gt;='EDT Y TAREAS'!AK44,229&lt;'EDT Y TAREAS'!AL44),'EDT Y TAREAS'!AD44/'EDT Y TAREAS'!M44,0),IF(AND(229&gt;='EDT Y TAREAS'!AK45,229&lt;'EDT Y TAREAS'!AL45),'EDT Y TAREAS'!AD45/'EDT Y TAREAS'!M45,0),IF(AND(229&gt;='EDT Y TAREAS'!AK46,229&lt;'EDT Y TAREAS'!AL46),'EDT Y TAREAS'!AD46/'EDT Y TAREAS'!M46,0),IF(AND(229&gt;='EDT Y TAREAS'!AK47,229&lt;'EDT Y TAREAS'!AL47),'EDT Y TAREAS'!AD47/'EDT Y TAREAS'!M47,0),IF(AND(229&gt;='EDT Y TAREAS'!AK49,229&lt;'EDT Y TAREAS'!AL49),'EDT Y TAREAS'!AD49/'EDT Y TAREAS'!M49,0),IF(AND(229&gt;='EDT Y TAREAS'!AK50,229&lt;'EDT Y TAREAS'!AL50),'EDT Y TAREAS'!AD50/'EDT Y TAREAS'!M50,0),IF(AND(229&gt;='EDT Y TAREAS'!AK51,229&lt;'EDT Y TAREAS'!AL51),'EDT Y TAREAS'!AD51/'EDT Y TAREAS'!M51,0),IF(AND(229&gt;='EDT Y TAREAS'!AK52,229&lt;'EDT Y TAREAS'!AL52),'EDT Y TAREAS'!AD52/'EDT Y TAREAS'!M52,0))</x:f>
        <x:v>0</x:v>
      </x:c>
      <x:c r="C269" s="35" t="n">
        <x:f>SUM(IF(AND(229&gt;='EDT Y TAREAS'!AK6,229&lt;'EDT Y TAREAS'!AL6),'EDT Y TAREAS'!AE6/'EDT Y TAREAS'!M6,0),IF(AND(229&gt;='EDT Y TAREAS'!AK8,229&lt;'EDT Y TAREAS'!AL8),'EDT Y TAREAS'!AE8/'EDT Y TAREAS'!M8,0),IF(AND(229&gt;='EDT Y TAREAS'!AK9,229&lt;'EDT Y TAREAS'!AL9),'EDT Y TAREAS'!AE9/'EDT Y TAREAS'!M9,0),IF(AND(229&gt;='EDT Y TAREAS'!AK10,229&lt;'EDT Y TAREAS'!AL10),'EDT Y TAREAS'!AE10/'EDT Y TAREAS'!M10,0),IF(AND(229&gt;='EDT Y TAREAS'!AK12,229&lt;'EDT Y TAREAS'!AL12),'EDT Y TAREAS'!AE12/'EDT Y TAREAS'!M12,0),IF(AND(229&gt;='EDT Y TAREAS'!AK16,229&lt;'EDT Y TAREAS'!AL16),'EDT Y TAREAS'!AE16/'EDT Y TAREAS'!M16,0),IF(AND(229&gt;='EDT Y TAREAS'!AK21,229&lt;'EDT Y TAREAS'!AL21),'EDT Y TAREAS'!AE21/'EDT Y TAREAS'!M21,0),IF(AND(229&gt;='EDT Y TAREAS'!AK23,229&lt;'EDT Y TAREAS'!AL23),'EDT Y TAREAS'!AE23/'EDT Y TAREAS'!M23,0),IF(AND(229&gt;='EDT Y TAREAS'!AK37,229&lt;'EDT Y TAREAS'!AL37),'EDT Y TAREAS'!AE37/'EDT Y TAREAS'!M37,0),IF(AND(229&gt;='EDT Y TAREAS'!AK38,229&lt;'EDT Y TAREAS'!AL38),'EDT Y TAREAS'!AE38/'EDT Y TAREAS'!M38,0),IF(AND(229&gt;='EDT Y TAREAS'!AK41,229&lt;'EDT Y TAREAS'!AL41),'EDT Y TAREAS'!AE41/'EDT Y TAREAS'!M41,0),IF(AND(229&gt;='EDT Y TAREAS'!AK43,229&lt;'EDT Y TAREAS'!AL43),'EDT Y TAREAS'!AE43/'EDT Y TAREAS'!M43,0),IF(AND(229&gt;='EDT Y TAREAS'!AK44,229&lt;'EDT Y TAREAS'!AL44),'EDT Y TAREAS'!AE44/'EDT Y TAREAS'!M44,0),IF(AND(229&gt;='EDT Y TAREAS'!AK46,229&lt;'EDT Y TAREAS'!AL46),'EDT Y TAREAS'!AE46/'EDT Y TAREAS'!M46,0),IF(AND(229&gt;='EDT Y TAREAS'!AK47,229&lt;'EDT Y TAREAS'!AL47),'EDT Y TAREAS'!AE47/'EDT Y TAREAS'!M47,0),IF(AND(229&gt;='EDT Y TAREAS'!AK51,229&lt;'EDT Y TAREAS'!AL51),'EDT Y TAREAS'!AE51/'EDT Y TAREAS'!M51,0),IF(AND(229&gt;='EDT Y TAREAS'!AK52,229&lt;'EDT Y TAREAS'!AL52),'EDT Y TAREAS'!AE52/'EDT Y TAREAS'!M52,0))</x:f>
        <x:v>0</x:v>
      </x:c>
      <x:c r="D269" s="35" t="n">
        <x:f>SUM(IF(AND(229&gt;='EDT Y TAREAS'!AK11,229&lt;'EDT Y TAREAS'!AL11),'EDT Y TAREAS'!AF11/'EDT Y TAREAS'!M11,0),IF(AND(229&gt;='EDT Y TAREAS'!AK24,229&lt;'EDT Y TAREAS'!AL24),'EDT Y TAREAS'!AF24/'EDT Y TAREAS'!M24,0),IF(AND(229&gt;='EDT Y TAREAS'!AK25,229&lt;'EDT Y TAREAS'!AL25),'EDT Y TAREAS'!AF25/'EDT Y TAREAS'!M25,0),IF(AND(229&gt;='EDT Y TAREAS'!AK26,229&lt;'EDT Y TAREAS'!AL26),'EDT Y TAREAS'!AF26/'EDT Y TAREAS'!M26,0),IF(AND(229&gt;='EDT Y TAREAS'!AK27,229&lt;'EDT Y TAREAS'!AL27),'EDT Y TAREAS'!AF27/'EDT Y TAREAS'!M27,0),IF(AND(229&gt;='EDT Y TAREAS'!AK28,229&lt;'EDT Y TAREAS'!AL28),'EDT Y TAREAS'!AF28/'EDT Y TAREAS'!M28,0),IF(AND(229&gt;='EDT Y TAREAS'!AK31,229&lt;'EDT Y TAREAS'!AL31),'EDT Y TAREAS'!AF31/'EDT Y TAREAS'!M31,0),IF(AND(229&gt;='EDT Y TAREAS'!AK33,229&lt;'EDT Y TAREAS'!AL33),'EDT Y TAREAS'!AF33/'EDT Y TAREAS'!M33,0),IF(AND(229&gt;='EDT Y TAREAS'!AK34,229&lt;'EDT Y TAREAS'!AL34),'EDT Y TAREAS'!AF34/'EDT Y TAREAS'!M34,0),IF(AND(229&gt;='EDT Y TAREAS'!AK35,229&lt;'EDT Y TAREAS'!AL35),'EDT Y TAREAS'!AF35/'EDT Y TAREAS'!M35,0),IF(AND(229&gt;='EDT Y TAREAS'!AK37,229&lt;'EDT Y TAREAS'!AL37),'EDT Y TAREAS'!AF37/'EDT Y TAREAS'!M37,0),IF(AND(229&gt;='EDT Y TAREAS'!AK39,229&lt;'EDT Y TAREAS'!AL39),'EDT Y TAREAS'!AF39/'EDT Y TAREAS'!M39,0),IF(AND(229&gt;='EDT Y TAREAS'!AK40,229&lt;'EDT Y TAREAS'!AL40),'EDT Y TAREAS'!AF40/'EDT Y TAREAS'!M40,0),IF(AND(229&gt;='EDT Y TAREAS'!AK42,229&lt;'EDT Y TAREAS'!AL42),'EDT Y TAREAS'!AF42/'EDT Y TAREAS'!M42,0),IF(AND(229&gt;='EDT Y TAREAS'!AK45,229&lt;'EDT Y TAREAS'!AL45),'EDT Y TAREAS'!AF45/'EDT Y TAREAS'!M45,0),IF(AND(229&gt;='EDT Y TAREAS'!AK49,229&lt;'EDT Y TAREAS'!AL49),'EDT Y TAREAS'!AF49/'EDT Y TAREAS'!M49,0),IF(AND(229&gt;='EDT Y TAREAS'!AK52,229&lt;'EDT Y TAREAS'!AL52),'EDT Y TAREAS'!AF52/'EDT Y TAREAS'!M52,0))</x:f>
        <x:v>0</x:v>
      </x:c>
      <x:c r="E269" s="35" t="n">
        <x:f>SUM(IF(AND(229&gt;='EDT Y TAREAS'!AK29,229&lt;'EDT Y TAREAS'!AL29),'EDT Y TAREAS'!AG29/'EDT Y TAREAS'!M29,0),IF(AND(229&gt;='EDT Y TAREAS'!AK30,229&lt;'EDT Y TAREAS'!AL30),'EDT Y TAREAS'!AG30/'EDT Y TAREAS'!M30,0),IF(AND(229&gt;='EDT Y TAREAS'!AK31,229&lt;'EDT Y TAREAS'!AL31),'EDT Y TAREAS'!AG31/'EDT Y TAREAS'!M31,0),IF(AND(229&gt;='EDT Y TAREAS'!AK32,229&lt;'EDT Y TAREAS'!AL32),'EDT Y TAREAS'!AG32/'EDT Y TAREAS'!M32,0),IF(AND(229&gt;='EDT Y TAREAS'!AK41,229&lt;'EDT Y TAREAS'!AL41),'EDT Y TAREAS'!AG41/'EDT Y TAREAS'!M41,0),IF(AND(229&gt;='EDT Y TAREAS'!AK45,229&lt;'EDT Y TAREAS'!AL45),'EDT Y TAREAS'!AG45/'EDT Y TAREAS'!M45,0),IF(AND(229&gt;='EDT Y TAREAS'!AK48,229&lt;'EDT Y TAREAS'!AL48),'EDT Y TAREAS'!AG48/'EDT Y TAREAS'!M48,0))</x:f>
        <x:v>0</x:v>
      </x:c>
      <x:c r="F269" s="35" t="n">
        <x:f>SUM(IF(AND(229&gt;='EDT Y TAREAS'!AK10,229&lt;'EDT Y TAREAS'!AL10),'EDT Y TAREAS'!AH10/'EDT Y TAREAS'!M10,0),IF(AND(229&gt;='EDT Y TAREAS'!AK12,229&lt;'EDT Y TAREAS'!AL12),'EDT Y TAREAS'!AH12/'EDT Y TAREAS'!M12,0),IF(AND(229&gt;='EDT Y TAREAS'!AK22,229&lt;'EDT Y TAREAS'!AL22),'EDT Y TAREAS'!AH22/'EDT Y TAREAS'!M22,0),IF(AND(229&gt;='EDT Y TAREAS'!AK23,229&lt;'EDT Y TAREAS'!AL23),'EDT Y TAREAS'!AH23/'EDT Y TAREAS'!M23,0),IF(AND(229&gt;='EDT Y TAREAS'!AK29,229&lt;'EDT Y TAREAS'!AL29),'EDT Y TAREAS'!AH29/'EDT Y TAREAS'!M29,0),IF(AND(229&gt;='EDT Y TAREAS'!AK30,229&lt;'EDT Y TAREAS'!AL30),'EDT Y TAREAS'!AH30/'EDT Y TAREAS'!M30,0),IF(AND(229&gt;='EDT Y TAREAS'!AK32,229&lt;'EDT Y TAREAS'!AL32),'EDT Y TAREAS'!AH32/'EDT Y TAREAS'!M32,0),IF(AND(229&gt;='EDT Y TAREAS'!AK41,229&lt;'EDT Y TAREAS'!AL41),'EDT Y TAREAS'!AH41/'EDT Y TAREAS'!M41,0),IF(AND(229&gt;='EDT Y TAREAS'!AK44,229&lt;'EDT Y TAREAS'!AL44),'EDT Y TAREAS'!AH44/'EDT Y TAREAS'!M44,0),IF(AND(229&gt;='EDT Y TAREAS'!AK46,229&lt;'EDT Y TAREAS'!AL46),'EDT Y TAREAS'!AH46/'EDT Y TAREAS'!M46,0),IF(AND(229&gt;='EDT Y TAREAS'!AK48,229&lt;'EDT Y TAREAS'!AL48),'EDT Y TAREAS'!AH48/'EDT Y TAREAS'!M48,0))</x:f>
        <x:v>0</x:v>
      </x:c>
      <x:c r="G269" s="35" t="n">
        <x:f>SUM(IF(AND(229&gt;='EDT Y TAREAS'!AK20,229&lt;'EDT Y TAREAS'!AL20),'EDT Y TAREAS'!AI20/'EDT Y TAREAS'!M20,0),IF(AND(229&gt;='EDT Y TAREAS'!AK25,229&lt;'EDT Y TAREAS'!AL25),'EDT Y TAREAS'!AI25/'EDT Y TAREAS'!M25,0),IF(AND(229&gt;='EDT Y TAREAS'!AK33,229&lt;'EDT Y TAREAS'!AL33),'EDT Y TAREAS'!AI33/'EDT Y TAREAS'!M33,0),IF(AND(229&gt;='EDT Y TAREAS'!AK34,229&lt;'EDT Y TAREAS'!AL34),'EDT Y TAREAS'!AI34/'EDT Y TAREAS'!M34,0),IF(AND(229&gt;='EDT Y TAREAS'!AK36,229&lt;'EDT Y TAREAS'!AL36),'EDT Y TAREAS'!AI36/'EDT Y TAREAS'!M36,0),IF(AND(229&gt;='EDT Y TAREAS'!AK39,229&lt;'EDT Y TAREAS'!AL39),'EDT Y TAREAS'!AI39/'EDT Y TAREAS'!M39,0),IF(AND(229&gt;='EDT Y TAREAS'!AK40,229&lt;'EDT Y TAREAS'!AL40),'EDT Y TAREAS'!AI40/'EDT Y TAREAS'!M40,0),IF(AND(229&gt;='EDT Y TAREAS'!AK42,229&lt;'EDT Y TAREAS'!AL42),'EDT Y TAREAS'!AI42/'EDT Y TAREAS'!M42,0),IF(AND(229&gt;='EDT Y TAREAS'!AK43,229&lt;'EDT Y TAREAS'!AL43),'EDT Y TAREAS'!AI43/'EDT Y TAREAS'!M43,0),IF(AND(229&gt;='EDT Y TAREAS'!AK44,229&lt;'EDT Y TAREAS'!AL44),'EDT Y TAREAS'!AI44/'EDT Y TAREAS'!M44,0),IF(AND(229&gt;='EDT Y TAREAS'!AK45,229&lt;'EDT Y TAREAS'!AL45),'EDT Y TAREAS'!AI45/'EDT Y TAREAS'!M45,0),IF(AND(229&gt;='EDT Y TAREAS'!AK46,229&lt;'EDT Y TAREAS'!AL46),'EDT Y TAREAS'!AI46/'EDT Y TAREAS'!M46,0),IF(AND(229&gt;='EDT Y TAREAS'!AK48,229&lt;'EDT Y TAREAS'!AL48),'EDT Y TAREAS'!AI48/'EDT Y TAREAS'!M48,0),IF(AND(229&gt;='EDT Y TAREAS'!AK50,229&lt;'EDT Y TAREAS'!AL50),'EDT Y TAREAS'!AI50/'EDT Y TAREAS'!M50,0),IF(AND(229&gt;='EDT Y TAREAS'!AK52,229&lt;'EDT Y TAREAS'!AL52),'EDT Y TAREAS'!AI52/'EDT Y TAREAS'!M52,0))</x:f>
        <x:v>0</x:v>
      </x:c>
      <x:c r="H269" s="35" t="n">
        <x:f>SUM(IF(AND(229&gt;='EDT Y TAREAS'!AK11,229&lt;'EDT Y TAREAS'!AL11),'EDT Y TAREAS'!AJ11/'EDT Y TAREAS'!M11,0),IF(AND(229&gt;='EDT Y TAREAS'!AK24,229&lt;'EDT Y TAREAS'!AL24),'EDT Y TAREAS'!AJ24/'EDT Y TAREAS'!M24,0),IF(AND(229&gt;='EDT Y TAREAS'!AK27,229&lt;'EDT Y TAREAS'!AL27),'EDT Y TAREAS'!AJ27/'EDT Y TAREAS'!M27,0),IF(AND(229&gt;='EDT Y TAREAS'!AK28,229&lt;'EDT Y TAREAS'!AL28),'EDT Y TAREAS'!AJ28/'EDT Y TAREAS'!M28,0),IF(AND(229&gt;='EDT Y TAREAS'!AK33,229&lt;'EDT Y TAREAS'!AL33),'EDT Y TAREAS'!AJ33/'EDT Y TAREAS'!M33,0),IF(AND(229&gt;='EDT Y TAREAS'!AK35,229&lt;'EDT Y TAREAS'!AL35),'EDT Y TAREAS'!AJ35/'EDT Y TAREAS'!M35,0),IF(AND(229&gt;='EDT Y TAREAS'!AK36,229&lt;'EDT Y TAREAS'!AL36),'EDT Y TAREAS'!AJ36/'EDT Y TAREAS'!M36,0),IF(AND(229&gt;='EDT Y TAREAS'!AK37,229&lt;'EDT Y TAREAS'!AL37),'EDT Y TAREAS'!AJ37/'EDT Y TAREAS'!M37,0),IF(AND(229&gt;='EDT Y TAREAS'!AK40,229&lt;'EDT Y TAREAS'!AL40),'EDT Y TAREAS'!AJ40/'EDT Y TAREAS'!M40,0),IF(AND(229&gt;='EDT Y TAREAS'!AK42,229&lt;'EDT Y TAREAS'!AL42),'EDT Y TAREAS'!AJ42/'EDT Y TAREAS'!M42,0),IF(AND(229&gt;='EDT Y TAREAS'!AK49,229&lt;'EDT Y TAREAS'!AL49),'EDT Y TAREAS'!AJ49/'EDT Y TAREAS'!M49,0),IF(AND(229&gt;='EDT Y TAREAS'!AK50,229&lt;'EDT Y TAREAS'!AL50),'EDT Y TAREAS'!AJ50/'EDT Y TAREAS'!M50,0),IF(AND(229&gt;='EDT Y TAREAS'!AK51,229&lt;'EDT Y TAREAS'!AL51),'EDT Y TAREAS'!AJ51/'EDT Y TAREAS'!M51,0),IF(AND(229&gt;='EDT Y TAREAS'!AK52,229&lt;'EDT Y TAREAS'!AL52),'EDT Y TAREAS'!AJ52/'EDT Y TAREAS'!M52,0))</x:f>
        <x:v>0</x:v>
      </x:c>
      <x:c r="I269" s="10" t="n">
        <x:f>WORKDAY('RESUMEN'!$D$3-1,A269,'RESUMEN'!$J$6:$J$25)</x:f>
        <x:v>46647</x:v>
      </x:c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  <x:c r="AA269" s="3"/>
      <x:c r="AB269" s="3"/>
      <x:c r="AC269" s="3"/>
      <x:c r="AD269" s="3"/>
      <x:c r="AE269" s="3"/>
      <x:c r="AF269" s="3"/>
      <x:c r="AG269" s="3"/>
      <x:c r="AH269" s="3"/>
      <x:c r="AI269" s="3"/>
      <x:c r="AJ269" s="3"/>
      <x:c r="AK269" s="3"/>
      <x:c r="AL269" s="3"/>
      <x:c r="AM269" s="3"/>
      <x:c r="AN269" s="3"/>
      <x:c r="AO269" s="3"/>
    </x:row>
    <x:row r="270" ht="24" customHeight="1">
      <x:c r="A270" s="3" t="n">
        <x:v>231</x:v>
      </x:c>
      <x:c r="B270" s="35" t="n">
        <x:f>SUM(IF(AND(230&gt;='EDT Y TAREAS'!AK6,230&lt;'EDT Y TAREAS'!AL6),'EDT Y TAREAS'!AD6/'EDT Y TAREAS'!M6,0),IF(AND(230&gt;='EDT Y TAREAS'!AK7,230&lt;'EDT Y TAREAS'!AL7),'EDT Y TAREAS'!AD7/'EDT Y TAREAS'!M7,0),IF(AND(230&gt;='EDT Y TAREAS'!AK8,230&lt;'EDT Y TAREAS'!AL8),'EDT Y TAREAS'!AD8/'EDT Y TAREAS'!M8,0),IF(AND(230&gt;='EDT Y TAREAS'!AK9,230&lt;'EDT Y TAREAS'!AL9),'EDT Y TAREAS'!AD9/'EDT Y TAREAS'!M9,0),IF(AND(230&gt;='EDT Y TAREAS'!AK10,230&lt;'EDT Y TAREAS'!AL10),'EDT Y TAREAS'!AD10/'EDT Y TAREAS'!M10,0),IF(AND(230&gt;='EDT Y TAREAS'!AK11,230&lt;'EDT Y TAREAS'!AL11),'EDT Y TAREAS'!AD11/'EDT Y TAREAS'!M11,0),IF(AND(230&gt;='EDT Y TAREAS'!AK12,230&lt;'EDT Y TAREAS'!AL12),'EDT Y TAREAS'!AD12/'EDT Y TAREAS'!M12,0),IF(AND(230&gt;='EDT Y TAREAS'!AK13,230&lt;'EDT Y TAREAS'!AL13),'EDT Y TAREAS'!AD13/'EDT Y TAREAS'!M13,0),IF(AND(230&gt;='EDT Y TAREAS'!AK14,230&lt;'EDT Y TAREAS'!AL14),'EDT Y TAREAS'!AD14/'EDT Y TAREAS'!M14,0),IF(AND(230&gt;='EDT Y TAREAS'!AK15,230&lt;'EDT Y TAREAS'!AL15),'EDT Y TAREAS'!AD15/'EDT Y TAREAS'!M15,0),IF(AND(230&gt;='EDT Y TAREAS'!AK16,230&lt;'EDT Y TAREAS'!AL16),'EDT Y TAREAS'!AD16/'EDT Y TAREAS'!M16,0),IF(AND(230&gt;='EDT Y TAREAS'!AK17,230&lt;'EDT Y TAREAS'!AL17),'EDT Y TAREAS'!AD17/'EDT Y TAREAS'!M17,0),IF(AND(230&gt;='EDT Y TAREAS'!AK18,230&lt;'EDT Y TAREAS'!AL18),'EDT Y TAREAS'!AD18/'EDT Y TAREAS'!M18,0),IF(AND(230&gt;='EDT Y TAREAS'!AK19,230&lt;'EDT Y TAREAS'!AL19),'EDT Y TAREAS'!AD19/'EDT Y TAREAS'!M19,0),IF(AND(230&gt;='EDT Y TAREAS'!AK20,230&lt;'EDT Y TAREAS'!AL20),'EDT Y TAREAS'!AD20/'EDT Y TAREAS'!M20,0),IF(AND(230&gt;='EDT Y TAREAS'!AK21,230&lt;'EDT Y TAREAS'!AL21),'EDT Y TAREAS'!AD21/'EDT Y TAREAS'!M21,0),IF(AND(230&gt;='EDT Y TAREAS'!AK22,230&lt;'EDT Y TAREAS'!AL22),'EDT Y TAREAS'!AD22/'EDT Y TAREAS'!M22,0),IF(AND(230&gt;='EDT Y TAREAS'!AK23,230&lt;'EDT Y TAREAS'!AL23),'EDT Y TAREAS'!AD23/'EDT Y TAREAS'!M23,0),IF(AND(230&gt;='EDT Y TAREAS'!AK26,230&lt;'EDT Y TAREAS'!AL26),'EDT Y TAREAS'!AD26/'EDT Y TAREAS'!M26,0),IF(AND(230&gt;='EDT Y TAREAS'!AK28,230&lt;'EDT Y TAREAS'!AL28),'EDT Y TAREAS'!AD28/'EDT Y TAREAS'!M28,0),IF(AND(230&gt;='EDT Y TAREAS'!AK30,230&lt;'EDT Y TAREAS'!AL30),'EDT Y TAREAS'!AD30/'EDT Y TAREAS'!M30,0),IF(AND(230&gt;='EDT Y TAREAS'!AK32,230&lt;'EDT Y TAREAS'!AL32),'EDT Y TAREAS'!AD32/'EDT Y TAREAS'!M32,0),IF(AND(230&gt;='EDT Y TAREAS'!AK34,230&lt;'EDT Y TAREAS'!AL34),'EDT Y TAREAS'!AD34/'EDT Y TAREAS'!M34,0),IF(AND(230&gt;='EDT Y TAREAS'!AK38,230&lt;'EDT Y TAREAS'!AL38),'EDT Y TAREAS'!AD38/'EDT Y TAREAS'!M38,0),IF(AND(230&gt;='EDT Y TAREAS'!AK39,230&lt;'EDT Y TAREAS'!AL39),'EDT Y TAREAS'!AD39/'EDT Y TAREAS'!M39,0),IF(AND(230&gt;='EDT Y TAREAS'!AK43,230&lt;'EDT Y TAREAS'!AL43),'EDT Y TAREAS'!AD43/'EDT Y TAREAS'!M43,0),IF(AND(230&gt;='EDT Y TAREAS'!AK44,230&lt;'EDT Y TAREAS'!AL44),'EDT Y TAREAS'!AD44/'EDT Y TAREAS'!M44,0),IF(AND(230&gt;='EDT Y TAREAS'!AK45,230&lt;'EDT Y TAREAS'!AL45),'EDT Y TAREAS'!AD45/'EDT Y TAREAS'!M45,0),IF(AND(230&gt;='EDT Y TAREAS'!AK46,230&lt;'EDT Y TAREAS'!AL46),'EDT Y TAREAS'!AD46/'EDT Y TAREAS'!M46,0),IF(AND(230&gt;='EDT Y TAREAS'!AK47,230&lt;'EDT Y TAREAS'!AL47),'EDT Y TAREAS'!AD47/'EDT Y TAREAS'!M47,0),IF(AND(230&gt;='EDT Y TAREAS'!AK49,230&lt;'EDT Y TAREAS'!AL49),'EDT Y TAREAS'!AD49/'EDT Y TAREAS'!M49,0),IF(AND(230&gt;='EDT Y TAREAS'!AK50,230&lt;'EDT Y TAREAS'!AL50),'EDT Y TAREAS'!AD50/'EDT Y TAREAS'!M50,0),IF(AND(230&gt;='EDT Y TAREAS'!AK51,230&lt;'EDT Y TAREAS'!AL51),'EDT Y TAREAS'!AD51/'EDT Y TAREAS'!M51,0),IF(AND(230&gt;='EDT Y TAREAS'!AK52,230&lt;'EDT Y TAREAS'!AL52),'EDT Y TAREAS'!AD52/'EDT Y TAREAS'!M52,0))</x:f>
        <x:v>0</x:v>
      </x:c>
      <x:c r="C270" s="35" t="n">
        <x:f>SUM(IF(AND(230&gt;='EDT Y TAREAS'!AK6,230&lt;'EDT Y TAREAS'!AL6),'EDT Y TAREAS'!AE6/'EDT Y TAREAS'!M6,0),IF(AND(230&gt;='EDT Y TAREAS'!AK8,230&lt;'EDT Y TAREAS'!AL8),'EDT Y TAREAS'!AE8/'EDT Y TAREAS'!M8,0),IF(AND(230&gt;='EDT Y TAREAS'!AK9,230&lt;'EDT Y TAREAS'!AL9),'EDT Y TAREAS'!AE9/'EDT Y TAREAS'!M9,0),IF(AND(230&gt;='EDT Y TAREAS'!AK10,230&lt;'EDT Y TAREAS'!AL10),'EDT Y TAREAS'!AE10/'EDT Y TAREAS'!M10,0),IF(AND(230&gt;='EDT Y TAREAS'!AK12,230&lt;'EDT Y TAREAS'!AL12),'EDT Y TAREAS'!AE12/'EDT Y TAREAS'!M12,0),IF(AND(230&gt;='EDT Y TAREAS'!AK16,230&lt;'EDT Y TAREAS'!AL16),'EDT Y TAREAS'!AE16/'EDT Y TAREAS'!M16,0),IF(AND(230&gt;='EDT Y TAREAS'!AK21,230&lt;'EDT Y TAREAS'!AL21),'EDT Y TAREAS'!AE21/'EDT Y TAREAS'!M21,0),IF(AND(230&gt;='EDT Y TAREAS'!AK23,230&lt;'EDT Y TAREAS'!AL23),'EDT Y TAREAS'!AE23/'EDT Y TAREAS'!M23,0),IF(AND(230&gt;='EDT Y TAREAS'!AK37,230&lt;'EDT Y TAREAS'!AL37),'EDT Y TAREAS'!AE37/'EDT Y TAREAS'!M37,0),IF(AND(230&gt;='EDT Y TAREAS'!AK38,230&lt;'EDT Y TAREAS'!AL38),'EDT Y TAREAS'!AE38/'EDT Y TAREAS'!M38,0),IF(AND(230&gt;='EDT Y TAREAS'!AK41,230&lt;'EDT Y TAREAS'!AL41),'EDT Y TAREAS'!AE41/'EDT Y TAREAS'!M41,0),IF(AND(230&gt;='EDT Y TAREAS'!AK43,230&lt;'EDT Y TAREAS'!AL43),'EDT Y TAREAS'!AE43/'EDT Y TAREAS'!M43,0),IF(AND(230&gt;='EDT Y TAREAS'!AK44,230&lt;'EDT Y TAREAS'!AL44),'EDT Y TAREAS'!AE44/'EDT Y TAREAS'!M44,0),IF(AND(230&gt;='EDT Y TAREAS'!AK46,230&lt;'EDT Y TAREAS'!AL46),'EDT Y TAREAS'!AE46/'EDT Y TAREAS'!M46,0),IF(AND(230&gt;='EDT Y TAREAS'!AK47,230&lt;'EDT Y TAREAS'!AL47),'EDT Y TAREAS'!AE47/'EDT Y TAREAS'!M47,0),IF(AND(230&gt;='EDT Y TAREAS'!AK51,230&lt;'EDT Y TAREAS'!AL51),'EDT Y TAREAS'!AE51/'EDT Y TAREAS'!M51,0),IF(AND(230&gt;='EDT Y TAREAS'!AK52,230&lt;'EDT Y TAREAS'!AL52),'EDT Y TAREAS'!AE52/'EDT Y TAREAS'!M52,0))</x:f>
        <x:v>0</x:v>
      </x:c>
      <x:c r="D270" s="35" t="n">
        <x:f>SUM(IF(AND(230&gt;='EDT Y TAREAS'!AK11,230&lt;'EDT Y TAREAS'!AL11),'EDT Y TAREAS'!AF11/'EDT Y TAREAS'!M11,0),IF(AND(230&gt;='EDT Y TAREAS'!AK24,230&lt;'EDT Y TAREAS'!AL24),'EDT Y TAREAS'!AF24/'EDT Y TAREAS'!M24,0),IF(AND(230&gt;='EDT Y TAREAS'!AK25,230&lt;'EDT Y TAREAS'!AL25),'EDT Y TAREAS'!AF25/'EDT Y TAREAS'!M25,0),IF(AND(230&gt;='EDT Y TAREAS'!AK26,230&lt;'EDT Y TAREAS'!AL26),'EDT Y TAREAS'!AF26/'EDT Y TAREAS'!M26,0),IF(AND(230&gt;='EDT Y TAREAS'!AK27,230&lt;'EDT Y TAREAS'!AL27),'EDT Y TAREAS'!AF27/'EDT Y TAREAS'!M27,0),IF(AND(230&gt;='EDT Y TAREAS'!AK28,230&lt;'EDT Y TAREAS'!AL28),'EDT Y TAREAS'!AF28/'EDT Y TAREAS'!M28,0),IF(AND(230&gt;='EDT Y TAREAS'!AK31,230&lt;'EDT Y TAREAS'!AL31),'EDT Y TAREAS'!AF31/'EDT Y TAREAS'!M31,0),IF(AND(230&gt;='EDT Y TAREAS'!AK33,230&lt;'EDT Y TAREAS'!AL33),'EDT Y TAREAS'!AF33/'EDT Y TAREAS'!M33,0),IF(AND(230&gt;='EDT Y TAREAS'!AK34,230&lt;'EDT Y TAREAS'!AL34),'EDT Y TAREAS'!AF34/'EDT Y TAREAS'!M34,0),IF(AND(230&gt;='EDT Y TAREAS'!AK35,230&lt;'EDT Y TAREAS'!AL35),'EDT Y TAREAS'!AF35/'EDT Y TAREAS'!M35,0),IF(AND(230&gt;='EDT Y TAREAS'!AK37,230&lt;'EDT Y TAREAS'!AL37),'EDT Y TAREAS'!AF37/'EDT Y TAREAS'!M37,0),IF(AND(230&gt;='EDT Y TAREAS'!AK39,230&lt;'EDT Y TAREAS'!AL39),'EDT Y TAREAS'!AF39/'EDT Y TAREAS'!M39,0),IF(AND(230&gt;='EDT Y TAREAS'!AK40,230&lt;'EDT Y TAREAS'!AL40),'EDT Y TAREAS'!AF40/'EDT Y TAREAS'!M40,0),IF(AND(230&gt;='EDT Y TAREAS'!AK42,230&lt;'EDT Y TAREAS'!AL42),'EDT Y TAREAS'!AF42/'EDT Y TAREAS'!M42,0),IF(AND(230&gt;='EDT Y TAREAS'!AK45,230&lt;'EDT Y TAREAS'!AL45),'EDT Y TAREAS'!AF45/'EDT Y TAREAS'!M45,0),IF(AND(230&gt;='EDT Y TAREAS'!AK49,230&lt;'EDT Y TAREAS'!AL49),'EDT Y TAREAS'!AF49/'EDT Y TAREAS'!M49,0),IF(AND(230&gt;='EDT Y TAREAS'!AK52,230&lt;'EDT Y TAREAS'!AL52),'EDT Y TAREAS'!AF52/'EDT Y TAREAS'!M52,0))</x:f>
        <x:v>0</x:v>
      </x:c>
      <x:c r="E270" s="35" t="n">
        <x:f>SUM(IF(AND(230&gt;='EDT Y TAREAS'!AK29,230&lt;'EDT Y TAREAS'!AL29),'EDT Y TAREAS'!AG29/'EDT Y TAREAS'!M29,0),IF(AND(230&gt;='EDT Y TAREAS'!AK30,230&lt;'EDT Y TAREAS'!AL30),'EDT Y TAREAS'!AG30/'EDT Y TAREAS'!M30,0),IF(AND(230&gt;='EDT Y TAREAS'!AK31,230&lt;'EDT Y TAREAS'!AL31),'EDT Y TAREAS'!AG31/'EDT Y TAREAS'!M31,0),IF(AND(230&gt;='EDT Y TAREAS'!AK32,230&lt;'EDT Y TAREAS'!AL32),'EDT Y TAREAS'!AG32/'EDT Y TAREAS'!M32,0),IF(AND(230&gt;='EDT Y TAREAS'!AK41,230&lt;'EDT Y TAREAS'!AL41),'EDT Y TAREAS'!AG41/'EDT Y TAREAS'!M41,0),IF(AND(230&gt;='EDT Y TAREAS'!AK45,230&lt;'EDT Y TAREAS'!AL45),'EDT Y TAREAS'!AG45/'EDT Y TAREAS'!M45,0),IF(AND(230&gt;='EDT Y TAREAS'!AK48,230&lt;'EDT Y TAREAS'!AL48),'EDT Y TAREAS'!AG48/'EDT Y TAREAS'!M48,0))</x:f>
        <x:v>0</x:v>
      </x:c>
      <x:c r="F270" s="35" t="n">
        <x:f>SUM(IF(AND(230&gt;='EDT Y TAREAS'!AK10,230&lt;'EDT Y TAREAS'!AL10),'EDT Y TAREAS'!AH10/'EDT Y TAREAS'!M10,0),IF(AND(230&gt;='EDT Y TAREAS'!AK12,230&lt;'EDT Y TAREAS'!AL12),'EDT Y TAREAS'!AH12/'EDT Y TAREAS'!M12,0),IF(AND(230&gt;='EDT Y TAREAS'!AK22,230&lt;'EDT Y TAREAS'!AL22),'EDT Y TAREAS'!AH22/'EDT Y TAREAS'!M22,0),IF(AND(230&gt;='EDT Y TAREAS'!AK23,230&lt;'EDT Y TAREAS'!AL23),'EDT Y TAREAS'!AH23/'EDT Y TAREAS'!M23,0),IF(AND(230&gt;='EDT Y TAREAS'!AK29,230&lt;'EDT Y TAREAS'!AL29),'EDT Y TAREAS'!AH29/'EDT Y TAREAS'!M29,0),IF(AND(230&gt;='EDT Y TAREAS'!AK30,230&lt;'EDT Y TAREAS'!AL30),'EDT Y TAREAS'!AH30/'EDT Y TAREAS'!M30,0),IF(AND(230&gt;='EDT Y TAREAS'!AK32,230&lt;'EDT Y TAREAS'!AL32),'EDT Y TAREAS'!AH32/'EDT Y TAREAS'!M32,0),IF(AND(230&gt;='EDT Y TAREAS'!AK41,230&lt;'EDT Y TAREAS'!AL41),'EDT Y TAREAS'!AH41/'EDT Y TAREAS'!M41,0),IF(AND(230&gt;='EDT Y TAREAS'!AK44,230&lt;'EDT Y TAREAS'!AL44),'EDT Y TAREAS'!AH44/'EDT Y TAREAS'!M44,0),IF(AND(230&gt;='EDT Y TAREAS'!AK46,230&lt;'EDT Y TAREAS'!AL46),'EDT Y TAREAS'!AH46/'EDT Y TAREAS'!M46,0),IF(AND(230&gt;='EDT Y TAREAS'!AK48,230&lt;'EDT Y TAREAS'!AL48),'EDT Y TAREAS'!AH48/'EDT Y TAREAS'!M48,0))</x:f>
        <x:v>0</x:v>
      </x:c>
      <x:c r="G270" s="35" t="n">
        <x:f>SUM(IF(AND(230&gt;='EDT Y TAREAS'!AK20,230&lt;'EDT Y TAREAS'!AL20),'EDT Y TAREAS'!AI20/'EDT Y TAREAS'!M20,0),IF(AND(230&gt;='EDT Y TAREAS'!AK25,230&lt;'EDT Y TAREAS'!AL25),'EDT Y TAREAS'!AI25/'EDT Y TAREAS'!M25,0),IF(AND(230&gt;='EDT Y TAREAS'!AK33,230&lt;'EDT Y TAREAS'!AL33),'EDT Y TAREAS'!AI33/'EDT Y TAREAS'!M33,0),IF(AND(230&gt;='EDT Y TAREAS'!AK34,230&lt;'EDT Y TAREAS'!AL34),'EDT Y TAREAS'!AI34/'EDT Y TAREAS'!M34,0),IF(AND(230&gt;='EDT Y TAREAS'!AK36,230&lt;'EDT Y TAREAS'!AL36),'EDT Y TAREAS'!AI36/'EDT Y TAREAS'!M36,0),IF(AND(230&gt;='EDT Y TAREAS'!AK39,230&lt;'EDT Y TAREAS'!AL39),'EDT Y TAREAS'!AI39/'EDT Y TAREAS'!M39,0),IF(AND(230&gt;='EDT Y TAREAS'!AK40,230&lt;'EDT Y TAREAS'!AL40),'EDT Y TAREAS'!AI40/'EDT Y TAREAS'!M40,0),IF(AND(230&gt;='EDT Y TAREAS'!AK42,230&lt;'EDT Y TAREAS'!AL42),'EDT Y TAREAS'!AI42/'EDT Y TAREAS'!M42,0),IF(AND(230&gt;='EDT Y TAREAS'!AK43,230&lt;'EDT Y TAREAS'!AL43),'EDT Y TAREAS'!AI43/'EDT Y TAREAS'!M43,0),IF(AND(230&gt;='EDT Y TAREAS'!AK44,230&lt;'EDT Y TAREAS'!AL44),'EDT Y TAREAS'!AI44/'EDT Y TAREAS'!M44,0),IF(AND(230&gt;='EDT Y TAREAS'!AK45,230&lt;'EDT Y TAREAS'!AL45),'EDT Y TAREAS'!AI45/'EDT Y TAREAS'!M45,0),IF(AND(230&gt;='EDT Y TAREAS'!AK46,230&lt;'EDT Y TAREAS'!AL46),'EDT Y TAREAS'!AI46/'EDT Y TAREAS'!M46,0),IF(AND(230&gt;='EDT Y TAREAS'!AK48,230&lt;'EDT Y TAREAS'!AL48),'EDT Y TAREAS'!AI48/'EDT Y TAREAS'!M48,0),IF(AND(230&gt;='EDT Y TAREAS'!AK50,230&lt;'EDT Y TAREAS'!AL50),'EDT Y TAREAS'!AI50/'EDT Y TAREAS'!M50,0),IF(AND(230&gt;='EDT Y TAREAS'!AK52,230&lt;'EDT Y TAREAS'!AL52),'EDT Y TAREAS'!AI52/'EDT Y TAREAS'!M52,0))</x:f>
        <x:v>0</x:v>
      </x:c>
      <x:c r="H270" s="35" t="n">
        <x:f>SUM(IF(AND(230&gt;='EDT Y TAREAS'!AK11,230&lt;'EDT Y TAREAS'!AL11),'EDT Y TAREAS'!AJ11/'EDT Y TAREAS'!M11,0),IF(AND(230&gt;='EDT Y TAREAS'!AK24,230&lt;'EDT Y TAREAS'!AL24),'EDT Y TAREAS'!AJ24/'EDT Y TAREAS'!M24,0),IF(AND(230&gt;='EDT Y TAREAS'!AK27,230&lt;'EDT Y TAREAS'!AL27),'EDT Y TAREAS'!AJ27/'EDT Y TAREAS'!M27,0),IF(AND(230&gt;='EDT Y TAREAS'!AK28,230&lt;'EDT Y TAREAS'!AL28),'EDT Y TAREAS'!AJ28/'EDT Y TAREAS'!M28,0),IF(AND(230&gt;='EDT Y TAREAS'!AK33,230&lt;'EDT Y TAREAS'!AL33),'EDT Y TAREAS'!AJ33/'EDT Y TAREAS'!M33,0),IF(AND(230&gt;='EDT Y TAREAS'!AK35,230&lt;'EDT Y TAREAS'!AL35),'EDT Y TAREAS'!AJ35/'EDT Y TAREAS'!M35,0),IF(AND(230&gt;='EDT Y TAREAS'!AK36,230&lt;'EDT Y TAREAS'!AL36),'EDT Y TAREAS'!AJ36/'EDT Y TAREAS'!M36,0),IF(AND(230&gt;='EDT Y TAREAS'!AK37,230&lt;'EDT Y TAREAS'!AL37),'EDT Y TAREAS'!AJ37/'EDT Y TAREAS'!M37,0),IF(AND(230&gt;='EDT Y TAREAS'!AK40,230&lt;'EDT Y TAREAS'!AL40),'EDT Y TAREAS'!AJ40/'EDT Y TAREAS'!M40,0),IF(AND(230&gt;='EDT Y TAREAS'!AK42,230&lt;'EDT Y TAREAS'!AL42),'EDT Y TAREAS'!AJ42/'EDT Y TAREAS'!M42,0),IF(AND(230&gt;='EDT Y TAREAS'!AK49,230&lt;'EDT Y TAREAS'!AL49),'EDT Y TAREAS'!AJ49/'EDT Y TAREAS'!M49,0),IF(AND(230&gt;='EDT Y TAREAS'!AK50,230&lt;'EDT Y TAREAS'!AL50),'EDT Y TAREAS'!AJ50/'EDT Y TAREAS'!M50,0),IF(AND(230&gt;='EDT Y TAREAS'!AK51,230&lt;'EDT Y TAREAS'!AL51),'EDT Y TAREAS'!AJ51/'EDT Y TAREAS'!M51,0),IF(AND(230&gt;='EDT Y TAREAS'!AK52,230&lt;'EDT Y TAREAS'!AL52),'EDT Y TAREAS'!AJ52/'EDT Y TAREAS'!M52,0))</x:f>
        <x:v>0</x:v>
      </x:c>
      <x:c r="I270" s="10" t="n">
        <x:f>WORKDAY('RESUMEN'!$D$3-1,A270,'RESUMEN'!$J$6:$J$25)</x:f>
        <x:v>46650</x:v>
      </x:c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  <x:c r="AA270" s="3"/>
      <x:c r="AB270" s="3"/>
      <x:c r="AC270" s="3"/>
      <x:c r="AD270" s="3"/>
      <x:c r="AE270" s="3"/>
      <x:c r="AF270" s="3"/>
      <x:c r="AG270" s="3"/>
      <x:c r="AH270" s="3"/>
      <x:c r="AI270" s="3"/>
      <x:c r="AJ270" s="3"/>
      <x:c r="AK270" s="3"/>
      <x:c r="AL270" s="3"/>
      <x:c r="AM270" s="3"/>
      <x:c r="AN270" s="3"/>
      <x:c r="AO270" s="3"/>
    </x:row>
    <x:row r="271" ht="24" customHeight="1">
      <x:c r="A271" s="3" t="n">
        <x:v>232</x:v>
      </x:c>
      <x:c r="B271" s="35" t="n">
        <x:f>SUM(IF(AND(231&gt;='EDT Y TAREAS'!AK6,231&lt;'EDT Y TAREAS'!AL6),'EDT Y TAREAS'!AD6/'EDT Y TAREAS'!M6,0),IF(AND(231&gt;='EDT Y TAREAS'!AK7,231&lt;'EDT Y TAREAS'!AL7),'EDT Y TAREAS'!AD7/'EDT Y TAREAS'!M7,0),IF(AND(231&gt;='EDT Y TAREAS'!AK8,231&lt;'EDT Y TAREAS'!AL8),'EDT Y TAREAS'!AD8/'EDT Y TAREAS'!M8,0),IF(AND(231&gt;='EDT Y TAREAS'!AK9,231&lt;'EDT Y TAREAS'!AL9),'EDT Y TAREAS'!AD9/'EDT Y TAREAS'!M9,0),IF(AND(231&gt;='EDT Y TAREAS'!AK10,231&lt;'EDT Y TAREAS'!AL10),'EDT Y TAREAS'!AD10/'EDT Y TAREAS'!M10,0),IF(AND(231&gt;='EDT Y TAREAS'!AK11,231&lt;'EDT Y TAREAS'!AL11),'EDT Y TAREAS'!AD11/'EDT Y TAREAS'!M11,0),IF(AND(231&gt;='EDT Y TAREAS'!AK12,231&lt;'EDT Y TAREAS'!AL12),'EDT Y TAREAS'!AD12/'EDT Y TAREAS'!M12,0),IF(AND(231&gt;='EDT Y TAREAS'!AK13,231&lt;'EDT Y TAREAS'!AL13),'EDT Y TAREAS'!AD13/'EDT Y TAREAS'!M13,0),IF(AND(231&gt;='EDT Y TAREAS'!AK14,231&lt;'EDT Y TAREAS'!AL14),'EDT Y TAREAS'!AD14/'EDT Y TAREAS'!M14,0),IF(AND(231&gt;='EDT Y TAREAS'!AK15,231&lt;'EDT Y TAREAS'!AL15),'EDT Y TAREAS'!AD15/'EDT Y TAREAS'!M15,0),IF(AND(231&gt;='EDT Y TAREAS'!AK16,231&lt;'EDT Y TAREAS'!AL16),'EDT Y TAREAS'!AD16/'EDT Y TAREAS'!M16,0),IF(AND(231&gt;='EDT Y TAREAS'!AK17,231&lt;'EDT Y TAREAS'!AL17),'EDT Y TAREAS'!AD17/'EDT Y TAREAS'!M17,0),IF(AND(231&gt;='EDT Y TAREAS'!AK18,231&lt;'EDT Y TAREAS'!AL18),'EDT Y TAREAS'!AD18/'EDT Y TAREAS'!M18,0),IF(AND(231&gt;='EDT Y TAREAS'!AK19,231&lt;'EDT Y TAREAS'!AL19),'EDT Y TAREAS'!AD19/'EDT Y TAREAS'!M19,0),IF(AND(231&gt;='EDT Y TAREAS'!AK20,231&lt;'EDT Y TAREAS'!AL20),'EDT Y TAREAS'!AD20/'EDT Y TAREAS'!M20,0),IF(AND(231&gt;='EDT Y TAREAS'!AK21,231&lt;'EDT Y TAREAS'!AL21),'EDT Y TAREAS'!AD21/'EDT Y TAREAS'!M21,0),IF(AND(231&gt;='EDT Y TAREAS'!AK22,231&lt;'EDT Y TAREAS'!AL22),'EDT Y TAREAS'!AD22/'EDT Y TAREAS'!M22,0),IF(AND(231&gt;='EDT Y TAREAS'!AK23,231&lt;'EDT Y TAREAS'!AL23),'EDT Y TAREAS'!AD23/'EDT Y TAREAS'!M23,0),IF(AND(231&gt;='EDT Y TAREAS'!AK26,231&lt;'EDT Y TAREAS'!AL26),'EDT Y TAREAS'!AD26/'EDT Y TAREAS'!M26,0),IF(AND(231&gt;='EDT Y TAREAS'!AK28,231&lt;'EDT Y TAREAS'!AL28),'EDT Y TAREAS'!AD28/'EDT Y TAREAS'!M28,0),IF(AND(231&gt;='EDT Y TAREAS'!AK30,231&lt;'EDT Y TAREAS'!AL30),'EDT Y TAREAS'!AD30/'EDT Y TAREAS'!M30,0),IF(AND(231&gt;='EDT Y TAREAS'!AK32,231&lt;'EDT Y TAREAS'!AL32),'EDT Y TAREAS'!AD32/'EDT Y TAREAS'!M32,0),IF(AND(231&gt;='EDT Y TAREAS'!AK34,231&lt;'EDT Y TAREAS'!AL34),'EDT Y TAREAS'!AD34/'EDT Y TAREAS'!M34,0),IF(AND(231&gt;='EDT Y TAREAS'!AK38,231&lt;'EDT Y TAREAS'!AL38),'EDT Y TAREAS'!AD38/'EDT Y TAREAS'!M38,0),IF(AND(231&gt;='EDT Y TAREAS'!AK39,231&lt;'EDT Y TAREAS'!AL39),'EDT Y TAREAS'!AD39/'EDT Y TAREAS'!M39,0),IF(AND(231&gt;='EDT Y TAREAS'!AK43,231&lt;'EDT Y TAREAS'!AL43),'EDT Y TAREAS'!AD43/'EDT Y TAREAS'!M43,0),IF(AND(231&gt;='EDT Y TAREAS'!AK44,231&lt;'EDT Y TAREAS'!AL44),'EDT Y TAREAS'!AD44/'EDT Y TAREAS'!M44,0),IF(AND(231&gt;='EDT Y TAREAS'!AK45,231&lt;'EDT Y TAREAS'!AL45),'EDT Y TAREAS'!AD45/'EDT Y TAREAS'!M45,0),IF(AND(231&gt;='EDT Y TAREAS'!AK46,231&lt;'EDT Y TAREAS'!AL46),'EDT Y TAREAS'!AD46/'EDT Y TAREAS'!M46,0),IF(AND(231&gt;='EDT Y TAREAS'!AK47,231&lt;'EDT Y TAREAS'!AL47),'EDT Y TAREAS'!AD47/'EDT Y TAREAS'!M47,0),IF(AND(231&gt;='EDT Y TAREAS'!AK49,231&lt;'EDT Y TAREAS'!AL49),'EDT Y TAREAS'!AD49/'EDT Y TAREAS'!M49,0),IF(AND(231&gt;='EDT Y TAREAS'!AK50,231&lt;'EDT Y TAREAS'!AL50),'EDT Y TAREAS'!AD50/'EDT Y TAREAS'!M50,0),IF(AND(231&gt;='EDT Y TAREAS'!AK51,231&lt;'EDT Y TAREAS'!AL51),'EDT Y TAREAS'!AD51/'EDT Y TAREAS'!M51,0),IF(AND(231&gt;='EDT Y TAREAS'!AK52,231&lt;'EDT Y TAREAS'!AL52),'EDT Y TAREAS'!AD52/'EDT Y TAREAS'!M52,0))</x:f>
        <x:v>0</x:v>
      </x:c>
      <x:c r="C271" s="35" t="n">
        <x:f>SUM(IF(AND(231&gt;='EDT Y TAREAS'!AK6,231&lt;'EDT Y TAREAS'!AL6),'EDT Y TAREAS'!AE6/'EDT Y TAREAS'!M6,0),IF(AND(231&gt;='EDT Y TAREAS'!AK8,231&lt;'EDT Y TAREAS'!AL8),'EDT Y TAREAS'!AE8/'EDT Y TAREAS'!M8,0),IF(AND(231&gt;='EDT Y TAREAS'!AK9,231&lt;'EDT Y TAREAS'!AL9),'EDT Y TAREAS'!AE9/'EDT Y TAREAS'!M9,0),IF(AND(231&gt;='EDT Y TAREAS'!AK10,231&lt;'EDT Y TAREAS'!AL10),'EDT Y TAREAS'!AE10/'EDT Y TAREAS'!M10,0),IF(AND(231&gt;='EDT Y TAREAS'!AK12,231&lt;'EDT Y TAREAS'!AL12),'EDT Y TAREAS'!AE12/'EDT Y TAREAS'!M12,0),IF(AND(231&gt;='EDT Y TAREAS'!AK16,231&lt;'EDT Y TAREAS'!AL16),'EDT Y TAREAS'!AE16/'EDT Y TAREAS'!M16,0),IF(AND(231&gt;='EDT Y TAREAS'!AK21,231&lt;'EDT Y TAREAS'!AL21),'EDT Y TAREAS'!AE21/'EDT Y TAREAS'!M21,0),IF(AND(231&gt;='EDT Y TAREAS'!AK23,231&lt;'EDT Y TAREAS'!AL23),'EDT Y TAREAS'!AE23/'EDT Y TAREAS'!M23,0),IF(AND(231&gt;='EDT Y TAREAS'!AK37,231&lt;'EDT Y TAREAS'!AL37),'EDT Y TAREAS'!AE37/'EDT Y TAREAS'!M37,0),IF(AND(231&gt;='EDT Y TAREAS'!AK38,231&lt;'EDT Y TAREAS'!AL38),'EDT Y TAREAS'!AE38/'EDT Y TAREAS'!M38,0),IF(AND(231&gt;='EDT Y TAREAS'!AK41,231&lt;'EDT Y TAREAS'!AL41),'EDT Y TAREAS'!AE41/'EDT Y TAREAS'!M41,0),IF(AND(231&gt;='EDT Y TAREAS'!AK43,231&lt;'EDT Y TAREAS'!AL43),'EDT Y TAREAS'!AE43/'EDT Y TAREAS'!M43,0),IF(AND(231&gt;='EDT Y TAREAS'!AK44,231&lt;'EDT Y TAREAS'!AL44),'EDT Y TAREAS'!AE44/'EDT Y TAREAS'!M44,0),IF(AND(231&gt;='EDT Y TAREAS'!AK46,231&lt;'EDT Y TAREAS'!AL46),'EDT Y TAREAS'!AE46/'EDT Y TAREAS'!M46,0),IF(AND(231&gt;='EDT Y TAREAS'!AK47,231&lt;'EDT Y TAREAS'!AL47),'EDT Y TAREAS'!AE47/'EDT Y TAREAS'!M47,0),IF(AND(231&gt;='EDT Y TAREAS'!AK51,231&lt;'EDT Y TAREAS'!AL51),'EDT Y TAREAS'!AE51/'EDT Y TAREAS'!M51,0),IF(AND(231&gt;='EDT Y TAREAS'!AK52,231&lt;'EDT Y TAREAS'!AL52),'EDT Y TAREAS'!AE52/'EDT Y TAREAS'!M52,0))</x:f>
        <x:v>0</x:v>
      </x:c>
      <x:c r="D271" s="35" t="n">
        <x:f>SUM(IF(AND(231&gt;='EDT Y TAREAS'!AK11,231&lt;'EDT Y TAREAS'!AL11),'EDT Y TAREAS'!AF11/'EDT Y TAREAS'!M11,0),IF(AND(231&gt;='EDT Y TAREAS'!AK24,231&lt;'EDT Y TAREAS'!AL24),'EDT Y TAREAS'!AF24/'EDT Y TAREAS'!M24,0),IF(AND(231&gt;='EDT Y TAREAS'!AK25,231&lt;'EDT Y TAREAS'!AL25),'EDT Y TAREAS'!AF25/'EDT Y TAREAS'!M25,0),IF(AND(231&gt;='EDT Y TAREAS'!AK26,231&lt;'EDT Y TAREAS'!AL26),'EDT Y TAREAS'!AF26/'EDT Y TAREAS'!M26,0),IF(AND(231&gt;='EDT Y TAREAS'!AK27,231&lt;'EDT Y TAREAS'!AL27),'EDT Y TAREAS'!AF27/'EDT Y TAREAS'!M27,0),IF(AND(231&gt;='EDT Y TAREAS'!AK28,231&lt;'EDT Y TAREAS'!AL28),'EDT Y TAREAS'!AF28/'EDT Y TAREAS'!M28,0),IF(AND(231&gt;='EDT Y TAREAS'!AK31,231&lt;'EDT Y TAREAS'!AL31),'EDT Y TAREAS'!AF31/'EDT Y TAREAS'!M31,0),IF(AND(231&gt;='EDT Y TAREAS'!AK33,231&lt;'EDT Y TAREAS'!AL33),'EDT Y TAREAS'!AF33/'EDT Y TAREAS'!M33,0),IF(AND(231&gt;='EDT Y TAREAS'!AK34,231&lt;'EDT Y TAREAS'!AL34),'EDT Y TAREAS'!AF34/'EDT Y TAREAS'!M34,0),IF(AND(231&gt;='EDT Y TAREAS'!AK35,231&lt;'EDT Y TAREAS'!AL35),'EDT Y TAREAS'!AF35/'EDT Y TAREAS'!M35,0),IF(AND(231&gt;='EDT Y TAREAS'!AK37,231&lt;'EDT Y TAREAS'!AL37),'EDT Y TAREAS'!AF37/'EDT Y TAREAS'!M37,0),IF(AND(231&gt;='EDT Y TAREAS'!AK39,231&lt;'EDT Y TAREAS'!AL39),'EDT Y TAREAS'!AF39/'EDT Y TAREAS'!M39,0),IF(AND(231&gt;='EDT Y TAREAS'!AK40,231&lt;'EDT Y TAREAS'!AL40),'EDT Y TAREAS'!AF40/'EDT Y TAREAS'!M40,0),IF(AND(231&gt;='EDT Y TAREAS'!AK42,231&lt;'EDT Y TAREAS'!AL42),'EDT Y TAREAS'!AF42/'EDT Y TAREAS'!M42,0),IF(AND(231&gt;='EDT Y TAREAS'!AK45,231&lt;'EDT Y TAREAS'!AL45),'EDT Y TAREAS'!AF45/'EDT Y TAREAS'!M45,0),IF(AND(231&gt;='EDT Y TAREAS'!AK49,231&lt;'EDT Y TAREAS'!AL49),'EDT Y TAREAS'!AF49/'EDT Y TAREAS'!M49,0),IF(AND(231&gt;='EDT Y TAREAS'!AK52,231&lt;'EDT Y TAREAS'!AL52),'EDT Y TAREAS'!AF52/'EDT Y TAREAS'!M52,0))</x:f>
        <x:v>0</x:v>
      </x:c>
      <x:c r="E271" s="35" t="n">
        <x:f>SUM(IF(AND(231&gt;='EDT Y TAREAS'!AK29,231&lt;'EDT Y TAREAS'!AL29),'EDT Y TAREAS'!AG29/'EDT Y TAREAS'!M29,0),IF(AND(231&gt;='EDT Y TAREAS'!AK30,231&lt;'EDT Y TAREAS'!AL30),'EDT Y TAREAS'!AG30/'EDT Y TAREAS'!M30,0),IF(AND(231&gt;='EDT Y TAREAS'!AK31,231&lt;'EDT Y TAREAS'!AL31),'EDT Y TAREAS'!AG31/'EDT Y TAREAS'!M31,0),IF(AND(231&gt;='EDT Y TAREAS'!AK32,231&lt;'EDT Y TAREAS'!AL32),'EDT Y TAREAS'!AG32/'EDT Y TAREAS'!M32,0),IF(AND(231&gt;='EDT Y TAREAS'!AK41,231&lt;'EDT Y TAREAS'!AL41),'EDT Y TAREAS'!AG41/'EDT Y TAREAS'!M41,0),IF(AND(231&gt;='EDT Y TAREAS'!AK45,231&lt;'EDT Y TAREAS'!AL45),'EDT Y TAREAS'!AG45/'EDT Y TAREAS'!M45,0),IF(AND(231&gt;='EDT Y TAREAS'!AK48,231&lt;'EDT Y TAREAS'!AL48),'EDT Y TAREAS'!AG48/'EDT Y TAREAS'!M48,0))</x:f>
        <x:v>0</x:v>
      </x:c>
      <x:c r="F271" s="35" t="n">
        <x:f>SUM(IF(AND(231&gt;='EDT Y TAREAS'!AK10,231&lt;'EDT Y TAREAS'!AL10),'EDT Y TAREAS'!AH10/'EDT Y TAREAS'!M10,0),IF(AND(231&gt;='EDT Y TAREAS'!AK12,231&lt;'EDT Y TAREAS'!AL12),'EDT Y TAREAS'!AH12/'EDT Y TAREAS'!M12,0),IF(AND(231&gt;='EDT Y TAREAS'!AK22,231&lt;'EDT Y TAREAS'!AL22),'EDT Y TAREAS'!AH22/'EDT Y TAREAS'!M22,0),IF(AND(231&gt;='EDT Y TAREAS'!AK23,231&lt;'EDT Y TAREAS'!AL23),'EDT Y TAREAS'!AH23/'EDT Y TAREAS'!M23,0),IF(AND(231&gt;='EDT Y TAREAS'!AK29,231&lt;'EDT Y TAREAS'!AL29),'EDT Y TAREAS'!AH29/'EDT Y TAREAS'!M29,0),IF(AND(231&gt;='EDT Y TAREAS'!AK30,231&lt;'EDT Y TAREAS'!AL30),'EDT Y TAREAS'!AH30/'EDT Y TAREAS'!M30,0),IF(AND(231&gt;='EDT Y TAREAS'!AK32,231&lt;'EDT Y TAREAS'!AL32),'EDT Y TAREAS'!AH32/'EDT Y TAREAS'!M32,0),IF(AND(231&gt;='EDT Y TAREAS'!AK41,231&lt;'EDT Y TAREAS'!AL41),'EDT Y TAREAS'!AH41/'EDT Y TAREAS'!M41,0),IF(AND(231&gt;='EDT Y TAREAS'!AK44,231&lt;'EDT Y TAREAS'!AL44),'EDT Y TAREAS'!AH44/'EDT Y TAREAS'!M44,0),IF(AND(231&gt;='EDT Y TAREAS'!AK46,231&lt;'EDT Y TAREAS'!AL46),'EDT Y TAREAS'!AH46/'EDT Y TAREAS'!M46,0),IF(AND(231&gt;='EDT Y TAREAS'!AK48,231&lt;'EDT Y TAREAS'!AL48),'EDT Y TAREAS'!AH48/'EDT Y TAREAS'!M48,0))</x:f>
        <x:v>0</x:v>
      </x:c>
      <x:c r="G271" s="35" t="n">
        <x:f>SUM(IF(AND(231&gt;='EDT Y TAREAS'!AK20,231&lt;'EDT Y TAREAS'!AL20),'EDT Y TAREAS'!AI20/'EDT Y TAREAS'!M20,0),IF(AND(231&gt;='EDT Y TAREAS'!AK25,231&lt;'EDT Y TAREAS'!AL25),'EDT Y TAREAS'!AI25/'EDT Y TAREAS'!M25,0),IF(AND(231&gt;='EDT Y TAREAS'!AK33,231&lt;'EDT Y TAREAS'!AL33),'EDT Y TAREAS'!AI33/'EDT Y TAREAS'!M33,0),IF(AND(231&gt;='EDT Y TAREAS'!AK34,231&lt;'EDT Y TAREAS'!AL34),'EDT Y TAREAS'!AI34/'EDT Y TAREAS'!M34,0),IF(AND(231&gt;='EDT Y TAREAS'!AK36,231&lt;'EDT Y TAREAS'!AL36),'EDT Y TAREAS'!AI36/'EDT Y TAREAS'!M36,0),IF(AND(231&gt;='EDT Y TAREAS'!AK39,231&lt;'EDT Y TAREAS'!AL39),'EDT Y TAREAS'!AI39/'EDT Y TAREAS'!M39,0),IF(AND(231&gt;='EDT Y TAREAS'!AK40,231&lt;'EDT Y TAREAS'!AL40),'EDT Y TAREAS'!AI40/'EDT Y TAREAS'!M40,0),IF(AND(231&gt;='EDT Y TAREAS'!AK42,231&lt;'EDT Y TAREAS'!AL42),'EDT Y TAREAS'!AI42/'EDT Y TAREAS'!M42,0),IF(AND(231&gt;='EDT Y TAREAS'!AK43,231&lt;'EDT Y TAREAS'!AL43),'EDT Y TAREAS'!AI43/'EDT Y TAREAS'!M43,0),IF(AND(231&gt;='EDT Y TAREAS'!AK44,231&lt;'EDT Y TAREAS'!AL44),'EDT Y TAREAS'!AI44/'EDT Y TAREAS'!M44,0),IF(AND(231&gt;='EDT Y TAREAS'!AK45,231&lt;'EDT Y TAREAS'!AL45),'EDT Y TAREAS'!AI45/'EDT Y TAREAS'!M45,0),IF(AND(231&gt;='EDT Y TAREAS'!AK46,231&lt;'EDT Y TAREAS'!AL46),'EDT Y TAREAS'!AI46/'EDT Y TAREAS'!M46,0),IF(AND(231&gt;='EDT Y TAREAS'!AK48,231&lt;'EDT Y TAREAS'!AL48),'EDT Y TAREAS'!AI48/'EDT Y TAREAS'!M48,0),IF(AND(231&gt;='EDT Y TAREAS'!AK50,231&lt;'EDT Y TAREAS'!AL50),'EDT Y TAREAS'!AI50/'EDT Y TAREAS'!M50,0),IF(AND(231&gt;='EDT Y TAREAS'!AK52,231&lt;'EDT Y TAREAS'!AL52),'EDT Y TAREAS'!AI52/'EDT Y TAREAS'!M52,0))</x:f>
        <x:v>0</x:v>
      </x:c>
      <x:c r="H271" s="35" t="n">
        <x:f>SUM(IF(AND(231&gt;='EDT Y TAREAS'!AK11,231&lt;'EDT Y TAREAS'!AL11),'EDT Y TAREAS'!AJ11/'EDT Y TAREAS'!M11,0),IF(AND(231&gt;='EDT Y TAREAS'!AK24,231&lt;'EDT Y TAREAS'!AL24),'EDT Y TAREAS'!AJ24/'EDT Y TAREAS'!M24,0),IF(AND(231&gt;='EDT Y TAREAS'!AK27,231&lt;'EDT Y TAREAS'!AL27),'EDT Y TAREAS'!AJ27/'EDT Y TAREAS'!M27,0),IF(AND(231&gt;='EDT Y TAREAS'!AK28,231&lt;'EDT Y TAREAS'!AL28),'EDT Y TAREAS'!AJ28/'EDT Y TAREAS'!M28,0),IF(AND(231&gt;='EDT Y TAREAS'!AK33,231&lt;'EDT Y TAREAS'!AL33),'EDT Y TAREAS'!AJ33/'EDT Y TAREAS'!M33,0),IF(AND(231&gt;='EDT Y TAREAS'!AK35,231&lt;'EDT Y TAREAS'!AL35),'EDT Y TAREAS'!AJ35/'EDT Y TAREAS'!M35,0),IF(AND(231&gt;='EDT Y TAREAS'!AK36,231&lt;'EDT Y TAREAS'!AL36),'EDT Y TAREAS'!AJ36/'EDT Y TAREAS'!M36,0),IF(AND(231&gt;='EDT Y TAREAS'!AK37,231&lt;'EDT Y TAREAS'!AL37),'EDT Y TAREAS'!AJ37/'EDT Y TAREAS'!M37,0),IF(AND(231&gt;='EDT Y TAREAS'!AK40,231&lt;'EDT Y TAREAS'!AL40),'EDT Y TAREAS'!AJ40/'EDT Y TAREAS'!M40,0),IF(AND(231&gt;='EDT Y TAREAS'!AK42,231&lt;'EDT Y TAREAS'!AL42),'EDT Y TAREAS'!AJ42/'EDT Y TAREAS'!M42,0),IF(AND(231&gt;='EDT Y TAREAS'!AK49,231&lt;'EDT Y TAREAS'!AL49),'EDT Y TAREAS'!AJ49/'EDT Y TAREAS'!M49,0),IF(AND(231&gt;='EDT Y TAREAS'!AK50,231&lt;'EDT Y TAREAS'!AL50),'EDT Y TAREAS'!AJ50/'EDT Y TAREAS'!M50,0),IF(AND(231&gt;='EDT Y TAREAS'!AK51,231&lt;'EDT Y TAREAS'!AL51),'EDT Y TAREAS'!AJ51/'EDT Y TAREAS'!M51,0),IF(AND(231&gt;='EDT Y TAREAS'!AK52,231&lt;'EDT Y TAREAS'!AL52),'EDT Y TAREAS'!AJ52/'EDT Y TAREAS'!M52,0))</x:f>
        <x:v>0</x:v>
      </x:c>
      <x:c r="I271" s="10" t="n">
        <x:f>WORKDAY('RESUMEN'!$D$3-1,A271,'RESUMEN'!$J$6:$J$25)</x:f>
        <x:v>46651</x:v>
      </x:c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  <x:c r="AA271" s="3"/>
      <x:c r="AB271" s="3"/>
      <x:c r="AC271" s="3"/>
      <x:c r="AD271" s="3"/>
      <x:c r="AE271" s="3"/>
      <x:c r="AF271" s="3"/>
      <x:c r="AG271" s="3"/>
      <x:c r="AH271" s="3"/>
      <x:c r="AI271" s="3"/>
      <x:c r="AJ271" s="3"/>
      <x:c r="AK271" s="3"/>
      <x:c r="AL271" s="3"/>
      <x:c r="AM271" s="3"/>
      <x:c r="AN271" s="3"/>
      <x:c r="AO271" s="3"/>
    </x:row>
    <x:row r="272" ht="24" customHeight="1">
      <x:c r="A272" s="3" t="n">
        <x:v>233</x:v>
      </x:c>
      <x:c r="B272" s="35" t="n">
        <x:f>SUM(IF(AND(232&gt;='EDT Y TAREAS'!AK6,232&lt;'EDT Y TAREAS'!AL6),'EDT Y TAREAS'!AD6/'EDT Y TAREAS'!M6,0),IF(AND(232&gt;='EDT Y TAREAS'!AK7,232&lt;'EDT Y TAREAS'!AL7),'EDT Y TAREAS'!AD7/'EDT Y TAREAS'!M7,0),IF(AND(232&gt;='EDT Y TAREAS'!AK8,232&lt;'EDT Y TAREAS'!AL8),'EDT Y TAREAS'!AD8/'EDT Y TAREAS'!M8,0),IF(AND(232&gt;='EDT Y TAREAS'!AK9,232&lt;'EDT Y TAREAS'!AL9),'EDT Y TAREAS'!AD9/'EDT Y TAREAS'!M9,0),IF(AND(232&gt;='EDT Y TAREAS'!AK10,232&lt;'EDT Y TAREAS'!AL10),'EDT Y TAREAS'!AD10/'EDT Y TAREAS'!M10,0),IF(AND(232&gt;='EDT Y TAREAS'!AK11,232&lt;'EDT Y TAREAS'!AL11),'EDT Y TAREAS'!AD11/'EDT Y TAREAS'!M11,0),IF(AND(232&gt;='EDT Y TAREAS'!AK12,232&lt;'EDT Y TAREAS'!AL12),'EDT Y TAREAS'!AD12/'EDT Y TAREAS'!M12,0),IF(AND(232&gt;='EDT Y TAREAS'!AK13,232&lt;'EDT Y TAREAS'!AL13),'EDT Y TAREAS'!AD13/'EDT Y TAREAS'!M13,0),IF(AND(232&gt;='EDT Y TAREAS'!AK14,232&lt;'EDT Y TAREAS'!AL14),'EDT Y TAREAS'!AD14/'EDT Y TAREAS'!M14,0),IF(AND(232&gt;='EDT Y TAREAS'!AK15,232&lt;'EDT Y TAREAS'!AL15),'EDT Y TAREAS'!AD15/'EDT Y TAREAS'!M15,0),IF(AND(232&gt;='EDT Y TAREAS'!AK16,232&lt;'EDT Y TAREAS'!AL16),'EDT Y TAREAS'!AD16/'EDT Y TAREAS'!M16,0),IF(AND(232&gt;='EDT Y TAREAS'!AK17,232&lt;'EDT Y TAREAS'!AL17),'EDT Y TAREAS'!AD17/'EDT Y TAREAS'!M17,0),IF(AND(232&gt;='EDT Y TAREAS'!AK18,232&lt;'EDT Y TAREAS'!AL18),'EDT Y TAREAS'!AD18/'EDT Y TAREAS'!M18,0),IF(AND(232&gt;='EDT Y TAREAS'!AK19,232&lt;'EDT Y TAREAS'!AL19),'EDT Y TAREAS'!AD19/'EDT Y TAREAS'!M19,0),IF(AND(232&gt;='EDT Y TAREAS'!AK20,232&lt;'EDT Y TAREAS'!AL20),'EDT Y TAREAS'!AD20/'EDT Y TAREAS'!M20,0),IF(AND(232&gt;='EDT Y TAREAS'!AK21,232&lt;'EDT Y TAREAS'!AL21),'EDT Y TAREAS'!AD21/'EDT Y TAREAS'!M21,0),IF(AND(232&gt;='EDT Y TAREAS'!AK22,232&lt;'EDT Y TAREAS'!AL22),'EDT Y TAREAS'!AD22/'EDT Y TAREAS'!M22,0),IF(AND(232&gt;='EDT Y TAREAS'!AK23,232&lt;'EDT Y TAREAS'!AL23),'EDT Y TAREAS'!AD23/'EDT Y TAREAS'!M23,0),IF(AND(232&gt;='EDT Y TAREAS'!AK26,232&lt;'EDT Y TAREAS'!AL26),'EDT Y TAREAS'!AD26/'EDT Y TAREAS'!M26,0),IF(AND(232&gt;='EDT Y TAREAS'!AK28,232&lt;'EDT Y TAREAS'!AL28),'EDT Y TAREAS'!AD28/'EDT Y TAREAS'!M28,0),IF(AND(232&gt;='EDT Y TAREAS'!AK30,232&lt;'EDT Y TAREAS'!AL30),'EDT Y TAREAS'!AD30/'EDT Y TAREAS'!M30,0),IF(AND(232&gt;='EDT Y TAREAS'!AK32,232&lt;'EDT Y TAREAS'!AL32),'EDT Y TAREAS'!AD32/'EDT Y TAREAS'!M32,0),IF(AND(232&gt;='EDT Y TAREAS'!AK34,232&lt;'EDT Y TAREAS'!AL34),'EDT Y TAREAS'!AD34/'EDT Y TAREAS'!M34,0),IF(AND(232&gt;='EDT Y TAREAS'!AK38,232&lt;'EDT Y TAREAS'!AL38),'EDT Y TAREAS'!AD38/'EDT Y TAREAS'!M38,0),IF(AND(232&gt;='EDT Y TAREAS'!AK39,232&lt;'EDT Y TAREAS'!AL39),'EDT Y TAREAS'!AD39/'EDT Y TAREAS'!M39,0),IF(AND(232&gt;='EDT Y TAREAS'!AK43,232&lt;'EDT Y TAREAS'!AL43),'EDT Y TAREAS'!AD43/'EDT Y TAREAS'!M43,0),IF(AND(232&gt;='EDT Y TAREAS'!AK44,232&lt;'EDT Y TAREAS'!AL44),'EDT Y TAREAS'!AD44/'EDT Y TAREAS'!M44,0),IF(AND(232&gt;='EDT Y TAREAS'!AK45,232&lt;'EDT Y TAREAS'!AL45),'EDT Y TAREAS'!AD45/'EDT Y TAREAS'!M45,0),IF(AND(232&gt;='EDT Y TAREAS'!AK46,232&lt;'EDT Y TAREAS'!AL46),'EDT Y TAREAS'!AD46/'EDT Y TAREAS'!M46,0),IF(AND(232&gt;='EDT Y TAREAS'!AK47,232&lt;'EDT Y TAREAS'!AL47),'EDT Y TAREAS'!AD47/'EDT Y TAREAS'!M47,0),IF(AND(232&gt;='EDT Y TAREAS'!AK49,232&lt;'EDT Y TAREAS'!AL49),'EDT Y TAREAS'!AD49/'EDT Y TAREAS'!M49,0),IF(AND(232&gt;='EDT Y TAREAS'!AK50,232&lt;'EDT Y TAREAS'!AL50),'EDT Y TAREAS'!AD50/'EDT Y TAREAS'!M50,0),IF(AND(232&gt;='EDT Y TAREAS'!AK51,232&lt;'EDT Y TAREAS'!AL51),'EDT Y TAREAS'!AD51/'EDT Y TAREAS'!M51,0),IF(AND(232&gt;='EDT Y TAREAS'!AK52,232&lt;'EDT Y TAREAS'!AL52),'EDT Y TAREAS'!AD52/'EDT Y TAREAS'!M52,0))</x:f>
        <x:v>0</x:v>
      </x:c>
      <x:c r="C272" s="35" t="n">
        <x:f>SUM(IF(AND(232&gt;='EDT Y TAREAS'!AK6,232&lt;'EDT Y TAREAS'!AL6),'EDT Y TAREAS'!AE6/'EDT Y TAREAS'!M6,0),IF(AND(232&gt;='EDT Y TAREAS'!AK8,232&lt;'EDT Y TAREAS'!AL8),'EDT Y TAREAS'!AE8/'EDT Y TAREAS'!M8,0),IF(AND(232&gt;='EDT Y TAREAS'!AK9,232&lt;'EDT Y TAREAS'!AL9),'EDT Y TAREAS'!AE9/'EDT Y TAREAS'!M9,0),IF(AND(232&gt;='EDT Y TAREAS'!AK10,232&lt;'EDT Y TAREAS'!AL10),'EDT Y TAREAS'!AE10/'EDT Y TAREAS'!M10,0),IF(AND(232&gt;='EDT Y TAREAS'!AK12,232&lt;'EDT Y TAREAS'!AL12),'EDT Y TAREAS'!AE12/'EDT Y TAREAS'!M12,0),IF(AND(232&gt;='EDT Y TAREAS'!AK16,232&lt;'EDT Y TAREAS'!AL16),'EDT Y TAREAS'!AE16/'EDT Y TAREAS'!M16,0),IF(AND(232&gt;='EDT Y TAREAS'!AK21,232&lt;'EDT Y TAREAS'!AL21),'EDT Y TAREAS'!AE21/'EDT Y TAREAS'!M21,0),IF(AND(232&gt;='EDT Y TAREAS'!AK23,232&lt;'EDT Y TAREAS'!AL23),'EDT Y TAREAS'!AE23/'EDT Y TAREAS'!M23,0),IF(AND(232&gt;='EDT Y TAREAS'!AK37,232&lt;'EDT Y TAREAS'!AL37),'EDT Y TAREAS'!AE37/'EDT Y TAREAS'!M37,0),IF(AND(232&gt;='EDT Y TAREAS'!AK38,232&lt;'EDT Y TAREAS'!AL38),'EDT Y TAREAS'!AE38/'EDT Y TAREAS'!M38,0),IF(AND(232&gt;='EDT Y TAREAS'!AK41,232&lt;'EDT Y TAREAS'!AL41),'EDT Y TAREAS'!AE41/'EDT Y TAREAS'!M41,0),IF(AND(232&gt;='EDT Y TAREAS'!AK43,232&lt;'EDT Y TAREAS'!AL43),'EDT Y TAREAS'!AE43/'EDT Y TAREAS'!M43,0),IF(AND(232&gt;='EDT Y TAREAS'!AK44,232&lt;'EDT Y TAREAS'!AL44),'EDT Y TAREAS'!AE44/'EDT Y TAREAS'!M44,0),IF(AND(232&gt;='EDT Y TAREAS'!AK46,232&lt;'EDT Y TAREAS'!AL46),'EDT Y TAREAS'!AE46/'EDT Y TAREAS'!M46,0),IF(AND(232&gt;='EDT Y TAREAS'!AK47,232&lt;'EDT Y TAREAS'!AL47),'EDT Y TAREAS'!AE47/'EDT Y TAREAS'!M47,0),IF(AND(232&gt;='EDT Y TAREAS'!AK51,232&lt;'EDT Y TAREAS'!AL51),'EDT Y TAREAS'!AE51/'EDT Y TAREAS'!M51,0),IF(AND(232&gt;='EDT Y TAREAS'!AK52,232&lt;'EDT Y TAREAS'!AL52),'EDT Y TAREAS'!AE52/'EDT Y TAREAS'!M52,0))</x:f>
        <x:v>0</x:v>
      </x:c>
      <x:c r="D272" s="35" t="n">
        <x:f>SUM(IF(AND(232&gt;='EDT Y TAREAS'!AK11,232&lt;'EDT Y TAREAS'!AL11),'EDT Y TAREAS'!AF11/'EDT Y TAREAS'!M11,0),IF(AND(232&gt;='EDT Y TAREAS'!AK24,232&lt;'EDT Y TAREAS'!AL24),'EDT Y TAREAS'!AF24/'EDT Y TAREAS'!M24,0),IF(AND(232&gt;='EDT Y TAREAS'!AK25,232&lt;'EDT Y TAREAS'!AL25),'EDT Y TAREAS'!AF25/'EDT Y TAREAS'!M25,0),IF(AND(232&gt;='EDT Y TAREAS'!AK26,232&lt;'EDT Y TAREAS'!AL26),'EDT Y TAREAS'!AF26/'EDT Y TAREAS'!M26,0),IF(AND(232&gt;='EDT Y TAREAS'!AK27,232&lt;'EDT Y TAREAS'!AL27),'EDT Y TAREAS'!AF27/'EDT Y TAREAS'!M27,0),IF(AND(232&gt;='EDT Y TAREAS'!AK28,232&lt;'EDT Y TAREAS'!AL28),'EDT Y TAREAS'!AF28/'EDT Y TAREAS'!M28,0),IF(AND(232&gt;='EDT Y TAREAS'!AK31,232&lt;'EDT Y TAREAS'!AL31),'EDT Y TAREAS'!AF31/'EDT Y TAREAS'!M31,0),IF(AND(232&gt;='EDT Y TAREAS'!AK33,232&lt;'EDT Y TAREAS'!AL33),'EDT Y TAREAS'!AF33/'EDT Y TAREAS'!M33,0),IF(AND(232&gt;='EDT Y TAREAS'!AK34,232&lt;'EDT Y TAREAS'!AL34),'EDT Y TAREAS'!AF34/'EDT Y TAREAS'!M34,0),IF(AND(232&gt;='EDT Y TAREAS'!AK35,232&lt;'EDT Y TAREAS'!AL35),'EDT Y TAREAS'!AF35/'EDT Y TAREAS'!M35,0),IF(AND(232&gt;='EDT Y TAREAS'!AK37,232&lt;'EDT Y TAREAS'!AL37),'EDT Y TAREAS'!AF37/'EDT Y TAREAS'!M37,0),IF(AND(232&gt;='EDT Y TAREAS'!AK39,232&lt;'EDT Y TAREAS'!AL39),'EDT Y TAREAS'!AF39/'EDT Y TAREAS'!M39,0),IF(AND(232&gt;='EDT Y TAREAS'!AK40,232&lt;'EDT Y TAREAS'!AL40),'EDT Y TAREAS'!AF40/'EDT Y TAREAS'!M40,0),IF(AND(232&gt;='EDT Y TAREAS'!AK42,232&lt;'EDT Y TAREAS'!AL42),'EDT Y TAREAS'!AF42/'EDT Y TAREAS'!M42,0),IF(AND(232&gt;='EDT Y TAREAS'!AK45,232&lt;'EDT Y TAREAS'!AL45),'EDT Y TAREAS'!AF45/'EDT Y TAREAS'!M45,0),IF(AND(232&gt;='EDT Y TAREAS'!AK49,232&lt;'EDT Y TAREAS'!AL49),'EDT Y TAREAS'!AF49/'EDT Y TAREAS'!M49,0),IF(AND(232&gt;='EDT Y TAREAS'!AK52,232&lt;'EDT Y TAREAS'!AL52),'EDT Y TAREAS'!AF52/'EDT Y TAREAS'!M52,0))</x:f>
        <x:v>0</x:v>
      </x:c>
      <x:c r="E272" s="35" t="n">
        <x:f>SUM(IF(AND(232&gt;='EDT Y TAREAS'!AK29,232&lt;'EDT Y TAREAS'!AL29),'EDT Y TAREAS'!AG29/'EDT Y TAREAS'!M29,0),IF(AND(232&gt;='EDT Y TAREAS'!AK30,232&lt;'EDT Y TAREAS'!AL30),'EDT Y TAREAS'!AG30/'EDT Y TAREAS'!M30,0),IF(AND(232&gt;='EDT Y TAREAS'!AK31,232&lt;'EDT Y TAREAS'!AL31),'EDT Y TAREAS'!AG31/'EDT Y TAREAS'!M31,0),IF(AND(232&gt;='EDT Y TAREAS'!AK32,232&lt;'EDT Y TAREAS'!AL32),'EDT Y TAREAS'!AG32/'EDT Y TAREAS'!M32,0),IF(AND(232&gt;='EDT Y TAREAS'!AK41,232&lt;'EDT Y TAREAS'!AL41),'EDT Y TAREAS'!AG41/'EDT Y TAREAS'!M41,0),IF(AND(232&gt;='EDT Y TAREAS'!AK45,232&lt;'EDT Y TAREAS'!AL45),'EDT Y TAREAS'!AG45/'EDT Y TAREAS'!M45,0),IF(AND(232&gt;='EDT Y TAREAS'!AK48,232&lt;'EDT Y TAREAS'!AL48),'EDT Y TAREAS'!AG48/'EDT Y TAREAS'!M48,0))</x:f>
        <x:v>0</x:v>
      </x:c>
      <x:c r="F272" s="35" t="n">
        <x:f>SUM(IF(AND(232&gt;='EDT Y TAREAS'!AK10,232&lt;'EDT Y TAREAS'!AL10),'EDT Y TAREAS'!AH10/'EDT Y TAREAS'!M10,0),IF(AND(232&gt;='EDT Y TAREAS'!AK12,232&lt;'EDT Y TAREAS'!AL12),'EDT Y TAREAS'!AH12/'EDT Y TAREAS'!M12,0),IF(AND(232&gt;='EDT Y TAREAS'!AK22,232&lt;'EDT Y TAREAS'!AL22),'EDT Y TAREAS'!AH22/'EDT Y TAREAS'!M22,0),IF(AND(232&gt;='EDT Y TAREAS'!AK23,232&lt;'EDT Y TAREAS'!AL23),'EDT Y TAREAS'!AH23/'EDT Y TAREAS'!M23,0),IF(AND(232&gt;='EDT Y TAREAS'!AK29,232&lt;'EDT Y TAREAS'!AL29),'EDT Y TAREAS'!AH29/'EDT Y TAREAS'!M29,0),IF(AND(232&gt;='EDT Y TAREAS'!AK30,232&lt;'EDT Y TAREAS'!AL30),'EDT Y TAREAS'!AH30/'EDT Y TAREAS'!M30,0),IF(AND(232&gt;='EDT Y TAREAS'!AK32,232&lt;'EDT Y TAREAS'!AL32),'EDT Y TAREAS'!AH32/'EDT Y TAREAS'!M32,0),IF(AND(232&gt;='EDT Y TAREAS'!AK41,232&lt;'EDT Y TAREAS'!AL41),'EDT Y TAREAS'!AH41/'EDT Y TAREAS'!M41,0),IF(AND(232&gt;='EDT Y TAREAS'!AK44,232&lt;'EDT Y TAREAS'!AL44),'EDT Y TAREAS'!AH44/'EDT Y TAREAS'!M44,0),IF(AND(232&gt;='EDT Y TAREAS'!AK46,232&lt;'EDT Y TAREAS'!AL46),'EDT Y TAREAS'!AH46/'EDT Y TAREAS'!M46,0),IF(AND(232&gt;='EDT Y TAREAS'!AK48,232&lt;'EDT Y TAREAS'!AL48),'EDT Y TAREAS'!AH48/'EDT Y TAREAS'!M48,0))</x:f>
        <x:v>0</x:v>
      </x:c>
      <x:c r="G272" s="35" t="n">
        <x:f>SUM(IF(AND(232&gt;='EDT Y TAREAS'!AK20,232&lt;'EDT Y TAREAS'!AL20),'EDT Y TAREAS'!AI20/'EDT Y TAREAS'!M20,0),IF(AND(232&gt;='EDT Y TAREAS'!AK25,232&lt;'EDT Y TAREAS'!AL25),'EDT Y TAREAS'!AI25/'EDT Y TAREAS'!M25,0),IF(AND(232&gt;='EDT Y TAREAS'!AK33,232&lt;'EDT Y TAREAS'!AL33),'EDT Y TAREAS'!AI33/'EDT Y TAREAS'!M33,0),IF(AND(232&gt;='EDT Y TAREAS'!AK34,232&lt;'EDT Y TAREAS'!AL34),'EDT Y TAREAS'!AI34/'EDT Y TAREAS'!M34,0),IF(AND(232&gt;='EDT Y TAREAS'!AK36,232&lt;'EDT Y TAREAS'!AL36),'EDT Y TAREAS'!AI36/'EDT Y TAREAS'!M36,0),IF(AND(232&gt;='EDT Y TAREAS'!AK39,232&lt;'EDT Y TAREAS'!AL39),'EDT Y TAREAS'!AI39/'EDT Y TAREAS'!M39,0),IF(AND(232&gt;='EDT Y TAREAS'!AK40,232&lt;'EDT Y TAREAS'!AL40),'EDT Y TAREAS'!AI40/'EDT Y TAREAS'!M40,0),IF(AND(232&gt;='EDT Y TAREAS'!AK42,232&lt;'EDT Y TAREAS'!AL42),'EDT Y TAREAS'!AI42/'EDT Y TAREAS'!M42,0),IF(AND(232&gt;='EDT Y TAREAS'!AK43,232&lt;'EDT Y TAREAS'!AL43),'EDT Y TAREAS'!AI43/'EDT Y TAREAS'!M43,0),IF(AND(232&gt;='EDT Y TAREAS'!AK44,232&lt;'EDT Y TAREAS'!AL44),'EDT Y TAREAS'!AI44/'EDT Y TAREAS'!M44,0),IF(AND(232&gt;='EDT Y TAREAS'!AK45,232&lt;'EDT Y TAREAS'!AL45),'EDT Y TAREAS'!AI45/'EDT Y TAREAS'!M45,0),IF(AND(232&gt;='EDT Y TAREAS'!AK46,232&lt;'EDT Y TAREAS'!AL46),'EDT Y TAREAS'!AI46/'EDT Y TAREAS'!M46,0),IF(AND(232&gt;='EDT Y TAREAS'!AK48,232&lt;'EDT Y TAREAS'!AL48),'EDT Y TAREAS'!AI48/'EDT Y TAREAS'!M48,0),IF(AND(232&gt;='EDT Y TAREAS'!AK50,232&lt;'EDT Y TAREAS'!AL50),'EDT Y TAREAS'!AI50/'EDT Y TAREAS'!M50,0),IF(AND(232&gt;='EDT Y TAREAS'!AK52,232&lt;'EDT Y TAREAS'!AL52),'EDT Y TAREAS'!AI52/'EDT Y TAREAS'!M52,0))</x:f>
        <x:v>0</x:v>
      </x:c>
      <x:c r="H272" s="35" t="n">
        <x:f>SUM(IF(AND(232&gt;='EDT Y TAREAS'!AK11,232&lt;'EDT Y TAREAS'!AL11),'EDT Y TAREAS'!AJ11/'EDT Y TAREAS'!M11,0),IF(AND(232&gt;='EDT Y TAREAS'!AK24,232&lt;'EDT Y TAREAS'!AL24),'EDT Y TAREAS'!AJ24/'EDT Y TAREAS'!M24,0),IF(AND(232&gt;='EDT Y TAREAS'!AK27,232&lt;'EDT Y TAREAS'!AL27),'EDT Y TAREAS'!AJ27/'EDT Y TAREAS'!M27,0),IF(AND(232&gt;='EDT Y TAREAS'!AK28,232&lt;'EDT Y TAREAS'!AL28),'EDT Y TAREAS'!AJ28/'EDT Y TAREAS'!M28,0),IF(AND(232&gt;='EDT Y TAREAS'!AK33,232&lt;'EDT Y TAREAS'!AL33),'EDT Y TAREAS'!AJ33/'EDT Y TAREAS'!M33,0),IF(AND(232&gt;='EDT Y TAREAS'!AK35,232&lt;'EDT Y TAREAS'!AL35),'EDT Y TAREAS'!AJ35/'EDT Y TAREAS'!M35,0),IF(AND(232&gt;='EDT Y TAREAS'!AK36,232&lt;'EDT Y TAREAS'!AL36),'EDT Y TAREAS'!AJ36/'EDT Y TAREAS'!M36,0),IF(AND(232&gt;='EDT Y TAREAS'!AK37,232&lt;'EDT Y TAREAS'!AL37),'EDT Y TAREAS'!AJ37/'EDT Y TAREAS'!M37,0),IF(AND(232&gt;='EDT Y TAREAS'!AK40,232&lt;'EDT Y TAREAS'!AL40),'EDT Y TAREAS'!AJ40/'EDT Y TAREAS'!M40,0),IF(AND(232&gt;='EDT Y TAREAS'!AK42,232&lt;'EDT Y TAREAS'!AL42),'EDT Y TAREAS'!AJ42/'EDT Y TAREAS'!M42,0),IF(AND(232&gt;='EDT Y TAREAS'!AK49,232&lt;'EDT Y TAREAS'!AL49),'EDT Y TAREAS'!AJ49/'EDT Y TAREAS'!M49,0),IF(AND(232&gt;='EDT Y TAREAS'!AK50,232&lt;'EDT Y TAREAS'!AL50),'EDT Y TAREAS'!AJ50/'EDT Y TAREAS'!M50,0),IF(AND(232&gt;='EDT Y TAREAS'!AK51,232&lt;'EDT Y TAREAS'!AL51),'EDT Y TAREAS'!AJ51/'EDT Y TAREAS'!M51,0),IF(AND(232&gt;='EDT Y TAREAS'!AK52,232&lt;'EDT Y TAREAS'!AL52),'EDT Y TAREAS'!AJ52/'EDT Y TAREAS'!M52,0))</x:f>
        <x:v>0</x:v>
      </x:c>
      <x:c r="I272" s="10" t="n">
        <x:f>WORKDAY('RESUMEN'!$D$3-1,A272,'RESUMEN'!$J$6:$J$25)</x:f>
        <x:v>46652</x:v>
      </x:c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  <x:c r="AA272" s="3"/>
      <x:c r="AB272" s="3"/>
      <x:c r="AC272" s="3"/>
      <x:c r="AD272" s="3"/>
      <x:c r="AE272" s="3"/>
      <x:c r="AF272" s="3"/>
      <x:c r="AG272" s="3"/>
      <x:c r="AH272" s="3"/>
      <x:c r="AI272" s="3"/>
      <x:c r="AJ272" s="3"/>
      <x:c r="AK272" s="3"/>
      <x:c r="AL272" s="3"/>
      <x:c r="AM272" s="3"/>
      <x:c r="AN272" s="3"/>
      <x:c r="AO272" s="3"/>
    </x:row>
    <x:row r="273" ht="24" customHeight="1">
      <x:c r="A273" s="3" t="n">
        <x:v>234</x:v>
      </x:c>
      <x:c r="B273" s="35" t="n">
        <x:f>SUM(IF(AND(233&gt;='EDT Y TAREAS'!AK6,233&lt;'EDT Y TAREAS'!AL6),'EDT Y TAREAS'!AD6/'EDT Y TAREAS'!M6,0),IF(AND(233&gt;='EDT Y TAREAS'!AK7,233&lt;'EDT Y TAREAS'!AL7),'EDT Y TAREAS'!AD7/'EDT Y TAREAS'!M7,0),IF(AND(233&gt;='EDT Y TAREAS'!AK8,233&lt;'EDT Y TAREAS'!AL8),'EDT Y TAREAS'!AD8/'EDT Y TAREAS'!M8,0),IF(AND(233&gt;='EDT Y TAREAS'!AK9,233&lt;'EDT Y TAREAS'!AL9),'EDT Y TAREAS'!AD9/'EDT Y TAREAS'!M9,0),IF(AND(233&gt;='EDT Y TAREAS'!AK10,233&lt;'EDT Y TAREAS'!AL10),'EDT Y TAREAS'!AD10/'EDT Y TAREAS'!M10,0),IF(AND(233&gt;='EDT Y TAREAS'!AK11,233&lt;'EDT Y TAREAS'!AL11),'EDT Y TAREAS'!AD11/'EDT Y TAREAS'!M11,0),IF(AND(233&gt;='EDT Y TAREAS'!AK12,233&lt;'EDT Y TAREAS'!AL12),'EDT Y TAREAS'!AD12/'EDT Y TAREAS'!M12,0),IF(AND(233&gt;='EDT Y TAREAS'!AK13,233&lt;'EDT Y TAREAS'!AL13),'EDT Y TAREAS'!AD13/'EDT Y TAREAS'!M13,0),IF(AND(233&gt;='EDT Y TAREAS'!AK14,233&lt;'EDT Y TAREAS'!AL14),'EDT Y TAREAS'!AD14/'EDT Y TAREAS'!M14,0),IF(AND(233&gt;='EDT Y TAREAS'!AK15,233&lt;'EDT Y TAREAS'!AL15),'EDT Y TAREAS'!AD15/'EDT Y TAREAS'!M15,0),IF(AND(233&gt;='EDT Y TAREAS'!AK16,233&lt;'EDT Y TAREAS'!AL16),'EDT Y TAREAS'!AD16/'EDT Y TAREAS'!M16,0),IF(AND(233&gt;='EDT Y TAREAS'!AK17,233&lt;'EDT Y TAREAS'!AL17),'EDT Y TAREAS'!AD17/'EDT Y TAREAS'!M17,0),IF(AND(233&gt;='EDT Y TAREAS'!AK18,233&lt;'EDT Y TAREAS'!AL18),'EDT Y TAREAS'!AD18/'EDT Y TAREAS'!M18,0),IF(AND(233&gt;='EDT Y TAREAS'!AK19,233&lt;'EDT Y TAREAS'!AL19),'EDT Y TAREAS'!AD19/'EDT Y TAREAS'!M19,0),IF(AND(233&gt;='EDT Y TAREAS'!AK20,233&lt;'EDT Y TAREAS'!AL20),'EDT Y TAREAS'!AD20/'EDT Y TAREAS'!M20,0),IF(AND(233&gt;='EDT Y TAREAS'!AK21,233&lt;'EDT Y TAREAS'!AL21),'EDT Y TAREAS'!AD21/'EDT Y TAREAS'!M21,0),IF(AND(233&gt;='EDT Y TAREAS'!AK22,233&lt;'EDT Y TAREAS'!AL22),'EDT Y TAREAS'!AD22/'EDT Y TAREAS'!M22,0),IF(AND(233&gt;='EDT Y TAREAS'!AK23,233&lt;'EDT Y TAREAS'!AL23),'EDT Y TAREAS'!AD23/'EDT Y TAREAS'!M23,0),IF(AND(233&gt;='EDT Y TAREAS'!AK26,233&lt;'EDT Y TAREAS'!AL26),'EDT Y TAREAS'!AD26/'EDT Y TAREAS'!M26,0),IF(AND(233&gt;='EDT Y TAREAS'!AK28,233&lt;'EDT Y TAREAS'!AL28),'EDT Y TAREAS'!AD28/'EDT Y TAREAS'!M28,0),IF(AND(233&gt;='EDT Y TAREAS'!AK30,233&lt;'EDT Y TAREAS'!AL30),'EDT Y TAREAS'!AD30/'EDT Y TAREAS'!M30,0),IF(AND(233&gt;='EDT Y TAREAS'!AK32,233&lt;'EDT Y TAREAS'!AL32),'EDT Y TAREAS'!AD32/'EDT Y TAREAS'!M32,0),IF(AND(233&gt;='EDT Y TAREAS'!AK34,233&lt;'EDT Y TAREAS'!AL34),'EDT Y TAREAS'!AD34/'EDT Y TAREAS'!M34,0),IF(AND(233&gt;='EDT Y TAREAS'!AK38,233&lt;'EDT Y TAREAS'!AL38),'EDT Y TAREAS'!AD38/'EDT Y TAREAS'!M38,0),IF(AND(233&gt;='EDT Y TAREAS'!AK39,233&lt;'EDT Y TAREAS'!AL39),'EDT Y TAREAS'!AD39/'EDT Y TAREAS'!M39,0),IF(AND(233&gt;='EDT Y TAREAS'!AK43,233&lt;'EDT Y TAREAS'!AL43),'EDT Y TAREAS'!AD43/'EDT Y TAREAS'!M43,0),IF(AND(233&gt;='EDT Y TAREAS'!AK44,233&lt;'EDT Y TAREAS'!AL44),'EDT Y TAREAS'!AD44/'EDT Y TAREAS'!M44,0),IF(AND(233&gt;='EDT Y TAREAS'!AK45,233&lt;'EDT Y TAREAS'!AL45),'EDT Y TAREAS'!AD45/'EDT Y TAREAS'!M45,0),IF(AND(233&gt;='EDT Y TAREAS'!AK46,233&lt;'EDT Y TAREAS'!AL46),'EDT Y TAREAS'!AD46/'EDT Y TAREAS'!M46,0),IF(AND(233&gt;='EDT Y TAREAS'!AK47,233&lt;'EDT Y TAREAS'!AL47),'EDT Y TAREAS'!AD47/'EDT Y TAREAS'!M47,0),IF(AND(233&gt;='EDT Y TAREAS'!AK49,233&lt;'EDT Y TAREAS'!AL49),'EDT Y TAREAS'!AD49/'EDT Y TAREAS'!M49,0),IF(AND(233&gt;='EDT Y TAREAS'!AK50,233&lt;'EDT Y TAREAS'!AL50),'EDT Y TAREAS'!AD50/'EDT Y TAREAS'!M50,0),IF(AND(233&gt;='EDT Y TAREAS'!AK51,233&lt;'EDT Y TAREAS'!AL51),'EDT Y TAREAS'!AD51/'EDT Y TAREAS'!M51,0),IF(AND(233&gt;='EDT Y TAREAS'!AK52,233&lt;'EDT Y TAREAS'!AL52),'EDT Y TAREAS'!AD52/'EDT Y TAREAS'!M52,0))</x:f>
        <x:v>0</x:v>
      </x:c>
      <x:c r="C273" s="35" t="n">
        <x:f>SUM(IF(AND(233&gt;='EDT Y TAREAS'!AK6,233&lt;'EDT Y TAREAS'!AL6),'EDT Y TAREAS'!AE6/'EDT Y TAREAS'!M6,0),IF(AND(233&gt;='EDT Y TAREAS'!AK8,233&lt;'EDT Y TAREAS'!AL8),'EDT Y TAREAS'!AE8/'EDT Y TAREAS'!M8,0),IF(AND(233&gt;='EDT Y TAREAS'!AK9,233&lt;'EDT Y TAREAS'!AL9),'EDT Y TAREAS'!AE9/'EDT Y TAREAS'!M9,0),IF(AND(233&gt;='EDT Y TAREAS'!AK10,233&lt;'EDT Y TAREAS'!AL10),'EDT Y TAREAS'!AE10/'EDT Y TAREAS'!M10,0),IF(AND(233&gt;='EDT Y TAREAS'!AK12,233&lt;'EDT Y TAREAS'!AL12),'EDT Y TAREAS'!AE12/'EDT Y TAREAS'!M12,0),IF(AND(233&gt;='EDT Y TAREAS'!AK16,233&lt;'EDT Y TAREAS'!AL16),'EDT Y TAREAS'!AE16/'EDT Y TAREAS'!M16,0),IF(AND(233&gt;='EDT Y TAREAS'!AK21,233&lt;'EDT Y TAREAS'!AL21),'EDT Y TAREAS'!AE21/'EDT Y TAREAS'!M21,0),IF(AND(233&gt;='EDT Y TAREAS'!AK23,233&lt;'EDT Y TAREAS'!AL23),'EDT Y TAREAS'!AE23/'EDT Y TAREAS'!M23,0),IF(AND(233&gt;='EDT Y TAREAS'!AK37,233&lt;'EDT Y TAREAS'!AL37),'EDT Y TAREAS'!AE37/'EDT Y TAREAS'!M37,0),IF(AND(233&gt;='EDT Y TAREAS'!AK38,233&lt;'EDT Y TAREAS'!AL38),'EDT Y TAREAS'!AE38/'EDT Y TAREAS'!M38,0),IF(AND(233&gt;='EDT Y TAREAS'!AK41,233&lt;'EDT Y TAREAS'!AL41),'EDT Y TAREAS'!AE41/'EDT Y TAREAS'!M41,0),IF(AND(233&gt;='EDT Y TAREAS'!AK43,233&lt;'EDT Y TAREAS'!AL43),'EDT Y TAREAS'!AE43/'EDT Y TAREAS'!M43,0),IF(AND(233&gt;='EDT Y TAREAS'!AK44,233&lt;'EDT Y TAREAS'!AL44),'EDT Y TAREAS'!AE44/'EDT Y TAREAS'!M44,0),IF(AND(233&gt;='EDT Y TAREAS'!AK46,233&lt;'EDT Y TAREAS'!AL46),'EDT Y TAREAS'!AE46/'EDT Y TAREAS'!M46,0),IF(AND(233&gt;='EDT Y TAREAS'!AK47,233&lt;'EDT Y TAREAS'!AL47),'EDT Y TAREAS'!AE47/'EDT Y TAREAS'!M47,0),IF(AND(233&gt;='EDT Y TAREAS'!AK51,233&lt;'EDT Y TAREAS'!AL51),'EDT Y TAREAS'!AE51/'EDT Y TAREAS'!M51,0),IF(AND(233&gt;='EDT Y TAREAS'!AK52,233&lt;'EDT Y TAREAS'!AL52),'EDT Y TAREAS'!AE52/'EDT Y TAREAS'!M52,0))</x:f>
        <x:v>0</x:v>
      </x:c>
      <x:c r="D273" s="35" t="n">
        <x:f>SUM(IF(AND(233&gt;='EDT Y TAREAS'!AK11,233&lt;'EDT Y TAREAS'!AL11),'EDT Y TAREAS'!AF11/'EDT Y TAREAS'!M11,0),IF(AND(233&gt;='EDT Y TAREAS'!AK24,233&lt;'EDT Y TAREAS'!AL24),'EDT Y TAREAS'!AF24/'EDT Y TAREAS'!M24,0),IF(AND(233&gt;='EDT Y TAREAS'!AK25,233&lt;'EDT Y TAREAS'!AL25),'EDT Y TAREAS'!AF25/'EDT Y TAREAS'!M25,0),IF(AND(233&gt;='EDT Y TAREAS'!AK26,233&lt;'EDT Y TAREAS'!AL26),'EDT Y TAREAS'!AF26/'EDT Y TAREAS'!M26,0),IF(AND(233&gt;='EDT Y TAREAS'!AK27,233&lt;'EDT Y TAREAS'!AL27),'EDT Y TAREAS'!AF27/'EDT Y TAREAS'!M27,0),IF(AND(233&gt;='EDT Y TAREAS'!AK28,233&lt;'EDT Y TAREAS'!AL28),'EDT Y TAREAS'!AF28/'EDT Y TAREAS'!M28,0),IF(AND(233&gt;='EDT Y TAREAS'!AK31,233&lt;'EDT Y TAREAS'!AL31),'EDT Y TAREAS'!AF31/'EDT Y TAREAS'!M31,0),IF(AND(233&gt;='EDT Y TAREAS'!AK33,233&lt;'EDT Y TAREAS'!AL33),'EDT Y TAREAS'!AF33/'EDT Y TAREAS'!M33,0),IF(AND(233&gt;='EDT Y TAREAS'!AK34,233&lt;'EDT Y TAREAS'!AL34),'EDT Y TAREAS'!AF34/'EDT Y TAREAS'!M34,0),IF(AND(233&gt;='EDT Y TAREAS'!AK35,233&lt;'EDT Y TAREAS'!AL35),'EDT Y TAREAS'!AF35/'EDT Y TAREAS'!M35,0),IF(AND(233&gt;='EDT Y TAREAS'!AK37,233&lt;'EDT Y TAREAS'!AL37),'EDT Y TAREAS'!AF37/'EDT Y TAREAS'!M37,0),IF(AND(233&gt;='EDT Y TAREAS'!AK39,233&lt;'EDT Y TAREAS'!AL39),'EDT Y TAREAS'!AF39/'EDT Y TAREAS'!M39,0),IF(AND(233&gt;='EDT Y TAREAS'!AK40,233&lt;'EDT Y TAREAS'!AL40),'EDT Y TAREAS'!AF40/'EDT Y TAREAS'!M40,0),IF(AND(233&gt;='EDT Y TAREAS'!AK42,233&lt;'EDT Y TAREAS'!AL42),'EDT Y TAREAS'!AF42/'EDT Y TAREAS'!M42,0),IF(AND(233&gt;='EDT Y TAREAS'!AK45,233&lt;'EDT Y TAREAS'!AL45),'EDT Y TAREAS'!AF45/'EDT Y TAREAS'!M45,0),IF(AND(233&gt;='EDT Y TAREAS'!AK49,233&lt;'EDT Y TAREAS'!AL49),'EDT Y TAREAS'!AF49/'EDT Y TAREAS'!M49,0),IF(AND(233&gt;='EDT Y TAREAS'!AK52,233&lt;'EDT Y TAREAS'!AL52),'EDT Y TAREAS'!AF52/'EDT Y TAREAS'!M52,0))</x:f>
        <x:v>0</x:v>
      </x:c>
      <x:c r="E273" s="35" t="n">
        <x:f>SUM(IF(AND(233&gt;='EDT Y TAREAS'!AK29,233&lt;'EDT Y TAREAS'!AL29),'EDT Y TAREAS'!AG29/'EDT Y TAREAS'!M29,0),IF(AND(233&gt;='EDT Y TAREAS'!AK30,233&lt;'EDT Y TAREAS'!AL30),'EDT Y TAREAS'!AG30/'EDT Y TAREAS'!M30,0),IF(AND(233&gt;='EDT Y TAREAS'!AK31,233&lt;'EDT Y TAREAS'!AL31),'EDT Y TAREAS'!AG31/'EDT Y TAREAS'!M31,0),IF(AND(233&gt;='EDT Y TAREAS'!AK32,233&lt;'EDT Y TAREAS'!AL32),'EDT Y TAREAS'!AG32/'EDT Y TAREAS'!M32,0),IF(AND(233&gt;='EDT Y TAREAS'!AK41,233&lt;'EDT Y TAREAS'!AL41),'EDT Y TAREAS'!AG41/'EDT Y TAREAS'!M41,0),IF(AND(233&gt;='EDT Y TAREAS'!AK45,233&lt;'EDT Y TAREAS'!AL45),'EDT Y TAREAS'!AG45/'EDT Y TAREAS'!M45,0),IF(AND(233&gt;='EDT Y TAREAS'!AK48,233&lt;'EDT Y TAREAS'!AL48),'EDT Y TAREAS'!AG48/'EDT Y TAREAS'!M48,0))</x:f>
        <x:v>0</x:v>
      </x:c>
      <x:c r="F273" s="35" t="n">
        <x:f>SUM(IF(AND(233&gt;='EDT Y TAREAS'!AK10,233&lt;'EDT Y TAREAS'!AL10),'EDT Y TAREAS'!AH10/'EDT Y TAREAS'!M10,0),IF(AND(233&gt;='EDT Y TAREAS'!AK12,233&lt;'EDT Y TAREAS'!AL12),'EDT Y TAREAS'!AH12/'EDT Y TAREAS'!M12,0),IF(AND(233&gt;='EDT Y TAREAS'!AK22,233&lt;'EDT Y TAREAS'!AL22),'EDT Y TAREAS'!AH22/'EDT Y TAREAS'!M22,0),IF(AND(233&gt;='EDT Y TAREAS'!AK23,233&lt;'EDT Y TAREAS'!AL23),'EDT Y TAREAS'!AH23/'EDT Y TAREAS'!M23,0),IF(AND(233&gt;='EDT Y TAREAS'!AK29,233&lt;'EDT Y TAREAS'!AL29),'EDT Y TAREAS'!AH29/'EDT Y TAREAS'!M29,0),IF(AND(233&gt;='EDT Y TAREAS'!AK30,233&lt;'EDT Y TAREAS'!AL30),'EDT Y TAREAS'!AH30/'EDT Y TAREAS'!M30,0),IF(AND(233&gt;='EDT Y TAREAS'!AK32,233&lt;'EDT Y TAREAS'!AL32),'EDT Y TAREAS'!AH32/'EDT Y TAREAS'!M32,0),IF(AND(233&gt;='EDT Y TAREAS'!AK41,233&lt;'EDT Y TAREAS'!AL41),'EDT Y TAREAS'!AH41/'EDT Y TAREAS'!M41,0),IF(AND(233&gt;='EDT Y TAREAS'!AK44,233&lt;'EDT Y TAREAS'!AL44),'EDT Y TAREAS'!AH44/'EDT Y TAREAS'!M44,0),IF(AND(233&gt;='EDT Y TAREAS'!AK46,233&lt;'EDT Y TAREAS'!AL46),'EDT Y TAREAS'!AH46/'EDT Y TAREAS'!M46,0),IF(AND(233&gt;='EDT Y TAREAS'!AK48,233&lt;'EDT Y TAREAS'!AL48),'EDT Y TAREAS'!AH48/'EDT Y TAREAS'!M48,0))</x:f>
        <x:v>0</x:v>
      </x:c>
      <x:c r="G273" s="35" t="n">
        <x:f>SUM(IF(AND(233&gt;='EDT Y TAREAS'!AK20,233&lt;'EDT Y TAREAS'!AL20),'EDT Y TAREAS'!AI20/'EDT Y TAREAS'!M20,0),IF(AND(233&gt;='EDT Y TAREAS'!AK25,233&lt;'EDT Y TAREAS'!AL25),'EDT Y TAREAS'!AI25/'EDT Y TAREAS'!M25,0),IF(AND(233&gt;='EDT Y TAREAS'!AK33,233&lt;'EDT Y TAREAS'!AL33),'EDT Y TAREAS'!AI33/'EDT Y TAREAS'!M33,0),IF(AND(233&gt;='EDT Y TAREAS'!AK34,233&lt;'EDT Y TAREAS'!AL34),'EDT Y TAREAS'!AI34/'EDT Y TAREAS'!M34,0),IF(AND(233&gt;='EDT Y TAREAS'!AK36,233&lt;'EDT Y TAREAS'!AL36),'EDT Y TAREAS'!AI36/'EDT Y TAREAS'!M36,0),IF(AND(233&gt;='EDT Y TAREAS'!AK39,233&lt;'EDT Y TAREAS'!AL39),'EDT Y TAREAS'!AI39/'EDT Y TAREAS'!M39,0),IF(AND(233&gt;='EDT Y TAREAS'!AK40,233&lt;'EDT Y TAREAS'!AL40),'EDT Y TAREAS'!AI40/'EDT Y TAREAS'!M40,0),IF(AND(233&gt;='EDT Y TAREAS'!AK42,233&lt;'EDT Y TAREAS'!AL42),'EDT Y TAREAS'!AI42/'EDT Y TAREAS'!M42,0),IF(AND(233&gt;='EDT Y TAREAS'!AK43,233&lt;'EDT Y TAREAS'!AL43),'EDT Y TAREAS'!AI43/'EDT Y TAREAS'!M43,0),IF(AND(233&gt;='EDT Y TAREAS'!AK44,233&lt;'EDT Y TAREAS'!AL44),'EDT Y TAREAS'!AI44/'EDT Y TAREAS'!M44,0),IF(AND(233&gt;='EDT Y TAREAS'!AK45,233&lt;'EDT Y TAREAS'!AL45),'EDT Y TAREAS'!AI45/'EDT Y TAREAS'!M45,0),IF(AND(233&gt;='EDT Y TAREAS'!AK46,233&lt;'EDT Y TAREAS'!AL46),'EDT Y TAREAS'!AI46/'EDT Y TAREAS'!M46,0),IF(AND(233&gt;='EDT Y TAREAS'!AK48,233&lt;'EDT Y TAREAS'!AL48),'EDT Y TAREAS'!AI48/'EDT Y TAREAS'!M48,0),IF(AND(233&gt;='EDT Y TAREAS'!AK50,233&lt;'EDT Y TAREAS'!AL50),'EDT Y TAREAS'!AI50/'EDT Y TAREAS'!M50,0),IF(AND(233&gt;='EDT Y TAREAS'!AK52,233&lt;'EDT Y TAREAS'!AL52),'EDT Y TAREAS'!AI52/'EDT Y TAREAS'!M52,0))</x:f>
        <x:v>0</x:v>
      </x:c>
      <x:c r="H273" s="35" t="n">
        <x:f>SUM(IF(AND(233&gt;='EDT Y TAREAS'!AK11,233&lt;'EDT Y TAREAS'!AL11),'EDT Y TAREAS'!AJ11/'EDT Y TAREAS'!M11,0),IF(AND(233&gt;='EDT Y TAREAS'!AK24,233&lt;'EDT Y TAREAS'!AL24),'EDT Y TAREAS'!AJ24/'EDT Y TAREAS'!M24,0),IF(AND(233&gt;='EDT Y TAREAS'!AK27,233&lt;'EDT Y TAREAS'!AL27),'EDT Y TAREAS'!AJ27/'EDT Y TAREAS'!M27,0),IF(AND(233&gt;='EDT Y TAREAS'!AK28,233&lt;'EDT Y TAREAS'!AL28),'EDT Y TAREAS'!AJ28/'EDT Y TAREAS'!M28,0),IF(AND(233&gt;='EDT Y TAREAS'!AK33,233&lt;'EDT Y TAREAS'!AL33),'EDT Y TAREAS'!AJ33/'EDT Y TAREAS'!M33,0),IF(AND(233&gt;='EDT Y TAREAS'!AK35,233&lt;'EDT Y TAREAS'!AL35),'EDT Y TAREAS'!AJ35/'EDT Y TAREAS'!M35,0),IF(AND(233&gt;='EDT Y TAREAS'!AK36,233&lt;'EDT Y TAREAS'!AL36),'EDT Y TAREAS'!AJ36/'EDT Y TAREAS'!M36,0),IF(AND(233&gt;='EDT Y TAREAS'!AK37,233&lt;'EDT Y TAREAS'!AL37),'EDT Y TAREAS'!AJ37/'EDT Y TAREAS'!M37,0),IF(AND(233&gt;='EDT Y TAREAS'!AK40,233&lt;'EDT Y TAREAS'!AL40),'EDT Y TAREAS'!AJ40/'EDT Y TAREAS'!M40,0),IF(AND(233&gt;='EDT Y TAREAS'!AK42,233&lt;'EDT Y TAREAS'!AL42),'EDT Y TAREAS'!AJ42/'EDT Y TAREAS'!M42,0),IF(AND(233&gt;='EDT Y TAREAS'!AK49,233&lt;'EDT Y TAREAS'!AL49),'EDT Y TAREAS'!AJ49/'EDT Y TAREAS'!M49,0),IF(AND(233&gt;='EDT Y TAREAS'!AK50,233&lt;'EDT Y TAREAS'!AL50),'EDT Y TAREAS'!AJ50/'EDT Y TAREAS'!M50,0),IF(AND(233&gt;='EDT Y TAREAS'!AK51,233&lt;'EDT Y TAREAS'!AL51),'EDT Y TAREAS'!AJ51/'EDT Y TAREAS'!M51,0),IF(AND(233&gt;='EDT Y TAREAS'!AK52,233&lt;'EDT Y TAREAS'!AL52),'EDT Y TAREAS'!AJ52/'EDT Y TAREAS'!M52,0))</x:f>
        <x:v>0</x:v>
      </x:c>
      <x:c r="I273" s="10" t="n">
        <x:f>WORKDAY('RESUMEN'!$D$3-1,A273,'RESUMEN'!$J$6:$J$25)</x:f>
        <x:v>46653</x:v>
      </x:c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  <x:c r="AA273" s="3"/>
      <x:c r="AB273" s="3"/>
      <x:c r="AC273" s="3"/>
      <x:c r="AD273" s="3"/>
      <x:c r="AE273" s="3"/>
      <x:c r="AF273" s="3"/>
      <x:c r="AG273" s="3"/>
      <x:c r="AH273" s="3"/>
      <x:c r="AI273" s="3"/>
      <x:c r="AJ273" s="3"/>
      <x:c r="AK273" s="3"/>
      <x:c r="AL273" s="3"/>
      <x:c r="AM273" s="3"/>
      <x:c r="AN273" s="3"/>
      <x:c r="AO273" s="3"/>
    </x:row>
    <x:row r="274" ht="24" customHeight="1">
      <x:c r="A274" s="3" t="n">
        <x:v>235</x:v>
      </x:c>
      <x:c r="B274" s="35" t="n">
        <x:f>SUM(IF(AND(234&gt;='EDT Y TAREAS'!AK6,234&lt;'EDT Y TAREAS'!AL6),'EDT Y TAREAS'!AD6/'EDT Y TAREAS'!M6,0),IF(AND(234&gt;='EDT Y TAREAS'!AK7,234&lt;'EDT Y TAREAS'!AL7),'EDT Y TAREAS'!AD7/'EDT Y TAREAS'!M7,0),IF(AND(234&gt;='EDT Y TAREAS'!AK8,234&lt;'EDT Y TAREAS'!AL8),'EDT Y TAREAS'!AD8/'EDT Y TAREAS'!M8,0),IF(AND(234&gt;='EDT Y TAREAS'!AK9,234&lt;'EDT Y TAREAS'!AL9),'EDT Y TAREAS'!AD9/'EDT Y TAREAS'!M9,0),IF(AND(234&gt;='EDT Y TAREAS'!AK10,234&lt;'EDT Y TAREAS'!AL10),'EDT Y TAREAS'!AD10/'EDT Y TAREAS'!M10,0),IF(AND(234&gt;='EDT Y TAREAS'!AK11,234&lt;'EDT Y TAREAS'!AL11),'EDT Y TAREAS'!AD11/'EDT Y TAREAS'!M11,0),IF(AND(234&gt;='EDT Y TAREAS'!AK12,234&lt;'EDT Y TAREAS'!AL12),'EDT Y TAREAS'!AD12/'EDT Y TAREAS'!M12,0),IF(AND(234&gt;='EDT Y TAREAS'!AK13,234&lt;'EDT Y TAREAS'!AL13),'EDT Y TAREAS'!AD13/'EDT Y TAREAS'!M13,0),IF(AND(234&gt;='EDT Y TAREAS'!AK14,234&lt;'EDT Y TAREAS'!AL14),'EDT Y TAREAS'!AD14/'EDT Y TAREAS'!M14,0),IF(AND(234&gt;='EDT Y TAREAS'!AK15,234&lt;'EDT Y TAREAS'!AL15),'EDT Y TAREAS'!AD15/'EDT Y TAREAS'!M15,0),IF(AND(234&gt;='EDT Y TAREAS'!AK16,234&lt;'EDT Y TAREAS'!AL16),'EDT Y TAREAS'!AD16/'EDT Y TAREAS'!M16,0),IF(AND(234&gt;='EDT Y TAREAS'!AK17,234&lt;'EDT Y TAREAS'!AL17),'EDT Y TAREAS'!AD17/'EDT Y TAREAS'!M17,0),IF(AND(234&gt;='EDT Y TAREAS'!AK18,234&lt;'EDT Y TAREAS'!AL18),'EDT Y TAREAS'!AD18/'EDT Y TAREAS'!M18,0),IF(AND(234&gt;='EDT Y TAREAS'!AK19,234&lt;'EDT Y TAREAS'!AL19),'EDT Y TAREAS'!AD19/'EDT Y TAREAS'!M19,0),IF(AND(234&gt;='EDT Y TAREAS'!AK20,234&lt;'EDT Y TAREAS'!AL20),'EDT Y TAREAS'!AD20/'EDT Y TAREAS'!M20,0),IF(AND(234&gt;='EDT Y TAREAS'!AK21,234&lt;'EDT Y TAREAS'!AL21),'EDT Y TAREAS'!AD21/'EDT Y TAREAS'!M21,0),IF(AND(234&gt;='EDT Y TAREAS'!AK22,234&lt;'EDT Y TAREAS'!AL22),'EDT Y TAREAS'!AD22/'EDT Y TAREAS'!M22,0),IF(AND(234&gt;='EDT Y TAREAS'!AK23,234&lt;'EDT Y TAREAS'!AL23),'EDT Y TAREAS'!AD23/'EDT Y TAREAS'!M23,0),IF(AND(234&gt;='EDT Y TAREAS'!AK26,234&lt;'EDT Y TAREAS'!AL26),'EDT Y TAREAS'!AD26/'EDT Y TAREAS'!M26,0),IF(AND(234&gt;='EDT Y TAREAS'!AK28,234&lt;'EDT Y TAREAS'!AL28),'EDT Y TAREAS'!AD28/'EDT Y TAREAS'!M28,0),IF(AND(234&gt;='EDT Y TAREAS'!AK30,234&lt;'EDT Y TAREAS'!AL30),'EDT Y TAREAS'!AD30/'EDT Y TAREAS'!M30,0),IF(AND(234&gt;='EDT Y TAREAS'!AK32,234&lt;'EDT Y TAREAS'!AL32),'EDT Y TAREAS'!AD32/'EDT Y TAREAS'!M32,0),IF(AND(234&gt;='EDT Y TAREAS'!AK34,234&lt;'EDT Y TAREAS'!AL34),'EDT Y TAREAS'!AD34/'EDT Y TAREAS'!M34,0),IF(AND(234&gt;='EDT Y TAREAS'!AK38,234&lt;'EDT Y TAREAS'!AL38),'EDT Y TAREAS'!AD38/'EDT Y TAREAS'!M38,0),IF(AND(234&gt;='EDT Y TAREAS'!AK39,234&lt;'EDT Y TAREAS'!AL39),'EDT Y TAREAS'!AD39/'EDT Y TAREAS'!M39,0),IF(AND(234&gt;='EDT Y TAREAS'!AK43,234&lt;'EDT Y TAREAS'!AL43),'EDT Y TAREAS'!AD43/'EDT Y TAREAS'!M43,0),IF(AND(234&gt;='EDT Y TAREAS'!AK44,234&lt;'EDT Y TAREAS'!AL44),'EDT Y TAREAS'!AD44/'EDT Y TAREAS'!M44,0),IF(AND(234&gt;='EDT Y TAREAS'!AK45,234&lt;'EDT Y TAREAS'!AL45),'EDT Y TAREAS'!AD45/'EDT Y TAREAS'!M45,0),IF(AND(234&gt;='EDT Y TAREAS'!AK46,234&lt;'EDT Y TAREAS'!AL46),'EDT Y TAREAS'!AD46/'EDT Y TAREAS'!M46,0),IF(AND(234&gt;='EDT Y TAREAS'!AK47,234&lt;'EDT Y TAREAS'!AL47),'EDT Y TAREAS'!AD47/'EDT Y TAREAS'!M47,0),IF(AND(234&gt;='EDT Y TAREAS'!AK49,234&lt;'EDT Y TAREAS'!AL49),'EDT Y TAREAS'!AD49/'EDT Y TAREAS'!M49,0),IF(AND(234&gt;='EDT Y TAREAS'!AK50,234&lt;'EDT Y TAREAS'!AL50),'EDT Y TAREAS'!AD50/'EDT Y TAREAS'!M50,0),IF(AND(234&gt;='EDT Y TAREAS'!AK51,234&lt;'EDT Y TAREAS'!AL51),'EDT Y TAREAS'!AD51/'EDT Y TAREAS'!M51,0),IF(AND(234&gt;='EDT Y TAREAS'!AK52,234&lt;'EDT Y TAREAS'!AL52),'EDT Y TAREAS'!AD52/'EDT Y TAREAS'!M52,0))</x:f>
        <x:v>0</x:v>
      </x:c>
      <x:c r="C274" s="35" t="n">
        <x:f>SUM(IF(AND(234&gt;='EDT Y TAREAS'!AK6,234&lt;'EDT Y TAREAS'!AL6),'EDT Y TAREAS'!AE6/'EDT Y TAREAS'!M6,0),IF(AND(234&gt;='EDT Y TAREAS'!AK8,234&lt;'EDT Y TAREAS'!AL8),'EDT Y TAREAS'!AE8/'EDT Y TAREAS'!M8,0),IF(AND(234&gt;='EDT Y TAREAS'!AK9,234&lt;'EDT Y TAREAS'!AL9),'EDT Y TAREAS'!AE9/'EDT Y TAREAS'!M9,0),IF(AND(234&gt;='EDT Y TAREAS'!AK10,234&lt;'EDT Y TAREAS'!AL10),'EDT Y TAREAS'!AE10/'EDT Y TAREAS'!M10,0),IF(AND(234&gt;='EDT Y TAREAS'!AK12,234&lt;'EDT Y TAREAS'!AL12),'EDT Y TAREAS'!AE12/'EDT Y TAREAS'!M12,0),IF(AND(234&gt;='EDT Y TAREAS'!AK16,234&lt;'EDT Y TAREAS'!AL16),'EDT Y TAREAS'!AE16/'EDT Y TAREAS'!M16,0),IF(AND(234&gt;='EDT Y TAREAS'!AK21,234&lt;'EDT Y TAREAS'!AL21),'EDT Y TAREAS'!AE21/'EDT Y TAREAS'!M21,0),IF(AND(234&gt;='EDT Y TAREAS'!AK23,234&lt;'EDT Y TAREAS'!AL23),'EDT Y TAREAS'!AE23/'EDT Y TAREAS'!M23,0),IF(AND(234&gt;='EDT Y TAREAS'!AK37,234&lt;'EDT Y TAREAS'!AL37),'EDT Y TAREAS'!AE37/'EDT Y TAREAS'!M37,0),IF(AND(234&gt;='EDT Y TAREAS'!AK38,234&lt;'EDT Y TAREAS'!AL38),'EDT Y TAREAS'!AE38/'EDT Y TAREAS'!M38,0),IF(AND(234&gt;='EDT Y TAREAS'!AK41,234&lt;'EDT Y TAREAS'!AL41),'EDT Y TAREAS'!AE41/'EDT Y TAREAS'!M41,0),IF(AND(234&gt;='EDT Y TAREAS'!AK43,234&lt;'EDT Y TAREAS'!AL43),'EDT Y TAREAS'!AE43/'EDT Y TAREAS'!M43,0),IF(AND(234&gt;='EDT Y TAREAS'!AK44,234&lt;'EDT Y TAREAS'!AL44),'EDT Y TAREAS'!AE44/'EDT Y TAREAS'!M44,0),IF(AND(234&gt;='EDT Y TAREAS'!AK46,234&lt;'EDT Y TAREAS'!AL46),'EDT Y TAREAS'!AE46/'EDT Y TAREAS'!M46,0),IF(AND(234&gt;='EDT Y TAREAS'!AK47,234&lt;'EDT Y TAREAS'!AL47),'EDT Y TAREAS'!AE47/'EDT Y TAREAS'!M47,0),IF(AND(234&gt;='EDT Y TAREAS'!AK51,234&lt;'EDT Y TAREAS'!AL51),'EDT Y TAREAS'!AE51/'EDT Y TAREAS'!M51,0),IF(AND(234&gt;='EDT Y TAREAS'!AK52,234&lt;'EDT Y TAREAS'!AL52),'EDT Y TAREAS'!AE52/'EDT Y TAREAS'!M52,0))</x:f>
        <x:v>0</x:v>
      </x:c>
      <x:c r="D274" s="35" t="n">
        <x:f>SUM(IF(AND(234&gt;='EDT Y TAREAS'!AK11,234&lt;'EDT Y TAREAS'!AL11),'EDT Y TAREAS'!AF11/'EDT Y TAREAS'!M11,0),IF(AND(234&gt;='EDT Y TAREAS'!AK24,234&lt;'EDT Y TAREAS'!AL24),'EDT Y TAREAS'!AF24/'EDT Y TAREAS'!M24,0),IF(AND(234&gt;='EDT Y TAREAS'!AK25,234&lt;'EDT Y TAREAS'!AL25),'EDT Y TAREAS'!AF25/'EDT Y TAREAS'!M25,0),IF(AND(234&gt;='EDT Y TAREAS'!AK26,234&lt;'EDT Y TAREAS'!AL26),'EDT Y TAREAS'!AF26/'EDT Y TAREAS'!M26,0),IF(AND(234&gt;='EDT Y TAREAS'!AK27,234&lt;'EDT Y TAREAS'!AL27),'EDT Y TAREAS'!AF27/'EDT Y TAREAS'!M27,0),IF(AND(234&gt;='EDT Y TAREAS'!AK28,234&lt;'EDT Y TAREAS'!AL28),'EDT Y TAREAS'!AF28/'EDT Y TAREAS'!M28,0),IF(AND(234&gt;='EDT Y TAREAS'!AK31,234&lt;'EDT Y TAREAS'!AL31),'EDT Y TAREAS'!AF31/'EDT Y TAREAS'!M31,0),IF(AND(234&gt;='EDT Y TAREAS'!AK33,234&lt;'EDT Y TAREAS'!AL33),'EDT Y TAREAS'!AF33/'EDT Y TAREAS'!M33,0),IF(AND(234&gt;='EDT Y TAREAS'!AK34,234&lt;'EDT Y TAREAS'!AL34),'EDT Y TAREAS'!AF34/'EDT Y TAREAS'!M34,0),IF(AND(234&gt;='EDT Y TAREAS'!AK35,234&lt;'EDT Y TAREAS'!AL35),'EDT Y TAREAS'!AF35/'EDT Y TAREAS'!M35,0),IF(AND(234&gt;='EDT Y TAREAS'!AK37,234&lt;'EDT Y TAREAS'!AL37),'EDT Y TAREAS'!AF37/'EDT Y TAREAS'!M37,0),IF(AND(234&gt;='EDT Y TAREAS'!AK39,234&lt;'EDT Y TAREAS'!AL39),'EDT Y TAREAS'!AF39/'EDT Y TAREAS'!M39,0),IF(AND(234&gt;='EDT Y TAREAS'!AK40,234&lt;'EDT Y TAREAS'!AL40),'EDT Y TAREAS'!AF40/'EDT Y TAREAS'!M40,0),IF(AND(234&gt;='EDT Y TAREAS'!AK42,234&lt;'EDT Y TAREAS'!AL42),'EDT Y TAREAS'!AF42/'EDT Y TAREAS'!M42,0),IF(AND(234&gt;='EDT Y TAREAS'!AK45,234&lt;'EDT Y TAREAS'!AL45),'EDT Y TAREAS'!AF45/'EDT Y TAREAS'!M45,0),IF(AND(234&gt;='EDT Y TAREAS'!AK49,234&lt;'EDT Y TAREAS'!AL49),'EDT Y TAREAS'!AF49/'EDT Y TAREAS'!M49,0),IF(AND(234&gt;='EDT Y TAREAS'!AK52,234&lt;'EDT Y TAREAS'!AL52),'EDT Y TAREAS'!AF52/'EDT Y TAREAS'!M52,0))</x:f>
        <x:v>0</x:v>
      </x:c>
      <x:c r="E274" s="35" t="n">
        <x:f>SUM(IF(AND(234&gt;='EDT Y TAREAS'!AK29,234&lt;'EDT Y TAREAS'!AL29),'EDT Y TAREAS'!AG29/'EDT Y TAREAS'!M29,0),IF(AND(234&gt;='EDT Y TAREAS'!AK30,234&lt;'EDT Y TAREAS'!AL30),'EDT Y TAREAS'!AG30/'EDT Y TAREAS'!M30,0),IF(AND(234&gt;='EDT Y TAREAS'!AK31,234&lt;'EDT Y TAREAS'!AL31),'EDT Y TAREAS'!AG31/'EDT Y TAREAS'!M31,0),IF(AND(234&gt;='EDT Y TAREAS'!AK32,234&lt;'EDT Y TAREAS'!AL32),'EDT Y TAREAS'!AG32/'EDT Y TAREAS'!M32,0),IF(AND(234&gt;='EDT Y TAREAS'!AK41,234&lt;'EDT Y TAREAS'!AL41),'EDT Y TAREAS'!AG41/'EDT Y TAREAS'!M41,0),IF(AND(234&gt;='EDT Y TAREAS'!AK45,234&lt;'EDT Y TAREAS'!AL45),'EDT Y TAREAS'!AG45/'EDT Y TAREAS'!M45,0),IF(AND(234&gt;='EDT Y TAREAS'!AK48,234&lt;'EDT Y TAREAS'!AL48),'EDT Y TAREAS'!AG48/'EDT Y TAREAS'!M48,0))</x:f>
        <x:v>0</x:v>
      </x:c>
      <x:c r="F274" s="35" t="n">
        <x:f>SUM(IF(AND(234&gt;='EDT Y TAREAS'!AK10,234&lt;'EDT Y TAREAS'!AL10),'EDT Y TAREAS'!AH10/'EDT Y TAREAS'!M10,0),IF(AND(234&gt;='EDT Y TAREAS'!AK12,234&lt;'EDT Y TAREAS'!AL12),'EDT Y TAREAS'!AH12/'EDT Y TAREAS'!M12,0),IF(AND(234&gt;='EDT Y TAREAS'!AK22,234&lt;'EDT Y TAREAS'!AL22),'EDT Y TAREAS'!AH22/'EDT Y TAREAS'!M22,0),IF(AND(234&gt;='EDT Y TAREAS'!AK23,234&lt;'EDT Y TAREAS'!AL23),'EDT Y TAREAS'!AH23/'EDT Y TAREAS'!M23,0),IF(AND(234&gt;='EDT Y TAREAS'!AK29,234&lt;'EDT Y TAREAS'!AL29),'EDT Y TAREAS'!AH29/'EDT Y TAREAS'!M29,0),IF(AND(234&gt;='EDT Y TAREAS'!AK30,234&lt;'EDT Y TAREAS'!AL30),'EDT Y TAREAS'!AH30/'EDT Y TAREAS'!M30,0),IF(AND(234&gt;='EDT Y TAREAS'!AK32,234&lt;'EDT Y TAREAS'!AL32),'EDT Y TAREAS'!AH32/'EDT Y TAREAS'!M32,0),IF(AND(234&gt;='EDT Y TAREAS'!AK41,234&lt;'EDT Y TAREAS'!AL41),'EDT Y TAREAS'!AH41/'EDT Y TAREAS'!M41,0),IF(AND(234&gt;='EDT Y TAREAS'!AK44,234&lt;'EDT Y TAREAS'!AL44),'EDT Y TAREAS'!AH44/'EDT Y TAREAS'!M44,0),IF(AND(234&gt;='EDT Y TAREAS'!AK46,234&lt;'EDT Y TAREAS'!AL46),'EDT Y TAREAS'!AH46/'EDT Y TAREAS'!M46,0),IF(AND(234&gt;='EDT Y TAREAS'!AK48,234&lt;'EDT Y TAREAS'!AL48),'EDT Y TAREAS'!AH48/'EDT Y TAREAS'!M48,0))</x:f>
        <x:v>0</x:v>
      </x:c>
      <x:c r="G274" s="35" t="n">
        <x:f>SUM(IF(AND(234&gt;='EDT Y TAREAS'!AK20,234&lt;'EDT Y TAREAS'!AL20),'EDT Y TAREAS'!AI20/'EDT Y TAREAS'!M20,0),IF(AND(234&gt;='EDT Y TAREAS'!AK25,234&lt;'EDT Y TAREAS'!AL25),'EDT Y TAREAS'!AI25/'EDT Y TAREAS'!M25,0),IF(AND(234&gt;='EDT Y TAREAS'!AK33,234&lt;'EDT Y TAREAS'!AL33),'EDT Y TAREAS'!AI33/'EDT Y TAREAS'!M33,0),IF(AND(234&gt;='EDT Y TAREAS'!AK34,234&lt;'EDT Y TAREAS'!AL34),'EDT Y TAREAS'!AI34/'EDT Y TAREAS'!M34,0),IF(AND(234&gt;='EDT Y TAREAS'!AK36,234&lt;'EDT Y TAREAS'!AL36),'EDT Y TAREAS'!AI36/'EDT Y TAREAS'!M36,0),IF(AND(234&gt;='EDT Y TAREAS'!AK39,234&lt;'EDT Y TAREAS'!AL39),'EDT Y TAREAS'!AI39/'EDT Y TAREAS'!M39,0),IF(AND(234&gt;='EDT Y TAREAS'!AK40,234&lt;'EDT Y TAREAS'!AL40),'EDT Y TAREAS'!AI40/'EDT Y TAREAS'!M40,0),IF(AND(234&gt;='EDT Y TAREAS'!AK42,234&lt;'EDT Y TAREAS'!AL42),'EDT Y TAREAS'!AI42/'EDT Y TAREAS'!M42,0),IF(AND(234&gt;='EDT Y TAREAS'!AK43,234&lt;'EDT Y TAREAS'!AL43),'EDT Y TAREAS'!AI43/'EDT Y TAREAS'!M43,0),IF(AND(234&gt;='EDT Y TAREAS'!AK44,234&lt;'EDT Y TAREAS'!AL44),'EDT Y TAREAS'!AI44/'EDT Y TAREAS'!M44,0),IF(AND(234&gt;='EDT Y TAREAS'!AK45,234&lt;'EDT Y TAREAS'!AL45),'EDT Y TAREAS'!AI45/'EDT Y TAREAS'!M45,0),IF(AND(234&gt;='EDT Y TAREAS'!AK46,234&lt;'EDT Y TAREAS'!AL46),'EDT Y TAREAS'!AI46/'EDT Y TAREAS'!M46,0),IF(AND(234&gt;='EDT Y TAREAS'!AK48,234&lt;'EDT Y TAREAS'!AL48),'EDT Y TAREAS'!AI48/'EDT Y TAREAS'!M48,0),IF(AND(234&gt;='EDT Y TAREAS'!AK50,234&lt;'EDT Y TAREAS'!AL50),'EDT Y TAREAS'!AI50/'EDT Y TAREAS'!M50,0),IF(AND(234&gt;='EDT Y TAREAS'!AK52,234&lt;'EDT Y TAREAS'!AL52),'EDT Y TAREAS'!AI52/'EDT Y TAREAS'!M52,0))</x:f>
        <x:v>0</x:v>
      </x:c>
      <x:c r="H274" s="35" t="n">
        <x:f>SUM(IF(AND(234&gt;='EDT Y TAREAS'!AK11,234&lt;'EDT Y TAREAS'!AL11),'EDT Y TAREAS'!AJ11/'EDT Y TAREAS'!M11,0),IF(AND(234&gt;='EDT Y TAREAS'!AK24,234&lt;'EDT Y TAREAS'!AL24),'EDT Y TAREAS'!AJ24/'EDT Y TAREAS'!M24,0),IF(AND(234&gt;='EDT Y TAREAS'!AK27,234&lt;'EDT Y TAREAS'!AL27),'EDT Y TAREAS'!AJ27/'EDT Y TAREAS'!M27,0),IF(AND(234&gt;='EDT Y TAREAS'!AK28,234&lt;'EDT Y TAREAS'!AL28),'EDT Y TAREAS'!AJ28/'EDT Y TAREAS'!M28,0),IF(AND(234&gt;='EDT Y TAREAS'!AK33,234&lt;'EDT Y TAREAS'!AL33),'EDT Y TAREAS'!AJ33/'EDT Y TAREAS'!M33,0),IF(AND(234&gt;='EDT Y TAREAS'!AK35,234&lt;'EDT Y TAREAS'!AL35),'EDT Y TAREAS'!AJ35/'EDT Y TAREAS'!M35,0),IF(AND(234&gt;='EDT Y TAREAS'!AK36,234&lt;'EDT Y TAREAS'!AL36),'EDT Y TAREAS'!AJ36/'EDT Y TAREAS'!M36,0),IF(AND(234&gt;='EDT Y TAREAS'!AK37,234&lt;'EDT Y TAREAS'!AL37),'EDT Y TAREAS'!AJ37/'EDT Y TAREAS'!M37,0),IF(AND(234&gt;='EDT Y TAREAS'!AK40,234&lt;'EDT Y TAREAS'!AL40),'EDT Y TAREAS'!AJ40/'EDT Y TAREAS'!M40,0),IF(AND(234&gt;='EDT Y TAREAS'!AK42,234&lt;'EDT Y TAREAS'!AL42),'EDT Y TAREAS'!AJ42/'EDT Y TAREAS'!M42,0),IF(AND(234&gt;='EDT Y TAREAS'!AK49,234&lt;'EDT Y TAREAS'!AL49),'EDT Y TAREAS'!AJ49/'EDT Y TAREAS'!M49,0),IF(AND(234&gt;='EDT Y TAREAS'!AK50,234&lt;'EDT Y TAREAS'!AL50),'EDT Y TAREAS'!AJ50/'EDT Y TAREAS'!M50,0),IF(AND(234&gt;='EDT Y TAREAS'!AK51,234&lt;'EDT Y TAREAS'!AL51),'EDT Y TAREAS'!AJ51/'EDT Y TAREAS'!M51,0),IF(AND(234&gt;='EDT Y TAREAS'!AK52,234&lt;'EDT Y TAREAS'!AL52),'EDT Y TAREAS'!AJ52/'EDT Y TAREAS'!M52,0))</x:f>
        <x:v>0</x:v>
      </x:c>
      <x:c r="I274" s="10" t="n">
        <x:f>WORKDAY('RESUMEN'!$D$3-1,A274,'RESUMEN'!$J$6:$J$25)</x:f>
        <x:v>46654</x:v>
      </x:c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  <x:c r="AA274" s="3"/>
      <x:c r="AB274" s="3"/>
      <x:c r="AC274" s="3"/>
      <x:c r="AD274" s="3"/>
      <x:c r="AE274" s="3"/>
      <x:c r="AF274" s="3"/>
      <x:c r="AG274" s="3"/>
      <x:c r="AH274" s="3"/>
      <x:c r="AI274" s="3"/>
      <x:c r="AJ274" s="3"/>
      <x:c r="AK274" s="3"/>
      <x:c r="AL274" s="3"/>
      <x:c r="AM274" s="3"/>
      <x:c r="AN274" s="3"/>
      <x:c r="AO274" s="3"/>
    </x:row>
    <x:row r="275" ht="24" customHeight="1">
      <x:c r="A275" s="3" t="n">
        <x:v>236</x:v>
      </x:c>
      <x:c r="B275" s="35" t="n">
        <x:f>SUM(IF(AND(235&gt;='EDT Y TAREAS'!AK6,235&lt;'EDT Y TAREAS'!AL6),'EDT Y TAREAS'!AD6/'EDT Y TAREAS'!M6,0),IF(AND(235&gt;='EDT Y TAREAS'!AK7,235&lt;'EDT Y TAREAS'!AL7),'EDT Y TAREAS'!AD7/'EDT Y TAREAS'!M7,0),IF(AND(235&gt;='EDT Y TAREAS'!AK8,235&lt;'EDT Y TAREAS'!AL8),'EDT Y TAREAS'!AD8/'EDT Y TAREAS'!M8,0),IF(AND(235&gt;='EDT Y TAREAS'!AK9,235&lt;'EDT Y TAREAS'!AL9),'EDT Y TAREAS'!AD9/'EDT Y TAREAS'!M9,0),IF(AND(235&gt;='EDT Y TAREAS'!AK10,235&lt;'EDT Y TAREAS'!AL10),'EDT Y TAREAS'!AD10/'EDT Y TAREAS'!M10,0),IF(AND(235&gt;='EDT Y TAREAS'!AK11,235&lt;'EDT Y TAREAS'!AL11),'EDT Y TAREAS'!AD11/'EDT Y TAREAS'!M11,0),IF(AND(235&gt;='EDT Y TAREAS'!AK12,235&lt;'EDT Y TAREAS'!AL12),'EDT Y TAREAS'!AD12/'EDT Y TAREAS'!M12,0),IF(AND(235&gt;='EDT Y TAREAS'!AK13,235&lt;'EDT Y TAREAS'!AL13),'EDT Y TAREAS'!AD13/'EDT Y TAREAS'!M13,0),IF(AND(235&gt;='EDT Y TAREAS'!AK14,235&lt;'EDT Y TAREAS'!AL14),'EDT Y TAREAS'!AD14/'EDT Y TAREAS'!M14,0),IF(AND(235&gt;='EDT Y TAREAS'!AK15,235&lt;'EDT Y TAREAS'!AL15),'EDT Y TAREAS'!AD15/'EDT Y TAREAS'!M15,0),IF(AND(235&gt;='EDT Y TAREAS'!AK16,235&lt;'EDT Y TAREAS'!AL16),'EDT Y TAREAS'!AD16/'EDT Y TAREAS'!M16,0),IF(AND(235&gt;='EDT Y TAREAS'!AK17,235&lt;'EDT Y TAREAS'!AL17),'EDT Y TAREAS'!AD17/'EDT Y TAREAS'!M17,0),IF(AND(235&gt;='EDT Y TAREAS'!AK18,235&lt;'EDT Y TAREAS'!AL18),'EDT Y TAREAS'!AD18/'EDT Y TAREAS'!M18,0),IF(AND(235&gt;='EDT Y TAREAS'!AK19,235&lt;'EDT Y TAREAS'!AL19),'EDT Y TAREAS'!AD19/'EDT Y TAREAS'!M19,0),IF(AND(235&gt;='EDT Y TAREAS'!AK20,235&lt;'EDT Y TAREAS'!AL20),'EDT Y TAREAS'!AD20/'EDT Y TAREAS'!M20,0),IF(AND(235&gt;='EDT Y TAREAS'!AK21,235&lt;'EDT Y TAREAS'!AL21),'EDT Y TAREAS'!AD21/'EDT Y TAREAS'!M21,0),IF(AND(235&gt;='EDT Y TAREAS'!AK22,235&lt;'EDT Y TAREAS'!AL22),'EDT Y TAREAS'!AD22/'EDT Y TAREAS'!M22,0),IF(AND(235&gt;='EDT Y TAREAS'!AK23,235&lt;'EDT Y TAREAS'!AL23),'EDT Y TAREAS'!AD23/'EDT Y TAREAS'!M23,0),IF(AND(235&gt;='EDT Y TAREAS'!AK26,235&lt;'EDT Y TAREAS'!AL26),'EDT Y TAREAS'!AD26/'EDT Y TAREAS'!M26,0),IF(AND(235&gt;='EDT Y TAREAS'!AK28,235&lt;'EDT Y TAREAS'!AL28),'EDT Y TAREAS'!AD28/'EDT Y TAREAS'!M28,0),IF(AND(235&gt;='EDT Y TAREAS'!AK30,235&lt;'EDT Y TAREAS'!AL30),'EDT Y TAREAS'!AD30/'EDT Y TAREAS'!M30,0),IF(AND(235&gt;='EDT Y TAREAS'!AK32,235&lt;'EDT Y TAREAS'!AL32),'EDT Y TAREAS'!AD32/'EDT Y TAREAS'!M32,0),IF(AND(235&gt;='EDT Y TAREAS'!AK34,235&lt;'EDT Y TAREAS'!AL34),'EDT Y TAREAS'!AD34/'EDT Y TAREAS'!M34,0),IF(AND(235&gt;='EDT Y TAREAS'!AK38,235&lt;'EDT Y TAREAS'!AL38),'EDT Y TAREAS'!AD38/'EDT Y TAREAS'!M38,0),IF(AND(235&gt;='EDT Y TAREAS'!AK39,235&lt;'EDT Y TAREAS'!AL39),'EDT Y TAREAS'!AD39/'EDT Y TAREAS'!M39,0),IF(AND(235&gt;='EDT Y TAREAS'!AK43,235&lt;'EDT Y TAREAS'!AL43),'EDT Y TAREAS'!AD43/'EDT Y TAREAS'!M43,0),IF(AND(235&gt;='EDT Y TAREAS'!AK44,235&lt;'EDT Y TAREAS'!AL44),'EDT Y TAREAS'!AD44/'EDT Y TAREAS'!M44,0),IF(AND(235&gt;='EDT Y TAREAS'!AK45,235&lt;'EDT Y TAREAS'!AL45),'EDT Y TAREAS'!AD45/'EDT Y TAREAS'!M45,0),IF(AND(235&gt;='EDT Y TAREAS'!AK46,235&lt;'EDT Y TAREAS'!AL46),'EDT Y TAREAS'!AD46/'EDT Y TAREAS'!M46,0),IF(AND(235&gt;='EDT Y TAREAS'!AK47,235&lt;'EDT Y TAREAS'!AL47),'EDT Y TAREAS'!AD47/'EDT Y TAREAS'!M47,0),IF(AND(235&gt;='EDT Y TAREAS'!AK49,235&lt;'EDT Y TAREAS'!AL49),'EDT Y TAREAS'!AD49/'EDT Y TAREAS'!M49,0),IF(AND(235&gt;='EDT Y TAREAS'!AK50,235&lt;'EDT Y TAREAS'!AL50),'EDT Y TAREAS'!AD50/'EDT Y TAREAS'!M50,0),IF(AND(235&gt;='EDT Y TAREAS'!AK51,235&lt;'EDT Y TAREAS'!AL51),'EDT Y TAREAS'!AD51/'EDT Y TAREAS'!M51,0),IF(AND(235&gt;='EDT Y TAREAS'!AK52,235&lt;'EDT Y TAREAS'!AL52),'EDT Y TAREAS'!AD52/'EDT Y TAREAS'!M52,0))</x:f>
        <x:v>0</x:v>
      </x:c>
      <x:c r="C275" s="35" t="n">
        <x:f>SUM(IF(AND(235&gt;='EDT Y TAREAS'!AK6,235&lt;'EDT Y TAREAS'!AL6),'EDT Y TAREAS'!AE6/'EDT Y TAREAS'!M6,0),IF(AND(235&gt;='EDT Y TAREAS'!AK8,235&lt;'EDT Y TAREAS'!AL8),'EDT Y TAREAS'!AE8/'EDT Y TAREAS'!M8,0),IF(AND(235&gt;='EDT Y TAREAS'!AK9,235&lt;'EDT Y TAREAS'!AL9),'EDT Y TAREAS'!AE9/'EDT Y TAREAS'!M9,0),IF(AND(235&gt;='EDT Y TAREAS'!AK10,235&lt;'EDT Y TAREAS'!AL10),'EDT Y TAREAS'!AE10/'EDT Y TAREAS'!M10,0),IF(AND(235&gt;='EDT Y TAREAS'!AK12,235&lt;'EDT Y TAREAS'!AL12),'EDT Y TAREAS'!AE12/'EDT Y TAREAS'!M12,0),IF(AND(235&gt;='EDT Y TAREAS'!AK16,235&lt;'EDT Y TAREAS'!AL16),'EDT Y TAREAS'!AE16/'EDT Y TAREAS'!M16,0),IF(AND(235&gt;='EDT Y TAREAS'!AK21,235&lt;'EDT Y TAREAS'!AL21),'EDT Y TAREAS'!AE21/'EDT Y TAREAS'!M21,0),IF(AND(235&gt;='EDT Y TAREAS'!AK23,235&lt;'EDT Y TAREAS'!AL23),'EDT Y TAREAS'!AE23/'EDT Y TAREAS'!M23,0),IF(AND(235&gt;='EDT Y TAREAS'!AK37,235&lt;'EDT Y TAREAS'!AL37),'EDT Y TAREAS'!AE37/'EDT Y TAREAS'!M37,0),IF(AND(235&gt;='EDT Y TAREAS'!AK38,235&lt;'EDT Y TAREAS'!AL38),'EDT Y TAREAS'!AE38/'EDT Y TAREAS'!M38,0),IF(AND(235&gt;='EDT Y TAREAS'!AK41,235&lt;'EDT Y TAREAS'!AL41),'EDT Y TAREAS'!AE41/'EDT Y TAREAS'!M41,0),IF(AND(235&gt;='EDT Y TAREAS'!AK43,235&lt;'EDT Y TAREAS'!AL43),'EDT Y TAREAS'!AE43/'EDT Y TAREAS'!M43,0),IF(AND(235&gt;='EDT Y TAREAS'!AK44,235&lt;'EDT Y TAREAS'!AL44),'EDT Y TAREAS'!AE44/'EDT Y TAREAS'!M44,0),IF(AND(235&gt;='EDT Y TAREAS'!AK46,235&lt;'EDT Y TAREAS'!AL46),'EDT Y TAREAS'!AE46/'EDT Y TAREAS'!M46,0),IF(AND(235&gt;='EDT Y TAREAS'!AK47,235&lt;'EDT Y TAREAS'!AL47),'EDT Y TAREAS'!AE47/'EDT Y TAREAS'!M47,0),IF(AND(235&gt;='EDT Y TAREAS'!AK51,235&lt;'EDT Y TAREAS'!AL51),'EDT Y TAREAS'!AE51/'EDT Y TAREAS'!M51,0),IF(AND(235&gt;='EDT Y TAREAS'!AK52,235&lt;'EDT Y TAREAS'!AL52),'EDT Y TAREAS'!AE52/'EDT Y TAREAS'!M52,0))</x:f>
        <x:v>0</x:v>
      </x:c>
      <x:c r="D275" s="35" t="n">
        <x:f>SUM(IF(AND(235&gt;='EDT Y TAREAS'!AK11,235&lt;'EDT Y TAREAS'!AL11),'EDT Y TAREAS'!AF11/'EDT Y TAREAS'!M11,0),IF(AND(235&gt;='EDT Y TAREAS'!AK24,235&lt;'EDT Y TAREAS'!AL24),'EDT Y TAREAS'!AF24/'EDT Y TAREAS'!M24,0),IF(AND(235&gt;='EDT Y TAREAS'!AK25,235&lt;'EDT Y TAREAS'!AL25),'EDT Y TAREAS'!AF25/'EDT Y TAREAS'!M25,0),IF(AND(235&gt;='EDT Y TAREAS'!AK26,235&lt;'EDT Y TAREAS'!AL26),'EDT Y TAREAS'!AF26/'EDT Y TAREAS'!M26,0),IF(AND(235&gt;='EDT Y TAREAS'!AK27,235&lt;'EDT Y TAREAS'!AL27),'EDT Y TAREAS'!AF27/'EDT Y TAREAS'!M27,0),IF(AND(235&gt;='EDT Y TAREAS'!AK28,235&lt;'EDT Y TAREAS'!AL28),'EDT Y TAREAS'!AF28/'EDT Y TAREAS'!M28,0),IF(AND(235&gt;='EDT Y TAREAS'!AK31,235&lt;'EDT Y TAREAS'!AL31),'EDT Y TAREAS'!AF31/'EDT Y TAREAS'!M31,0),IF(AND(235&gt;='EDT Y TAREAS'!AK33,235&lt;'EDT Y TAREAS'!AL33),'EDT Y TAREAS'!AF33/'EDT Y TAREAS'!M33,0),IF(AND(235&gt;='EDT Y TAREAS'!AK34,235&lt;'EDT Y TAREAS'!AL34),'EDT Y TAREAS'!AF34/'EDT Y TAREAS'!M34,0),IF(AND(235&gt;='EDT Y TAREAS'!AK35,235&lt;'EDT Y TAREAS'!AL35),'EDT Y TAREAS'!AF35/'EDT Y TAREAS'!M35,0),IF(AND(235&gt;='EDT Y TAREAS'!AK37,235&lt;'EDT Y TAREAS'!AL37),'EDT Y TAREAS'!AF37/'EDT Y TAREAS'!M37,0),IF(AND(235&gt;='EDT Y TAREAS'!AK39,235&lt;'EDT Y TAREAS'!AL39),'EDT Y TAREAS'!AF39/'EDT Y TAREAS'!M39,0),IF(AND(235&gt;='EDT Y TAREAS'!AK40,235&lt;'EDT Y TAREAS'!AL40),'EDT Y TAREAS'!AF40/'EDT Y TAREAS'!M40,0),IF(AND(235&gt;='EDT Y TAREAS'!AK42,235&lt;'EDT Y TAREAS'!AL42),'EDT Y TAREAS'!AF42/'EDT Y TAREAS'!M42,0),IF(AND(235&gt;='EDT Y TAREAS'!AK45,235&lt;'EDT Y TAREAS'!AL45),'EDT Y TAREAS'!AF45/'EDT Y TAREAS'!M45,0),IF(AND(235&gt;='EDT Y TAREAS'!AK49,235&lt;'EDT Y TAREAS'!AL49),'EDT Y TAREAS'!AF49/'EDT Y TAREAS'!M49,0),IF(AND(235&gt;='EDT Y TAREAS'!AK52,235&lt;'EDT Y TAREAS'!AL52),'EDT Y TAREAS'!AF52/'EDT Y TAREAS'!M52,0))</x:f>
        <x:v>0</x:v>
      </x:c>
      <x:c r="E275" s="35" t="n">
        <x:f>SUM(IF(AND(235&gt;='EDT Y TAREAS'!AK29,235&lt;'EDT Y TAREAS'!AL29),'EDT Y TAREAS'!AG29/'EDT Y TAREAS'!M29,0),IF(AND(235&gt;='EDT Y TAREAS'!AK30,235&lt;'EDT Y TAREAS'!AL30),'EDT Y TAREAS'!AG30/'EDT Y TAREAS'!M30,0),IF(AND(235&gt;='EDT Y TAREAS'!AK31,235&lt;'EDT Y TAREAS'!AL31),'EDT Y TAREAS'!AG31/'EDT Y TAREAS'!M31,0),IF(AND(235&gt;='EDT Y TAREAS'!AK32,235&lt;'EDT Y TAREAS'!AL32),'EDT Y TAREAS'!AG32/'EDT Y TAREAS'!M32,0),IF(AND(235&gt;='EDT Y TAREAS'!AK41,235&lt;'EDT Y TAREAS'!AL41),'EDT Y TAREAS'!AG41/'EDT Y TAREAS'!M41,0),IF(AND(235&gt;='EDT Y TAREAS'!AK45,235&lt;'EDT Y TAREAS'!AL45),'EDT Y TAREAS'!AG45/'EDT Y TAREAS'!M45,0),IF(AND(235&gt;='EDT Y TAREAS'!AK48,235&lt;'EDT Y TAREAS'!AL48),'EDT Y TAREAS'!AG48/'EDT Y TAREAS'!M48,0))</x:f>
        <x:v>0</x:v>
      </x:c>
      <x:c r="F275" s="35" t="n">
        <x:f>SUM(IF(AND(235&gt;='EDT Y TAREAS'!AK10,235&lt;'EDT Y TAREAS'!AL10),'EDT Y TAREAS'!AH10/'EDT Y TAREAS'!M10,0),IF(AND(235&gt;='EDT Y TAREAS'!AK12,235&lt;'EDT Y TAREAS'!AL12),'EDT Y TAREAS'!AH12/'EDT Y TAREAS'!M12,0),IF(AND(235&gt;='EDT Y TAREAS'!AK22,235&lt;'EDT Y TAREAS'!AL22),'EDT Y TAREAS'!AH22/'EDT Y TAREAS'!M22,0),IF(AND(235&gt;='EDT Y TAREAS'!AK23,235&lt;'EDT Y TAREAS'!AL23),'EDT Y TAREAS'!AH23/'EDT Y TAREAS'!M23,0),IF(AND(235&gt;='EDT Y TAREAS'!AK29,235&lt;'EDT Y TAREAS'!AL29),'EDT Y TAREAS'!AH29/'EDT Y TAREAS'!M29,0),IF(AND(235&gt;='EDT Y TAREAS'!AK30,235&lt;'EDT Y TAREAS'!AL30),'EDT Y TAREAS'!AH30/'EDT Y TAREAS'!M30,0),IF(AND(235&gt;='EDT Y TAREAS'!AK32,235&lt;'EDT Y TAREAS'!AL32),'EDT Y TAREAS'!AH32/'EDT Y TAREAS'!M32,0),IF(AND(235&gt;='EDT Y TAREAS'!AK41,235&lt;'EDT Y TAREAS'!AL41),'EDT Y TAREAS'!AH41/'EDT Y TAREAS'!M41,0),IF(AND(235&gt;='EDT Y TAREAS'!AK44,235&lt;'EDT Y TAREAS'!AL44),'EDT Y TAREAS'!AH44/'EDT Y TAREAS'!M44,0),IF(AND(235&gt;='EDT Y TAREAS'!AK46,235&lt;'EDT Y TAREAS'!AL46),'EDT Y TAREAS'!AH46/'EDT Y TAREAS'!M46,0),IF(AND(235&gt;='EDT Y TAREAS'!AK48,235&lt;'EDT Y TAREAS'!AL48),'EDT Y TAREAS'!AH48/'EDT Y TAREAS'!M48,0))</x:f>
        <x:v>0</x:v>
      </x:c>
      <x:c r="G275" s="35" t="n">
        <x:f>SUM(IF(AND(235&gt;='EDT Y TAREAS'!AK20,235&lt;'EDT Y TAREAS'!AL20),'EDT Y TAREAS'!AI20/'EDT Y TAREAS'!M20,0),IF(AND(235&gt;='EDT Y TAREAS'!AK25,235&lt;'EDT Y TAREAS'!AL25),'EDT Y TAREAS'!AI25/'EDT Y TAREAS'!M25,0),IF(AND(235&gt;='EDT Y TAREAS'!AK33,235&lt;'EDT Y TAREAS'!AL33),'EDT Y TAREAS'!AI33/'EDT Y TAREAS'!M33,0),IF(AND(235&gt;='EDT Y TAREAS'!AK34,235&lt;'EDT Y TAREAS'!AL34),'EDT Y TAREAS'!AI34/'EDT Y TAREAS'!M34,0),IF(AND(235&gt;='EDT Y TAREAS'!AK36,235&lt;'EDT Y TAREAS'!AL36),'EDT Y TAREAS'!AI36/'EDT Y TAREAS'!M36,0),IF(AND(235&gt;='EDT Y TAREAS'!AK39,235&lt;'EDT Y TAREAS'!AL39),'EDT Y TAREAS'!AI39/'EDT Y TAREAS'!M39,0),IF(AND(235&gt;='EDT Y TAREAS'!AK40,235&lt;'EDT Y TAREAS'!AL40),'EDT Y TAREAS'!AI40/'EDT Y TAREAS'!M40,0),IF(AND(235&gt;='EDT Y TAREAS'!AK42,235&lt;'EDT Y TAREAS'!AL42),'EDT Y TAREAS'!AI42/'EDT Y TAREAS'!M42,0),IF(AND(235&gt;='EDT Y TAREAS'!AK43,235&lt;'EDT Y TAREAS'!AL43),'EDT Y TAREAS'!AI43/'EDT Y TAREAS'!M43,0),IF(AND(235&gt;='EDT Y TAREAS'!AK44,235&lt;'EDT Y TAREAS'!AL44),'EDT Y TAREAS'!AI44/'EDT Y TAREAS'!M44,0),IF(AND(235&gt;='EDT Y TAREAS'!AK45,235&lt;'EDT Y TAREAS'!AL45),'EDT Y TAREAS'!AI45/'EDT Y TAREAS'!M45,0),IF(AND(235&gt;='EDT Y TAREAS'!AK46,235&lt;'EDT Y TAREAS'!AL46),'EDT Y TAREAS'!AI46/'EDT Y TAREAS'!M46,0),IF(AND(235&gt;='EDT Y TAREAS'!AK48,235&lt;'EDT Y TAREAS'!AL48),'EDT Y TAREAS'!AI48/'EDT Y TAREAS'!M48,0),IF(AND(235&gt;='EDT Y TAREAS'!AK50,235&lt;'EDT Y TAREAS'!AL50),'EDT Y TAREAS'!AI50/'EDT Y TAREAS'!M50,0),IF(AND(235&gt;='EDT Y TAREAS'!AK52,235&lt;'EDT Y TAREAS'!AL52),'EDT Y TAREAS'!AI52/'EDT Y TAREAS'!M52,0))</x:f>
        <x:v>0</x:v>
      </x:c>
      <x:c r="H275" s="35" t="n">
        <x:f>SUM(IF(AND(235&gt;='EDT Y TAREAS'!AK11,235&lt;'EDT Y TAREAS'!AL11),'EDT Y TAREAS'!AJ11/'EDT Y TAREAS'!M11,0),IF(AND(235&gt;='EDT Y TAREAS'!AK24,235&lt;'EDT Y TAREAS'!AL24),'EDT Y TAREAS'!AJ24/'EDT Y TAREAS'!M24,0),IF(AND(235&gt;='EDT Y TAREAS'!AK27,235&lt;'EDT Y TAREAS'!AL27),'EDT Y TAREAS'!AJ27/'EDT Y TAREAS'!M27,0),IF(AND(235&gt;='EDT Y TAREAS'!AK28,235&lt;'EDT Y TAREAS'!AL28),'EDT Y TAREAS'!AJ28/'EDT Y TAREAS'!M28,0),IF(AND(235&gt;='EDT Y TAREAS'!AK33,235&lt;'EDT Y TAREAS'!AL33),'EDT Y TAREAS'!AJ33/'EDT Y TAREAS'!M33,0),IF(AND(235&gt;='EDT Y TAREAS'!AK35,235&lt;'EDT Y TAREAS'!AL35),'EDT Y TAREAS'!AJ35/'EDT Y TAREAS'!M35,0),IF(AND(235&gt;='EDT Y TAREAS'!AK36,235&lt;'EDT Y TAREAS'!AL36),'EDT Y TAREAS'!AJ36/'EDT Y TAREAS'!M36,0),IF(AND(235&gt;='EDT Y TAREAS'!AK37,235&lt;'EDT Y TAREAS'!AL37),'EDT Y TAREAS'!AJ37/'EDT Y TAREAS'!M37,0),IF(AND(235&gt;='EDT Y TAREAS'!AK40,235&lt;'EDT Y TAREAS'!AL40),'EDT Y TAREAS'!AJ40/'EDT Y TAREAS'!M40,0),IF(AND(235&gt;='EDT Y TAREAS'!AK42,235&lt;'EDT Y TAREAS'!AL42),'EDT Y TAREAS'!AJ42/'EDT Y TAREAS'!M42,0),IF(AND(235&gt;='EDT Y TAREAS'!AK49,235&lt;'EDT Y TAREAS'!AL49),'EDT Y TAREAS'!AJ49/'EDT Y TAREAS'!M49,0),IF(AND(235&gt;='EDT Y TAREAS'!AK50,235&lt;'EDT Y TAREAS'!AL50),'EDT Y TAREAS'!AJ50/'EDT Y TAREAS'!M50,0),IF(AND(235&gt;='EDT Y TAREAS'!AK51,235&lt;'EDT Y TAREAS'!AL51),'EDT Y TAREAS'!AJ51/'EDT Y TAREAS'!M51,0),IF(AND(235&gt;='EDT Y TAREAS'!AK52,235&lt;'EDT Y TAREAS'!AL52),'EDT Y TAREAS'!AJ52/'EDT Y TAREAS'!M52,0))</x:f>
        <x:v>0</x:v>
      </x:c>
      <x:c r="I275" s="10" t="n">
        <x:f>WORKDAY('RESUMEN'!$D$3-1,A275,'RESUMEN'!$J$6:$J$25)</x:f>
        <x:v>46657</x:v>
      </x:c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/>
      <x:c r="AH275" s="3"/>
      <x:c r="AI275" s="3"/>
      <x:c r="AJ275" s="3"/>
      <x:c r="AK275" s="3"/>
      <x:c r="AL275" s="3"/>
      <x:c r="AM275" s="3"/>
      <x:c r="AN275" s="3"/>
      <x:c r="AO275" s="3"/>
    </x:row>
    <x:row r="276" ht="24" customHeight="1">
      <x:c r="A276" s="3" t="n">
        <x:v>237</x:v>
      </x:c>
      <x:c r="B276" s="35" t="n">
        <x:f>SUM(IF(AND(236&gt;='EDT Y TAREAS'!AK6,236&lt;'EDT Y TAREAS'!AL6),'EDT Y TAREAS'!AD6/'EDT Y TAREAS'!M6,0),IF(AND(236&gt;='EDT Y TAREAS'!AK7,236&lt;'EDT Y TAREAS'!AL7),'EDT Y TAREAS'!AD7/'EDT Y TAREAS'!M7,0),IF(AND(236&gt;='EDT Y TAREAS'!AK8,236&lt;'EDT Y TAREAS'!AL8),'EDT Y TAREAS'!AD8/'EDT Y TAREAS'!M8,0),IF(AND(236&gt;='EDT Y TAREAS'!AK9,236&lt;'EDT Y TAREAS'!AL9),'EDT Y TAREAS'!AD9/'EDT Y TAREAS'!M9,0),IF(AND(236&gt;='EDT Y TAREAS'!AK10,236&lt;'EDT Y TAREAS'!AL10),'EDT Y TAREAS'!AD10/'EDT Y TAREAS'!M10,0),IF(AND(236&gt;='EDT Y TAREAS'!AK11,236&lt;'EDT Y TAREAS'!AL11),'EDT Y TAREAS'!AD11/'EDT Y TAREAS'!M11,0),IF(AND(236&gt;='EDT Y TAREAS'!AK12,236&lt;'EDT Y TAREAS'!AL12),'EDT Y TAREAS'!AD12/'EDT Y TAREAS'!M12,0),IF(AND(236&gt;='EDT Y TAREAS'!AK13,236&lt;'EDT Y TAREAS'!AL13),'EDT Y TAREAS'!AD13/'EDT Y TAREAS'!M13,0),IF(AND(236&gt;='EDT Y TAREAS'!AK14,236&lt;'EDT Y TAREAS'!AL14),'EDT Y TAREAS'!AD14/'EDT Y TAREAS'!M14,0),IF(AND(236&gt;='EDT Y TAREAS'!AK15,236&lt;'EDT Y TAREAS'!AL15),'EDT Y TAREAS'!AD15/'EDT Y TAREAS'!M15,0),IF(AND(236&gt;='EDT Y TAREAS'!AK16,236&lt;'EDT Y TAREAS'!AL16),'EDT Y TAREAS'!AD16/'EDT Y TAREAS'!M16,0),IF(AND(236&gt;='EDT Y TAREAS'!AK17,236&lt;'EDT Y TAREAS'!AL17),'EDT Y TAREAS'!AD17/'EDT Y TAREAS'!M17,0),IF(AND(236&gt;='EDT Y TAREAS'!AK18,236&lt;'EDT Y TAREAS'!AL18),'EDT Y TAREAS'!AD18/'EDT Y TAREAS'!M18,0),IF(AND(236&gt;='EDT Y TAREAS'!AK19,236&lt;'EDT Y TAREAS'!AL19),'EDT Y TAREAS'!AD19/'EDT Y TAREAS'!M19,0),IF(AND(236&gt;='EDT Y TAREAS'!AK20,236&lt;'EDT Y TAREAS'!AL20),'EDT Y TAREAS'!AD20/'EDT Y TAREAS'!M20,0),IF(AND(236&gt;='EDT Y TAREAS'!AK21,236&lt;'EDT Y TAREAS'!AL21),'EDT Y TAREAS'!AD21/'EDT Y TAREAS'!M21,0),IF(AND(236&gt;='EDT Y TAREAS'!AK22,236&lt;'EDT Y TAREAS'!AL22),'EDT Y TAREAS'!AD22/'EDT Y TAREAS'!M22,0),IF(AND(236&gt;='EDT Y TAREAS'!AK23,236&lt;'EDT Y TAREAS'!AL23),'EDT Y TAREAS'!AD23/'EDT Y TAREAS'!M23,0),IF(AND(236&gt;='EDT Y TAREAS'!AK26,236&lt;'EDT Y TAREAS'!AL26),'EDT Y TAREAS'!AD26/'EDT Y TAREAS'!M26,0),IF(AND(236&gt;='EDT Y TAREAS'!AK28,236&lt;'EDT Y TAREAS'!AL28),'EDT Y TAREAS'!AD28/'EDT Y TAREAS'!M28,0),IF(AND(236&gt;='EDT Y TAREAS'!AK30,236&lt;'EDT Y TAREAS'!AL30),'EDT Y TAREAS'!AD30/'EDT Y TAREAS'!M30,0),IF(AND(236&gt;='EDT Y TAREAS'!AK32,236&lt;'EDT Y TAREAS'!AL32),'EDT Y TAREAS'!AD32/'EDT Y TAREAS'!M32,0),IF(AND(236&gt;='EDT Y TAREAS'!AK34,236&lt;'EDT Y TAREAS'!AL34),'EDT Y TAREAS'!AD34/'EDT Y TAREAS'!M34,0),IF(AND(236&gt;='EDT Y TAREAS'!AK38,236&lt;'EDT Y TAREAS'!AL38),'EDT Y TAREAS'!AD38/'EDT Y TAREAS'!M38,0),IF(AND(236&gt;='EDT Y TAREAS'!AK39,236&lt;'EDT Y TAREAS'!AL39),'EDT Y TAREAS'!AD39/'EDT Y TAREAS'!M39,0),IF(AND(236&gt;='EDT Y TAREAS'!AK43,236&lt;'EDT Y TAREAS'!AL43),'EDT Y TAREAS'!AD43/'EDT Y TAREAS'!M43,0),IF(AND(236&gt;='EDT Y TAREAS'!AK44,236&lt;'EDT Y TAREAS'!AL44),'EDT Y TAREAS'!AD44/'EDT Y TAREAS'!M44,0),IF(AND(236&gt;='EDT Y TAREAS'!AK45,236&lt;'EDT Y TAREAS'!AL45),'EDT Y TAREAS'!AD45/'EDT Y TAREAS'!M45,0),IF(AND(236&gt;='EDT Y TAREAS'!AK46,236&lt;'EDT Y TAREAS'!AL46),'EDT Y TAREAS'!AD46/'EDT Y TAREAS'!M46,0),IF(AND(236&gt;='EDT Y TAREAS'!AK47,236&lt;'EDT Y TAREAS'!AL47),'EDT Y TAREAS'!AD47/'EDT Y TAREAS'!M47,0),IF(AND(236&gt;='EDT Y TAREAS'!AK49,236&lt;'EDT Y TAREAS'!AL49),'EDT Y TAREAS'!AD49/'EDT Y TAREAS'!M49,0),IF(AND(236&gt;='EDT Y TAREAS'!AK50,236&lt;'EDT Y TAREAS'!AL50),'EDT Y TAREAS'!AD50/'EDT Y TAREAS'!M50,0),IF(AND(236&gt;='EDT Y TAREAS'!AK51,236&lt;'EDT Y TAREAS'!AL51),'EDT Y TAREAS'!AD51/'EDT Y TAREAS'!M51,0),IF(AND(236&gt;='EDT Y TAREAS'!AK52,236&lt;'EDT Y TAREAS'!AL52),'EDT Y TAREAS'!AD52/'EDT Y TAREAS'!M52,0))</x:f>
        <x:v>0</x:v>
      </x:c>
      <x:c r="C276" s="35" t="n">
        <x:f>SUM(IF(AND(236&gt;='EDT Y TAREAS'!AK6,236&lt;'EDT Y TAREAS'!AL6),'EDT Y TAREAS'!AE6/'EDT Y TAREAS'!M6,0),IF(AND(236&gt;='EDT Y TAREAS'!AK8,236&lt;'EDT Y TAREAS'!AL8),'EDT Y TAREAS'!AE8/'EDT Y TAREAS'!M8,0),IF(AND(236&gt;='EDT Y TAREAS'!AK9,236&lt;'EDT Y TAREAS'!AL9),'EDT Y TAREAS'!AE9/'EDT Y TAREAS'!M9,0),IF(AND(236&gt;='EDT Y TAREAS'!AK10,236&lt;'EDT Y TAREAS'!AL10),'EDT Y TAREAS'!AE10/'EDT Y TAREAS'!M10,0),IF(AND(236&gt;='EDT Y TAREAS'!AK12,236&lt;'EDT Y TAREAS'!AL12),'EDT Y TAREAS'!AE12/'EDT Y TAREAS'!M12,0),IF(AND(236&gt;='EDT Y TAREAS'!AK16,236&lt;'EDT Y TAREAS'!AL16),'EDT Y TAREAS'!AE16/'EDT Y TAREAS'!M16,0),IF(AND(236&gt;='EDT Y TAREAS'!AK21,236&lt;'EDT Y TAREAS'!AL21),'EDT Y TAREAS'!AE21/'EDT Y TAREAS'!M21,0),IF(AND(236&gt;='EDT Y TAREAS'!AK23,236&lt;'EDT Y TAREAS'!AL23),'EDT Y TAREAS'!AE23/'EDT Y TAREAS'!M23,0),IF(AND(236&gt;='EDT Y TAREAS'!AK37,236&lt;'EDT Y TAREAS'!AL37),'EDT Y TAREAS'!AE37/'EDT Y TAREAS'!M37,0),IF(AND(236&gt;='EDT Y TAREAS'!AK38,236&lt;'EDT Y TAREAS'!AL38),'EDT Y TAREAS'!AE38/'EDT Y TAREAS'!M38,0),IF(AND(236&gt;='EDT Y TAREAS'!AK41,236&lt;'EDT Y TAREAS'!AL41),'EDT Y TAREAS'!AE41/'EDT Y TAREAS'!M41,0),IF(AND(236&gt;='EDT Y TAREAS'!AK43,236&lt;'EDT Y TAREAS'!AL43),'EDT Y TAREAS'!AE43/'EDT Y TAREAS'!M43,0),IF(AND(236&gt;='EDT Y TAREAS'!AK44,236&lt;'EDT Y TAREAS'!AL44),'EDT Y TAREAS'!AE44/'EDT Y TAREAS'!M44,0),IF(AND(236&gt;='EDT Y TAREAS'!AK46,236&lt;'EDT Y TAREAS'!AL46),'EDT Y TAREAS'!AE46/'EDT Y TAREAS'!M46,0),IF(AND(236&gt;='EDT Y TAREAS'!AK47,236&lt;'EDT Y TAREAS'!AL47),'EDT Y TAREAS'!AE47/'EDT Y TAREAS'!M47,0),IF(AND(236&gt;='EDT Y TAREAS'!AK51,236&lt;'EDT Y TAREAS'!AL51),'EDT Y TAREAS'!AE51/'EDT Y TAREAS'!M51,0),IF(AND(236&gt;='EDT Y TAREAS'!AK52,236&lt;'EDT Y TAREAS'!AL52),'EDT Y TAREAS'!AE52/'EDT Y TAREAS'!M52,0))</x:f>
        <x:v>0</x:v>
      </x:c>
      <x:c r="D276" s="35" t="n">
        <x:f>SUM(IF(AND(236&gt;='EDT Y TAREAS'!AK11,236&lt;'EDT Y TAREAS'!AL11),'EDT Y TAREAS'!AF11/'EDT Y TAREAS'!M11,0),IF(AND(236&gt;='EDT Y TAREAS'!AK24,236&lt;'EDT Y TAREAS'!AL24),'EDT Y TAREAS'!AF24/'EDT Y TAREAS'!M24,0),IF(AND(236&gt;='EDT Y TAREAS'!AK25,236&lt;'EDT Y TAREAS'!AL25),'EDT Y TAREAS'!AF25/'EDT Y TAREAS'!M25,0),IF(AND(236&gt;='EDT Y TAREAS'!AK26,236&lt;'EDT Y TAREAS'!AL26),'EDT Y TAREAS'!AF26/'EDT Y TAREAS'!M26,0),IF(AND(236&gt;='EDT Y TAREAS'!AK27,236&lt;'EDT Y TAREAS'!AL27),'EDT Y TAREAS'!AF27/'EDT Y TAREAS'!M27,0),IF(AND(236&gt;='EDT Y TAREAS'!AK28,236&lt;'EDT Y TAREAS'!AL28),'EDT Y TAREAS'!AF28/'EDT Y TAREAS'!M28,0),IF(AND(236&gt;='EDT Y TAREAS'!AK31,236&lt;'EDT Y TAREAS'!AL31),'EDT Y TAREAS'!AF31/'EDT Y TAREAS'!M31,0),IF(AND(236&gt;='EDT Y TAREAS'!AK33,236&lt;'EDT Y TAREAS'!AL33),'EDT Y TAREAS'!AF33/'EDT Y TAREAS'!M33,0),IF(AND(236&gt;='EDT Y TAREAS'!AK34,236&lt;'EDT Y TAREAS'!AL34),'EDT Y TAREAS'!AF34/'EDT Y TAREAS'!M34,0),IF(AND(236&gt;='EDT Y TAREAS'!AK35,236&lt;'EDT Y TAREAS'!AL35),'EDT Y TAREAS'!AF35/'EDT Y TAREAS'!M35,0),IF(AND(236&gt;='EDT Y TAREAS'!AK37,236&lt;'EDT Y TAREAS'!AL37),'EDT Y TAREAS'!AF37/'EDT Y TAREAS'!M37,0),IF(AND(236&gt;='EDT Y TAREAS'!AK39,236&lt;'EDT Y TAREAS'!AL39),'EDT Y TAREAS'!AF39/'EDT Y TAREAS'!M39,0),IF(AND(236&gt;='EDT Y TAREAS'!AK40,236&lt;'EDT Y TAREAS'!AL40),'EDT Y TAREAS'!AF40/'EDT Y TAREAS'!M40,0),IF(AND(236&gt;='EDT Y TAREAS'!AK42,236&lt;'EDT Y TAREAS'!AL42),'EDT Y TAREAS'!AF42/'EDT Y TAREAS'!M42,0),IF(AND(236&gt;='EDT Y TAREAS'!AK45,236&lt;'EDT Y TAREAS'!AL45),'EDT Y TAREAS'!AF45/'EDT Y TAREAS'!M45,0),IF(AND(236&gt;='EDT Y TAREAS'!AK49,236&lt;'EDT Y TAREAS'!AL49),'EDT Y TAREAS'!AF49/'EDT Y TAREAS'!M49,0),IF(AND(236&gt;='EDT Y TAREAS'!AK52,236&lt;'EDT Y TAREAS'!AL52),'EDT Y TAREAS'!AF52/'EDT Y TAREAS'!M52,0))</x:f>
        <x:v>0</x:v>
      </x:c>
      <x:c r="E276" s="35" t="n">
        <x:f>SUM(IF(AND(236&gt;='EDT Y TAREAS'!AK29,236&lt;'EDT Y TAREAS'!AL29),'EDT Y TAREAS'!AG29/'EDT Y TAREAS'!M29,0),IF(AND(236&gt;='EDT Y TAREAS'!AK30,236&lt;'EDT Y TAREAS'!AL30),'EDT Y TAREAS'!AG30/'EDT Y TAREAS'!M30,0),IF(AND(236&gt;='EDT Y TAREAS'!AK31,236&lt;'EDT Y TAREAS'!AL31),'EDT Y TAREAS'!AG31/'EDT Y TAREAS'!M31,0),IF(AND(236&gt;='EDT Y TAREAS'!AK32,236&lt;'EDT Y TAREAS'!AL32),'EDT Y TAREAS'!AG32/'EDT Y TAREAS'!M32,0),IF(AND(236&gt;='EDT Y TAREAS'!AK41,236&lt;'EDT Y TAREAS'!AL41),'EDT Y TAREAS'!AG41/'EDT Y TAREAS'!M41,0),IF(AND(236&gt;='EDT Y TAREAS'!AK45,236&lt;'EDT Y TAREAS'!AL45),'EDT Y TAREAS'!AG45/'EDT Y TAREAS'!M45,0),IF(AND(236&gt;='EDT Y TAREAS'!AK48,236&lt;'EDT Y TAREAS'!AL48),'EDT Y TAREAS'!AG48/'EDT Y TAREAS'!M48,0))</x:f>
        <x:v>0</x:v>
      </x:c>
      <x:c r="F276" s="35" t="n">
        <x:f>SUM(IF(AND(236&gt;='EDT Y TAREAS'!AK10,236&lt;'EDT Y TAREAS'!AL10),'EDT Y TAREAS'!AH10/'EDT Y TAREAS'!M10,0),IF(AND(236&gt;='EDT Y TAREAS'!AK12,236&lt;'EDT Y TAREAS'!AL12),'EDT Y TAREAS'!AH12/'EDT Y TAREAS'!M12,0),IF(AND(236&gt;='EDT Y TAREAS'!AK22,236&lt;'EDT Y TAREAS'!AL22),'EDT Y TAREAS'!AH22/'EDT Y TAREAS'!M22,0),IF(AND(236&gt;='EDT Y TAREAS'!AK23,236&lt;'EDT Y TAREAS'!AL23),'EDT Y TAREAS'!AH23/'EDT Y TAREAS'!M23,0),IF(AND(236&gt;='EDT Y TAREAS'!AK29,236&lt;'EDT Y TAREAS'!AL29),'EDT Y TAREAS'!AH29/'EDT Y TAREAS'!M29,0),IF(AND(236&gt;='EDT Y TAREAS'!AK30,236&lt;'EDT Y TAREAS'!AL30),'EDT Y TAREAS'!AH30/'EDT Y TAREAS'!M30,0),IF(AND(236&gt;='EDT Y TAREAS'!AK32,236&lt;'EDT Y TAREAS'!AL32),'EDT Y TAREAS'!AH32/'EDT Y TAREAS'!M32,0),IF(AND(236&gt;='EDT Y TAREAS'!AK41,236&lt;'EDT Y TAREAS'!AL41),'EDT Y TAREAS'!AH41/'EDT Y TAREAS'!M41,0),IF(AND(236&gt;='EDT Y TAREAS'!AK44,236&lt;'EDT Y TAREAS'!AL44),'EDT Y TAREAS'!AH44/'EDT Y TAREAS'!M44,0),IF(AND(236&gt;='EDT Y TAREAS'!AK46,236&lt;'EDT Y TAREAS'!AL46),'EDT Y TAREAS'!AH46/'EDT Y TAREAS'!M46,0),IF(AND(236&gt;='EDT Y TAREAS'!AK48,236&lt;'EDT Y TAREAS'!AL48),'EDT Y TAREAS'!AH48/'EDT Y TAREAS'!M48,0))</x:f>
        <x:v>0</x:v>
      </x:c>
      <x:c r="G276" s="35" t="n">
        <x:f>SUM(IF(AND(236&gt;='EDT Y TAREAS'!AK20,236&lt;'EDT Y TAREAS'!AL20),'EDT Y TAREAS'!AI20/'EDT Y TAREAS'!M20,0),IF(AND(236&gt;='EDT Y TAREAS'!AK25,236&lt;'EDT Y TAREAS'!AL25),'EDT Y TAREAS'!AI25/'EDT Y TAREAS'!M25,0),IF(AND(236&gt;='EDT Y TAREAS'!AK33,236&lt;'EDT Y TAREAS'!AL33),'EDT Y TAREAS'!AI33/'EDT Y TAREAS'!M33,0),IF(AND(236&gt;='EDT Y TAREAS'!AK34,236&lt;'EDT Y TAREAS'!AL34),'EDT Y TAREAS'!AI34/'EDT Y TAREAS'!M34,0),IF(AND(236&gt;='EDT Y TAREAS'!AK36,236&lt;'EDT Y TAREAS'!AL36),'EDT Y TAREAS'!AI36/'EDT Y TAREAS'!M36,0),IF(AND(236&gt;='EDT Y TAREAS'!AK39,236&lt;'EDT Y TAREAS'!AL39),'EDT Y TAREAS'!AI39/'EDT Y TAREAS'!M39,0),IF(AND(236&gt;='EDT Y TAREAS'!AK40,236&lt;'EDT Y TAREAS'!AL40),'EDT Y TAREAS'!AI40/'EDT Y TAREAS'!M40,0),IF(AND(236&gt;='EDT Y TAREAS'!AK42,236&lt;'EDT Y TAREAS'!AL42),'EDT Y TAREAS'!AI42/'EDT Y TAREAS'!M42,0),IF(AND(236&gt;='EDT Y TAREAS'!AK43,236&lt;'EDT Y TAREAS'!AL43),'EDT Y TAREAS'!AI43/'EDT Y TAREAS'!M43,0),IF(AND(236&gt;='EDT Y TAREAS'!AK44,236&lt;'EDT Y TAREAS'!AL44),'EDT Y TAREAS'!AI44/'EDT Y TAREAS'!M44,0),IF(AND(236&gt;='EDT Y TAREAS'!AK45,236&lt;'EDT Y TAREAS'!AL45),'EDT Y TAREAS'!AI45/'EDT Y TAREAS'!M45,0),IF(AND(236&gt;='EDT Y TAREAS'!AK46,236&lt;'EDT Y TAREAS'!AL46),'EDT Y TAREAS'!AI46/'EDT Y TAREAS'!M46,0),IF(AND(236&gt;='EDT Y TAREAS'!AK48,236&lt;'EDT Y TAREAS'!AL48),'EDT Y TAREAS'!AI48/'EDT Y TAREAS'!M48,0),IF(AND(236&gt;='EDT Y TAREAS'!AK50,236&lt;'EDT Y TAREAS'!AL50),'EDT Y TAREAS'!AI50/'EDT Y TAREAS'!M50,0),IF(AND(236&gt;='EDT Y TAREAS'!AK52,236&lt;'EDT Y TAREAS'!AL52),'EDT Y TAREAS'!AI52/'EDT Y TAREAS'!M52,0))</x:f>
        <x:v>0</x:v>
      </x:c>
      <x:c r="H276" s="35" t="n">
        <x:f>SUM(IF(AND(236&gt;='EDT Y TAREAS'!AK11,236&lt;'EDT Y TAREAS'!AL11),'EDT Y TAREAS'!AJ11/'EDT Y TAREAS'!M11,0),IF(AND(236&gt;='EDT Y TAREAS'!AK24,236&lt;'EDT Y TAREAS'!AL24),'EDT Y TAREAS'!AJ24/'EDT Y TAREAS'!M24,0),IF(AND(236&gt;='EDT Y TAREAS'!AK27,236&lt;'EDT Y TAREAS'!AL27),'EDT Y TAREAS'!AJ27/'EDT Y TAREAS'!M27,0),IF(AND(236&gt;='EDT Y TAREAS'!AK28,236&lt;'EDT Y TAREAS'!AL28),'EDT Y TAREAS'!AJ28/'EDT Y TAREAS'!M28,0),IF(AND(236&gt;='EDT Y TAREAS'!AK33,236&lt;'EDT Y TAREAS'!AL33),'EDT Y TAREAS'!AJ33/'EDT Y TAREAS'!M33,0),IF(AND(236&gt;='EDT Y TAREAS'!AK35,236&lt;'EDT Y TAREAS'!AL35),'EDT Y TAREAS'!AJ35/'EDT Y TAREAS'!M35,0),IF(AND(236&gt;='EDT Y TAREAS'!AK36,236&lt;'EDT Y TAREAS'!AL36),'EDT Y TAREAS'!AJ36/'EDT Y TAREAS'!M36,0),IF(AND(236&gt;='EDT Y TAREAS'!AK37,236&lt;'EDT Y TAREAS'!AL37),'EDT Y TAREAS'!AJ37/'EDT Y TAREAS'!M37,0),IF(AND(236&gt;='EDT Y TAREAS'!AK40,236&lt;'EDT Y TAREAS'!AL40),'EDT Y TAREAS'!AJ40/'EDT Y TAREAS'!M40,0),IF(AND(236&gt;='EDT Y TAREAS'!AK42,236&lt;'EDT Y TAREAS'!AL42),'EDT Y TAREAS'!AJ42/'EDT Y TAREAS'!M42,0),IF(AND(236&gt;='EDT Y TAREAS'!AK49,236&lt;'EDT Y TAREAS'!AL49),'EDT Y TAREAS'!AJ49/'EDT Y TAREAS'!M49,0),IF(AND(236&gt;='EDT Y TAREAS'!AK50,236&lt;'EDT Y TAREAS'!AL50),'EDT Y TAREAS'!AJ50/'EDT Y TAREAS'!M50,0),IF(AND(236&gt;='EDT Y TAREAS'!AK51,236&lt;'EDT Y TAREAS'!AL51),'EDT Y TAREAS'!AJ51/'EDT Y TAREAS'!M51,0),IF(AND(236&gt;='EDT Y TAREAS'!AK52,236&lt;'EDT Y TAREAS'!AL52),'EDT Y TAREAS'!AJ52/'EDT Y TAREAS'!M52,0))</x:f>
        <x:v>0</x:v>
      </x:c>
      <x:c r="I276" s="10" t="n">
        <x:f>WORKDAY('RESUMEN'!$D$3-1,A276,'RESUMEN'!$J$6:$J$25)</x:f>
        <x:v>46658</x:v>
      </x:c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/>
      <x:c r="AH276" s="3"/>
      <x:c r="AI276" s="3"/>
      <x:c r="AJ276" s="3"/>
      <x:c r="AK276" s="3"/>
      <x:c r="AL276" s="3"/>
      <x:c r="AM276" s="3"/>
      <x:c r="AN276" s="3"/>
      <x:c r="AO276" s="3"/>
    </x:row>
    <x:row r="277" ht="24" customHeight="1">
      <x:c r="A277" s="3" t="n">
        <x:v>238</x:v>
      </x:c>
      <x:c r="B277" s="35" t="n">
        <x:f>SUM(IF(AND(237&gt;='EDT Y TAREAS'!AK6,237&lt;'EDT Y TAREAS'!AL6),'EDT Y TAREAS'!AD6/'EDT Y TAREAS'!M6,0),IF(AND(237&gt;='EDT Y TAREAS'!AK7,237&lt;'EDT Y TAREAS'!AL7),'EDT Y TAREAS'!AD7/'EDT Y TAREAS'!M7,0),IF(AND(237&gt;='EDT Y TAREAS'!AK8,237&lt;'EDT Y TAREAS'!AL8),'EDT Y TAREAS'!AD8/'EDT Y TAREAS'!M8,0),IF(AND(237&gt;='EDT Y TAREAS'!AK9,237&lt;'EDT Y TAREAS'!AL9),'EDT Y TAREAS'!AD9/'EDT Y TAREAS'!M9,0),IF(AND(237&gt;='EDT Y TAREAS'!AK10,237&lt;'EDT Y TAREAS'!AL10),'EDT Y TAREAS'!AD10/'EDT Y TAREAS'!M10,0),IF(AND(237&gt;='EDT Y TAREAS'!AK11,237&lt;'EDT Y TAREAS'!AL11),'EDT Y TAREAS'!AD11/'EDT Y TAREAS'!M11,0),IF(AND(237&gt;='EDT Y TAREAS'!AK12,237&lt;'EDT Y TAREAS'!AL12),'EDT Y TAREAS'!AD12/'EDT Y TAREAS'!M12,0),IF(AND(237&gt;='EDT Y TAREAS'!AK13,237&lt;'EDT Y TAREAS'!AL13),'EDT Y TAREAS'!AD13/'EDT Y TAREAS'!M13,0),IF(AND(237&gt;='EDT Y TAREAS'!AK14,237&lt;'EDT Y TAREAS'!AL14),'EDT Y TAREAS'!AD14/'EDT Y TAREAS'!M14,0),IF(AND(237&gt;='EDT Y TAREAS'!AK15,237&lt;'EDT Y TAREAS'!AL15),'EDT Y TAREAS'!AD15/'EDT Y TAREAS'!M15,0),IF(AND(237&gt;='EDT Y TAREAS'!AK16,237&lt;'EDT Y TAREAS'!AL16),'EDT Y TAREAS'!AD16/'EDT Y TAREAS'!M16,0),IF(AND(237&gt;='EDT Y TAREAS'!AK17,237&lt;'EDT Y TAREAS'!AL17),'EDT Y TAREAS'!AD17/'EDT Y TAREAS'!M17,0),IF(AND(237&gt;='EDT Y TAREAS'!AK18,237&lt;'EDT Y TAREAS'!AL18),'EDT Y TAREAS'!AD18/'EDT Y TAREAS'!M18,0),IF(AND(237&gt;='EDT Y TAREAS'!AK19,237&lt;'EDT Y TAREAS'!AL19),'EDT Y TAREAS'!AD19/'EDT Y TAREAS'!M19,0),IF(AND(237&gt;='EDT Y TAREAS'!AK20,237&lt;'EDT Y TAREAS'!AL20),'EDT Y TAREAS'!AD20/'EDT Y TAREAS'!M20,0),IF(AND(237&gt;='EDT Y TAREAS'!AK21,237&lt;'EDT Y TAREAS'!AL21),'EDT Y TAREAS'!AD21/'EDT Y TAREAS'!M21,0),IF(AND(237&gt;='EDT Y TAREAS'!AK22,237&lt;'EDT Y TAREAS'!AL22),'EDT Y TAREAS'!AD22/'EDT Y TAREAS'!M22,0),IF(AND(237&gt;='EDT Y TAREAS'!AK23,237&lt;'EDT Y TAREAS'!AL23),'EDT Y TAREAS'!AD23/'EDT Y TAREAS'!M23,0),IF(AND(237&gt;='EDT Y TAREAS'!AK26,237&lt;'EDT Y TAREAS'!AL26),'EDT Y TAREAS'!AD26/'EDT Y TAREAS'!M26,0),IF(AND(237&gt;='EDT Y TAREAS'!AK28,237&lt;'EDT Y TAREAS'!AL28),'EDT Y TAREAS'!AD28/'EDT Y TAREAS'!M28,0),IF(AND(237&gt;='EDT Y TAREAS'!AK30,237&lt;'EDT Y TAREAS'!AL30),'EDT Y TAREAS'!AD30/'EDT Y TAREAS'!M30,0),IF(AND(237&gt;='EDT Y TAREAS'!AK32,237&lt;'EDT Y TAREAS'!AL32),'EDT Y TAREAS'!AD32/'EDT Y TAREAS'!M32,0),IF(AND(237&gt;='EDT Y TAREAS'!AK34,237&lt;'EDT Y TAREAS'!AL34),'EDT Y TAREAS'!AD34/'EDT Y TAREAS'!M34,0),IF(AND(237&gt;='EDT Y TAREAS'!AK38,237&lt;'EDT Y TAREAS'!AL38),'EDT Y TAREAS'!AD38/'EDT Y TAREAS'!M38,0),IF(AND(237&gt;='EDT Y TAREAS'!AK39,237&lt;'EDT Y TAREAS'!AL39),'EDT Y TAREAS'!AD39/'EDT Y TAREAS'!M39,0),IF(AND(237&gt;='EDT Y TAREAS'!AK43,237&lt;'EDT Y TAREAS'!AL43),'EDT Y TAREAS'!AD43/'EDT Y TAREAS'!M43,0),IF(AND(237&gt;='EDT Y TAREAS'!AK44,237&lt;'EDT Y TAREAS'!AL44),'EDT Y TAREAS'!AD44/'EDT Y TAREAS'!M44,0),IF(AND(237&gt;='EDT Y TAREAS'!AK45,237&lt;'EDT Y TAREAS'!AL45),'EDT Y TAREAS'!AD45/'EDT Y TAREAS'!M45,0),IF(AND(237&gt;='EDT Y TAREAS'!AK46,237&lt;'EDT Y TAREAS'!AL46),'EDT Y TAREAS'!AD46/'EDT Y TAREAS'!M46,0),IF(AND(237&gt;='EDT Y TAREAS'!AK47,237&lt;'EDT Y TAREAS'!AL47),'EDT Y TAREAS'!AD47/'EDT Y TAREAS'!M47,0),IF(AND(237&gt;='EDT Y TAREAS'!AK49,237&lt;'EDT Y TAREAS'!AL49),'EDT Y TAREAS'!AD49/'EDT Y TAREAS'!M49,0),IF(AND(237&gt;='EDT Y TAREAS'!AK50,237&lt;'EDT Y TAREAS'!AL50),'EDT Y TAREAS'!AD50/'EDT Y TAREAS'!M50,0),IF(AND(237&gt;='EDT Y TAREAS'!AK51,237&lt;'EDT Y TAREAS'!AL51),'EDT Y TAREAS'!AD51/'EDT Y TAREAS'!M51,0),IF(AND(237&gt;='EDT Y TAREAS'!AK52,237&lt;'EDT Y TAREAS'!AL52),'EDT Y TAREAS'!AD52/'EDT Y TAREAS'!M52,0))</x:f>
        <x:v>0</x:v>
      </x:c>
      <x:c r="C277" s="35" t="n">
        <x:f>SUM(IF(AND(237&gt;='EDT Y TAREAS'!AK6,237&lt;'EDT Y TAREAS'!AL6),'EDT Y TAREAS'!AE6/'EDT Y TAREAS'!M6,0),IF(AND(237&gt;='EDT Y TAREAS'!AK8,237&lt;'EDT Y TAREAS'!AL8),'EDT Y TAREAS'!AE8/'EDT Y TAREAS'!M8,0),IF(AND(237&gt;='EDT Y TAREAS'!AK9,237&lt;'EDT Y TAREAS'!AL9),'EDT Y TAREAS'!AE9/'EDT Y TAREAS'!M9,0),IF(AND(237&gt;='EDT Y TAREAS'!AK10,237&lt;'EDT Y TAREAS'!AL10),'EDT Y TAREAS'!AE10/'EDT Y TAREAS'!M10,0),IF(AND(237&gt;='EDT Y TAREAS'!AK12,237&lt;'EDT Y TAREAS'!AL12),'EDT Y TAREAS'!AE12/'EDT Y TAREAS'!M12,0),IF(AND(237&gt;='EDT Y TAREAS'!AK16,237&lt;'EDT Y TAREAS'!AL16),'EDT Y TAREAS'!AE16/'EDT Y TAREAS'!M16,0),IF(AND(237&gt;='EDT Y TAREAS'!AK21,237&lt;'EDT Y TAREAS'!AL21),'EDT Y TAREAS'!AE21/'EDT Y TAREAS'!M21,0),IF(AND(237&gt;='EDT Y TAREAS'!AK23,237&lt;'EDT Y TAREAS'!AL23),'EDT Y TAREAS'!AE23/'EDT Y TAREAS'!M23,0),IF(AND(237&gt;='EDT Y TAREAS'!AK37,237&lt;'EDT Y TAREAS'!AL37),'EDT Y TAREAS'!AE37/'EDT Y TAREAS'!M37,0),IF(AND(237&gt;='EDT Y TAREAS'!AK38,237&lt;'EDT Y TAREAS'!AL38),'EDT Y TAREAS'!AE38/'EDT Y TAREAS'!M38,0),IF(AND(237&gt;='EDT Y TAREAS'!AK41,237&lt;'EDT Y TAREAS'!AL41),'EDT Y TAREAS'!AE41/'EDT Y TAREAS'!M41,0),IF(AND(237&gt;='EDT Y TAREAS'!AK43,237&lt;'EDT Y TAREAS'!AL43),'EDT Y TAREAS'!AE43/'EDT Y TAREAS'!M43,0),IF(AND(237&gt;='EDT Y TAREAS'!AK44,237&lt;'EDT Y TAREAS'!AL44),'EDT Y TAREAS'!AE44/'EDT Y TAREAS'!M44,0),IF(AND(237&gt;='EDT Y TAREAS'!AK46,237&lt;'EDT Y TAREAS'!AL46),'EDT Y TAREAS'!AE46/'EDT Y TAREAS'!M46,0),IF(AND(237&gt;='EDT Y TAREAS'!AK47,237&lt;'EDT Y TAREAS'!AL47),'EDT Y TAREAS'!AE47/'EDT Y TAREAS'!M47,0),IF(AND(237&gt;='EDT Y TAREAS'!AK51,237&lt;'EDT Y TAREAS'!AL51),'EDT Y TAREAS'!AE51/'EDT Y TAREAS'!M51,0),IF(AND(237&gt;='EDT Y TAREAS'!AK52,237&lt;'EDT Y TAREAS'!AL52),'EDT Y TAREAS'!AE52/'EDT Y TAREAS'!M52,0))</x:f>
        <x:v>0</x:v>
      </x:c>
      <x:c r="D277" s="35" t="n">
        <x:f>SUM(IF(AND(237&gt;='EDT Y TAREAS'!AK11,237&lt;'EDT Y TAREAS'!AL11),'EDT Y TAREAS'!AF11/'EDT Y TAREAS'!M11,0),IF(AND(237&gt;='EDT Y TAREAS'!AK24,237&lt;'EDT Y TAREAS'!AL24),'EDT Y TAREAS'!AF24/'EDT Y TAREAS'!M24,0),IF(AND(237&gt;='EDT Y TAREAS'!AK25,237&lt;'EDT Y TAREAS'!AL25),'EDT Y TAREAS'!AF25/'EDT Y TAREAS'!M25,0),IF(AND(237&gt;='EDT Y TAREAS'!AK26,237&lt;'EDT Y TAREAS'!AL26),'EDT Y TAREAS'!AF26/'EDT Y TAREAS'!M26,0),IF(AND(237&gt;='EDT Y TAREAS'!AK27,237&lt;'EDT Y TAREAS'!AL27),'EDT Y TAREAS'!AF27/'EDT Y TAREAS'!M27,0),IF(AND(237&gt;='EDT Y TAREAS'!AK28,237&lt;'EDT Y TAREAS'!AL28),'EDT Y TAREAS'!AF28/'EDT Y TAREAS'!M28,0),IF(AND(237&gt;='EDT Y TAREAS'!AK31,237&lt;'EDT Y TAREAS'!AL31),'EDT Y TAREAS'!AF31/'EDT Y TAREAS'!M31,0),IF(AND(237&gt;='EDT Y TAREAS'!AK33,237&lt;'EDT Y TAREAS'!AL33),'EDT Y TAREAS'!AF33/'EDT Y TAREAS'!M33,0),IF(AND(237&gt;='EDT Y TAREAS'!AK34,237&lt;'EDT Y TAREAS'!AL34),'EDT Y TAREAS'!AF34/'EDT Y TAREAS'!M34,0),IF(AND(237&gt;='EDT Y TAREAS'!AK35,237&lt;'EDT Y TAREAS'!AL35),'EDT Y TAREAS'!AF35/'EDT Y TAREAS'!M35,0),IF(AND(237&gt;='EDT Y TAREAS'!AK37,237&lt;'EDT Y TAREAS'!AL37),'EDT Y TAREAS'!AF37/'EDT Y TAREAS'!M37,0),IF(AND(237&gt;='EDT Y TAREAS'!AK39,237&lt;'EDT Y TAREAS'!AL39),'EDT Y TAREAS'!AF39/'EDT Y TAREAS'!M39,0),IF(AND(237&gt;='EDT Y TAREAS'!AK40,237&lt;'EDT Y TAREAS'!AL40),'EDT Y TAREAS'!AF40/'EDT Y TAREAS'!M40,0),IF(AND(237&gt;='EDT Y TAREAS'!AK42,237&lt;'EDT Y TAREAS'!AL42),'EDT Y TAREAS'!AF42/'EDT Y TAREAS'!M42,0),IF(AND(237&gt;='EDT Y TAREAS'!AK45,237&lt;'EDT Y TAREAS'!AL45),'EDT Y TAREAS'!AF45/'EDT Y TAREAS'!M45,0),IF(AND(237&gt;='EDT Y TAREAS'!AK49,237&lt;'EDT Y TAREAS'!AL49),'EDT Y TAREAS'!AF49/'EDT Y TAREAS'!M49,0),IF(AND(237&gt;='EDT Y TAREAS'!AK52,237&lt;'EDT Y TAREAS'!AL52),'EDT Y TAREAS'!AF52/'EDT Y TAREAS'!M52,0))</x:f>
        <x:v>0</x:v>
      </x:c>
      <x:c r="E277" s="35" t="n">
        <x:f>SUM(IF(AND(237&gt;='EDT Y TAREAS'!AK29,237&lt;'EDT Y TAREAS'!AL29),'EDT Y TAREAS'!AG29/'EDT Y TAREAS'!M29,0),IF(AND(237&gt;='EDT Y TAREAS'!AK30,237&lt;'EDT Y TAREAS'!AL30),'EDT Y TAREAS'!AG30/'EDT Y TAREAS'!M30,0),IF(AND(237&gt;='EDT Y TAREAS'!AK31,237&lt;'EDT Y TAREAS'!AL31),'EDT Y TAREAS'!AG31/'EDT Y TAREAS'!M31,0),IF(AND(237&gt;='EDT Y TAREAS'!AK32,237&lt;'EDT Y TAREAS'!AL32),'EDT Y TAREAS'!AG32/'EDT Y TAREAS'!M32,0),IF(AND(237&gt;='EDT Y TAREAS'!AK41,237&lt;'EDT Y TAREAS'!AL41),'EDT Y TAREAS'!AG41/'EDT Y TAREAS'!M41,0),IF(AND(237&gt;='EDT Y TAREAS'!AK45,237&lt;'EDT Y TAREAS'!AL45),'EDT Y TAREAS'!AG45/'EDT Y TAREAS'!M45,0),IF(AND(237&gt;='EDT Y TAREAS'!AK48,237&lt;'EDT Y TAREAS'!AL48),'EDT Y TAREAS'!AG48/'EDT Y TAREAS'!M48,0))</x:f>
        <x:v>0</x:v>
      </x:c>
      <x:c r="F277" s="35" t="n">
        <x:f>SUM(IF(AND(237&gt;='EDT Y TAREAS'!AK10,237&lt;'EDT Y TAREAS'!AL10),'EDT Y TAREAS'!AH10/'EDT Y TAREAS'!M10,0),IF(AND(237&gt;='EDT Y TAREAS'!AK12,237&lt;'EDT Y TAREAS'!AL12),'EDT Y TAREAS'!AH12/'EDT Y TAREAS'!M12,0),IF(AND(237&gt;='EDT Y TAREAS'!AK22,237&lt;'EDT Y TAREAS'!AL22),'EDT Y TAREAS'!AH22/'EDT Y TAREAS'!M22,0),IF(AND(237&gt;='EDT Y TAREAS'!AK23,237&lt;'EDT Y TAREAS'!AL23),'EDT Y TAREAS'!AH23/'EDT Y TAREAS'!M23,0),IF(AND(237&gt;='EDT Y TAREAS'!AK29,237&lt;'EDT Y TAREAS'!AL29),'EDT Y TAREAS'!AH29/'EDT Y TAREAS'!M29,0),IF(AND(237&gt;='EDT Y TAREAS'!AK30,237&lt;'EDT Y TAREAS'!AL30),'EDT Y TAREAS'!AH30/'EDT Y TAREAS'!M30,0),IF(AND(237&gt;='EDT Y TAREAS'!AK32,237&lt;'EDT Y TAREAS'!AL32),'EDT Y TAREAS'!AH32/'EDT Y TAREAS'!M32,0),IF(AND(237&gt;='EDT Y TAREAS'!AK41,237&lt;'EDT Y TAREAS'!AL41),'EDT Y TAREAS'!AH41/'EDT Y TAREAS'!M41,0),IF(AND(237&gt;='EDT Y TAREAS'!AK44,237&lt;'EDT Y TAREAS'!AL44),'EDT Y TAREAS'!AH44/'EDT Y TAREAS'!M44,0),IF(AND(237&gt;='EDT Y TAREAS'!AK46,237&lt;'EDT Y TAREAS'!AL46),'EDT Y TAREAS'!AH46/'EDT Y TAREAS'!M46,0),IF(AND(237&gt;='EDT Y TAREAS'!AK48,237&lt;'EDT Y TAREAS'!AL48),'EDT Y TAREAS'!AH48/'EDT Y TAREAS'!M48,0))</x:f>
        <x:v>0</x:v>
      </x:c>
      <x:c r="G277" s="35" t="n">
        <x:f>SUM(IF(AND(237&gt;='EDT Y TAREAS'!AK20,237&lt;'EDT Y TAREAS'!AL20),'EDT Y TAREAS'!AI20/'EDT Y TAREAS'!M20,0),IF(AND(237&gt;='EDT Y TAREAS'!AK25,237&lt;'EDT Y TAREAS'!AL25),'EDT Y TAREAS'!AI25/'EDT Y TAREAS'!M25,0),IF(AND(237&gt;='EDT Y TAREAS'!AK33,237&lt;'EDT Y TAREAS'!AL33),'EDT Y TAREAS'!AI33/'EDT Y TAREAS'!M33,0),IF(AND(237&gt;='EDT Y TAREAS'!AK34,237&lt;'EDT Y TAREAS'!AL34),'EDT Y TAREAS'!AI34/'EDT Y TAREAS'!M34,0),IF(AND(237&gt;='EDT Y TAREAS'!AK36,237&lt;'EDT Y TAREAS'!AL36),'EDT Y TAREAS'!AI36/'EDT Y TAREAS'!M36,0),IF(AND(237&gt;='EDT Y TAREAS'!AK39,237&lt;'EDT Y TAREAS'!AL39),'EDT Y TAREAS'!AI39/'EDT Y TAREAS'!M39,0),IF(AND(237&gt;='EDT Y TAREAS'!AK40,237&lt;'EDT Y TAREAS'!AL40),'EDT Y TAREAS'!AI40/'EDT Y TAREAS'!M40,0),IF(AND(237&gt;='EDT Y TAREAS'!AK42,237&lt;'EDT Y TAREAS'!AL42),'EDT Y TAREAS'!AI42/'EDT Y TAREAS'!M42,0),IF(AND(237&gt;='EDT Y TAREAS'!AK43,237&lt;'EDT Y TAREAS'!AL43),'EDT Y TAREAS'!AI43/'EDT Y TAREAS'!M43,0),IF(AND(237&gt;='EDT Y TAREAS'!AK44,237&lt;'EDT Y TAREAS'!AL44),'EDT Y TAREAS'!AI44/'EDT Y TAREAS'!M44,0),IF(AND(237&gt;='EDT Y TAREAS'!AK45,237&lt;'EDT Y TAREAS'!AL45),'EDT Y TAREAS'!AI45/'EDT Y TAREAS'!M45,0),IF(AND(237&gt;='EDT Y TAREAS'!AK46,237&lt;'EDT Y TAREAS'!AL46),'EDT Y TAREAS'!AI46/'EDT Y TAREAS'!M46,0),IF(AND(237&gt;='EDT Y TAREAS'!AK48,237&lt;'EDT Y TAREAS'!AL48),'EDT Y TAREAS'!AI48/'EDT Y TAREAS'!M48,0),IF(AND(237&gt;='EDT Y TAREAS'!AK50,237&lt;'EDT Y TAREAS'!AL50),'EDT Y TAREAS'!AI50/'EDT Y TAREAS'!M50,0),IF(AND(237&gt;='EDT Y TAREAS'!AK52,237&lt;'EDT Y TAREAS'!AL52),'EDT Y TAREAS'!AI52/'EDT Y TAREAS'!M52,0))</x:f>
        <x:v>0</x:v>
      </x:c>
      <x:c r="H277" s="35" t="n">
        <x:f>SUM(IF(AND(237&gt;='EDT Y TAREAS'!AK11,237&lt;'EDT Y TAREAS'!AL11),'EDT Y TAREAS'!AJ11/'EDT Y TAREAS'!M11,0),IF(AND(237&gt;='EDT Y TAREAS'!AK24,237&lt;'EDT Y TAREAS'!AL24),'EDT Y TAREAS'!AJ24/'EDT Y TAREAS'!M24,0),IF(AND(237&gt;='EDT Y TAREAS'!AK27,237&lt;'EDT Y TAREAS'!AL27),'EDT Y TAREAS'!AJ27/'EDT Y TAREAS'!M27,0),IF(AND(237&gt;='EDT Y TAREAS'!AK28,237&lt;'EDT Y TAREAS'!AL28),'EDT Y TAREAS'!AJ28/'EDT Y TAREAS'!M28,0),IF(AND(237&gt;='EDT Y TAREAS'!AK33,237&lt;'EDT Y TAREAS'!AL33),'EDT Y TAREAS'!AJ33/'EDT Y TAREAS'!M33,0),IF(AND(237&gt;='EDT Y TAREAS'!AK35,237&lt;'EDT Y TAREAS'!AL35),'EDT Y TAREAS'!AJ35/'EDT Y TAREAS'!M35,0),IF(AND(237&gt;='EDT Y TAREAS'!AK36,237&lt;'EDT Y TAREAS'!AL36),'EDT Y TAREAS'!AJ36/'EDT Y TAREAS'!M36,0),IF(AND(237&gt;='EDT Y TAREAS'!AK37,237&lt;'EDT Y TAREAS'!AL37),'EDT Y TAREAS'!AJ37/'EDT Y TAREAS'!M37,0),IF(AND(237&gt;='EDT Y TAREAS'!AK40,237&lt;'EDT Y TAREAS'!AL40),'EDT Y TAREAS'!AJ40/'EDT Y TAREAS'!M40,0),IF(AND(237&gt;='EDT Y TAREAS'!AK42,237&lt;'EDT Y TAREAS'!AL42),'EDT Y TAREAS'!AJ42/'EDT Y TAREAS'!M42,0),IF(AND(237&gt;='EDT Y TAREAS'!AK49,237&lt;'EDT Y TAREAS'!AL49),'EDT Y TAREAS'!AJ49/'EDT Y TAREAS'!M49,0),IF(AND(237&gt;='EDT Y TAREAS'!AK50,237&lt;'EDT Y TAREAS'!AL50),'EDT Y TAREAS'!AJ50/'EDT Y TAREAS'!M50,0),IF(AND(237&gt;='EDT Y TAREAS'!AK51,237&lt;'EDT Y TAREAS'!AL51),'EDT Y TAREAS'!AJ51/'EDT Y TAREAS'!M51,0),IF(AND(237&gt;='EDT Y TAREAS'!AK52,237&lt;'EDT Y TAREAS'!AL52),'EDT Y TAREAS'!AJ52/'EDT Y TAREAS'!M52,0))</x:f>
        <x:v>0</x:v>
      </x:c>
      <x:c r="I277" s="10" t="n">
        <x:f>WORKDAY('RESUMEN'!$D$3-1,A277,'RESUMEN'!$J$6:$J$25)</x:f>
        <x:v>46659</x:v>
      </x:c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  <x:c r="AA277" s="3"/>
      <x:c r="AB277" s="3"/>
      <x:c r="AC277" s="3"/>
      <x:c r="AD277" s="3"/>
      <x:c r="AE277" s="3"/>
      <x:c r="AF277" s="3"/>
      <x:c r="AG277" s="3"/>
      <x:c r="AH277" s="3"/>
      <x:c r="AI277" s="3"/>
      <x:c r="AJ277" s="3"/>
      <x:c r="AK277" s="3"/>
      <x:c r="AL277" s="3"/>
      <x:c r="AM277" s="3"/>
      <x:c r="AN277" s="3"/>
      <x:c r="AO277" s="3"/>
    </x:row>
    <x:row r="278" ht="24" customHeight="1">
      <x:c r="A278" s="3" t="n">
        <x:v>239</x:v>
      </x:c>
      <x:c r="B278" s="35" t="n">
        <x:f>SUM(IF(AND(238&gt;='EDT Y TAREAS'!AK6,238&lt;'EDT Y TAREAS'!AL6),'EDT Y TAREAS'!AD6/'EDT Y TAREAS'!M6,0),IF(AND(238&gt;='EDT Y TAREAS'!AK7,238&lt;'EDT Y TAREAS'!AL7),'EDT Y TAREAS'!AD7/'EDT Y TAREAS'!M7,0),IF(AND(238&gt;='EDT Y TAREAS'!AK8,238&lt;'EDT Y TAREAS'!AL8),'EDT Y TAREAS'!AD8/'EDT Y TAREAS'!M8,0),IF(AND(238&gt;='EDT Y TAREAS'!AK9,238&lt;'EDT Y TAREAS'!AL9),'EDT Y TAREAS'!AD9/'EDT Y TAREAS'!M9,0),IF(AND(238&gt;='EDT Y TAREAS'!AK10,238&lt;'EDT Y TAREAS'!AL10),'EDT Y TAREAS'!AD10/'EDT Y TAREAS'!M10,0),IF(AND(238&gt;='EDT Y TAREAS'!AK11,238&lt;'EDT Y TAREAS'!AL11),'EDT Y TAREAS'!AD11/'EDT Y TAREAS'!M11,0),IF(AND(238&gt;='EDT Y TAREAS'!AK12,238&lt;'EDT Y TAREAS'!AL12),'EDT Y TAREAS'!AD12/'EDT Y TAREAS'!M12,0),IF(AND(238&gt;='EDT Y TAREAS'!AK13,238&lt;'EDT Y TAREAS'!AL13),'EDT Y TAREAS'!AD13/'EDT Y TAREAS'!M13,0),IF(AND(238&gt;='EDT Y TAREAS'!AK14,238&lt;'EDT Y TAREAS'!AL14),'EDT Y TAREAS'!AD14/'EDT Y TAREAS'!M14,0),IF(AND(238&gt;='EDT Y TAREAS'!AK15,238&lt;'EDT Y TAREAS'!AL15),'EDT Y TAREAS'!AD15/'EDT Y TAREAS'!M15,0),IF(AND(238&gt;='EDT Y TAREAS'!AK16,238&lt;'EDT Y TAREAS'!AL16),'EDT Y TAREAS'!AD16/'EDT Y TAREAS'!M16,0),IF(AND(238&gt;='EDT Y TAREAS'!AK17,238&lt;'EDT Y TAREAS'!AL17),'EDT Y TAREAS'!AD17/'EDT Y TAREAS'!M17,0),IF(AND(238&gt;='EDT Y TAREAS'!AK18,238&lt;'EDT Y TAREAS'!AL18),'EDT Y TAREAS'!AD18/'EDT Y TAREAS'!M18,0),IF(AND(238&gt;='EDT Y TAREAS'!AK19,238&lt;'EDT Y TAREAS'!AL19),'EDT Y TAREAS'!AD19/'EDT Y TAREAS'!M19,0),IF(AND(238&gt;='EDT Y TAREAS'!AK20,238&lt;'EDT Y TAREAS'!AL20),'EDT Y TAREAS'!AD20/'EDT Y TAREAS'!M20,0),IF(AND(238&gt;='EDT Y TAREAS'!AK21,238&lt;'EDT Y TAREAS'!AL21),'EDT Y TAREAS'!AD21/'EDT Y TAREAS'!M21,0),IF(AND(238&gt;='EDT Y TAREAS'!AK22,238&lt;'EDT Y TAREAS'!AL22),'EDT Y TAREAS'!AD22/'EDT Y TAREAS'!M22,0),IF(AND(238&gt;='EDT Y TAREAS'!AK23,238&lt;'EDT Y TAREAS'!AL23),'EDT Y TAREAS'!AD23/'EDT Y TAREAS'!M23,0),IF(AND(238&gt;='EDT Y TAREAS'!AK26,238&lt;'EDT Y TAREAS'!AL26),'EDT Y TAREAS'!AD26/'EDT Y TAREAS'!M26,0),IF(AND(238&gt;='EDT Y TAREAS'!AK28,238&lt;'EDT Y TAREAS'!AL28),'EDT Y TAREAS'!AD28/'EDT Y TAREAS'!M28,0),IF(AND(238&gt;='EDT Y TAREAS'!AK30,238&lt;'EDT Y TAREAS'!AL30),'EDT Y TAREAS'!AD30/'EDT Y TAREAS'!M30,0),IF(AND(238&gt;='EDT Y TAREAS'!AK32,238&lt;'EDT Y TAREAS'!AL32),'EDT Y TAREAS'!AD32/'EDT Y TAREAS'!M32,0),IF(AND(238&gt;='EDT Y TAREAS'!AK34,238&lt;'EDT Y TAREAS'!AL34),'EDT Y TAREAS'!AD34/'EDT Y TAREAS'!M34,0),IF(AND(238&gt;='EDT Y TAREAS'!AK38,238&lt;'EDT Y TAREAS'!AL38),'EDT Y TAREAS'!AD38/'EDT Y TAREAS'!M38,0),IF(AND(238&gt;='EDT Y TAREAS'!AK39,238&lt;'EDT Y TAREAS'!AL39),'EDT Y TAREAS'!AD39/'EDT Y TAREAS'!M39,0),IF(AND(238&gt;='EDT Y TAREAS'!AK43,238&lt;'EDT Y TAREAS'!AL43),'EDT Y TAREAS'!AD43/'EDT Y TAREAS'!M43,0),IF(AND(238&gt;='EDT Y TAREAS'!AK44,238&lt;'EDT Y TAREAS'!AL44),'EDT Y TAREAS'!AD44/'EDT Y TAREAS'!M44,0),IF(AND(238&gt;='EDT Y TAREAS'!AK45,238&lt;'EDT Y TAREAS'!AL45),'EDT Y TAREAS'!AD45/'EDT Y TAREAS'!M45,0),IF(AND(238&gt;='EDT Y TAREAS'!AK46,238&lt;'EDT Y TAREAS'!AL46),'EDT Y TAREAS'!AD46/'EDT Y TAREAS'!M46,0),IF(AND(238&gt;='EDT Y TAREAS'!AK47,238&lt;'EDT Y TAREAS'!AL47),'EDT Y TAREAS'!AD47/'EDT Y TAREAS'!M47,0),IF(AND(238&gt;='EDT Y TAREAS'!AK49,238&lt;'EDT Y TAREAS'!AL49),'EDT Y TAREAS'!AD49/'EDT Y TAREAS'!M49,0),IF(AND(238&gt;='EDT Y TAREAS'!AK50,238&lt;'EDT Y TAREAS'!AL50),'EDT Y TAREAS'!AD50/'EDT Y TAREAS'!M50,0),IF(AND(238&gt;='EDT Y TAREAS'!AK51,238&lt;'EDT Y TAREAS'!AL51),'EDT Y TAREAS'!AD51/'EDT Y TAREAS'!M51,0),IF(AND(238&gt;='EDT Y TAREAS'!AK52,238&lt;'EDT Y TAREAS'!AL52),'EDT Y TAREAS'!AD52/'EDT Y TAREAS'!M52,0))</x:f>
        <x:v>0</x:v>
      </x:c>
      <x:c r="C278" s="35" t="n">
        <x:f>SUM(IF(AND(238&gt;='EDT Y TAREAS'!AK6,238&lt;'EDT Y TAREAS'!AL6),'EDT Y TAREAS'!AE6/'EDT Y TAREAS'!M6,0),IF(AND(238&gt;='EDT Y TAREAS'!AK8,238&lt;'EDT Y TAREAS'!AL8),'EDT Y TAREAS'!AE8/'EDT Y TAREAS'!M8,0),IF(AND(238&gt;='EDT Y TAREAS'!AK9,238&lt;'EDT Y TAREAS'!AL9),'EDT Y TAREAS'!AE9/'EDT Y TAREAS'!M9,0),IF(AND(238&gt;='EDT Y TAREAS'!AK10,238&lt;'EDT Y TAREAS'!AL10),'EDT Y TAREAS'!AE10/'EDT Y TAREAS'!M10,0),IF(AND(238&gt;='EDT Y TAREAS'!AK12,238&lt;'EDT Y TAREAS'!AL12),'EDT Y TAREAS'!AE12/'EDT Y TAREAS'!M12,0),IF(AND(238&gt;='EDT Y TAREAS'!AK16,238&lt;'EDT Y TAREAS'!AL16),'EDT Y TAREAS'!AE16/'EDT Y TAREAS'!M16,0),IF(AND(238&gt;='EDT Y TAREAS'!AK21,238&lt;'EDT Y TAREAS'!AL21),'EDT Y TAREAS'!AE21/'EDT Y TAREAS'!M21,0),IF(AND(238&gt;='EDT Y TAREAS'!AK23,238&lt;'EDT Y TAREAS'!AL23),'EDT Y TAREAS'!AE23/'EDT Y TAREAS'!M23,0),IF(AND(238&gt;='EDT Y TAREAS'!AK37,238&lt;'EDT Y TAREAS'!AL37),'EDT Y TAREAS'!AE37/'EDT Y TAREAS'!M37,0),IF(AND(238&gt;='EDT Y TAREAS'!AK38,238&lt;'EDT Y TAREAS'!AL38),'EDT Y TAREAS'!AE38/'EDT Y TAREAS'!M38,0),IF(AND(238&gt;='EDT Y TAREAS'!AK41,238&lt;'EDT Y TAREAS'!AL41),'EDT Y TAREAS'!AE41/'EDT Y TAREAS'!M41,0),IF(AND(238&gt;='EDT Y TAREAS'!AK43,238&lt;'EDT Y TAREAS'!AL43),'EDT Y TAREAS'!AE43/'EDT Y TAREAS'!M43,0),IF(AND(238&gt;='EDT Y TAREAS'!AK44,238&lt;'EDT Y TAREAS'!AL44),'EDT Y TAREAS'!AE44/'EDT Y TAREAS'!M44,0),IF(AND(238&gt;='EDT Y TAREAS'!AK46,238&lt;'EDT Y TAREAS'!AL46),'EDT Y TAREAS'!AE46/'EDT Y TAREAS'!M46,0),IF(AND(238&gt;='EDT Y TAREAS'!AK47,238&lt;'EDT Y TAREAS'!AL47),'EDT Y TAREAS'!AE47/'EDT Y TAREAS'!M47,0),IF(AND(238&gt;='EDT Y TAREAS'!AK51,238&lt;'EDT Y TAREAS'!AL51),'EDT Y TAREAS'!AE51/'EDT Y TAREAS'!M51,0),IF(AND(238&gt;='EDT Y TAREAS'!AK52,238&lt;'EDT Y TAREAS'!AL52),'EDT Y TAREAS'!AE52/'EDT Y TAREAS'!M52,0))</x:f>
        <x:v>0</x:v>
      </x:c>
      <x:c r="D278" s="35" t="n">
        <x:f>SUM(IF(AND(238&gt;='EDT Y TAREAS'!AK11,238&lt;'EDT Y TAREAS'!AL11),'EDT Y TAREAS'!AF11/'EDT Y TAREAS'!M11,0),IF(AND(238&gt;='EDT Y TAREAS'!AK24,238&lt;'EDT Y TAREAS'!AL24),'EDT Y TAREAS'!AF24/'EDT Y TAREAS'!M24,0),IF(AND(238&gt;='EDT Y TAREAS'!AK25,238&lt;'EDT Y TAREAS'!AL25),'EDT Y TAREAS'!AF25/'EDT Y TAREAS'!M25,0),IF(AND(238&gt;='EDT Y TAREAS'!AK26,238&lt;'EDT Y TAREAS'!AL26),'EDT Y TAREAS'!AF26/'EDT Y TAREAS'!M26,0),IF(AND(238&gt;='EDT Y TAREAS'!AK27,238&lt;'EDT Y TAREAS'!AL27),'EDT Y TAREAS'!AF27/'EDT Y TAREAS'!M27,0),IF(AND(238&gt;='EDT Y TAREAS'!AK28,238&lt;'EDT Y TAREAS'!AL28),'EDT Y TAREAS'!AF28/'EDT Y TAREAS'!M28,0),IF(AND(238&gt;='EDT Y TAREAS'!AK31,238&lt;'EDT Y TAREAS'!AL31),'EDT Y TAREAS'!AF31/'EDT Y TAREAS'!M31,0),IF(AND(238&gt;='EDT Y TAREAS'!AK33,238&lt;'EDT Y TAREAS'!AL33),'EDT Y TAREAS'!AF33/'EDT Y TAREAS'!M33,0),IF(AND(238&gt;='EDT Y TAREAS'!AK34,238&lt;'EDT Y TAREAS'!AL34),'EDT Y TAREAS'!AF34/'EDT Y TAREAS'!M34,0),IF(AND(238&gt;='EDT Y TAREAS'!AK35,238&lt;'EDT Y TAREAS'!AL35),'EDT Y TAREAS'!AF35/'EDT Y TAREAS'!M35,0),IF(AND(238&gt;='EDT Y TAREAS'!AK37,238&lt;'EDT Y TAREAS'!AL37),'EDT Y TAREAS'!AF37/'EDT Y TAREAS'!M37,0),IF(AND(238&gt;='EDT Y TAREAS'!AK39,238&lt;'EDT Y TAREAS'!AL39),'EDT Y TAREAS'!AF39/'EDT Y TAREAS'!M39,0),IF(AND(238&gt;='EDT Y TAREAS'!AK40,238&lt;'EDT Y TAREAS'!AL40),'EDT Y TAREAS'!AF40/'EDT Y TAREAS'!M40,0),IF(AND(238&gt;='EDT Y TAREAS'!AK42,238&lt;'EDT Y TAREAS'!AL42),'EDT Y TAREAS'!AF42/'EDT Y TAREAS'!M42,0),IF(AND(238&gt;='EDT Y TAREAS'!AK45,238&lt;'EDT Y TAREAS'!AL45),'EDT Y TAREAS'!AF45/'EDT Y TAREAS'!M45,0),IF(AND(238&gt;='EDT Y TAREAS'!AK49,238&lt;'EDT Y TAREAS'!AL49),'EDT Y TAREAS'!AF49/'EDT Y TAREAS'!M49,0),IF(AND(238&gt;='EDT Y TAREAS'!AK52,238&lt;'EDT Y TAREAS'!AL52),'EDT Y TAREAS'!AF52/'EDT Y TAREAS'!M52,0))</x:f>
        <x:v>0</x:v>
      </x:c>
      <x:c r="E278" s="35" t="n">
        <x:f>SUM(IF(AND(238&gt;='EDT Y TAREAS'!AK29,238&lt;'EDT Y TAREAS'!AL29),'EDT Y TAREAS'!AG29/'EDT Y TAREAS'!M29,0),IF(AND(238&gt;='EDT Y TAREAS'!AK30,238&lt;'EDT Y TAREAS'!AL30),'EDT Y TAREAS'!AG30/'EDT Y TAREAS'!M30,0),IF(AND(238&gt;='EDT Y TAREAS'!AK31,238&lt;'EDT Y TAREAS'!AL31),'EDT Y TAREAS'!AG31/'EDT Y TAREAS'!M31,0),IF(AND(238&gt;='EDT Y TAREAS'!AK32,238&lt;'EDT Y TAREAS'!AL32),'EDT Y TAREAS'!AG32/'EDT Y TAREAS'!M32,0),IF(AND(238&gt;='EDT Y TAREAS'!AK41,238&lt;'EDT Y TAREAS'!AL41),'EDT Y TAREAS'!AG41/'EDT Y TAREAS'!M41,0),IF(AND(238&gt;='EDT Y TAREAS'!AK45,238&lt;'EDT Y TAREAS'!AL45),'EDT Y TAREAS'!AG45/'EDT Y TAREAS'!M45,0),IF(AND(238&gt;='EDT Y TAREAS'!AK48,238&lt;'EDT Y TAREAS'!AL48),'EDT Y TAREAS'!AG48/'EDT Y TAREAS'!M48,0))</x:f>
        <x:v>0</x:v>
      </x:c>
      <x:c r="F278" s="35" t="n">
        <x:f>SUM(IF(AND(238&gt;='EDT Y TAREAS'!AK10,238&lt;'EDT Y TAREAS'!AL10),'EDT Y TAREAS'!AH10/'EDT Y TAREAS'!M10,0),IF(AND(238&gt;='EDT Y TAREAS'!AK12,238&lt;'EDT Y TAREAS'!AL12),'EDT Y TAREAS'!AH12/'EDT Y TAREAS'!M12,0),IF(AND(238&gt;='EDT Y TAREAS'!AK22,238&lt;'EDT Y TAREAS'!AL22),'EDT Y TAREAS'!AH22/'EDT Y TAREAS'!M22,0),IF(AND(238&gt;='EDT Y TAREAS'!AK23,238&lt;'EDT Y TAREAS'!AL23),'EDT Y TAREAS'!AH23/'EDT Y TAREAS'!M23,0),IF(AND(238&gt;='EDT Y TAREAS'!AK29,238&lt;'EDT Y TAREAS'!AL29),'EDT Y TAREAS'!AH29/'EDT Y TAREAS'!M29,0),IF(AND(238&gt;='EDT Y TAREAS'!AK30,238&lt;'EDT Y TAREAS'!AL30),'EDT Y TAREAS'!AH30/'EDT Y TAREAS'!M30,0),IF(AND(238&gt;='EDT Y TAREAS'!AK32,238&lt;'EDT Y TAREAS'!AL32),'EDT Y TAREAS'!AH32/'EDT Y TAREAS'!M32,0),IF(AND(238&gt;='EDT Y TAREAS'!AK41,238&lt;'EDT Y TAREAS'!AL41),'EDT Y TAREAS'!AH41/'EDT Y TAREAS'!M41,0),IF(AND(238&gt;='EDT Y TAREAS'!AK44,238&lt;'EDT Y TAREAS'!AL44),'EDT Y TAREAS'!AH44/'EDT Y TAREAS'!M44,0),IF(AND(238&gt;='EDT Y TAREAS'!AK46,238&lt;'EDT Y TAREAS'!AL46),'EDT Y TAREAS'!AH46/'EDT Y TAREAS'!M46,0),IF(AND(238&gt;='EDT Y TAREAS'!AK48,238&lt;'EDT Y TAREAS'!AL48),'EDT Y TAREAS'!AH48/'EDT Y TAREAS'!M48,0))</x:f>
        <x:v>0</x:v>
      </x:c>
      <x:c r="G278" s="35" t="n">
        <x:f>SUM(IF(AND(238&gt;='EDT Y TAREAS'!AK20,238&lt;'EDT Y TAREAS'!AL20),'EDT Y TAREAS'!AI20/'EDT Y TAREAS'!M20,0),IF(AND(238&gt;='EDT Y TAREAS'!AK25,238&lt;'EDT Y TAREAS'!AL25),'EDT Y TAREAS'!AI25/'EDT Y TAREAS'!M25,0),IF(AND(238&gt;='EDT Y TAREAS'!AK33,238&lt;'EDT Y TAREAS'!AL33),'EDT Y TAREAS'!AI33/'EDT Y TAREAS'!M33,0),IF(AND(238&gt;='EDT Y TAREAS'!AK34,238&lt;'EDT Y TAREAS'!AL34),'EDT Y TAREAS'!AI34/'EDT Y TAREAS'!M34,0),IF(AND(238&gt;='EDT Y TAREAS'!AK36,238&lt;'EDT Y TAREAS'!AL36),'EDT Y TAREAS'!AI36/'EDT Y TAREAS'!M36,0),IF(AND(238&gt;='EDT Y TAREAS'!AK39,238&lt;'EDT Y TAREAS'!AL39),'EDT Y TAREAS'!AI39/'EDT Y TAREAS'!M39,0),IF(AND(238&gt;='EDT Y TAREAS'!AK40,238&lt;'EDT Y TAREAS'!AL40),'EDT Y TAREAS'!AI40/'EDT Y TAREAS'!M40,0),IF(AND(238&gt;='EDT Y TAREAS'!AK42,238&lt;'EDT Y TAREAS'!AL42),'EDT Y TAREAS'!AI42/'EDT Y TAREAS'!M42,0),IF(AND(238&gt;='EDT Y TAREAS'!AK43,238&lt;'EDT Y TAREAS'!AL43),'EDT Y TAREAS'!AI43/'EDT Y TAREAS'!M43,0),IF(AND(238&gt;='EDT Y TAREAS'!AK44,238&lt;'EDT Y TAREAS'!AL44),'EDT Y TAREAS'!AI44/'EDT Y TAREAS'!M44,0),IF(AND(238&gt;='EDT Y TAREAS'!AK45,238&lt;'EDT Y TAREAS'!AL45),'EDT Y TAREAS'!AI45/'EDT Y TAREAS'!M45,0),IF(AND(238&gt;='EDT Y TAREAS'!AK46,238&lt;'EDT Y TAREAS'!AL46),'EDT Y TAREAS'!AI46/'EDT Y TAREAS'!M46,0),IF(AND(238&gt;='EDT Y TAREAS'!AK48,238&lt;'EDT Y TAREAS'!AL48),'EDT Y TAREAS'!AI48/'EDT Y TAREAS'!M48,0),IF(AND(238&gt;='EDT Y TAREAS'!AK50,238&lt;'EDT Y TAREAS'!AL50),'EDT Y TAREAS'!AI50/'EDT Y TAREAS'!M50,0),IF(AND(238&gt;='EDT Y TAREAS'!AK52,238&lt;'EDT Y TAREAS'!AL52),'EDT Y TAREAS'!AI52/'EDT Y TAREAS'!M52,0))</x:f>
        <x:v>0</x:v>
      </x:c>
      <x:c r="H278" s="35" t="n">
        <x:f>SUM(IF(AND(238&gt;='EDT Y TAREAS'!AK11,238&lt;'EDT Y TAREAS'!AL11),'EDT Y TAREAS'!AJ11/'EDT Y TAREAS'!M11,0),IF(AND(238&gt;='EDT Y TAREAS'!AK24,238&lt;'EDT Y TAREAS'!AL24),'EDT Y TAREAS'!AJ24/'EDT Y TAREAS'!M24,0),IF(AND(238&gt;='EDT Y TAREAS'!AK27,238&lt;'EDT Y TAREAS'!AL27),'EDT Y TAREAS'!AJ27/'EDT Y TAREAS'!M27,0),IF(AND(238&gt;='EDT Y TAREAS'!AK28,238&lt;'EDT Y TAREAS'!AL28),'EDT Y TAREAS'!AJ28/'EDT Y TAREAS'!M28,0),IF(AND(238&gt;='EDT Y TAREAS'!AK33,238&lt;'EDT Y TAREAS'!AL33),'EDT Y TAREAS'!AJ33/'EDT Y TAREAS'!M33,0),IF(AND(238&gt;='EDT Y TAREAS'!AK35,238&lt;'EDT Y TAREAS'!AL35),'EDT Y TAREAS'!AJ35/'EDT Y TAREAS'!M35,0),IF(AND(238&gt;='EDT Y TAREAS'!AK36,238&lt;'EDT Y TAREAS'!AL36),'EDT Y TAREAS'!AJ36/'EDT Y TAREAS'!M36,0),IF(AND(238&gt;='EDT Y TAREAS'!AK37,238&lt;'EDT Y TAREAS'!AL37),'EDT Y TAREAS'!AJ37/'EDT Y TAREAS'!M37,0),IF(AND(238&gt;='EDT Y TAREAS'!AK40,238&lt;'EDT Y TAREAS'!AL40),'EDT Y TAREAS'!AJ40/'EDT Y TAREAS'!M40,0),IF(AND(238&gt;='EDT Y TAREAS'!AK42,238&lt;'EDT Y TAREAS'!AL42),'EDT Y TAREAS'!AJ42/'EDT Y TAREAS'!M42,0),IF(AND(238&gt;='EDT Y TAREAS'!AK49,238&lt;'EDT Y TAREAS'!AL49),'EDT Y TAREAS'!AJ49/'EDT Y TAREAS'!M49,0),IF(AND(238&gt;='EDT Y TAREAS'!AK50,238&lt;'EDT Y TAREAS'!AL50),'EDT Y TAREAS'!AJ50/'EDT Y TAREAS'!M50,0),IF(AND(238&gt;='EDT Y TAREAS'!AK51,238&lt;'EDT Y TAREAS'!AL51),'EDT Y TAREAS'!AJ51/'EDT Y TAREAS'!M51,0),IF(AND(238&gt;='EDT Y TAREAS'!AK52,238&lt;'EDT Y TAREAS'!AL52),'EDT Y TAREAS'!AJ52/'EDT Y TAREAS'!M52,0))</x:f>
        <x:v>0</x:v>
      </x:c>
      <x:c r="I278" s="10" t="n">
        <x:f>WORKDAY('RESUMEN'!$D$3-1,A278,'RESUMEN'!$J$6:$J$25)</x:f>
        <x:v>46660</x:v>
      </x:c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  <x:c r="AA278" s="3"/>
      <x:c r="AB278" s="3"/>
      <x:c r="AC278" s="3"/>
      <x:c r="AD278" s="3"/>
      <x:c r="AE278" s="3"/>
      <x:c r="AF278" s="3"/>
      <x:c r="AG278" s="3"/>
      <x:c r="AH278" s="3"/>
      <x:c r="AI278" s="3"/>
      <x:c r="AJ278" s="3"/>
      <x:c r="AK278" s="3"/>
      <x:c r="AL278" s="3"/>
      <x:c r="AM278" s="3"/>
      <x:c r="AN278" s="3"/>
      <x:c r="AO278" s="3"/>
    </x:row>
    <x:row r="279" ht="24" customHeight="1">
      <x:c r="A279" s="3" t="n">
        <x:v>240</x:v>
      </x:c>
      <x:c r="B279" s="35" t="n">
        <x:f>SUM(IF(AND(239&gt;='EDT Y TAREAS'!AK6,239&lt;'EDT Y TAREAS'!AL6),'EDT Y TAREAS'!AD6/'EDT Y TAREAS'!M6,0),IF(AND(239&gt;='EDT Y TAREAS'!AK7,239&lt;'EDT Y TAREAS'!AL7),'EDT Y TAREAS'!AD7/'EDT Y TAREAS'!M7,0),IF(AND(239&gt;='EDT Y TAREAS'!AK8,239&lt;'EDT Y TAREAS'!AL8),'EDT Y TAREAS'!AD8/'EDT Y TAREAS'!M8,0),IF(AND(239&gt;='EDT Y TAREAS'!AK9,239&lt;'EDT Y TAREAS'!AL9),'EDT Y TAREAS'!AD9/'EDT Y TAREAS'!M9,0),IF(AND(239&gt;='EDT Y TAREAS'!AK10,239&lt;'EDT Y TAREAS'!AL10),'EDT Y TAREAS'!AD10/'EDT Y TAREAS'!M10,0),IF(AND(239&gt;='EDT Y TAREAS'!AK11,239&lt;'EDT Y TAREAS'!AL11),'EDT Y TAREAS'!AD11/'EDT Y TAREAS'!M11,0),IF(AND(239&gt;='EDT Y TAREAS'!AK12,239&lt;'EDT Y TAREAS'!AL12),'EDT Y TAREAS'!AD12/'EDT Y TAREAS'!M12,0),IF(AND(239&gt;='EDT Y TAREAS'!AK13,239&lt;'EDT Y TAREAS'!AL13),'EDT Y TAREAS'!AD13/'EDT Y TAREAS'!M13,0),IF(AND(239&gt;='EDT Y TAREAS'!AK14,239&lt;'EDT Y TAREAS'!AL14),'EDT Y TAREAS'!AD14/'EDT Y TAREAS'!M14,0),IF(AND(239&gt;='EDT Y TAREAS'!AK15,239&lt;'EDT Y TAREAS'!AL15),'EDT Y TAREAS'!AD15/'EDT Y TAREAS'!M15,0),IF(AND(239&gt;='EDT Y TAREAS'!AK16,239&lt;'EDT Y TAREAS'!AL16),'EDT Y TAREAS'!AD16/'EDT Y TAREAS'!M16,0),IF(AND(239&gt;='EDT Y TAREAS'!AK17,239&lt;'EDT Y TAREAS'!AL17),'EDT Y TAREAS'!AD17/'EDT Y TAREAS'!M17,0),IF(AND(239&gt;='EDT Y TAREAS'!AK18,239&lt;'EDT Y TAREAS'!AL18),'EDT Y TAREAS'!AD18/'EDT Y TAREAS'!M18,0),IF(AND(239&gt;='EDT Y TAREAS'!AK19,239&lt;'EDT Y TAREAS'!AL19),'EDT Y TAREAS'!AD19/'EDT Y TAREAS'!M19,0),IF(AND(239&gt;='EDT Y TAREAS'!AK20,239&lt;'EDT Y TAREAS'!AL20),'EDT Y TAREAS'!AD20/'EDT Y TAREAS'!M20,0),IF(AND(239&gt;='EDT Y TAREAS'!AK21,239&lt;'EDT Y TAREAS'!AL21),'EDT Y TAREAS'!AD21/'EDT Y TAREAS'!M21,0),IF(AND(239&gt;='EDT Y TAREAS'!AK22,239&lt;'EDT Y TAREAS'!AL22),'EDT Y TAREAS'!AD22/'EDT Y TAREAS'!M22,0),IF(AND(239&gt;='EDT Y TAREAS'!AK23,239&lt;'EDT Y TAREAS'!AL23),'EDT Y TAREAS'!AD23/'EDT Y TAREAS'!M23,0),IF(AND(239&gt;='EDT Y TAREAS'!AK26,239&lt;'EDT Y TAREAS'!AL26),'EDT Y TAREAS'!AD26/'EDT Y TAREAS'!M26,0),IF(AND(239&gt;='EDT Y TAREAS'!AK28,239&lt;'EDT Y TAREAS'!AL28),'EDT Y TAREAS'!AD28/'EDT Y TAREAS'!M28,0),IF(AND(239&gt;='EDT Y TAREAS'!AK30,239&lt;'EDT Y TAREAS'!AL30),'EDT Y TAREAS'!AD30/'EDT Y TAREAS'!M30,0),IF(AND(239&gt;='EDT Y TAREAS'!AK32,239&lt;'EDT Y TAREAS'!AL32),'EDT Y TAREAS'!AD32/'EDT Y TAREAS'!M32,0),IF(AND(239&gt;='EDT Y TAREAS'!AK34,239&lt;'EDT Y TAREAS'!AL34),'EDT Y TAREAS'!AD34/'EDT Y TAREAS'!M34,0),IF(AND(239&gt;='EDT Y TAREAS'!AK38,239&lt;'EDT Y TAREAS'!AL38),'EDT Y TAREAS'!AD38/'EDT Y TAREAS'!M38,0),IF(AND(239&gt;='EDT Y TAREAS'!AK39,239&lt;'EDT Y TAREAS'!AL39),'EDT Y TAREAS'!AD39/'EDT Y TAREAS'!M39,0),IF(AND(239&gt;='EDT Y TAREAS'!AK43,239&lt;'EDT Y TAREAS'!AL43),'EDT Y TAREAS'!AD43/'EDT Y TAREAS'!M43,0),IF(AND(239&gt;='EDT Y TAREAS'!AK44,239&lt;'EDT Y TAREAS'!AL44),'EDT Y TAREAS'!AD44/'EDT Y TAREAS'!M44,0),IF(AND(239&gt;='EDT Y TAREAS'!AK45,239&lt;'EDT Y TAREAS'!AL45),'EDT Y TAREAS'!AD45/'EDT Y TAREAS'!M45,0),IF(AND(239&gt;='EDT Y TAREAS'!AK46,239&lt;'EDT Y TAREAS'!AL46),'EDT Y TAREAS'!AD46/'EDT Y TAREAS'!M46,0),IF(AND(239&gt;='EDT Y TAREAS'!AK47,239&lt;'EDT Y TAREAS'!AL47),'EDT Y TAREAS'!AD47/'EDT Y TAREAS'!M47,0),IF(AND(239&gt;='EDT Y TAREAS'!AK49,239&lt;'EDT Y TAREAS'!AL49),'EDT Y TAREAS'!AD49/'EDT Y TAREAS'!M49,0),IF(AND(239&gt;='EDT Y TAREAS'!AK50,239&lt;'EDT Y TAREAS'!AL50),'EDT Y TAREAS'!AD50/'EDT Y TAREAS'!M50,0),IF(AND(239&gt;='EDT Y TAREAS'!AK51,239&lt;'EDT Y TAREAS'!AL51),'EDT Y TAREAS'!AD51/'EDT Y TAREAS'!M51,0),IF(AND(239&gt;='EDT Y TAREAS'!AK52,239&lt;'EDT Y TAREAS'!AL52),'EDT Y TAREAS'!AD52/'EDT Y TAREAS'!M52,0))</x:f>
        <x:v>0</x:v>
      </x:c>
      <x:c r="C279" s="35" t="n">
        <x:f>SUM(IF(AND(239&gt;='EDT Y TAREAS'!AK6,239&lt;'EDT Y TAREAS'!AL6),'EDT Y TAREAS'!AE6/'EDT Y TAREAS'!M6,0),IF(AND(239&gt;='EDT Y TAREAS'!AK8,239&lt;'EDT Y TAREAS'!AL8),'EDT Y TAREAS'!AE8/'EDT Y TAREAS'!M8,0),IF(AND(239&gt;='EDT Y TAREAS'!AK9,239&lt;'EDT Y TAREAS'!AL9),'EDT Y TAREAS'!AE9/'EDT Y TAREAS'!M9,0),IF(AND(239&gt;='EDT Y TAREAS'!AK10,239&lt;'EDT Y TAREAS'!AL10),'EDT Y TAREAS'!AE10/'EDT Y TAREAS'!M10,0),IF(AND(239&gt;='EDT Y TAREAS'!AK12,239&lt;'EDT Y TAREAS'!AL12),'EDT Y TAREAS'!AE12/'EDT Y TAREAS'!M12,0),IF(AND(239&gt;='EDT Y TAREAS'!AK16,239&lt;'EDT Y TAREAS'!AL16),'EDT Y TAREAS'!AE16/'EDT Y TAREAS'!M16,0),IF(AND(239&gt;='EDT Y TAREAS'!AK21,239&lt;'EDT Y TAREAS'!AL21),'EDT Y TAREAS'!AE21/'EDT Y TAREAS'!M21,0),IF(AND(239&gt;='EDT Y TAREAS'!AK23,239&lt;'EDT Y TAREAS'!AL23),'EDT Y TAREAS'!AE23/'EDT Y TAREAS'!M23,0),IF(AND(239&gt;='EDT Y TAREAS'!AK37,239&lt;'EDT Y TAREAS'!AL37),'EDT Y TAREAS'!AE37/'EDT Y TAREAS'!M37,0),IF(AND(239&gt;='EDT Y TAREAS'!AK38,239&lt;'EDT Y TAREAS'!AL38),'EDT Y TAREAS'!AE38/'EDT Y TAREAS'!M38,0),IF(AND(239&gt;='EDT Y TAREAS'!AK41,239&lt;'EDT Y TAREAS'!AL41),'EDT Y TAREAS'!AE41/'EDT Y TAREAS'!M41,0),IF(AND(239&gt;='EDT Y TAREAS'!AK43,239&lt;'EDT Y TAREAS'!AL43),'EDT Y TAREAS'!AE43/'EDT Y TAREAS'!M43,0),IF(AND(239&gt;='EDT Y TAREAS'!AK44,239&lt;'EDT Y TAREAS'!AL44),'EDT Y TAREAS'!AE44/'EDT Y TAREAS'!M44,0),IF(AND(239&gt;='EDT Y TAREAS'!AK46,239&lt;'EDT Y TAREAS'!AL46),'EDT Y TAREAS'!AE46/'EDT Y TAREAS'!M46,0),IF(AND(239&gt;='EDT Y TAREAS'!AK47,239&lt;'EDT Y TAREAS'!AL47),'EDT Y TAREAS'!AE47/'EDT Y TAREAS'!M47,0),IF(AND(239&gt;='EDT Y TAREAS'!AK51,239&lt;'EDT Y TAREAS'!AL51),'EDT Y TAREAS'!AE51/'EDT Y TAREAS'!M51,0),IF(AND(239&gt;='EDT Y TAREAS'!AK52,239&lt;'EDT Y TAREAS'!AL52),'EDT Y TAREAS'!AE52/'EDT Y TAREAS'!M52,0))</x:f>
        <x:v>0</x:v>
      </x:c>
      <x:c r="D279" s="35" t="n">
        <x:f>SUM(IF(AND(239&gt;='EDT Y TAREAS'!AK11,239&lt;'EDT Y TAREAS'!AL11),'EDT Y TAREAS'!AF11/'EDT Y TAREAS'!M11,0),IF(AND(239&gt;='EDT Y TAREAS'!AK24,239&lt;'EDT Y TAREAS'!AL24),'EDT Y TAREAS'!AF24/'EDT Y TAREAS'!M24,0),IF(AND(239&gt;='EDT Y TAREAS'!AK25,239&lt;'EDT Y TAREAS'!AL25),'EDT Y TAREAS'!AF25/'EDT Y TAREAS'!M25,0),IF(AND(239&gt;='EDT Y TAREAS'!AK26,239&lt;'EDT Y TAREAS'!AL26),'EDT Y TAREAS'!AF26/'EDT Y TAREAS'!M26,0),IF(AND(239&gt;='EDT Y TAREAS'!AK27,239&lt;'EDT Y TAREAS'!AL27),'EDT Y TAREAS'!AF27/'EDT Y TAREAS'!M27,0),IF(AND(239&gt;='EDT Y TAREAS'!AK28,239&lt;'EDT Y TAREAS'!AL28),'EDT Y TAREAS'!AF28/'EDT Y TAREAS'!M28,0),IF(AND(239&gt;='EDT Y TAREAS'!AK31,239&lt;'EDT Y TAREAS'!AL31),'EDT Y TAREAS'!AF31/'EDT Y TAREAS'!M31,0),IF(AND(239&gt;='EDT Y TAREAS'!AK33,239&lt;'EDT Y TAREAS'!AL33),'EDT Y TAREAS'!AF33/'EDT Y TAREAS'!M33,0),IF(AND(239&gt;='EDT Y TAREAS'!AK34,239&lt;'EDT Y TAREAS'!AL34),'EDT Y TAREAS'!AF34/'EDT Y TAREAS'!M34,0),IF(AND(239&gt;='EDT Y TAREAS'!AK35,239&lt;'EDT Y TAREAS'!AL35),'EDT Y TAREAS'!AF35/'EDT Y TAREAS'!M35,0),IF(AND(239&gt;='EDT Y TAREAS'!AK37,239&lt;'EDT Y TAREAS'!AL37),'EDT Y TAREAS'!AF37/'EDT Y TAREAS'!M37,0),IF(AND(239&gt;='EDT Y TAREAS'!AK39,239&lt;'EDT Y TAREAS'!AL39),'EDT Y TAREAS'!AF39/'EDT Y TAREAS'!M39,0),IF(AND(239&gt;='EDT Y TAREAS'!AK40,239&lt;'EDT Y TAREAS'!AL40),'EDT Y TAREAS'!AF40/'EDT Y TAREAS'!M40,0),IF(AND(239&gt;='EDT Y TAREAS'!AK42,239&lt;'EDT Y TAREAS'!AL42),'EDT Y TAREAS'!AF42/'EDT Y TAREAS'!M42,0),IF(AND(239&gt;='EDT Y TAREAS'!AK45,239&lt;'EDT Y TAREAS'!AL45),'EDT Y TAREAS'!AF45/'EDT Y TAREAS'!M45,0),IF(AND(239&gt;='EDT Y TAREAS'!AK49,239&lt;'EDT Y TAREAS'!AL49),'EDT Y TAREAS'!AF49/'EDT Y TAREAS'!M49,0),IF(AND(239&gt;='EDT Y TAREAS'!AK52,239&lt;'EDT Y TAREAS'!AL52),'EDT Y TAREAS'!AF52/'EDT Y TAREAS'!M52,0))</x:f>
        <x:v>0</x:v>
      </x:c>
      <x:c r="E279" s="35" t="n">
        <x:f>SUM(IF(AND(239&gt;='EDT Y TAREAS'!AK29,239&lt;'EDT Y TAREAS'!AL29),'EDT Y TAREAS'!AG29/'EDT Y TAREAS'!M29,0),IF(AND(239&gt;='EDT Y TAREAS'!AK30,239&lt;'EDT Y TAREAS'!AL30),'EDT Y TAREAS'!AG30/'EDT Y TAREAS'!M30,0),IF(AND(239&gt;='EDT Y TAREAS'!AK31,239&lt;'EDT Y TAREAS'!AL31),'EDT Y TAREAS'!AG31/'EDT Y TAREAS'!M31,0),IF(AND(239&gt;='EDT Y TAREAS'!AK32,239&lt;'EDT Y TAREAS'!AL32),'EDT Y TAREAS'!AG32/'EDT Y TAREAS'!M32,0),IF(AND(239&gt;='EDT Y TAREAS'!AK41,239&lt;'EDT Y TAREAS'!AL41),'EDT Y TAREAS'!AG41/'EDT Y TAREAS'!M41,0),IF(AND(239&gt;='EDT Y TAREAS'!AK45,239&lt;'EDT Y TAREAS'!AL45),'EDT Y TAREAS'!AG45/'EDT Y TAREAS'!M45,0),IF(AND(239&gt;='EDT Y TAREAS'!AK48,239&lt;'EDT Y TAREAS'!AL48),'EDT Y TAREAS'!AG48/'EDT Y TAREAS'!M48,0))</x:f>
        <x:v>0</x:v>
      </x:c>
      <x:c r="F279" s="35" t="n">
        <x:f>SUM(IF(AND(239&gt;='EDT Y TAREAS'!AK10,239&lt;'EDT Y TAREAS'!AL10),'EDT Y TAREAS'!AH10/'EDT Y TAREAS'!M10,0),IF(AND(239&gt;='EDT Y TAREAS'!AK12,239&lt;'EDT Y TAREAS'!AL12),'EDT Y TAREAS'!AH12/'EDT Y TAREAS'!M12,0),IF(AND(239&gt;='EDT Y TAREAS'!AK22,239&lt;'EDT Y TAREAS'!AL22),'EDT Y TAREAS'!AH22/'EDT Y TAREAS'!M22,0),IF(AND(239&gt;='EDT Y TAREAS'!AK23,239&lt;'EDT Y TAREAS'!AL23),'EDT Y TAREAS'!AH23/'EDT Y TAREAS'!M23,0),IF(AND(239&gt;='EDT Y TAREAS'!AK29,239&lt;'EDT Y TAREAS'!AL29),'EDT Y TAREAS'!AH29/'EDT Y TAREAS'!M29,0),IF(AND(239&gt;='EDT Y TAREAS'!AK30,239&lt;'EDT Y TAREAS'!AL30),'EDT Y TAREAS'!AH30/'EDT Y TAREAS'!M30,0),IF(AND(239&gt;='EDT Y TAREAS'!AK32,239&lt;'EDT Y TAREAS'!AL32),'EDT Y TAREAS'!AH32/'EDT Y TAREAS'!M32,0),IF(AND(239&gt;='EDT Y TAREAS'!AK41,239&lt;'EDT Y TAREAS'!AL41),'EDT Y TAREAS'!AH41/'EDT Y TAREAS'!M41,0),IF(AND(239&gt;='EDT Y TAREAS'!AK44,239&lt;'EDT Y TAREAS'!AL44),'EDT Y TAREAS'!AH44/'EDT Y TAREAS'!M44,0),IF(AND(239&gt;='EDT Y TAREAS'!AK46,239&lt;'EDT Y TAREAS'!AL46),'EDT Y TAREAS'!AH46/'EDT Y TAREAS'!M46,0),IF(AND(239&gt;='EDT Y TAREAS'!AK48,239&lt;'EDT Y TAREAS'!AL48),'EDT Y TAREAS'!AH48/'EDT Y TAREAS'!M48,0))</x:f>
        <x:v>0</x:v>
      </x:c>
      <x:c r="G279" s="35" t="n">
        <x:f>SUM(IF(AND(239&gt;='EDT Y TAREAS'!AK20,239&lt;'EDT Y TAREAS'!AL20),'EDT Y TAREAS'!AI20/'EDT Y TAREAS'!M20,0),IF(AND(239&gt;='EDT Y TAREAS'!AK25,239&lt;'EDT Y TAREAS'!AL25),'EDT Y TAREAS'!AI25/'EDT Y TAREAS'!M25,0),IF(AND(239&gt;='EDT Y TAREAS'!AK33,239&lt;'EDT Y TAREAS'!AL33),'EDT Y TAREAS'!AI33/'EDT Y TAREAS'!M33,0),IF(AND(239&gt;='EDT Y TAREAS'!AK34,239&lt;'EDT Y TAREAS'!AL34),'EDT Y TAREAS'!AI34/'EDT Y TAREAS'!M34,0),IF(AND(239&gt;='EDT Y TAREAS'!AK36,239&lt;'EDT Y TAREAS'!AL36),'EDT Y TAREAS'!AI36/'EDT Y TAREAS'!M36,0),IF(AND(239&gt;='EDT Y TAREAS'!AK39,239&lt;'EDT Y TAREAS'!AL39),'EDT Y TAREAS'!AI39/'EDT Y TAREAS'!M39,0),IF(AND(239&gt;='EDT Y TAREAS'!AK40,239&lt;'EDT Y TAREAS'!AL40),'EDT Y TAREAS'!AI40/'EDT Y TAREAS'!M40,0),IF(AND(239&gt;='EDT Y TAREAS'!AK42,239&lt;'EDT Y TAREAS'!AL42),'EDT Y TAREAS'!AI42/'EDT Y TAREAS'!M42,0),IF(AND(239&gt;='EDT Y TAREAS'!AK43,239&lt;'EDT Y TAREAS'!AL43),'EDT Y TAREAS'!AI43/'EDT Y TAREAS'!M43,0),IF(AND(239&gt;='EDT Y TAREAS'!AK44,239&lt;'EDT Y TAREAS'!AL44),'EDT Y TAREAS'!AI44/'EDT Y TAREAS'!M44,0),IF(AND(239&gt;='EDT Y TAREAS'!AK45,239&lt;'EDT Y TAREAS'!AL45),'EDT Y TAREAS'!AI45/'EDT Y TAREAS'!M45,0),IF(AND(239&gt;='EDT Y TAREAS'!AK46,239&lt;'EDT Y TAREAS'!AL46),'EDT Y TAREAS'!AI46/'EDT Y TAREAS'!M46,0),IF(AND(239&gt;='EDT Y TAREAS'!AK48,239&lt;'EDT Y TAREAS'!AL48),'EDT Y TAREAS'!AI48/'EDT Y TAREAS'!M48,0),IF(AND(239&gt;='EDT Y TAREAS'!AK50,239&lt;'EDT Y TAREAS'!AL50),'EDT Y TAREAS'!AI50/'EDT Y TAREAS'!M50,0),IF(AND(239&gt;='EDT Y TAREAS'!AK52,239&lt;'EDT Y TAREAS'!AL52),'EDT Y TAREAS'!AI52/'EDT Y TAREAS'!M52,0))</x:f>
        <x:v>0</x:v>
      </x:c>
      <x:c r="H279" s="35" t="n">
        <x:f>SUM(IF(AND(239&gt;='EDT Y TAREAS'!AK11,239&lt;'EDT Y TAREAS'!AL11),'EDT Y TAREAS'!AJ11/'EDT Y TAREAS'!M11,0),IF(AND(239&gt;='EDT Y TAREAS'!AK24,239&lt;'EDT Y TAREAS'!AL24),'EDT Y TAREAS'!AJ24/'EDT Y TAREAS'!M24,0),IF(AND(239&gt;='EDT Y TAREAS'!AK27,239&lt;'EDT Y TAREAS'!AL27),'EDT Y TAREAS'!AJ27/'EDT Y TAREAS'!M27,0),IF(AND(239&gt;='EDT Y TAREAS'!AK28,239&lt;'EDT Y TAREAS'!AL28),'EDT Y TAREAS'!AJ28/'EDT Y TAREAS'!M28,0),IF(AND(239&gt;='EDT Y TAREAS'!AK33,239&lt;'EDT Y TAREAS'!AL33),'EDT Y TAREAS'!AJ33/'EDT Y TAREAS'!M33,0),IF(AND(239&gt;='EDT Y TAREAS'!AK35,239&lt;'EDT Y TAREAS'!AL35),'EDT Y TAREAS'!AJ35/'EDT Y TAREAS'!M35,0),IF(AND(239&gt;='EDT Y TAREAS'!AK36,239&lt;'EDT Y TAREAS'!AL36),'EDT Y TAREAS'!AJ36/'EDT Y TAREAS'!M36,0),IF(AND(239&gt;='EDT Y TAREAS'!AK37,239&lt;'EDT Y TAREAS'!AL37),'EDT Y TAREAS'!AJ37/'EDT Y TAREAS'!M37,0),IF(AND(239&gt;='EDT Y TAREAS'!AK40,239&lt;'EDT Y TAREAS'!AL40),'EDT Y TAREAS'!AJ40/'EDT Y TAREAS'!M40,0),IF(AND(239&gt;='EDT Y TAREAS'!AK42,239&lt;'EDT Y TAREAS'!AL42),'EDT Y TAREAS'!AJ42/'EDT Y TAREAS'!M42,0),IF(AND(239&gt;='EDT Y TAREAS'!AK49,239&lt;'EDT Y TAREAS'!AL49),'EDT Y TAREAS'!AJ49/'EDT Y TAREAS'!M49,0),IF(AND(239&gt;='EDT Y TAREAS'!AK50,239&lt;'EDT Y TAREAS'!AL50),'EDT Y TAREAS'!AJ50/'EDT Y TAREAS'!M50,0),IF(AND(239&gt;='EDT Y TAREAS'!AK51,239&lt;'EDT Y TAREAS'!AL51),'EDT Y TAREAS'!AJ51/'EDT Y TAREAS'!M51,0),IF(AND(239&gt;='EDT Y TAREAS'!AK52,239&lt;'EDT Y TAREAS'!AL52),'EDT Y TAREAS'!AJ52/'EDT Y TAREAS'!M52,0))</x:f>
        <x:v>0</x:v>
      </x:c>
      <x:c r="I279" s="10" t="n">
        <x:f>WORKDAY('RESUMEN'!$D$3-1,A279,'RESUMEN'!$J$6:$J$25)</x:f>
        <x:v>46661</x:v>
      </x:c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  <x:c r="AA279" s="3"/>
      <x:c r="AB279" s="3"/>
      <x:c r="AC279" s="3"/>
      <x:c r="AD279" s="3"/>
      <x:c r="AE279" s="3"/>
      <x:c r="AF279" s="3"/>
      <x:c r="AG279" s="3"/>
      <x:c r="AH279" s="3"/>
      <x:c r="AI279" s="3"/>
      <x:c r="AJ279" s="3"/>
      <x:c r="AK279" s="3"/>
      <x:c r="AL279" s="3"/>
      <x:c r="AM279" s="3"/>
      <x:c r="AN279" s="3"/>
      <x:c r="AO279" s="3"/>
    </x:row>
    <x:row r="280" ht="24" customHeight="1">
      <x:c r="A280" s="3" t="n">
        <x:v>241</x:v>
      </x:c>
      <x:c r="B280" s="35" t="n">
        <x:f>SUM(IF(AND(240&gt;='EDT Y TAREAS'!AK6,240&lt;'EDT Y TAREAS'!AL6),'EDT Y TAREAS'!AD6/'EDT Y TAREAS'!M6,0),IF(AND(240&gt;='EDT Y TAREAS'!AK7,240&lt;'EDT Y TAREAS'!AL7),'EDT Y TAREAS'!AD7/'EDT Y TAREAS'!M7,0),IF(AND(240&gt;='EDT Y TAREAS'!AK8,240&lt;'EDT Y TAREAS'!AL8),'EDT Y TAREAS'!AD8/'EDT Y TAREAS'!M8,0),IF(AND(240&gt;='EDT Y TAREAS'!AK9,240&lt;'EDT Y TAREAS'!AL9),'EDT Y TAREAS'!AD9/'EDT Y TAREAS'!M9,0),IF(AND(240&gt;='EDT Y TAREAS'!AK10,240&lt;'EDT Y TAREAS'!AL10),'EDT Y TAREAS'!AD10/'EDT Y TAREAS'!M10,0),IF(AND(240&gt;='EDT Y TAREAS'!AK11,240&lt;'EDT Y TAREAS'!AL11),'EDT Y TAREAS'!AD11/'EDT Y TAREAS'!M11,0),IF(AND(240&gt;='EDT Y TAREAS'!AK12,240&lt;'EDT Y TAREAS'!AL12),'EDT Y TAREAS'!AD12/'EDT Y TAREAS'!M12,0),IF(AND(240&gt;='EDT Y TAREAS'!AK13,240&lt;'EDT Y TAREAS'!AL13),'EDT Y TAREAS'!AD13/'EDT Y TAREAS'!M13,0),IF(AND(240&gt;='EDT Y TAREAS'!AK14,240&lt;'EDT Y TAREAS'!AL14),'EDT Y TAREAS'!AD14/'EDT Y TAREAS'!M14,0),IF(AND(240&gt;='EDT Y TAREAS'!AK15,240&lt;'EDT Y TAREAS'!AL15),'EDT Y TAREAS'!AD15/'EDT Y TAREAS'!M15,0),IF(AND(240&gt;='EDT Y TAREAS'!AK16,240&lt;'EDT Y TAREAS'!AL16),'EDT Y TAREAS'!AD16/'EDT Y TAREAS'!M16,0),IF(AND(240&gt;='EDT Y TAREAS'!AK17,240&lt;'EDT Y TAREAS'!AL17),'EDT Y TAREAS'!AD17/'EDT Y TAREAS'!M17,0),IF(AND(240&gt;='EDT Y TAREAS'!AK18,240&lt;'EDT Y TAREAS'!AL18),'EDT Y TAREAS'!AD18/'EDT Y TAREAS'!M18,0),IF(AND(240&gt;='EDT Y TAREAS'!AK19,240&lt;'EDT Y TAREAS'!AL19),'EDT Y TAREAS'!AD19/'EDT Y TAREAS'!M19,0),IF(AND(240&gt;='EDT Y TAREAS'!AK20,240&lt;'EDT Y TAREAS'!AL20),'EDT Y TAREAS'!AD20/'EDT Y TAREAS'!M20,0),IF(AND(240&gt;='EDT Y TAREAS'!AK21,240&lt;'EDT Y TAREAS'!AL21),'EDT Y TAREAS'!AD21/'EDT Y TAREAS'!M21,0),IF(AND(240&gt;='EDT Y TAREAS'!AK22,240&lt;'EDT Y TAREAS'!AL22),'EDT Y TAREAS'!AD22/'EDT Y TAREAS'!M22,0),IF(AND(240&gt;='EDT Y TAREAS'!AK23,240&lt;'EDT Y TAREAS'!AL23),'EDT Y TAREAS'!AD23/'EDT Y TAREAS'!M23,0),IF(AND(240&gt;='EDT Y TAREAS'!AK26,240&lt;'EDT Y TAREAS'!AL26),'EDT Y TAREAS'!AD26/'EDT Y TAREAS'!M26,0),IF(AND(240&gt;='EDT Y TAREAS'!AK28,240&lt;'EDT Y TAREAS'!AL28),'EDT Y TAREAS'!AD28/'EDT Y TAREAS'!M28,0),IF(AND(240&gt;='EDT Y TAREAS'!AK30,240&lt;'EDT Y TAREAS'!AL30),'EDT Y TAREAS'!AD30/'EDT Y TAREAS'!M30,0),IF(AND(240&gt;='EDT Y TAREAS'!AK32,240&lt;'EDT Y TAREAS'!AL32),'EDT Y TAREAS'!AD32/'EDT Y TAREAS'!M32,0),IF(AND(240&gt;='EDT Y TAREAS'!AK34,240&lt;'EDT Y TAREAS'!AL34),'EDT Y TAREAS'!AD34/'EDT Y TAREAS'!M34,0),IF(AND(240&gt;='EDT Y TAREAS'!AK38,240&lt;'EDT Y TAREAS'!AL38),'EDT Y TAREAS'!AD38/'EDT Y TAREAS'!M38,0),IF(AND(240&gt;='EDT Y TAREAS'!AK39,240&lt;'EDT Y TAREAS'!AL39),'EDT Y TAREAS'!AD39/'EDT Y TAREAS'!M39,0),IF(AND(240&gt;='EDT Y TAREAS'!AK43,240&lt;'EDT Y TAREAS'!AL43),'EDT Y TAREAS'!AD43/'EDT Y TAREAS'!M43,0),IF(AND(240&gt;='EDT Y TAREAS'!AK44,240&lt;'EDT Y TAREAS'!AL44),'EDT Y TAREAS'!AD44/'EDT Y TAREAS'!M44,0),IF(AND(240&gt;='EDT Y TAREAS'!AK45,240&lt;'EDT Y TAREAS'!AL45),'EDT Y TAREAS'!AD45/'EDT Y TAREAS'!M45,0),IF(AND(240&gt;='EDT Y TAREAS'!AK46,240&lt;'EDT Y TAREAS'!AL46),'EDT Y TAREAS'!AD46/'EDT Y TAREAS'!M46,0),IF(AND(240&gt;='EDT Y TAREAS'!AK47,240&lt;'EDT Y TAREAS'!AL47),'EDT Y TAREAS'!AD47/'EDT Y TAREAS'!M47,0),IF(AND(240&gt;='EDT Y TAREAS'!AK49,240&lt;'EDT Y TAREAS'!AL49),'EDT Y TAREAS'!AD49/'EDT Y TAREAS'!M49,0),IF(AND(240&gt;='EDT Y TAREAS'!AK50,240&lt;'EDT Y TAREAS'!AL50),'EDT Y TAREAS'!AD50/'EDT Y TAREAS'!M50,0),IF(AND(240&gt;='EDT Y TAREAS'!AK51,240&lt;'EDT Y TAREAS'!AL51),'EDT Y TAREAS'!AD51/'EDT Y TAREAS'!M51,0),IF(AND(240&gt;='EDT Y TAREAS'!AK52,240&lt;'EDT Y TAREAS'!AL52),'EDT Y TAREAS'!AD52/'EDT Y TAREAS'!M52,0))</x:f>
        <x:v>0</x:v>
      </x:c>
      <x:c r="C280" s="35" t="n">
        <x:f>SUM(IF(AND(240&gt;='EDT Y TAREAS'!AK6,240&lt;'EDT Y TAREAS'!AL6),'EDT Y TAREAS'!AE6/'EDT Y TAREAS'!M6,0),IF(AND(240&gt;='EDT Y TAREAS'!AK8,240&lt;'EDT Y TAREAS'!AL8),'EDT Y TAREAS'!AE8/'EDT Y TAREAS'!M8,0),IF(AND(240&gt;='EDT Y TAREAS'!AK9,240&lt;'EDT Y TAREAS'!AL9),'EDT Y TAREAS'!AE9/'EDT Y TAREAS'!M9,0),IF(AND(240&gt;='EDT Y TAREAS'!AK10,240&lt;'EDT Y TAREAS'!AL10),'EDT Y TAREAS'!AE10/'EDT Y TAREAS'!M10,0),IF(AND(240&gt;='EDT Y TAREAS'!AK12,240&lt;'EDT Y TAREAS'!AL12),'EDT Y TAREAS'!AE12/'EDT Y TAREAS'!M12,0),IF(AND(240&gt;='EDT Y TAREAS'!AK16,240&lt;'EDT Y TAREAS'!AL16),'EDT Y TAREAS'!AE16/'EDT Y TAREAS'!M16,0),IF(AND(240&gt;='EDT Y TAREAS'!AK21,240&lt;'EDT Y TAREAS'!AL21),'EDT Y TAREAS'!AE21/'EDT Y TAREAS'!M21,0),IF(AND(240&gt;='EDT Y TAREAS'!AK23,240&lt;'EDT Y TAREAS'!AL23),'EDT Y TAREAS'!AE23/'EDT Y TAREAS'!M23,0),IF(AND(240&gt;='EDT Y TAREAS'!AK37,240&lt;'EDT Y TAREAS'!AL37),'EDT Y TAREAS'!AE37/'EDT Y TAREAS'!M37,0),IF(AND(240&gt;='EDT Y TAREAS'!AK38,240&lt;'EDT Y TAREAS'!AL38),'EDT Y TAREAS'!AE38/'EDT Y TAREAS'!M38,0),IF(AND(240&gt;='EDT Y TAREAS'!AK41,240&lt;'EDT Y TAREAS'!AL41),'EDT Y TAREAS'!AE41/'EDT Y TAREAS'!M41,0),IF(AND(240&gt;='EDT Y TAREAS'!AK43,240&lt;'EDT Y TAREAS'!AL43),'EDT Y TAREAS'!AE43/'EDT Y TAREAS'!M43,0),IF(AND(240&gt;='EDT Y TAREAS'!AK44,240&lt;'EDT Y TAREAS'!AL44),'EDT Y TAREAS'!AE44/'EDT Y TAREAS'!M44,0),IF(AND(240&gt;='EDT Y TAREAS'!AK46,240&lt;'EDT Y TAREAS'!AL46),'EDT Y TAREAS'!AE46/'EDT Y TAREAS'!M46,0),IF(AND(240&gt;='EDT Y TAREAS'!AK47,240&lt;'EDT Y TAREAS'!AL47),'EDT Y TAREAS'!AE47/'EDT Y TAREAS'!M47,0),IF(AND(240&gt;='EDT Y TAREAS'!AK51,240&lt;'EDT Y TAREAS'!AL51),'EDT Y TAREAS'!AE51/'EDT Y TAREAS'!M51,0),IF(AND(240&gt;='EDT Y TAREAS'!AK52,240&lt;'EDT Y TAREAS'!AL52),'EDT Y TAREAS'!AE52/'EDT Y TAREAS'!M52,0))</x:f>
        <x:v>0</x:v>
      </x:c>
      <x:c r="D280" s="35" t="n">
        <x:f>SUM(IF(AND(240&gt;='EDT Y TAREAS'!AK11,240&lt;'EDT Y TAREAS'!AL11),'EDT Y TAREAS'!AF11/'EDT Y TAREAS'!M11,0),IF(AND(240&gt;='EDT Y TAREAS'!AK24,240&lt;'EDT Y TAREAS'!AL24),'EDT Y TAREAS'!AF24/'EDT Y TAREAS'!M24,0),IF(AND(240&gt;='EDT Y TAREAS'!AK25,240&lt;'EDT Y TAREAS'!AL25),'EDT Y TAREAS'!AF25/'EDT Y TAREAS'!M25,0),IF(AND(240&gt;='EDT Y TAREAS'!AK26,240&lt;'EDT Y TAREAS'!AL26),'EDT Y TAREAS'!AF26/'EDT Y TAREAS'!M26,0),IF(AND(240&gt;='EDT Y TAREAS'!AK27,240&lt;'EDT Y TAREAS'!AL27),'EDT Y TAREAS'!AF27/'EDT Y TAREAS'!M27,0),IF(AND(240&gt;='EDT Y TAREAS'!AK28,240&lt;'EDT Y TAREAS'!AL28),'EDT Y TAREAS'!AF28/'EDT Y TAREAS'!M28,0),IF(AND(240&gt;='EDT Y TAREAS'!AK31,240&lt;'EDT Y TAREAS'!AL31),'EDT Y TAREAS'!AF31/'EDT Y TAREAS'!M31,0),IF(AND(240&gt;='EDT Y TAREAS'!AK33,240&lt;'EDT Y TAREAS'!AL33),'EDT Y TAREAS'!AF33/'EDT Y TAREAS'!M33,0),IF(AND(240&gt;='EDT Y TAREAS'!AK34,240&lt;'EDT Y TAREAS'!AL34),'EDT Y TAREAS'!AF34/'EDT Y TAREAS'!M34,0),IF(AND(240&gt;='EDT Y TAREAS'!AK35,240&lt;'EDT Y TAREAS'!AL35),'EDT Y TAREAS'!AF35/'EDT Y TAREAS'!M35,0),IF(AND(240&gt;='EDT Y TAREAS'!AK37,240&lt;'EDT Y TAREAS'!AL37),'EDT Y TAREAS'!AF37/'EDT Y TAREAS'!M37,0),IF(AND(240&gt;='EDT Y TAREAS'!AK39,240&lt;'EDT Y TAREAS'!AL39),'EDT Y TAREAS'!AF39/'EDT Y TAREAS'!M39,0),IF(AND(240&gt;='EDT Y TAREAS'!AK40,240&lt;'EDT Y TAREAS'!AL40),'EDT Y TAREAS'!AF40/'EDT Y TAREAS'!M40,0),IF(AND(240&gt;='EDT Y TAREAS'!AK42,240&lt;'EDT Y TAREAS'!AL42),'EDT Y TAREAS'!AF42/'EDT Y TAREAS'!M42,0),IF(AND(240&gt;='EDT Y TAREAS'!AK45,240&lt;'EDT Y TAREAS'!AL45),'EDT Y TAREAS'!AF45/'EDT Y TAREAS'!M45,0),IF(AND(240&gt;='EDT Y TAREAS'!AK49,240&lt;'EDT Y TAREAS'!AL49),'EDT Y TAREAS'!AF49/'EDT Y TAREAS'!M49,0),IF(AND(240&gt;='EDT Y TAREAS'!AK52,240&lt;'EDT Y TAREAS'!AL52),'EDT Y TAREAS'!AF52/'EDT Y TAREAS'!M52,0))</x:f>
        <x:v>0</x:v>
      </x:c>
      <x:c r="E280" s="35" t="n">
        <x:f>SUM(IF(AND(240&gt;='EDT Y TAREAS'!AK29,240&lt;'EDT Y TAREAS'!AL29),'EDT Y TAREAS'!AG29/'EDT Y TAREAS'!M29,0),IF(AND(240&gt;='EDT Y TAREAS'!AK30,240&lt;'EDT Y TAREAS'!AL30),'EDT Y TAREAS'!AG30/'EDT Y TAREAS'!M30,0),IF(AND(240&gt;='EDT Y TAREAS'!AK31,240&lt;'EDT Y TAREAS'!AL31),'EDT Y TAREAS'!AG31/'EDT Y TAREAS'!M31,0),IF(AND(240&gt;='EDT Y TAREAS'!AK32,240&lt;'EDT Y TAREAS'!AL32),'EDT Y TAREAS'!AG32/'EDT Y TAREAS'!M32,0),IF(AND(240&gt;='EDT Y TAREAS'!AK41,240&lt;'EDT Y TAREAS'!AL41),'EDT Y TAREAS'!AG41/'EDT Y TAREAS'!M41,0),IF(AND(240&gt;='EDT Y TAREAS'!AK45,240&lt;'EDT Y TAREAS'!AL45),'EDT Y TAREAS'!AG45/'EDT Y TAREAS'!M45,0),IF(AND(240&gt;='EDT Y TAREAS'!AK48,240&lt;'EDT Y TAREAS'!AL48),'EDT Y TAREAS'!AG48/'EDT Y TAREAS'!M48,0))</x:f>
        <x:v>0</x:v>
      </x:c>
      <x:c r="F280" s="35" t="n">
        <x:f>SUM(IF(AND(240&gt;='EDT Y TAREAS'!AK10,240&lt;'EDT Y TAREAS'!AL10),'EDT Y TAREAS'!AH10/'EDT Y TAREAS'!M10,0),IF(AND(240&gt;='EDT Y TAREAS'!AK12,240&lt;'EDT Y TAREAS'!AL12),'EDT Y TAREAS'!AH12/'EDT Y TAREAS'!M12,0),IF(AND(240&gt;='EDT Y TAREAS'!AK22,240&lt;'EDT Y TAREAS'!AL22),'EDT Y TAREAS'!AH22/'EDT Y TAREAS'!M22,0),IF(AND(240&gt;='EDT Y TAREAS'!AK23,240&lt;'EDT Y TAREAS'!AL23),'EDT Y TAREAS'!AH23/'EDT Y TAREAS'!M23,0),IF(AND(240&gt;='EDT Y TAREAS'!AK29,240&lt;'EDT Y TAREAS'!AL29),'EDT Y TAREAS'!AH29/'EDT Y TAREAS'!M29,0),IF(AND(240&gt;='EDT Y TAREAS'!AK30,240&lt;'EDT Y TAREAS'!AL30),'EDT Y TAREAS'!AH30/'EDT Y TAREAS'!M30,0),IF(AND(240&gt;='EDT Y TAREAS'!AK32,240&lt;'EDT Y TAREAS'!AL32),'EDT Y TAREAS'!AH32/'EDT Y TAREAS'!M32,0),IF(AND(240&gt;='EDT Y TAREAS'!AK41,240&lt;'EDT Y TAREAS'!AL41),'EDT Y TAREAS'!AH41/'EDT Y TAREAS'!M41,0),IF(AND(240&gt;='EDT Y TAREAS'!AK44,240&lt;'EDT Y TAREAS'!AL44),'EDT Y TAREAS'!AH44/'EDT Y TAREAS'!M44,0),IF(AND(240&gt;='EDT Y TAREAS'!AK46,240&lt;'EDT Y TAREAS'!AL46),'EDT Y TAREAS'!AH46/'EDT Y TAREAS'!M46,0),IF(AND(240&gt;='EDT Y TAREAS'!AK48,240&lt;'EDT Y TAREAS'!AL48),'EDT Y TAREAS'!AH48/'EDT Y TAREAS'!M48,0))</x:f>
        <x:v>0</x:v>
      </x:c>
      <x:c r="G280" s="35" t="n">
        <x:f>SUM(IF(AND(240&gt;='EDT Y TAREAS'!AK20,240&lt;'EDT Y TAREAS'!AL20),'EDT Y TAREAS'!AI20/'EDT Y TAREAS'!M20,0),IF(AND(240&gt;='EDT Y TAREAS'!AK25,240&lt;'EDT Y TAREAS'!AL25),'EDT Y TAREAS'!AI25/'EDT Y TAREAS'!M25,0),IF(AND(240&gt;='EDT Y TAREAS'!AK33,240&lt;'EDT Y TAREAS'!AL33),'EDT Y TAREAS'!AI33/'EDT Y TAREAS'!M33,0),IF(AND(240&gt;='EDT Y TAREAS'!AK34,240&lt;'EDT Y TAREAS'!AL34),'EDT Y TAREAS'!AI34/'EDT Y TAREAS'!M34,0),IF(AND(240&gt;='EDT Y TAREAS'!AK36,240&lt;'EDT Y TAREAS'!AL36),'EDT Y TAREAS'!AI36/'EDT Y TAREAS'!M36,0),IF(AND(240&gt;='EDT Y TAREAS'!AK39,240&lt;'EDT Y TAREAS'!AL39),'EDT Y TAREAS'!AI39/'EDT Y TAREAS'!M39,0),IF(AND(240&gt;='EDT Y TAREAS'!AK40,240&lt;'EDT Y TAREAS'!AL40),'EDT Y TAREAS'!AI40/'EDT Y TAREAS'!M40,0),IF(AND(240&gt;='EDT Y TAREAS'!AK42,240&lt;'EDT Y TAREAS'!AL42),'EDT Y TAREAS'!AI42/'EDT Y TAREAS'!M42,0),IF(AND(240&gt;='EDT Y TAREAS'!AK43,240&lt;'EDT Y TAREAS'!AL43),'EDT Y TAREAS'!AI43/'EDT Y TAREAS'!M43,0),IF(AND(240&gt;='EDT Y TAREAS'!AK44,240&lt;'EDT Y TAREAS'!AL44),'EDT Y TAREAS'!AI44/'EDT Y TAREAS'!M44,0),IF(AND(240&gt;='EDT Y TAREAS'!AK45,240&lt;'EDT Y TAREAS'!AL45),'EDT Y TAREAS'!AI45/'EDT Y TAREAS'!M45,0),IF(AND(240&gt;='EDT Y TAREAS'!AK46,240&lt;'EDT Y TAREAS'!AL46),'EDT Y TAREAS'!AI46/'EDT Y TAREAS'!M46,0),IF(AND(240&gt;='EDT Y TAREAS'!AK48,240&lt;'EDT Y TAREAS'!AL48),'EDT Y TAREAS'!AI48/'EDT Y TAREAS'!M48,0),IF(AND(240&gt;='EDT Y TAREAS'!AK50,240&lt;'EDT Y TAREAS'!AL50),'EDT Y TAREAS'!AI50/'EDT Y TAREAS'!M50,0),IF(AND(240&gt;='EDT Y TAREAS'!AK52,240&lt;'EDT Y TAREAS'!AL52),'EDT Y TAREAS'!AI52/'EDT Y TAREAS'!M52,0))</x:f>
        <x:v>0</x:v>
      </x:c>
      <x:c r="H280" s="35" t="n">
        <x:f>SUM(IF(AND(240&gt;='EDT Y TAREAS'!AK11,240&lt;'EDT Y TAREAS'!AL11),'EDT Y TAREAS'!AJ11/'EDT Y TAREAS'!M11,0),IF(AND(240&gt;='EDT Y TAREAS'!AK24,240&lt;'EDT Y TAREAS'!AL24),'EDT Y TAREAS'!AJ24/'EDT Y TAREAS'!M24,0),IF(AND(240&gt;='EDT Y TAREAS'!AK27,240&lt;'EDT Y TAREAS'!AL27),'EDT Y TAREAS'!AJ27/'EDT Y TAREAS'!M27,0),IF(AND(240&gt;='EDT Y TAREAS'!AK28,240&lt;'EDT Y TAREAS'!AL28),'EDT Y TAREAS'!AJ28/'EDT Y TAREAS'!M28,0),IF(AND(240&gt;='EDT Y TAREAS'!AK33,240&lt;'EDT Y TAREAS'!AL33),'EDT Y TAREAS'!AJ33/'EDT Y TAREAS'!M33,0),IF(AND(240&gt;='EDT Y TAREAS'!AK35,240&lt;'EDT Y TAREAS'!AL35),'EDT Y TAREAS'!AJ35/'EDT Y TAREAS'!M35,0),IF(AND(240&gt;='EDT Y TAREAS'!AK36,240&lt;'EDT Y TAREAS'!AL36),'EDT Y TAREAS'!AJ36/'EDT Y TAREAS'!M36,0),IF(AND(240&gt;='EDT Y TAREAS'!AK37,240&lt;'EDT Y TAREAS'!AL37),'EDT Y TAREAS'!AJ37/'EDT Y TAREAS'!M37,0),IF(AND(240&gt;='EDT Y TAREAS'!AK40,240&lt;'EDT Y TAREAS'!AL40),'EDT Y TAREAS'!AJ40/'EDT Y TAREAS'!M40,0),IF(AND(240&gt;='EDT Y TAREAS'!AK42,240&lt;'EDT Y TAREAS'!AL42),'EDT Y TAREAS'!AJ42/'EDT Y TAREAS'!M42,0),IF(AND(240&gt;='EDT Y TAREAS'!AK49,240&lt;'EDT Y TAREAS'!AL49),'EDT Y TAREAS'!AJ49/'EDT Y TAREAS'!M49,0),IF(AND(240&gt;='EDT Y TAREAS'!AK50,240&lt;'EDT Y TAREAS'!AL50),'EDT Y TAREAS'!AJ50/'EDT Y TAREAS'!M50,0),IF(AND(240&gt;='EDT Y TAREAS'!AK51,240&lt;'EDT Y TAREAS'!AL51),'EDT Y TAREAS'!AJ51/'EDT Y TAREAS'!M51,0),IF(AND(240&gt;='EDT Y TAREAS'!AK52,240&lt;'EDT Y TAREAS'!AL52),'EDT Y TAREAS'!AJ52/'EDT Y TAREAS'!M52,0))</x:f>
        <x:v>0</x:v>
      </x:c>
      <x:c r="I280" s="10" t="n">
        <x:f>WORKDAY('RESUMEN'!$D$3-1,A280,'RESUMEN'!$J$6:$J$25)</x:f>
        <x:v>46664</x:v>
      </x:c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  <x:c r="AA280" s="3"/>
      <x:c r="AB280" s="3"/>
      <x:c r="AC280" s="3"/>
      <x:c r="AD280" s="3"/>
      <x:c r="AE280" s="3"/>
      <x:c r="AF280" s="3"/>
      <x:c r="AG280" s="3"/>
      <x:c r="AH280" s="3"/>
      <x:c r="AI280" s="3"/>
      <x:c r="AJ280" s="3"/>
      <x:c r="AK280" s="3"/>
      <x:c r="AL280" s="3"/>
      <x:c r="AM280" s="3"/>
      <x:c r="AN280" s="3"/>
      <x:c r="AO280" s="3"/>
    </x:row>
    <x:row r="281" ht="24" customHeight="1">
      <x:c r="A281" s="3" t="n">
        <x:v>242</x:v>
      </x:c>
      <x:c r="B281" s="35" t="n">
        <x:f>SUM(IF(AND(241&gt;='EDT Y TAREAS'!AK6,241&lt;'EDT Y TAREAS'!AL6),'EDT Y TAREAS'!AD6/'EDT Y TAREAS'!M6,0),IF(AND(241&gt;='EDT Y TAREAS'!AK7,241&lt;'EDT Y TAREAS'!AL7),'EDT Y TAREAS'!AD7/'EDT Y TAREAS'!M7,0),IF(AND(241&gt;='EDT Y TAREAS'!AK8,241&lt;'EDT Y TAREAS'!AL8),'EDT Y TAREAS'!AD8/'EDT Y TAREAS'!M8,0),IF(AND(241&gt;='EDT Y TAREAS'!AK9,241&lt;'EDT Y TAREAS'!AL9),'EDT Y TAREAS'!AD9/'EDT Y TAREAS'!M9,0),IF(AND(241&gt;='EDT Y TAREAS'!AK10,241&lt;'EDT Y TAREAS'!AL10),'EDT Y TAREAS'!AD10/'EDT Y TAREAS'!M10,0),IF(AND(241&gt;='EDT Y TAREAS'!AK11,241&lt;'EDT Y TAREAS'!AL11),'EDT Y TAREAS'!AD11/'EDT Y TAREAS'!M11,0),IF(AND(241&gt;='EDT Y TAREAS'!AK12,241&lt;'EDT Y TAREAS'!AL12),'EDT Y TAREAS'!AD12/'EDT Y TAREAS'!M12,0),IF(AND(241&gt;='EDT Y TAREAS'!AK13,241&lt;'EDT Y TAREAS'!AL13),'EDT Y TAREAS'!AD13/'EDT Y TAREAS'!M13,0),IF(AND(241&gt;='EDT Y TAREAS'!AK14,241&lt;'EDT Y TAREAS'!AL14),'EDT Y TAREAS'!AD14/'EDT Y TAREAS'!M14,0),IF(AND(241&gt;='EDT Y TAREAS'!AK15,241&lt;'EDT Y TAREAS'!AL15),'EDT Y TAREAS'!AD15/'EDT Y TAREAS'!M15,0),IF(AND(241&gt;='EDT Y TAREAS'!AK16,241&lt;'EDT Y TAREAS'!AL16),'EDT Y TAREAS'!AD16/'EDT Y TAREAS'!M16,0),IF(AND(241&gt;='EDT Y TAREAS'!AK17,241&lt;'EDT Y TAREAS'!AL17),'EDT Y TAREAS'!AD17/'EDT Y TAREAS'!M17,0),IF(AND(241&gt;='EDT Y TAREAS'!AK18,241&lt;'EDT Y TAREAS'!AL18),'EDT Y TAREAS'!AD18/'EDT Y TAREAS'!M18,0),IF(AND(241&gt;='EDT Y TAREAS'!AK19,241&lt;'EDT Y TAREAS'!AL19),'EDT Y TAREAS'!AD19/'EDT Y TAREAS'!M19,0),IF(AND(241&gt;='EDT Y TAREAS'!AK20,241&lt;'EDT Y TAREAS'!AL20),'EDT Y TAREAS'!AD20/'EDT Y TAREAS'!M20,0),IF(AND(241&gt;='EDT Y TAREAS'!AK21,241&lt;'EDT Y TAREAS'!AL21),'EDT Y TAREAS'!AD21/'EDT Y TAREAS'!M21,0),IF(AND(241&gt;='EDT Y TAREAS'!AK22,241&lt;'EDT Y TAREAS'!AL22),'EDT Y TAREAS'!AD22/'EDT Y TAREAS'!M22,0),IF(AND(241&gt;='EDT Y TAREAS'!AK23,241&lt;'EDT Y TAREAS'!AL23),'EDT Y TAREAS'!AD23/'EDT Y TAREAS'!M23,0),IF(AND(241&gt;='EDT Y TAREAS'!AK26,241&lt;'EDT Y TAREAS'!AL26),'EDT Y TAREAS'!AD26/'EDT Y TAREAS'!M26,0),IF(AND(241&gt;='EDT Y TAREAS'!AK28,241&lt;'EDT Y TAREAS'!AL28),'EDT Y TAREAS'!AD28/'EDT Y TAREAS'!M28,0),IF(AND(241&gt;='EDT Y TAREAS'!AK30,241&lt;'EDT Y TAREAS'!AL30),'EDT Y TAREAS'!AD30/'EDT Y TAREAS'!M30,0),IF(AND(241&gt;='EDT Y TAREAS'!AK32,241&lt;'EDT Y TAREAS'!AL32),'EDT Y TAREAS'!AD32/'EDT Y TAREAS'!M32,0),IF(AND(241&gt;='EDT Y TAREAS'!AK34,241&lt;'EDT Y TAREAS'!AL34),'EDT Y TAREAS'!AD34/'EDT Y TAREAS'!M34,0),IF(AND(241&gt;='EDT Y TAREAS'!AK38,241&lt;'EDT Y TAREAS'!AL38),'EDT Y TAREAS'!AD38/'EDT Y TAREAS'!M38,0),IF(AND(241&gt;='EDT Y TAREAS'!AK39,241&lt;'EDT Y TAREAS'!AL39),'EDT Y TAREAS'!AD39/'EDT Y TAREAS'!M39,0),IF(AND(241&gt;='EDT Y TAREAS'!AK43,241&lt;'EDT Y TAREAS'!AL43),'EDT Y TAREAS'!AD43/'EDT Y TAREAS'!M43,0),IF(AND(241&gt;='EDT Y TAREAS'!AK44,241&lt;'EDT Y TAREAS'!AL44),'EDT Y TAREAS'!AD44/'EDT Y TAREAS'!M44,0),IF(AND(241&gt;='EDT Y TAREAS'!AK45,241&lt;'EDT Y TAREAS'!AL45),'EDT Y TAREAS'!AD45/'EDT Y TAREAS'!M45,0),IF(AND(241&gt;='EDT Y TAREAS'!AK46,241&lt;'EDT Y TAREAS'!AL46),'EDT Y TAREAS'!AD46/'EDT Y TAREAS'!M46,0),IF(AND(241&gt;='EDT Y TAREAS'!AK47,241&lt;'EDT Y TAREAS'!AL47),'EDT Y TAREAS'!AD47/'EDT Y TAREAS'!M47,0),IF(AND(241&gt;='EDT Y TAREAS'!AK49,241&lt;'EDT Y TAREAS'!AL49),'EDT Y TAREAS'!AD49/'EDT Y TAREAS'!M49,0),IF(AND(241&gt;='EDT Y TAREAS'!AK50,241&lt;'EDT Y TAREAS'!AL50),'EDT Y TAREAS'!AD50/'EDT Y TAREAS'!M50,0),IF(AND(241&gt;='EDT Y TAREAS'!AK51,241&lt;'EDT Y TAREAS'!AL51),'EDT Y TAREAS'!AD51/'EDT Y TAREAS'!M51,0),IF(AND(241&gt;='EDT Y TAREAS'!AK52,241&lt;'EDT Y TAREAS'!AL52),'EDT Y TAREAS'!AD52/'EDT Y TAREAS'!M52,0))</x:f>
        <x:v>0</x:v>
      </x:c>
      <x:c r="C281" s="35" t="n">
        <x:f>SUM(IF(AND(241&gt;='EDT Y TAREAS'!AK6,241&lt;'EDT Y TAREAS'!AL6),'EDT Y TAREAS'!AE6/'EDT Y TAREAS'!M6,0),IF(AND(241&gt;='EDT Y TAREAS'!AK8,241&lt;'EDT Y TAREAS'!AL8),'EDT Y TAREAS'!AE8/'EDT Y TAREAS'!M8,0),IF(AND(241&gt;='EDT Y TAREAS'!AK9,241&lt;'EDT Y TAREAS'!AL9),'EDT Y TAREAS'!AE9/'EDT Y TAREAS'!M9,0),IF(AND(241&gt;='EDT Y TAREAS'!AK10,241&lt;'EDT Y TAREAS'!AL10),'EDT Y TAREAS'!AE10/'EDT Y TAREAS'!M10,0),IF(AND(241&gt;='EDT Y TAREAS'!AK12,241&lt;'EDT Y TAREAS'!AL12),'EDT Y TAREAS'!AE12/'EDT Y TAREAS'!M12,0),IF(AND(241&gt;='EDT Y TAREAS'!AK16,241&lt;'EDT Y TAREAS'!AL16),'EDT Y TAREAS'!AE16/'EDT Y TAREAS'!M16,0),IF(AND(241&gt;='EDT Y TAREAS'!AK21,241&lt;'EDT Y TAREAS'!AL21),'EDT Y TAREAS'!AE21/'EDT Y TAREAS'!M21,0),IF(AND(241&gt;='EDT Y TAREAS'!AK23,241&lt;'EDT Y TAREAS'!AL23),'EDT Y TAREAS'!AE23/'EDT Y TAREAS'!M23,0),IF(AND(241&gt;='EDT Y TAREAS'!AK37,241&lt;'EDT Y TAREAS'!AL37),'EDT Y TAREAS'!AE37/'EDT Y TAREAS'!M37,0),IF(AND(241&gt;='EDT Y TAREAS'!AK38,241&lt;'EDT Y TAREAS'!AL38),'EDT Y TAREAS'!AE38/'EDT Y TAREAS'!M38,0),IF(AND(241&gt;='EDT Y TAREAS'!AK41,241&lt;'EDT Y TAREAS'!AL41),'EDT Y TAREAS'!AE41/'EDT Y TAREAS'!M41,0),IF(AND(241&gt;='EDT Y TAREAS'!AK43,241&lt;'EDT Y TAREAS'!AL43),'EDT Y TAREAS'!AE43/'EDT Y TAREAS'!M43,0),IF(AND(241&gt;='EDT Y TAREAS'!AK44,241&lt;'EDT Y TAREAS'!AL44),'EDT Y TAREAS'!AE44/'EDT Y TAREAS'!M44,0),IF(AND(241&gt;='EDT Y TAREAS'!AK46,241&lt;'EDT Y TAREAS'!AL46),'EDT Y TAREAS'!AE46/'EDT Y TAREAS'!M46,0),IF(AND(241&gt;='EDT Y TAREAS'!AK47,241&lt;'EDT Y TAREAS'!AL47),'EDT Y TAREAS'!AE47/'EDT Y TAREAS'!M47,0),IF(AND(241&gt;='EDT Y TAREAS'!AK51,241&lt;'EDT Y TAREAS'!AL51),'EDT Y TAREAS'!AE51/'EDT Y TAREAS'!M51,0),IF(AND(241&gt;='EDT Y TAREAS'!AK52,241&lt;'EDT Y TAREAS'!AL52),'EDT Y TAREAS'!AE52/'EDT Y TAREAS'!M52,0))</x:f>
        <x:v>0</x:v>
      </x:c>
      <x:c r="D281" s="35" t="n">
        <x:f>SUM(IF(AND(241&gt;='EDT Y TAREAS'!AK11,241&lt;'EDT Y TAREAS'!AL11),'EDT Y TAREAS'!AF11/'EDT Y TAREAS'!M11,0),IF(AND(241&gt;='EDT Y TAREAS'!AK24,241&lt;'EDT Y TAREAS'!AL24),'EDT Y TAREAS'!AF24/'EDT Y TAREAS'!M24,0),IF(AND(241&gt;='EDT Y TAREAS'!AK25,241&lt;'EDT Y TAREAS'!AL25),'EDT Y TAREAS'!AF25/'EDT Y TAREAS'!M25,0),IF(AND(241&gt;='EDT Y TAREAS'!AK26,241&lt;'EDT Y TAREAS'!AL26),'EDT Y TAREAS'!AF26/'EDT Y TAREAS'!M26,0),IF(AND(241&gt;='EDT Y TAREAS'!AK27,241&lt;'EDT Y TAREAS'!AL27),'EDT Y TAREAS'!AF27/'EDT Y TAREAS'!M27,0),IF(AND(241&gt;='EDT Y TAREAS'!AK28,241&lt;'EDT Y TAREAS'!AL28),'EDT Y TAREAS'!AF28/'EDT Y TAREAS'!M28,0),IF(AND(241&gt;='EDT Y TAREAS'!AK31,241&lt;'EDT Y TAREAS'!AL31),'EDT Y TAREAS'!AF31/'EDT Y TAREAS'!M31,0),IF(AND(241&gt;='EDT Y TAREAS'!AK33,241&lt;'EDT Y TAREAS'!AL33),'EDT Y TAREAS'!AF33/'EDT Y TAREAS'!M33,0),IF(AND(241&gt;='EDT Y TAREAS'!AK34,241&lt;'EDT Y TAREAS'!AL34),'EDT Y TAREAS'!AF34/'EDT Y TAREAS'!M34,0),IF(AND(241&gt;='EDT Y TAREAS'!AK35,241&lt;'EDT Y TAREAS'!AL35),'EDT Y TAREAS'!AF35/'EDT Y TAREAS'!M35,0),IF(AND(241&gt;='EDT Y TAREAS'!AK37,241&lt;'EDT Y TAREAS'!AL37),'EDT Y TAREAS'!AF37/'EDT Y TAREAS'!M37,0),IF(AND(241&gt;='EDT Y TAREAS'!AK39,241&lt;'EDT Y TAREAS'!AL39),'EDT Y TAREAS'!AF39/'EDT Y TAREAS'!M39,0),IF(AND(241&gt;='EDT Y TAREAS'!AK40,241&lt;'EDT Y TAREAS'!AL40),'EDT Y TAREAS'!AF40/'EDT Y TAREAS'!M40,0),IF(AND(241&gt;='EDT Y TAREAS'!AK42,241&lt;'EDT Y TAREAS'!AL42),'EDT Y TAREAS'!AF42/'EDT Y TAREAS'!M42,0),IF(AND(241&gt;='EDT Y TAREAS'!AK45,241&lt;'EDT Y TAREAS'!AL45),'EDT Y TAREAS'!AF45/'EDT Y TAREAS'!M45,0),IF(AND(241&gt;='EDT Y TAREAS'!AK49,241&lt;'EDT Y TAREAS'!AL49),'EDT Y TAREAS'!AF49/'EDT Y TAREAS'!M49,0),IF(AND(241&gt;='EDT Y TAREAS'!AK52,241&lt;'EDT Y TAREAS'!AL52),'EDT Y TAREAS'!AF52/'EDT Y TAREAS'!M52,0))</x:f>
        <x:v>0</x:v>
      </x:c>
      <x:c r="E281" s="35" t="n">
        <x:f>SUM(IF(AND(241&gt;='EDT Y TAREAS'!AK29,241&lt;'EDT Y TAREAS'!AL29),'EDT Y TAREAS'!AG29/'EDT Y TAREAS'!M29,0),IF(AND(241&gt;='EDT Y TAREAS'!AK30,241&lt;'EDT Y TAREAS'!AL30),'EDT Y TAREAS'!AG30/'EDT Y TAREAS'!M30,0),IF(AND(241&gt;='EDT Y TAREAS'!AK31,241&lt;'EDT Y TAREAS'!AL31),'EDT Y TAREAS'!AG31/'EDT Y TAREAS'!M31,0),IF(AND(241&gt;='EDT Y TAREAS'!AK32,241&lt;'EDT Y TAREAS'!AL32),'EDT Y TAREAS'!AG32/'EDT Y TAREAS'!M32,0),IF(AND(241&gt;='EDT Y TAREAS'!AK41,241&lt;'EDT Y TAREAS'!AL41),'EDT Y TAREAS'!AG41/'EDT Y TAREAS'!M41,0),IF(AND(241&gt;='EDT Y TAREAS'!AK45,241&lt;'EDT Y TAREAS'!AL45),'EDT Y TAREAS'!AG45/'EDT Y TAREAS'!M45,0),IF(AND(241&gt;='EDT Y TAREAS'!AK48,241&lt;'EDT Y TAREAS'!AL48),'EDT Y TAREAS'!AG48/'EDT Y TAREAS'!M48,0))</x:f>
        <x:v>0</x:v>
      </x:c>
      <x:c r="F281" s="35" t="n">
        <x:f>SUM(IF(AND(241&gt;='EDT Y TAREAS'!AK10,241&lt;'EDT Y TAREAS'!AL10),'EDT Y TAREAS'!AH10/'EDT Y TAREAS'!M10,0),IF(AND(241&gt;='EDT Y TAREAS'!AK12,241&lt;'EDT Y TAREAS'!AL12),'EDT Y TAREAS'!AH12/'EDT Y TAREAS'!M12,0),IF(AND(241&gt;='EDT Y TAREAS'!AK22,241&lt;'EDT Y TAREAS'!AL22),'EDT Y TAREAS'!AH22/'EDT Y TAREAS'!M22,0),IF(AND(241&gt;='EDT Y TAREAS'!AK23,241&lt;'EDT Y TAREAS'!AL23),'EDT Y TAREAS'!AH23/'EDT Y TAREAS'!M23,0),IF(AND(241&gt;='EDT Y TAREAS'!AK29,241&lt;'EDT Y TAREAS'!AL29),'EDT Y TAREAS'!AH29/'EDT Y TAREAS'!M29,0),IF(AND(241&gt;='EDT Y TAREAS'!AK30,241&lt;'EDT Y TAREAS'!AL30),'EDT Y TAREAS'!AH30/'EDT Y TAREAS'!M30,0),IF(AND(241&gt;='EDT Y TAREAS'!AK32,241&lt;'EDT Y TAREAS'!AL32),'EDT Y TAREAS'!AH32/'EDT Y TAREAS'!M32,0),IF(AND(241&gt;='EDT Y TAREAS'!AK41,241&lt;'EDT Y TAREAS'!AL41),'EDT Y TAREAS'!AH41/'EDT Y TAREAS'!M41,0),IF(AND(241&gt;='EDT Y TAREAS'!AK44,241&lt;'EDT Y TAREAS'!AL44),'EDT Y TAREAS'!AH44/'EDT Y TAREAS'!M44,0),IF(AND(241&gt;='EDT Y TAREAS'!AK46,241&lt;'EDT Y TAREAS'!AL46),'EDT Y TAREAS'!AH46/'EDT Y TAREAS'!M46,0),IF(AND(241&gt;='EDT Y TAREAS'!AK48,241&lt;'EDT Y TAREAS'!AL48),'EDT Y TAREAS'!AH48/'EDT Y TAREAS'!M48,0))</x:f>
        <x:v>0</x:v>
      </x:c>
      <x:c r="G281" s="35" t="n">
        <x:f>SUM(IF(AND(241&gt;='EDT Y TAREAS'!AK20,241&lt;'EDT Y TAREAS'!AL20),'EDT Y TAREAS'!AI20/'EDT Y TAREAS'!M20,0),IF(AND(241&gt;='EDT Y TAREAS'!AK25,241&lt;'EDT Y TAREAS'!AL25),'EDT Y TAREAS'!AI25/'EDT Y TAREAS'!M25,0),IF(AND(241&gt;='EDT Y TAREAS'!AK33,241&lt;'EDT Y TAREAS'!AL33),'EDT Y TAREAS'!AI33/'EDT Y TAREAS'!M33,0),IF(AND(241&gt;='EDT Y TAREAS'!AK34,241&lt;'EDT Y TAREAS'!AL34),'EDT Y TAREAS'!AI34/'EDT Y TAREAS'!M34,0),IF(AND(241&gt;='EDT Y TAREAS'!AK36,241&lt;'EDT Y TAREAS'!AL36),'EDT Y TAREAS'!AI36/'EDT Y TAREAS'!M36,0),IF(AND(241&gt;='EDT Y TAREAS'!AK39,241&lt;'EDT Y TAREAS'!AL39),'EDT Y TAREAS'!AI39/'EDT Y TAREAS'!M39,0),IF(AND(241&gt;='EDT Y TAREAS'!AK40,241&lt;'EDT Y TAREAS'!AL40),'EDT Y TAREAS'!AI40/'EDT Y TAREAS'!M40,0),IF(AND(241&gt;='EDT Y TAREAS'!AK42,241&lt;'EDT Y TAREAS'!AL42),'EDT Y TAREAS'!AI42/'EDT Y TAREAS'!M42,0),IF(AND(241&gt;='EDT Y TAREAS'!AK43,241&lt;'EDT Y TAREAS'!AL43),'EDT Y TAREAS'!AI43/'EDT Y TAREAS'!M43,0),IF(AND(241&gt;='EDT Y TAREAS'!AK44,241&lt;'EDT Y TAREAS'!AL44),'EDT Y TAREAS'!AI44/'EDT Y TAREAS'!M44,0),IF(AND(241&gt;='EDT Y TAREAS'!AK45,241&lt;'EDT Y TAREAS'!AL45),'EDT Y TAREAS'!AI45/'EDT Y TAREAS'!M45,0),IF(AND(241&gt;='EDT Y TAREAS'!AK46,241&lt;'EDT Y TAREAS'!AL46),'EDT Y TAREAS'!AI46/'EDT Y TAREAS'!M46,0),IF(AND(241&gt;='EDT Y TAREAS'!AK48,241&lt;'EDT Y TAREAS'!AL48),'EDT Y TAREAS'!AI48/'EDT Y TAREAS'!M48,0),IF(AND(241&gt;='EDT Y TAREAS'!AK50,241&lt;'EDT Y TAREAS'!AL50),'EDT Y TAREAS'!AI50/'EDT Y TAREAS'!M50,0),IF(AND(241&gt;='EDT Y TAREAS'!AK52,241&lt;'EDT Y TAREAS'!AL52),'EDT Y TAREAS'!AI52/'EDT Y TAREAS'!M52,0))</x:f>
        <x:v>0</x:v>
      </x:c>
      <x:c r="H281" s="35" t="n">
        <x:f>SUM(IF(AND(241&gt;='EDT Y TAREAS'!AK11,241&lt;'EDT Y TAREAS'!AL11),'EDT Y TAREAS'!AJ11/'EDT Y TAREAS'!M11,0),IF(AND(241&gt;='EDT Y TAREAS'!AK24,241&lt;'EDT Y TAREAS'!AL24),'EDT Y TAREAS'!AJ24/'EDT Y TAREAS'!M24,0),IF(AND(241&gt;='EDT Y TAREAS'!AK27,241&lt;'EDT Y TAREAS'!AL27),'EDT Y TAREAS'!AJ27/'EDT Y TAREAS'!M27,0),IF(AND(241&gt;='EDT Y TAREAS'!AK28,241&lt;'EDT Y TAREAS'!AL28),'EDT Y TAREAS'!AJ28/'EDT Y TAREAS'!M28,0),IF(AND(241&gt;='EDT Y TAREAS'!AK33,241&lt;'EDT Y TAREAS'!AL33),'EDT Y TAREAS'!AJ33/'EDT Y TAREAS'!M33,0),IF(AND(241&gt;='EDT Y TAREAS'!AK35,241&lt;'EDT Y TAREAS'!AL35),'EDT Y TAREAS'!AJ35/'EDT Y TAREAS'!M35,0),IF(AND(241&gt;='EDT Y TAREAS'!AK36,241&lt;'EDT Y TAREAS'!AL36),'EDT Y TAREAS'!AJ36/'EDT Y TAREAS'!M36,0),IF(AND(241&gt;='EDT Y TAREAS'!AK37,241&lt;'EDT Y TAREAS'!AL37),'EDT Y TAREAS'!AJ37/'EDT Y TAREAS'!M37,0),IF(AND(241&gt;='EDT Y TAREAS'!AK40,241&lt;'EDT Y TAREAS'!AL40),'EDT Y TAREAS'!AJ40/'EDT Y TAREAS'!M40,0),IF(AND(241&gt;='EDT Y TAREAS'!AK42,241&lt;'EDT Y TAREAS'!AL42),'EDT Y TAREAS'!AJ42/'EDT Y TAREAS'!M42,0),IF(AND(241&gt;='EDT Y TAREAS'!AK49,241&lt;'EDT Y TAREAS'!AL49),'EDT Y TAREAS'!AJ49/'EDT Y TAREAS'!M49,0),IF(AND(241&gt;='EDT Y TAREAS'!AK50,241&lt;'EDT Y TAREAS'!AL50),'EDT Y TAREAS'!AJ50/'EDT Y TAREAS'!M50,0),IF(AND(241&gt;='EDT Y TAREAS'!AK51,241&lt;'EDT Y TAREAS'!AL51),'EDT Y TAREAS'!AJ51/'EDT Y TAREAS'!M51,0),IF(AND(241&gt;='EDT Y TAREAS'!AK52,241&lt;'EDT Y TAREAS'!AL52),'EDT Y TAREAS'!AJ52/'EDT Y TAREAS'!M52,0))</x:f>
        <x:v>0</x:v>
      </x:c>
      <x:c r="I281" s="10" t="n">
        <x:f>WORKDAY('RESUMEN'!$D$3-1,A281,'RESUMEN'!$J$6:$J$25)</x:f>
        <x:v>46665</x:v>
      </x:c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  <x:c r="AA281" s="3"/>
      <x:c r="AB281" s="3"/>
      <x:c r="AC281" s="3"/>
      <x:c r="AD281" s="3"/>
      <x:c r="AE281" s="3"/>
      <x:c r="AF281" s="3"/>
      <x:c r="AG281" s="3"/>
      <x:c r="AH281" s="3"/>
      <x:c r="AI281" s="3"/>
      <x:c r="AJ281" s="3"/>
      <x:c r="AK281" s="3"/>
      <x:c r="AL281" s="3"/>
      <x:c r="AM281" s="3"/>
      <x:c r="AN281" s="3"/>
      <x:c r="AO281" s="3"/>
    </x:row>
    <x:row r="282" ht="24" customHeight="1">
      <x:c r="A282" s="3" t="n">
        <x:v>243</x:v>
      </x:c>
      <x:c r="B282" s="35" t="n">
        <x:f>SUM(IF(AND(242&gt;='EDT Y TAREAS'!AK6,242&lt;'EDT Y TAREAS'!AL6),'EDT Y TAREAS'!AD6/'EDT Y TAREAS'!M6,0),IF(AND(242&gt;='EDT Y TAREAS'!AK7,242&lt;'EDT Y TAREAS'!AL7),'EDT Y TAREAS'!AD7/'EDT Y TAREAS'!M7,0),IF(AND(242&gt;='EDT Y TAREAS'!AK8,242&lt;'EDT Y TAREAS'!AL8),'EDT Y TAREAS'!AD8/'EDT Y TAREAS'!M8,0),IF(AND(242&gt;='EDT Y TAREAS'!AK9,242&lt;'EDT Y TAREAS'!AL9),'EDT Y TAREAS'!AD9/'EDT Y TAREAS'!M9,0),IF(AND(242&gt;='EDT Y TAREAS'!AK10,242&lt;'EDT Y TAREAS'!AL10),'EDT Y TAREAS'!AD10/'EDT Y TAREAS'!M10,0),IF(AND(242&gt;='EDT Y TAREAS'!AK11,242&lt;'EDT Y TAREAS'!AL11),'EDT Y TAREAS'!AD11/'EDT Y TAREAS'!M11,0),IF(AND(242&gt;='EDT Y TAREAS'!AK12,242&lt;'EDT Y TAREAS'!AL12),'EDT Y TAREAS'!AD12/'EDT Y TAREAS'!M12,0),IF(AND(242&gt;='EDT Y TAREAS'!AK13,242&lt;'EDT Y TAREAS'!AL13),'EDT Y TAREAS'!AD13/'EDT Y TAREAS'!M13,0),IF(AND(242&gt;='EDT Y TAREAS'!AK14,242&lt;'EDT Y TAREAS'!AL14),'EDT Y TAREAS'!AD14/'EDT Y TAREAS'!M14,0),IF(AND(242&gt;='EDT Y TAREAS'!AK15,242&lt;'EDT Y TAREAS'!AL15),'EDT Y TAREAS'!AD15/'EDT Y TAREAS'!M15,0),IF(AND(242&gt;='EDT Y TAREAS'!AK16,242&lt;'EDT Y TAREAS'!AL16),'EDT Y TAREAS'!AD16/'EDT Y TAREAS'!M16,0),IF(AND(242&gt;='EDT Y TAREAS'!AK17,242&lt;'EDT Y TAREAS'!AL17),'EDT Y TAREAS'!AD17/'EDT Y TAREAS'!M17,0),IF(AND(242&gt;='EDT Y TAREAS'!AK18,242&lt;'EDT Y TAREAS'!AL18),'EDT Y TAREAS'!AD18/'EDT Y TAREAS'!M18,0),IF(AND(242&gt;='EDT Y TAREAS'!AK19,242&lt;'EDT Y TAREAS'!AL19),'EDT Y TAREAS'!AD19/'EDT Y TAREAS'!M19,0),IF(AND(242&gt;='EDT Y TAREAS'!AK20,242&lt;'EDT Y TAREAS'!AL20),'EDT Y TAREAS'!AD20/'EDT Y TAREAS'!M20,0),IF(AND(242&gt;='EDT Y TAREAS'!AK21,242&lt;'EDT Y TAREAS'!AL21),'EDT Y TAREAS'!AD21/'EDT Y TAREAS'!M21,0),IF(AND(242&gt;='EDT Y TAREAS'!AK22,242&lt;'EDT Y TAREAS'!AL22),'EDT Y TAREAS'!AD22/'EDT Y TAREAS'!M22,0),IF(AND(242&gt;='EDT Y TAREAS'!AK23,242&lt;'EDT Y TAREAS'!AL23),'EDT Y TAREAS'!AD23/'EDT Y TAREAS'!M23,0),IF(AND(242&gt;='EDT Y TAREAS'!AK26,242&lt;'EDT Y TAREAS'!AL26),'EDT Y TAREAS'!AD26/'EDT Y TAREAS'!M26,0),IF(AND(242&gt;='EDT Y TAREAS'!AK28,242&lt;'EDT Y TAREAS'!AL28),'EDT Y TAREAS'!AD28/'EDT Y TAREAS'!M28,0),IF(AND(242&gt;='EDT Y TAREAS'!AK30,242&lt;'EDT Y TAREAS'!AL30),'EDT Y TAREAS'!AD30/'EDT Y TAREAS'!M30,0),IF(AND(242&gt;='EDT Y TAREAS'!AK32,242&lt;'EDT Y TAREAS'!AL32),'EDT Y TAREAS'!AD32/'EDT Y TAREAS'!M32,0),IF(AND(242&gt;='EDT Y TAREAS'!AK34,242&lt;'EDT Y TAREAS'!AL34),'EDT Y TAREAS'!AD34/'EDT Y TAREAS'!M34,0),IF(AND(242&gt;='EDT Y TAREAS'!AK38,242&lt;'EDT Y TAREAS'!AL38),'EDT Y TAREAS'!AD38/'EDT Y TAREAS'!M38,0),IF(AND(242&gt;='EDT Y TAREAS'!AK39,242&lt;'EDT Y TAREAS'!AL39),'EDT Y TAREAS'!AD39/'EDT Y TAREAS'!M39,0),IF(AND(242&gt;='EDT Y TAREAS'!AK43,242&lt;'EDT Y TAREAS'!AL43),'EDT Y TAREAS'!AD43/'EDT Y TAREAS'!M43,0),IF(AND(242&gt;='EDT Y TAREAS'!AK44,242&lt;'EDT Y TAREAS'!AL44),'EDT Y TAREAS'!AD44/'EDT Y TAREAS'!M44,0),IF(AND(242&gt;='EDT Y TAREAS'!AK45,242&lt;'EDT Y TAREAS'!AL45),'EDT Y TAREAS'!AD45/'EDT Y TAREAS'!M45,0),IF(AND(242&gt;='EDT Y TAREAS'!AK46,242&lt;'EDT Y TAREAS'!AL46),'EDT Y TAREAS'!AD46/'EDT Y TAREAS'!M46,0),IF(AND(242&gt;='EDT Y TAREAS'!AK47,242&lt;'EDT Y TAREAS'!AL47),'EDT Y TAREAS'!AD47/'EDT Y TAREAS'!M47,0),IF(AND(242&gt;='EDT Y TAREAS'!AK49,242&lt;'EDT Y TAREAS'!AL49),'EDT Y TAREAS'!AD49/'EDT Y TAREAS'!M49,0),IF(AND(242&gt;='EDT Y TAREAS'!AK50,242&lt;'EDT Y TAREAS'!AL50),'EDT Y TAREAS'!AD50/'EDT Y TAREAS'!M50,0),IF(AND(242&gt;='EDT Y TAREAS'!AK51,242&lt;'EDT Y TAREAS'!AL51),'EDT Y TAREAS'!AD51/'EDT Y TAREAS'!M51,0),IF(AND(242&gt;='EDT Y TAREAS'!AK52,242&lt;'EDT Y TAREAS'!AL52),'EDT Y TAREAS'!AD52/'EDT Y TAREAS'!M52,0))</x:f>
        <x:v>0</x:v>
      </x:c>
      <x:c r="C282" s="35" t="n">
        <x:f>SUM(IF(AND(242&gt;='EDT Y TAREAS'!AK6,242&lt;'EDT Y TAREAS'!AL6),'EDT Y TAREAS'!AE6/'EDT Y TAREAS'!M6,0),IF(AND(242&gt;='EDT Y TAREAS'!AK8,242&lt;'EDT Y TAREAS'!AL8),'EDT Y TAREAS'!AE8/'EDT Y TAREAS'!M8,0),IF(AND(242&gt;='EDT Y TAREAS'!AK9,242&lt;'EDT Y TAREAS'!AL9),'EDT Y TAREAS'!AE9/'EDT Y TAREAS'!M9,0),IF(AND(242&gt;='EDT Y TAREAS'!AK10,242&lt;'EDT Y TAREAS'!AL10),'EDT Y TAREAS'!AE10/'EDT Y TAREAS'!M10,0),IF(AND(242&gt;='EDT Y TAREAS'!AK12,242&lt;'EDT Y TAREAS'!AL12),'EDT Y TAREAS'!AE12/'EDT Y TAREAS'!M12,0),IF(AND(242&gt;='EDT Y TAREAS'!AK16,242&lt;'EDT Y TAREAS'!AL16),'EDT Y TAREAS'!AE16/'EDT Y TAREAS'!M16,0),IF(AND(242&gt;='EDT Y TAREAS'!AK21,242&lt;'EDT Y TAREAS'!AL21),'EDT Y TAREAS'!AE21/'EDT Y TAREAS'!M21,0),IF(AND(242&gt;='EDT Y TAREAS'!AK23,242&lt;'EDT Y TAREAS'!AL23),'EDT Y TAREAS'!AE23/'EDT Y TAREAS'!M23,0),IF(AND(242&gt;='EDT Y TAREAS'!AK37,242&lt;'EDT Y TAREAS'!AL37),'EDT Y TAREAS'!AE37/'EDT Y TAREAS'!M37,0),IF(AND(242&gt;='EDT Y TAREAS'!AK38,242&lt;'EDT Y TAREAS'!AL38),'EDT Y TAREAS'!AE38/'EDT Y TAREAS'!M38,0),IF(AND(242&gt;='EDT Y TAREAS'!AK41,242&lt;'EDT Y TAREAS'!AL41),'EDT Y TAREAS'!AE41/'EDT Y TAREAS'!M41,0),IF(AND(242&gt;='EDT Y TAREAS'!AK43,242&lt;'EDT Y TAREAS'!AL43),'EDT Y TAREAS'!AE43/'EDT Y TAREAS'!M43,0),IF(AND(242&gt;='EDT Y TAREAS'!AK44,242&lt;'EDT Y TAREAS'!AL44),'EDT Y TAREAS'!AE44/'EDT Y TAREAS'!M44,0),IF(AND(242&gt;='EDT Y TAREAS'!AK46,242&lt;'EDT Y TAREAS'!AL46),'EDT Y TAREAS'!AE46/'EDT Y TAREAS'!M46,0),IF(AND(242&gt;='EDT Y TAREAS'!AK47,242&lt;'EDT Y TAREAS'!AL47),'EDT Y TAREAS'!AE47/'EDT Y TAREAS'!M47,0),IF(AND(242&gt;='EDT Y TAREAS'!AK51,242&lt;'EDT Y TAREAS'!AL51),'EDT Y TAREAS'!AE51/'EDT Y TAREAS'!M51,0),IF(AND(242&gt;='EDT Y TAREAS'!AK52,242&lt;'EDT Y TAREAS'!AL52),'EDT Y TAREAS'!AE52/'EDT Y TAREAS'!M52,0))</x:f>
        <x:v>0</x:v>
      </x:c>
      <x:c r="D282" s="35" t="n">
        <x:f>SUM(IF(AND(242&gt;='EDT Y TAREAS'!AK11,242&lt;'EDT Y TAREAS'!AL11),'EDT Y TAREAS'!AF11/'EDT Y TAREAS'!M11,0),IF(AND(242&gt;='EDT Y TAREAS'!AK24,242&lt;'EDT Y TAREAS'!AL24),'EDT Y TAREAS'!AF24/'EDT Y TAREAS'!M24,0),IF(AND(242&gt;='EDT Y TAREAS'!AK25,242&lt;'EDT Y TAREAS'!AL25),'EDT Y TAREAS'!AF25/'EDT Y TAREAS'!M25,0),IF(AND(242&gt;='EDT Y TAREAS'!AK26,242&lt;'EDT Y TAREAS'!AL26),'EDT Y TAREAS'!AF26/'EDT Y TAREAS'!M26,0),IF(AND(242&gt;='EDT Y TAREAS'!AK27,242&lt;'EDT Y TAREAS'!AL27),'EDT Y TAREAS'!AF27/'EDT Y TAREAS'!M27,0),IF(AND(242&gt;='EDT Y TAREAS'!AK28,242&lt;'EDT Y TAREAS'!AL28),'EDT Y TAREAS'!AF28/'EDT Y TAREAS'!M28,0),IF(AND(242&gt;='EDT Y TAREAS'!AK31,242&lt;'EDT Y TAREAS'!AL31),'EDT Y TAREAS'!AF31/'EDT Y TAREAS'!M31,0),IF(AND(242&gt;='EDT Y TAREAS'!AK33,242&lt;'EDT Y TAREAS'!AL33),'EDT Y TAREAS'!AF33/'EDT Y TAREAS'!M33,0),IF(AND(242&gt;='EDT Y TAREAS'!AK34,242&lt;'EDT Y TAREAS'!AL34),'EDT Y TAREAS'!AF34/'EDT Y TAREAS'!M34,0),IF(AND(242&gt;='EDT Y TAREAS'!AK35,242&lt;'EDT Y TAREAS'!AL35),'EDT Y TAREAS'!AF35/'EDT Y TAREAS'!M35,0),IF(AND(242&gt;='EDT Y TAREAS'!AK37,242&lt;'EDT Y TAREAS'!AL37),'EDT Y TAREAS'!AF37/'EDT Y TAREAS'!M37,0),IF(AND(242&gt;='EDT Y TAREAS'!AK39,242&lt;'EDT Y TAREAS'!AL39),'EDT Y TAREAS'!AF39/'EDT Y TAREAS'!M39,0),IF(AND(242&gt;='EDT Y TAREAS'!AK40,242&lt;'EDT Y TAREAS'!AL40),'EDT Y TAREAS'!AF40/'EDT Y TAREAS'!M40,0),IF(AND(242&gt;='EDT Y TAREAS'!AK42,242&lt;'EDT Y TAREAS'!AL42),'EDT Y TAREAS'!AF42/'EDT Y TAREAS'!M42,0),IF(AND(242&gt;='EDT Y TAREAS'!AK45,242&lt;'EDT Y TAREAS'!AL45),'EDT Y TAREAS'!AF45/'EDT Y TAREAS'!M45,0),IF(AND(242&gt;='EDT Y TAREAS'!AK49,242&lt;'EDT Y TAREAS'!AL49),'EDT Y TAREAS'!AF49/'EDT Y TAREAS'!M49,0),IF(AND(242&gt;='EDT Y TAREAS'!AK52,242&lt;'EDT Y TAREAS'!AL52),'EDT Y TAREAS'!AF52/'EDT Y TAREAS'!M52,0))</x:f>
        <x:v>0</x:v>
      </x:c>
      <x:c r="E282" s="35" t="n">
        <x:f>SUM(IF(AND(242&gt;='EDT Y TAREAS'!AK29,242&lt;'EDT Y TAREAS'!AL29),'EDT Y TAREAS'!AG29/'EDT Y TAREAS'!M29,0),IF(AND(242&gt;='EDT Y TAREAS'!AK30,242&lt;'EDT Y TAREAS'!AL30),'EDT Y TAREAS'!AG30/'EDT Y TAREAS'!M30,0),IF(AND(242&gt;='EDT Y TAREAS'!AK31,242&lt;'EDT Y TAREAS'!AL31),'EDT Y TAREAS'!AG31/'EDT Y TAREAS'!M31,0),IF(AND(242&gt;='EDT Y TAREAS'!AK32,242&lt;'EDT Y TAREAS'!AL32),'EDT Y TAREAS'!AG32/'EDT Y TAREAS'!M32,0),IF(AND(242&gt;='EDT Y TAREAS'!AK41,242&lt;'EDT Y TAREAS'!AL41),'EDT Y TAREAS'!AG41/'EDT Y TAREAS'!M41,0),IF(AND(242&gt;='EDT Y TAREAS'!AK45,242&lt;'EDT Y TAREAS'!AL45),'EDT Y TAREAS'!AG45/'EDT Y TAREAS'!M45,0),IF(AND(242&gt;='EDT Y TAREAS'!AK48,242&lt;'EDT Y TAREAS'!AL48),'EDT Y TAREAS'!AG48/'EDT Y TAREAS'!M48,0))</x:f>
        <x:v>0</x:v>
      </x:c>
      <x:c r="F282" s="35" t="n">
        <x:f>SUM(IF(AND(242&gt;='EDT Y TAREAS'!AK10,242&lt;'EDT Y TAREAS'!AL10),'EDT Y TAREAS'!AH10/'EDT Y TAREAS'!M10,0),IF(AND(242&gt;='EDT Y TAREAS'!AK12,242&lt;'EDT Y TAREAS'!AL12),'EDT Y TAREAS'!AH12/'EDT Y TAREAS'!M12,0),IF(AND(242&gt;='EDT Y TAREAS'!AK22,242&lt;'EDT Y TAREAS'!AL22),'EDT Y TAREAS'!AH22/'EDT Y TAREAS'!M22,0),IF(AND(242&gt;='EDT Y TAREAS'!AK23,242&lt;'EDT Y TAREAS'!AL23),'EDT Y TAREAS'!AH23/'EDT Y TAREAS'!M23,0),IF(AND(242&gt;='EDT Y TAREAS'!AK29,242&lt;'EDT Y TAREAS'!AL29),'EDT Y TAREAS'!AH29/'EDT Y TAREAS'!M29,0),IF(AND(242&gt;='EDT Y TAREAS'!AK30,242&lt;'EDT Y TAREAS'!AL30),'EDT Y TAREAS'!AH30/'EDT Y TAREAS'!M30,0),IF(AND(242&gt;='EDT Y TAREAS'!AK32,242&lt;'EDT Y TAREAS'!AL32),'EDT Y TAREAS'!AH32/'EDT Y TAREAS'!M32,0),IF(AND(242&gt;='EDT Y TAREAS'!AK41,242&lt;'EDT Y TAREAS'!AL41),'EDT Y TAREAS'!AH41/'EDT Y TAREAS'!M41,0),IF(AND(242&gt;='EDT Y TAREAS'!AK44,242&lt;'EDT Y TAREAS'!AL44),'EDT Y TAREAS'!AH44/'EDT Y TAREAS'!M44,0),IF(AND(242&gt;='EDT Y TAREAS'!AK46,242&lt;'EDT Y TAREAS'!AL46),'EDT Y TAREAS'!AH46/'EDT Y TAREAS'!M46,0),IF(AND(242&gt;='EDT Y TAREAS'!AK48,242&lt;'EDT Y TAREAS'!AL48),'EDT Y TAREAS'!AH48/'EDT Y TAREAS'!M48,0))</x:f>
        <x:v>0</x:v>
      </x:c>
      <x:c r="G282" s="35" t="n">
        <x:f>SUM(IF(AND(242&gt;='EDT Y TAREAS'!AK20,242&lt;'EDT Y TAREAS'!AL20),'EDT Y TAREAS'!AI20/'EDT Y TAREAS'!M20,0),IF(AND(242&gt;='EDT Y TAREAS'!AK25,242&lt;'EDT Y TAREAS'!AL25),'EDT Y TAREAS'!AI25/'EDT Y TAREAS'!M25,0),IF(AND(242&gt;='EDT Y TAREAS'!AK33,242&lt;'EDT Y TAREAS'!AL33),'EDT Y TAREAS'!AI33/'EDT Y TAREAS'!M33,0),IF(AND(242&gt;='EDT Y TAREAS'!AK34,242&lt;'EDT Y TAREAS'!AL34),'EDT Y TAREAS'!AI34/'EDT Y TAREAS'!M34,0),IF(AND(242&gt;='EDT Y TAREAS'!AK36,242&lt;'EDT Y TAREAS'!AL36),'EDT Y TAREAS'!AI36/'EDT Y TAREAS'!M36,0),IF(AND(242&gt;='EDT Y TAREAS'!AK39,242&lt;'EDT Y TAREAS'!AL39),'EDT Y TAREAS'!AI39/'EDT Y TAREAS'!M39,0),IF(AND(242&gt;='EDT Y TAREAS'!AK40,242&lt;'EDT Y TAREAS'!AL40),'EDT Y TAREAS'!AI40/'EDT Y TAREAS'!M40,0),IF(AND(242&gt;='EDT Y TAREAS'!AK42,242&lt;'EDT Y TAREAS'!AL42),'EDT Y TAREAS'!AI42/'EDT Y TAREAS'!M42,0),IF(AND(242&gt;='EDT Y TAREAS'!AK43,242&lt;'EDT Y TAREAS'!AL43),'EDT Y TAREAS'!AI43/'EDT Y TAREAS'!M43,0),IF(AND(242&gt;='EDT Y TAREAS'!AK44,242&lt;'EDT Y TAREAS'!AL44),'EDT Y TAREAS'!AI44/'EDT Y TAREAS'!M44,0),IF(AND(242&gt;='EDT Y TAREAS'!AK45,242&lt;'EDT Y TAREAS'!AL45),'EDT Y TAREAS'!AI45/'EDT Y TAREAS'!M45,0),IF(AND(242&gt;='EDT Y TAREAS'!AK46,242&lt;'EDT Y TAREAS'!AL46),'EDT Y TAREAS'!AI46/'EDT Y TAREAS'!M46,0),IF(AND(242&gt;='EDT Y TAREAS'!AK48,242&lt;'EDT Y TAREAS'!AL48),'EDT Y TAREAS'!AI48/'EDT Y TAREAS'!M48,0),IF(AND(242&gt;='EDT Y TAREAS'!AK50,242&lt;'EDT Y TAREAS'!AL50),'EDT Y TAREAS'!AI50/'EDT Y TAREAS'!M50,0),IF(AND(242&gt;='EDT Y TAREAS'!AK52,242&lt;'EDT Y TAREAS'!AL52),'EDT Y TAREAS'!AI52/'EDT Y TAREAS'!M52,0))</x:f>
        <x:v>0</x:v>
      </x:c>
      <x:c r="H282" s="35" t="n">
        <x:f>SUM(IF(AND(242&gt;='EDT Y TAREAS'!AK11,242&lt;'EDT Y TAREAS'!AL11),'EDT Y TAREAS'!AJ11/'EDT Y TAREAS'!M11,0),IF(AND(242&gt;='EDT Y TAREAS'!AK24,242&lt;'EDT Y TAREAS'!AL24),'EDT Y TAREAS'!AJ24/'EDT Y TAREAS'!M24,0),IF(AND(242&gt;='EDT Y TAREAS'!AK27,242&lt;'EDT Y TAREAS'!AL27),'EDT Y TAREAS'!AJ27/'EDT Y TAREAS'!M27,0),IF(AND(242&gt;='EDT Y TAREAS'!AK28,242&lt;'EDT Y TAREAS'!AL28),'EDT Y TAREAS'!AJ28/'EDT Y TAREAS'!M28,0),IF(AND(242&gt;='EDT Y TAREAS'!AK33,242&lt;'EDT Y TAREAS'!AL33),'EDT Y TAREAS'!AJ33/'EDT Y TAREAS'!M33,0),IF(AND(242&gt;='EDT Y TAREAS'!AK35,242&lt;'EDT Y TAREAS'!AL35),'EDT Y TAREAS'!AJ35/'EDT Y TAREAS'!M35,0),IF(AND(242&gt;='EDT Y TAREAS'!AK36,242&lt;'EDT Y TAREAS'!AL36),'EDT Y TAREAS'!AJ36/'EDT Y TAREAS'!M36,0),IF(AND(242&gt;='EDT Y TAREAS'!AK37,242&lt;'EDT Y TAREAS'!AL37),'EDT Y TAREAS'!AJ37/'EDT Y TAREAS'!M37,0),IF(AND(242&gt;='EDT Y TAREAS'!AK40,242&lt;'EDT Y TAREAS'!AL40),'EDT Y TAREAS'!AJ40/'EDT Y TAREAS'!M40,0),IF(AND(242&gt;='EDT Y TAREAS'!AK42,242&lt;'EDT Y TAREAS'!AL42),'EDT Y TAREAS'!AJ42/'EDT Y TAREAS'!M42,0),IF(AND(242&gt;='EDT Y TAREAS'!AK49,242&lt;'EDT Y TAREAS'!AL49),'EDT Y TAREAS'!AJ49/'EDT Y TAREAS'!M49,0),IF(AND(242&gt;='EDT Y TAREAS'!AK50,242&lt;'EDT Y TAREAS'!AL50),'EDT Y TAREAS'!AJ50/'EDT Y TAREAS'!M50,0),IF(AND(242&gt;='EDT Y TAREAS'!AK51,242&lt;'EDT Y TAREAS'!AL51),'EDT Y TAREAS'!AJ51/'EDT Y TAREAS'!M51,0),IF(AND(242&gt;='EDT Y TAREAS'!AK52,242&lt;'EDT Y TAREAS'!AL52),'EDT Y TAREAS'!AJ52/'EDT Y TAREAS'!M52,0))</x:f>
        <x:v>0</x:v>
      </x:c>
      <x:c r="I282" s="10" t="n">
        <x:f>WORKDAY('RESUMEN'!$D$3-1,A282,'RESUMEN'!$J$6:$J$25)</x:f>
        <x:v>46666</x:v>
      </x:c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  <x:c r="AA282" s="3"/>
      <x:c r="AB282" s="3"/>
      <x:c r="AC282" s="3"/>
      <x:c r="AD282" s="3"/>
      <x:c r="AE282" s="3"/>
      <x:c r="AF282" s="3"/>
      <x:c r="AG282" s="3"/>
      <x:c r="AH282" s="3"/>
      <x:c r="AI282" s="3"/>
      <x:c r="AJ282" s="3"/>
      <x:c r="AK282" s="3"/>
      <x:c r="AL282" s="3"/>
      <x:c r="AM282" s="3"/>
      <x:c r="AN282" s="3"/>
      <x:c r="AO282" s="3"/>
    </x:row>
    <x:row r="283" ht="24" customHeight="1">
      <x:c r="A283" s="3" t="n">
        <x:v>244</x:v>
      </x:c>
      <x:c r="B283" s="35" t="n">
        <x:f>SUM(IF(AND(243&gt;='EDT Y TAREAS'!AK6,243&lt;'EDT Y TAREAS'!AL6),'EDT Y TAREAS'!AD6/'EDT Y TAREAS'!M6,0),IF(AND(243&gt;='EDT Y TAREAS'!AK7,243&lt;'EDT Y TAREAS'!AL7),'EDT Y TAREAS'!AD7/'EDT Y TAREAS'!M7,0),IF(AND(243&gt;='EDT Y TAREAS'!AK8,243&lt;'EDT Y TAREAS'!AL8),'EDT Y TAREAS'!AD8/'EDT Y TAREAS'!M8,0),IF(AND(243&gt;='EDT Y TAREAS'!AK9,243&lt;'EDT Y TAREAS'!AL9),'EDT Y TAREAS'!AD9/'EDT Y TAREAS'!M9,0),IF(AND(243&gt;='EDT Y TAREAS'!AK10,243&lt;'EDT Y TAREAS'!AL10),'EDT Y TAREAS'!AD10/'EDT Y TAREAS'!M10,0),IF(AND(243&gt;='EDT Y TAREAS'!AK11,243&lt;'EDT Y TAREAS'!AL11),'EDT Y TAREAS'!AD11/'EDT Y TAREAS'!M11,0),IF(AND(243&gt;='EDT Y TAREAS'!AK12,243&lt;'EDT Y TAREAS'!AL12),'EDT Y TAREAS'!AD12/'EDT Y TAREAS'!M12,0),IF(AND(243&gt;='EDT Y TAREAS'!AK13,243&lt;'EDT Y TAREAS'!AL13),'EDT Y TAREAS'!AD13/'EDT Y TAREAS'!M13,0),IF(AND(243&gt;='EDT Y TAREAS'!AK14,243&lt;'EDT Y TAREAS'!AL14),'EDT Y TAREAS'!AD14/'EDT Y TAREAS'!M14,0),IF(AND(243&gt;='EDT Y TAREAS'!AK15,243&lt;'EDT Y TAREAS'!AL15),'EDT Y TAREAS'!AD15/'EDT Y TAREAS'!M15,0),IF(AND(243&gt;='EDT Y TAREAS'!AK16,243&lt;'EDT Y TAREAS'!AL16),'EDT Y TAREAS'!AD16/'EDT Y TAREAS'!M16,0),IF(AND(243&gt;='EDT Y TAREAS'!AK17,243&lt;'EDT Y TAREAS'!AL17),'EDT Y TAREAS'!AD17/'EDT Y TAREAS'!M17,0),IF(AND(243&gt;='EDT Y TAREAS'!AK18,243&lt;'EDT Y TAREAS'!AL18),'EDT Y TAREAS'!AD18/'EDT Y TAREAS'!M18,0),IF(AND(243&gt;='EDT Y TAREAS'!AK19,243&lt;'EDT Y TAREAS'!AL19),'EDT Y TAREAS'!AD19/'EDT Y TAREAS'!M19,0),IF(AND(243&gt;='EDT Y TAREAS'!AK20,243&lt;'EDT Y TAREAS'!AL20),'EDT Y TAREAS'!AD20/'EDT Y TAREAS'!M20,0),IF(AND(243&gt;='EDT Y TAREAS'!AK21,243&lt;'EDT Y TAREAS'!AL21),'EDT Y TAREAS'!AD21/'EDT Y TAREAS'!M21,0),IF(AND(243&gt;='EDT Y TAREAS'!AK22,243&lt;'EDT Y TAREAS'!AL22),'EDT Y TAREAS'!AD22/'EDT Y TAREAS'!M22,0),IF(AND(243&gt;='EDT Y TAREAS'!AK23,243&lt;'EDT Y TAREAS'!AL23),'EDT Y TAREAS'!AD23/'EDT Y TAREAS'!M23,0),IF(AND(243&gt;='EDT Y TAREAS'!AK26,243&lt;'EDT Y TAREAS'!AL26),'EDT Y TAREAS'!AD26/'EDT Y TAREAS'!M26,0),IF(AND(243&gt;='EDT Y TAREAS'!AK28,243&lt;'EDT Y TAREAS'!AL28),'EDT Y TAREAS'!AD28/'EDT Y TAREAS'!M28,0),IF(AND(243&gt;='EDT Y TAREAS'!AK30,243&lt;'EDT Y TAREAS'!AL30),'EDT Y TAREAS'!AD30/'EDT Y TAREAS'!M30,0),IF(AND(243&gt;='EDT Y TAREAS'!AK32,243&lt;'EDT Y TAREAS'!AL32),'EDT Y TAREAS'!AD32/'EDT Y TAREAS'!M32,0),IF(AND(243&gt;='EDT Y TAREAS'!AK34,243&lt;'EDT Y TAREAS'!AL34),'EDT Y TAREAS'!AD34/'EDT Y TAREAS'!M34,0),IF(AND(243&gt;='EDT Y TAREAS'!AK38,243&lt;'EDT Y TAREAS'!AL38),'EDT Y TAREAS'!AD38/'EDT Y TAREAS'!M38,0),IF(AND(243&gt;='EDT Y TAREAS'!AK39,243&lt;'EDT Y TAREAS'!AL39),'EDT Y TAREAS'!AD39/'EDT Y TAREAS'!M39,0),IF(AND(243&gt;='EDT Y TAREAS'!AK43,243&lt;'EDT Y TAREAS'!AL43),'EDT Y TAREAS'!AD43/'EDT Y TAREAS'!M43,0),IF(AND(243&gt;='EDT Y TAREAS'!AK44,243&lt;'EDT Y TAREAS'!AL44),'EDT Y TAREAS'!AD44/'EDT Y TAREAS'!M44,0),IF(AND(243&gt;='EDT Y TAREAS'!AK45,243&lt;'EDT Y TAREAS'!AL45),'EDT Y TAREAS'!AD45/'EDT Y TAREAS'!M45,0),IF(AND(243&gt;='EDT Y TAREAS'!AK46,243&lt;'EDT Y TAREAS'!AL46),'EDT Y TAREAS'!AD46/'EDT Y TAREAS'!M46,0),IF(AND(243&gt;='EDT Y TAREAS'!AK47,243&lt;'EDT Y TAREAS'!AL47),'EDT Y TAREAS'!AD47/'EDT Y TAREAS'!M47,0),IF(AND(243&gt;='EDT Y TAREAS'!AK49,243&lt;'EDT Y TAREAS'!AL49),'EDT Y TAREAS'!AD49/'EDT Y TAREAS'!M49,0),IF(AND(243&gt;='EDT Y TAREAS'!AK50,243&lt;'EDT Y TAREAS'!AL50),'EDT Y TAREAS'!AD50/'EDT Y TAREAS'!M50,0),IF(AND(243&gt;='EDT Y TAREAS'!AK51,243&lt;'EDT Y TAREAS'!AL51),'EDT Y TAREAS'!AD51/'EDT Y TAREAS'!M51,0),IF(AND(243&gt;='EDT Y TAREAS'!AK52,243&lt;'EDT Y TAREAS'!AL52),'EDT Y TAREAS'!AD52/'EDT Y TAREAS'!M52,0))</x:f>
        <x:v>0</x:v>
      </x:c>
      <x:c r="C283" s="35" t="n">
        <x:f>SUM(IF(AND(243&gt;='EDT Y TAREAS'!AK6,243&lt;'EDT Y TAREAS'!AL6),'EDT Y TAREAS'!AE6/'EDT Y TAREAS'!M6,0),IF(AND(243&gt;='EDT Y TAREAS'!AK8,243&lt;'EDT Y TAREAS'!AL8),'EDT Y TAREAS'!AE8/'EDT Y TAREAS'!M8,0),IF(AND(243&gt;='EDT Y TAREAS'!AK9,243&lt;'EDT Y TAREAS'!AL9),'EDT Y TAREAS'!AE9/'EDT Y TAREAS'!M9,0),IF(AND(243&gt;='EDT Y TAREAS'!AK10,243&lt;'EDT Y TAREAS'!AL10),'EDT Y TAREAS'!AE10/'EDT Y TAREAS'!M10,0),IF(AND(243&gt;='EDT Y TAREAS'!AK12,243&lt;'EDT Y TAREAS'!AL12),'EDT Y TAREAS'!AE12/'EDT Y TAREAS'!M12,0),IF(AND(243&gt;='EDT Y TAREAS'!AK16,243&lt;'EDT Y TAREAS'!AL16),'EDT Y TAREAS'!AE16/'EDT Y TAREAS'!M16,0),IF(AND(243&gt;='EDT Y TAREAS'!AK21,243&lt;'EDT Y TAREAS'!AL21),'EDT Y TAREAS'!AE21/'EDT Y TAREAS'!M21,0),IF(AND(243&gt;='EDT Y TAREAS'!AK23,243&lt;'EDT Y TAREAS'!AL23),'EDT Y TAREAS'!AE23/'EDT Y TAREAS'!M23,0),IF(AND(243&gt;='EDT Y TAREAS'!AK37,243&lt;'EDT Y TAREAS'!AL37),'EDT Y TAREAS'!AE37/'EDT Y TAREAS'!M37,0),IF(AND(243&gt;='EDT Y TAREAS'!AK38,243&lt;'EDT Y TAREAS'!AL38),'EDT Y TAREAS'!AE38/'EDT Y TAREAS'!M38,0),IF(AND(243&gt;='EDT Y TAREAS'!AK41,243&lt;'EDT Y TAREAS'!AL41),'EDT Y TAREAS'!AE41/'EDT Y TAREAS'!M41,0),IF(AND(243&gt;='EDT Y TAREAS'!AK43,243&lt;'EDT Y TAREAS'!AL43),'EDT Y TAREAS'!AE43/'EDT Y TAREAS'!M43,0),IF(AND(243&gt;='EDT Y TAREAS'!AK44,243&lt;'EDT Y TAREAS'!AL44),'EDT Y TAREAS'!AE44/'EDT Y TAREAS'!M44,0),IF(AND(243&gt;='EDT Y TAREAS'!AK46,243&lt;'EDT Y TAREAS'!AL46),'EDT Y TAREAS'!AE46/'EDT Y TAREAS'!M46,0),IF(AND(243&gt;='EDT Y TAREAS'!AK47,243&lt;'EDT Y TAREAS'!AL47),'EDT Y TAREAS'!AE47/'EDT Y TAREAS'!M47,0),IF(AND(243&gt;='EDT Y TAREAS'!AK51,243&lt;'EDT Y TAREAS'!AL51),'EDT Y TAREAS'!AE51/'EDT Y TAREAS'!M51,0),IF(AND(243&gt;='EDT Y TAREAS'!AK52,243&lt;'EDT Y TAREAS'!AL52),'EDT Y TAREAS'!AE52/'EDT Y TAREAS'!M52,0))</x:f>
        <x:v>0</x:v>
      </x:c>
      <x:c r="D283" s="35" t="n">
        <x:f>SUM(IF(AND(243&gt;='EDT Y TAREAS'!AK11,243&lt;'EDT Y TAREAS'!AL11),'EDT Y TAREAS'!AF11/'EDT Y TAREAS'!M11,0),IF(AND(243&gt;='EDT Y TAREAS'!AK24,243&lt;'EDT Y TAREAS'!AL24),'EDT Y TAREAS'!AF24/'EDT Y TAREAS'!M24,0),IF(AND(243&gt;='EDT Y TAREAS'!AK25,243&lt;'EDT Y TAREAS'!AL25),'EDT Y TAREAS'!AF25/'EDT Y TAREAS'!M25,0),IF(AND(243&gt;='EDT Y TAREAS'!AK26,243&lt;'EDT Y TAREAS'!AL26),'EDT Y TAREAS'!AF26/'EDT Y TAREAS'!M26,0),IF(AND(243&gt;='EDT Y TAREAS'!AK27,243&lt;'EDT Y TAREAS'!AL27),'EDT Y TAREAS'!AF27/'EDT Y TAREAS'!M27,0),IF(AND(243&gt;='EDT Y TAREAS'!AK28,243&lt;'EDT Y TAREAS'!AL28),'EDT Y TAREAS'!AF28/'EDT Y TAREAS'!M28,0),IF(AND(243&gt;='EDT Y TAREAS'!AK31,243&lt;'EDT Y TAREAS'!AL31),'EDT Y TAREAS'!AF31/'EDT Y TAREAS'!M31,0),IF(AND(243&gt;='EDT Y TAREAS'!AK33,243&lt;'EDT Y TAREAS'!AL33),'EDT Y TAREAS'!AF33/'EDT Y TAREAS'!M33,0),IF(AND(243&gt;='EDT Y TAREAS'!AK34,243&lt;'EDT Y TAREAS'!AL34),'EDT Y TAREAS'!AF34/'EDT Y TAREAS'!M34,0),IF(AND(243&gt;='EDT Y TAREAS'!AK35,243&lt;'EDT Y TAREAS'!AL35),'EDT Y TAREAS'!AF35/'EDT Y TAREAS'!M35,0),IF(AND(243&gt;='EDT Y TAREAS'!AK37,243&lt;'EDT Y TAREAS'!AL37),'EDT Y TAREAS'!AF37/'EDT Y TAREAS'!M37,0),IF(AND(243&gt;='EDT Y TAREAS'!AK39,243&lt;'EDT Y TAREAS'!AL39),'EDT Y TAREAS'!AF39/'EDT Y TAREAS'!M39,0),IF(AND(243&gt;='EDT Y TAREAS'!AK40,243&lt;'EDT Y TAREAS'!AL40),'EDT Y TAREAS'!AF40/'EDT Y TAREAS'!M40,0),IF(AND(243&gt;='EDT Y TAREAS'!AK42,243&lt;'EDT Y TAREAS'!AL42),'EDT Y TAREAS'!AF42/'EDT Y TAREAS'!M42,0),IF(AND(243&gt;='EDT Y TAREAS'!AK45,243&lt;'EDT Y TAREAS'!AL45),'EDT Y TAREAS'!AF45/'EDT Y TAREAS'!M45,0),IF(AND(243&gt;='EDT Y TAREAS'!AK49,243&lt;'EDT Y TAREAS'!AL49),'EDT Y TAREAS'!AF49/'EDT Y TAREAS'!M49,0),IF(AND(243&gt;='EDT Y TAREAS'!AK52,243&lt;'EDT Y TAREAS'!AL52),'EDT Y TAREAS'!AF52/'EDT Y TAREAS'!M52,0))</x:f>
        <x:v>0</x:v>
      </x:c>
      <x:c r="E283" s="35" t="n">
        <x:f>SUM(IF(AND(243&gt;='EDT Y TAREAS'!AK29,243&lt;'EDT Y TAREAS'!AL29),'EDT Y TAREAS'!AG29/'EDT Y TAREAS'!M29,0),IF(AND(243&gt;='EDT Y TAREAS'!AK30,243&lt;'EDT Y TAREAS'!AL30),'EDT Y TAREAS'!AG30/'EDT Y TAREAS'!M30,0),IF(AND(243&gt;='EDT Y TAREAS'!AK31,243&lt;'EDT Y TAREAS'!AL31),'EDT Y TAREAS'!AG31/'EDT Y TAREAS'!M31,0),IF(AND(243&gt;='EDT Y TAREAS'!AK32,243&lt;'EDT Y TAREAS'!AL32),'EDT Y TAREAS'!AG32/'EDT Y TAREAS'!M32,0),IF(AND(243&gt;='EDT Y TAREAS'!AK41,243&lt;'EDT Y TAREAS'!AL41),'EDT Y TAREAS'!AG41/'EDT Y TAREAS'!M41,0),IF(AND(243&gt;='EDT Y TAREAS'!AK45,243&lt;'EDT Y TAREAS'!AL45),'EDT Y TAREAS'!AG45/'EDT Y TAREAS'!M45,0),IF(AND(243&gt;='EDT Y TAREAS'!AK48,243&lt;'EDT Y TAREAS'!AL48),'EDT Y TAREAS'!AG48/'EDT Y TAREAS'!M48,0))</x:f>
        <x:v>0</x:v>
      </x:c>
      <x:c r="F283" s="35" t="n">
        <x:f>SUM(IF(AND(243&gt;='EDT Y TAREAS'!AK10,243&lt;'EDT Y TAREAS'!AL10),'EDT Y TAREAS'!AH10/'EDT Y TAREAS'!M10,0),IF(AND(243&gt;='EDT Y TAREAS'!AK12,243&lt;'EDT Y TAREAS'!AL12),'EDT Y TAREAS'!AH12/'EDT Y TAREAS'!M12,0),IF(AND(243&gt;='EDT Y TAREAS'!AK22,243&lt;'EDT Y TAREAS'!AL22),'EDT Y TAREAS'!AH22/'EDT Y TAREAS'!M22,0),IF(AND(243&gt;='EDT Y TAREAS'!AK23,243&lt;'EDT Y TAREAS'!AL23),'EDT Y TAREAS'!AH23/'EDT Y TAREAS'!M23,0),IF(AND(243&gt;='EDT Y TAREAS'!AK29,243&lt;'EDT Y TAREAS'!AL29),'EDT Y TAREAS'!AH29/'EDT Y TAREAS'!M29,0),IF(AND(243&gt;='EDT Y TAREAS'!AK30,243&lt;'EDT Y TAREAS'!AL30),'EDT Y TAREAS'!AH30/'EDT Y TAREAS'!M30,0),IF(AND(243&gt;='EDT Y TAREAS'!AK32,243&lt;'EDT Y TAREAS'!AL32),'EDT Y TAREAS'!AH32/'EDT Y TAREAS'!M32,0),IF(AND(243&gt;='EDT Y TAREAS'!AK41,243&lt;'EDT Y TAREAS'!AL41),'EDT Y TAREAS'!AH41/'EDT Y TAREAS'!M41,0),IF(AND(243&gt;='EDT Y TAREAS'!AK44,243&lt;'EDT Y TAREAS'!AL44),'EDT Y TAREAS'!AH44/'EDT Y TAREAS'!M44,0),IF(AND(243&gt;='EDT Y TAREAS'!AK46,243&lt;'EDT Y TAREAS'!AL46),'EDT Y TAREAS'!AH46/'EDT Y TAREAS'!M46,0),IF(AND(243&gt;='EDT Y TAREAS'!AK48,243&lt;'EDT Y TAREAS'!AL48),'EDT Y TAREAS'!AH48/'EDT Y TAREAS'!M48,0))</x:f>
        <x:v>0</x:v>
      </x:c>
      <x:c r="G283" s="35" t="n">
        <x:f>SUM(IF(AND(243&gt;='EDT Y TAREAS'!AK20,243&lt;'EDT Y TAREAS'!AL20),'EDT Y TAREAS'!AI20/'EDT Y TAREAS'!M20,0),IF(AND(243&gt;='EDT Y TAREAS'!AK25,243&lt;'EDT Y TAREAS'!AL25),'EDT Y TAREAS'!AI25/'EDT Y TAREAS'!M25,0),IF(AND(243&gt;='EDT Y TAREAS'!AK33,243&lt;'EDT Y TAREAS'!AL33),'EDT Y TAREAS'!AI33/'EDT Y TAREAS'!M33,0),IF(AND(243&gt;='EDT Y TAREAS'!AK34,243&lt;'EDT Y TAREAS'!AL34),'EDT Y TAREAS'!AI34/'EDT Y TAREAS'!M34,0),IF(AND(243&gt;='EDT Y TAREAS'!AK36,243&lt;'EDT Y TAREAS'!AL36),'EDT Y TAREAS'!AI36/'EDT Y TAREAS'!M36,0),IF(AND(243&gt;='EDT Y TAREAS'!AK39,243&lt;'EDT Y TAREAS'!AL39),'EDT Y TAREAS'!AI39/'EDT Y TAREAS'!M39,0),IF(AND(243&gt;='EDT Y TAREAS'!AK40,243&lt;'EDT Y TAREAS'!AL40),'EDT Y TAREAS'!AI40/'EDT Y TAREAS'!M40,0),IF(AND(243&gt;='EDT Y TAREAS'!AK42,243&lt;'EDT Y TAREAS'!AL42),'EDT Y TAREAS'!AI42/'EDT Y TAREAS'!M42,0),IF(AND(243&gt;='EDT Y TAREAS'!AK43,243&lt;'EDT Y TAREAS'!AL43),'EDT Y TAREAS'!AI43/'EDT Y TAREAS'!M43,0),IF(AND(243&gt;='EDT Y TAREAS'!AK44,243&lt;'EDT Y TAREAS'!AL44),'EDT Y TAREAS'!AI44/'EDT Y TAREAS'!M44,0),IF(AND(243&gt;='EDT Y TAREAS'!AK45,243&lt;'EDT Y TAREAS'!AL45),'EDT Y TAREAS'!AI45/'EDT Y TAREAS'!M45,0),IF(AND(243&gt;='EDT Y TAREAS'!AK46,243&lt;'EDT Y TAREAS'!AL46),'EDT Y TAREAS'!AI46/'EDT Y TAREAS'!M46,0),IF(AND(243&gt;='EDT Y TAREAS'!AK48,243&lt;'EDT Y TAREAS'!AL48),'EDT Y TAREAS'!AI48/'EDT Y TAREAS'!M48,0),IF(AND(243&gt;='EDT Y TAREAS'!AK50,243&lt;'EDT Y TAREAS'!AL50),'EDT Y TAREAS'!AI50/'EDT Y TAREAS'!M50,0),IF(AND(243&gt;='EDT Y TAREAS'!AK52,243&lt;'EDT Y TAREAS'!AL52),'EDT Y TAREAS'!AI52/'EDT Y TAREAS'!M52,0))</x:f>
        <x:v>0</x:v>
      </x:c>
      <x:c r="H283" s="35" t="n">
        <x:f>SUM(IF(AND(243&gt;='EDT Y TAREAS'!AK11,243&lt;'EDT Y TAREAS'!AL11),'EDT Y TAREAS'!AJ11/'EDT Y TAREAS'!M11,0),IF(AND(243&gt;='EDT Y TAREAS'!AK24,243&lt;'EDT Y TAREAS'!AL24),'EDT Y TAREAS'!AJ24/'EDT Y TAREAS'!M24,0),IF(AND(243&gt;='EDT Y TAREAS'!AK27,243&lt;'EDT Y TAREAS'!AL27),'EDT Y TAREAS'!AJ27/'EDT Y TAREAS'!M27,0),IF(AND(243&gt;='EDT Y TAREAS'!AK28,243&lt;'EDT Y TAREAS'!AL28),'EDT Y TAREAS'!AJ28/'EDT Y TAREAS'!M28,0),IF(AND(243&gt;='EDT Y TAREAS'!AK33,243&lt;'EDT Y TAREAS'!AL33),'EDT Y TAREAS'!AJ33/'EDT Y TAREAS'!M33,0),IF(AND(243&gt;='EDT Y TAREAS'!AK35,243&lt;'EDT Y TAREAS'!AL35),'EDT Y TAREAS'!AJ35/'EDT Y TAREAS'!M35,0),IF(AND(243&gt;='EDT Y TAREAS'!AK36,243&lt;'EDT Y TAREAS'!AL36),'EDT Y TAREAS'!AJ36/'EDT Y TAREAS'!M36,0),IF(AND(243&gt;='EDT Y TAREAS'!AK37,243&lt;'EDT Y TAREAS'!AL37),'EDT Y TAREAS'!AJ37/'EDT Y TAREAS'!M37,0),IF(AND(243&gt;='EDT Y TAREAS'!AK40,243&lt;'EDT Y TAREAS'!AL40),'EDT Y TAREAS'!AJ40/'EDT Y TAREAS'!M40,0),IF(AND(243&gt;='EDT Y TAREAS'!AK42,243&lt;'EDT Y TAREAS'!AL42),'EDT Y TAREAS'!AJ42/'EDT Y TAREAS'!M42,0),IF(AND(243&gt;='EDT Y TAREAS'!AK49,243&lt;'EDT Y TAREAS'!AL49),'EDT Y TAREAS'!AJ49/'EDT Y TAREAS'!M49,0),IF(AND(243&gt;='EDT Y TAREAS'!AK50,243&lt;'EDT Y TAREAS'!AL50),'EDT Y TAREAS'!AJ50/'EDT Y TAREAS'!M50,0),IF(AND(243&gt;='EDT Y TAREAS'!AK51,243&lt;'EDT Y TAREAS'!AL51),'EDT Y TAREAS'!AJ51/'EDT Y TAREAS'!M51,0),IF(AND(243&gt;='EDT Y TAREAS'!AK52,243&lt;'EDT Y TAREAS'!AL52),'EDT Y TAREAS'!AJ52/'EDT Y TAREAS'!M52,0))</x:f>
        <x:v>0</x:v>
      </x:c>
      <x:c r="I283" s="10" t="n">
        <x:f>WORKDAY('RESUMEN'!$D$3-1,A283,'RESUMEN'!$J$6:$J$25)</x:f>
        <x:v>46667</x:v>
      </x:c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  <x:c r="AA283" s="3"/>
      <x:c r="AB283" s="3"/>
      <x:c r="AC283" s="3"/>
      <x:c r="AD283" s="3"/>
      <x:c r="AE283" s="3"/>
      <x:c r="AF283" s="3"/>
      <x:c r="AG283" s="3"/>
      <x:c r="AH283" s="3"/>
      <x:c r="AI283" s="3"/>
      <x:c r="AJ283" s="3"/>
      <x:c r="AK283" s="3"/>
      <x:c r="AL283" s="3"/>
      <x:c r="AM283" s="3"/>
      <x:c r="AN283" s="3"/>
      <x:c r="AO283" s="3"/>
    </x:row>
    <x:row r="284" ht="24" customHeight="1">
      <x:c r="A284" s="3" t="n">
        <x:v>245</x:v>
      </x:c>
      <x:c r="B284" s="35" t="n">
        <x:f>SUM(IF(AND(244&gt;='EDT Y TAREAS'!AK6,244&lt;'EDT Y TAREAS'!AL6),'EDT Y TAREAS'!AD6/'EDT Y TAREAS'!M6,0),IF(AND(244&gt;='EDT Y TAREAS'!AK7,244&lt;'EDT Y TAREAS'!AL7),'EDT Y TAREAS'!AD7/'EDT Y TAREAS'!M7,0),IF(AND(244&gt;='EDT Y TAREAS'!AK8,244&lt;'EDT Y TAREAS'!AL8),'EDT Y TAREAS'!AD8/'EDT Y TAREAS'!M8,0),IF(AND(244&gt;='EDT Y TAREAS'!AK9,244&lt;'EDT Y TAREAS'!AL9),'EDT Y TAREAS'!AD9/'EDT Y TAREAS'!M9,0),IF(AND(244&gt;='EDT Y TAREAS'!AK10,244&lt;'EDT Y TAREAS'!AL10),'EDT Y TAREAS'!AD10/'EDT Y TAREAS'!M10,0),IF(AND(244&gt;='EDT Y TAREAS'!AK11,244&lt;'EDT Y TAREAS'!AL11),'EDT Y TAREAS'!AD11/'EDT Y TAREAS'!M11,0),IF(AND(244&gt;='EDT Y TAREAS'!AK12,244&lt;'EDT Y TAREAS'!AL12),'EDT Y TAREAS'!AD12/'EDT Y TAREAS'!M12,0),IF(AND(244&gt;='EDT Y TAREAS'!AK13,244&lt;'EDT Y TAREAS'!AL13),'EDT Y TAREAS'!AD13/'EDT Y TAREAS'!M13,0),IF(AND(244&gt;='EDT Y TAREAS'!AK14,244&lt;'EDT Y TAREAS'!AL14),'EDT Y TAREAS'!AD14/'EDT Y TAREAS'!M14,0),IF(AND(244&gt;='EDT Y TAREAS'!AK15,244&lt;'EDT Y TAREAS'!AL15),'EDT Y TAREAS'!AD15/'EDT Y TAREAS'!M15,0),IF(AND(244&gt;='EDT Y TAREAS'!AK16,244&lt;'EDT Y TAREAS'!AL16),'EDT Y TAREAS'!AD16/'EDT Y TAREAS'!M16,0),IF(AND(244&gt;='EDT Y TAREAS'!AK17,244&lt;'EDT Y TAREAS'!AL17),'EDT Y TAREAS'!AD17/'EDT Y TAREAS'!M17,0),IF(AND(244&gt;='EDT Y TAREAS'!AK18,244&lt;'EDT Y TAREAS'!AL18),'EDT Y TAREAS'!AD18/'EDT Y TAREAS'!M18,0),IF(AND(244&gt;='EDT Y TAREAS'!AK19,244&lt;'EDT Y TAREAS'!AL19),'EDT Y TAREAS'!AD19/'EDT Y TAREAS'!M19,0),IF(AND(244&gt;='EDT Y TAREAS'!AK20,244&lt;'EDT Y TAREAS'!AL20),'EDT Y TAREAS'!AD20/'EDT Y TAREAS'!M20,0),IF(AND(244&gt;='EDT Y TAREAS'!AK21,244&lt;'EDT Y TAREAS'!AL21),'EDT Y TAREAS'!AD21/'EDT Y TAREAS'!M21,0),IF(AND(244&gt;='EDT Y TAREAS'!AK22,244&lt;'EDT Y TAREAS'!AL22),'EDT Y TAREAS'!AD22/'EDT Y TAREAS'!M22,0),IF(AND(244&gt;='EDT Y TAREAS'!AK23,244&lt;'EDT Y TAREAS'!AL23),'EDT Y TAREAS'!AD23/'EDT Y TAREAS'!M23,0),IF(AND(244&gt;='EDT Y TAREAS'!AK26,244&lt;'EDT Y TAREAS'!AL26),'EDT Y TAREAS'!AD26/'EDT Y TAREAS'!M26,0),IF(AND(244&gt;='EDT Y TAREAS'!AK28,244&lt;'EDT Y TAREAS'!AL28),'EDT Y TAREAS'!AD28/'EDT Y TAREAS'!M28,0),IF(AND(244&gt;='EDT Y TAREAS'!AK30,244&lt;'EDT Y TAREAS'!AL30),'EDT Y TAREAS'!AD30/'EDT Y TAREAS'!M30,0),IF(AND(244&gt;='EDT Y TAREAS'!AK32,244&lt;'EDT Y TAREAS'!AL32),'EDT Y TAREAS'!AD32/'EDT Y TAREAS'!M32,0),IF(AND(244&gt;='EDT Y TAREAS'!AK34,244&lt;'EDT Y TAREAS'!AL34),'EDT Y TAREAS'!AD34/'EDT Y TAREAS'!M34,0),IF(AND(244&gt;='EDT Y TAREAS'!AK38,244&lt;'EDT Y TAREAS'!AL38),'EDT Y TAREAS'!AD38/'EDT Y TAREAS'!M38,0),IF(AND(244&gt;='EDT Y TAREAS'!AK39,244&lt;'EDT Y TAREAS'!AL39),'EDT Y TAREAS'!AD39/'EDT Y TAREAS'!M39,0),IF(AND(244&gt;='EDT Y TAREAS'!AK43,244&lt;'EDT Y TAREAS'!AL43),'EDT Y TAREAS'!AD43/'EDT Y TAREAS'!M43,0),IF(AND(244&gt;='EDT Y TAREAS'!AK44,244&lt;'EDT Y TAREAS'!AL44),'EDT Y TAREAS'!AD44/'EDT Y TAREAS'!M44,0),IF(AND(244&gt;='EDT Y TAREAS'!AK45,244&lt;'EDT Y TAREAS'!AL45),'EDT Y TAREAS'!AD45/'EDT Y TAREAS'!M45,0),IF(AND(244&gt;='EDT Y TAREAS'!AK46,244&lt;'EDT Y TAREAS'!AL46),'EDT Y TAREAS'!AD46/'EDT Y TAREAS'!M46,0),IF(AND(244&gt;='EDT Y TAREAS'!AK47,244&lt;'EDT Y TAREAS'!AL47),'EDT Y TAREAS'!AD47/'EDT Y TAREAS'!M47,0),IF(AND(244&gt;='EDT Y TAREAS'!AK49,244&lt;'EDT Y TAREAS'!AL49),'EDT Y TAREAS'!AD49/'EDT Y TAREAS'!M49,0),IF(AND(244&gt;='EDT Y TAREAS'!AK50,244&lt;'EDT Y TAREAS'!AL50),'EDT Y TAREAS'!AD50/'EDT Y TAREAS'!M50,0),IF(AND(244&gt;='EDT Y TAREAS'!AK51,244&lt;'EDT Y TAREAS'!AL51),'EDT Y TAREAS'!AD51/'EDT Y TAREAS'!M51,0),IF(AND(244&gt;='EDT Y TAREAS'!AK52,244&lt;'EDT Y TAREAS'!AL52),'EDT Y TAREAS'!AD52/'EDT Y TAREAS'!M52,0))</x:f>
        <x:v>0</x:v>
      </x:c>
      <x:c r="C284" s="35" t="n">
        <x:f>SUM(IF(AND(244&gt;='EDT Y TAREAS'!AK6,244&lt;'EDT Y TAREAS'!AL6),'EDT Y TAREAS'!AE6/'EDT Y TAREAS'!M6,0),IF(AND(244&gt;='EDT Y TAREAS'!AK8,244&lt;'EDT Y TAREAS'!AL8),'EDT Y TAREAS'!AE8/'EDT Y TAREAS'!M8,0),IF(AND(244&gt;='EDT Y TAREAS'!AK9,244&lt;'EDT Y TAREAS'!AL9),'EDT Y TAREAS'!AE9/'EDT Y TAREAS'!M9,0),IF(AND(244&gt;='EDT Y TAREAS'!AK10,244&lt;'EDT Y TAREAS'!AL10),'EDT Y TAREAS'!AE10/'EDT Y TAREAS'!M10,0),IF(AND(244&gt;='EDT Y TAREAS'!AK12,244&lt;'EDT Y TAREAS'!AL12),'EDT Y TAREAS'!AE12/'EDT Y TAREAS'!M12,0),IF(AND(244&gt;='EDT Y TAREAS'!AK16,244&lt;'EDT Y TAREAS'!AL16),'EDT Y TAREAS'!AE16/'EDT Y TAREAS'!M16,0),IF(AND(244&gt;='EDT Y TAREAS'!AK21,244&lt;'EDT Y TAREAS'!AL21),'EDT Y TAREAS'!AE21/'EDT Y TAREAS'!M21,0),IF(AND(244&gt;='EDT Y TAREAS'!AK23,244&lt;'EDT Y TAREAS'!AL23),'EDT Y TAREAS'!AE23/'EDT Y TAREAS'!M23,0),IF(AND(244&gt;='EDT Y TAREAS'!AK37,244&lt;'EDT Y TAREAS'!AL37),'EDT Y TAREAS'!AE37/'EDT Y TAREAS'!M37,0),IF(AND(244&gt;='EDT Y TAREAS'!AK38,244&lt;'EDT Y TAREAS'!AL38),'EDT Y TAREAS'!AE38/'EDT Y TAREAS'!M38,0),IF(AND(244&gt;='EDT Y TAREAS'!AK41,244&lt;'EDT Y TAREAS'!AL41),'EDT Y TAREAS'!AE41/'EDT Y TAREAS'!M41,0),IF(AND(244&gt;='EDT Y TAREAS'!AK43,244&lt;'EDT Y TAREAS'!AL43),'EDT Y TAREAS'!AE43/'EDT Y TAREAS'!M43,0),IF(AND(244&gt;='EDT Y TAREAS'!AK44,244&lt;'EDT Y TAREAS'!AL44),'EDT Y TAREAS'!AE44/'EDT Y TAREAS'!M44,0),IF(AND(244&gt;='EDT Y TAREAS'!AK46,244&lt;'EDT Y TAREAS'!AL46),'EDT Y TAREAS'!AE46/'EDT Y TAREAS'!M46,0),IF(AND(244&gt;='EDT Y TAREAS'!AK47,244&lt;'EDT Y TAREAS'!AL47),'EDT Y TAREAS'!AE47/'EDT Y TAREAS'!M47,0),IF(AND(244&gt;='EDT Y TAREAS'!AK51,244&lt;'EDT Y TAREAS'!AL51),'EDT Y TAREAS'!AE51/'EDT Y TAREAS'!M51,0),IF(AND(244&gt;='EDT Y TAREAS'!AK52,244&lt;'EDT Y TAREAS'!AL52),'EDT Y TAREAS'!AE52/'EDT Y TAREAS'!M52,0))</x:f>
        <x:v>0</x:v>
      </x:c>
      <x:c r="D284" s="35" t="n">
        <x:f>SUM(IF(AND(244&gt;='EDT Y TAREAS'!AK11,244&lt;'EDT Y TAREAS'!AL11),'EDT Y TAREAS'!AF11/'EDT Y TAREAS'!M11,0),IF(AND(244&gt;='EDT Y TAREAS'!AK24,244&lt;'EDT Y TAREAS'!AL24),'EDT Y TAREAS'!AF24/'EDT Y TAREAS'!M24,0),IF(AND(244&gt;='EDT Y TAREAS'!AK25,244&lt;'EDT Y TAREAS'!AL25),'EDT Y TAREAS'!AF25/'EDT Y TAREAS'!M25,0),IF(AND(244&gt;='EDT Y TAREAS'!AK26,244&lt;'EDT Y TAREAS'!AL26),'EDT Y TAREAS'!AF26/'EDT Y TAREAS'!M26,0),IF(AND(244&gt;='EDT Y TAREAS'!AK27,244&lt;'EDT Y TAREAS'!AL27),'EDT Y TAREAS'!AF27/'EDT Y TAREAS'!M27,0),IF(AND(244&gt;='EDT Y TAREAS'!AK28,244&lt;'EDT Y TAREAS'!AL28),'EDT Y TAREAS'!AF28/'EDT Y TAREAS'!M28,0),IF(AND(244&gt;='EDT Y TAREAS'!AK31,244&lt;'EDT Y TAREAS'!AL31),'EDT Y TAREAS'!AF31/'EDT Y TAREAS'!M31,0),IF(AND(244&gt;='EDT Y TAREAS'!AK33,244&lt;'EDT Y TAREAS'!AL33),'EDT Y TAREAS'!AF33/'EDT Y TAREAS'!M33,0),IF(AND(244&gt;='EDT Y TAREAS'!AK34,244&lt;'EDT Y TAREAS'!AL34),'EDT Y TAREAS'!AF34/'EDT Y TAREAS'!M34,0),IF(AND(244&gt;='EDT Y TAREAS'!AK35,244&lt;'EDT Y TAREAS'!AL35),'EDT Y TAREAS'!AF35/'EDT Y TAREAS'!M35,0),IF(AND(244&gt;='EDT Y TAREAS'!AK37,244&lt;'EDT Y TAREAS'!AL37),'EDT Y TAREAS'!AF37/'EDT Y TAREAS'!M37,0),IF(AND(244&gt;='EDT Y TAREAS'!AK39,244&lt;'EDT Y TAREAS'!AL39),'EDT Y TAREAS'!AF39/'EDT Y TAREAS'!M39,0),IF(AND(244&gt;='EDT Y TAREAS'!AK40,244&lt;'EDT Y TAREAS'!AL40),'EDT Y TAREAS'!AF40/'EDT Y TAREAS'!M40,0),IF(AND(244&gt;='EDT Y TAREAS'!AK42,244&lt;'EDT Y TAREAS'!AL42),'EDT Y TAREAS'!AF42/'EDT Y TAREAS'!M42,0),IF(AND(244&gt;='EDT Y TAREAS'!AK45,244&lt;'EDT Y TAREAS'!AL45),'EDT Y TAREAS'!AF45/'EDT Y TAREAS'!M45,0),IF(AND(244&gt;='EDT Y TAREAS'!AK49,244&lt;'EDT Y TAREAS'!AL49),'EDT Y TAREAS'!AF49/'EDT Y TAREAS'!M49,0),IF(AND(244&gt;='EDT Y TAREAS'!AK52,244&lt;'EDT Y TAREAS'!AL52),'EDT Y TAREAS'!AF52/'EDT Y TAREAS'!M52,0))</x:f>
        <x:v>0</x:v>
      </x:c>
      <x:c r="E284" s="35" t="n">
        <x:f>SUM(IF(AND(244&gt;='EDT Y TAREAS'!AK29,244&lt;'EDT Y TAREAS'!AL29),'EDT Y TAREAS'!AG29/'EDT Y TAREAS'!M29,0),IF(AND(244&gt;='EDT Y TAREAS'!AK30,244&lt;'EDT Y TAREAS'!AL30),'EDT Y TAREAS'!AG30/'EDT Y TAREAS'!M30,0),IF(AND(244&gt;='EDT Y TAREAS'!AK31,244&lt;'EDT Y TAREAS'!AL31),'EDT Y TAREAS'!AG31/'EDT Y TAREAS'!M31,0),IF(AND(244&gt;='EDT Y TAREAS'!AK32,244&lt;'EDT Y TAREAS'!AL32),'EDT Y TAREAS'!AG32/'EDT Y TAREAS'!M32,0),IF(AND(244&gt;='EDT Y TAREAS'!AK41,244&lt;'EDT Y TAREAS'!AL41),'EDT Y TAREAS'!AG41/'EDT Y TAREAS'!M41,0),IF(AND(244&gt;='EDT Y TAREAS'!AK45,244&lt;'EDT Y TAREAS'!AL45),'EDT Y TAREAS'!AG45/'EDT Y TAREAS'!M45,0),IF(AND(244&gt;='EDT Y TAREAS'!AK48,244&lt;'EDT Y TAREAS'!AL48),'EDT Y TAREAS'!AG48/'EDT Y TAREAS'!M48,0))</x:f>
        <x:v>0</x:v>
      </x:c>
      <x:c r="F284" s="35" t="n">
        <x:f>SUM(IF(AND(244&gt;='EDT Y TAREAS'!AK10,244&lt;'EDT Y TAREAS'!AL10),'EDT Y TAREAS'!AH10/'EDT Y TAREAS'!M10,0),IF(AND(244&gt;='EDT Y TAREAS'!AK12,244&lt;'EDT Y TAREAS'!AL12),'EDT Y TAREAS'!AH12/'EDT Y TAREAS'!M12,0),IF(AND(244&gt;='EDT Y TAREAS'!AK22,244&lt;'EDT Y TAREAS'!AL22),'EDT Y TAREAS'!AH22/'EDT Y TAREAS'!M22,0),IF(AND(244&gt;='EDT Y TAREAS'!AK23,244&lt;'EDT Y TAREAS'!AL23),'EDT Y TAREAS'!AH23/'EDT Y TAREAS'!M23,0),IF(AND(244&gt;='EDT Y TAREAS'!AK29,244&lt;'EDT Y TAREAS'!AL29),'EDT Y TAREAS'!AH29/'EDT Y TAREAS'!M29,0),IF(AND(244&gt;='EDT Y TAREAS'!AK30,244&lt;'EDT Y TAREAS'!AL30),'EDT Y TAREAS'!AH30/'EDT Y TAREAS'!M30,0),IF(AND(244&gt;='EDT Y TAREAS'!AK32,244&lt;'EDT Y TAREAS'!AL32),'EDT Y TAREAS'!AH32/'EDT Y TAREAS'!M32,0),IF(AND(244&gt;='EDT Y TAREAS'!AK41,244&lt;'EDT Y TAREAS'!AL41),'EDT Y TAREAS'!AH41/'EDT Y TAREAS'!M41,0),IF(AND(244&gt;='EDT Y TAREAS'!AK44,244&lt;'EDT Y TAREAS'!AL44),'EDT Y TAREAS'!AH44/'EDT Y TAREAS'!M44,0),IF(AND(244&gt;='EDT Y TAREAS'!AK46,244&lt;'EDT Y TAREAS'!AL46),'EDT Y TAREAS'!AH46/'EDT Y TAREAS'!M46,0),IF(AND(244&gt;='EDT Y TAREAS'!AK48,244&lt;'EDT Y TAREAS'!AL48),'EDT Y TAREAS'!AH48/'EDT Y TAREAS'!M48,0))</x:f>
        <x:v>0</x:v>
      </x:c>
      <x:c r="G284" s="35" t="n">
        <x:f>SUM(IF(AND(244&gt;='EDT Y TAREAS'!AK20,244&lt;'EDT Y TAREAS'!AL20),'EDT Y TAREAS'!AI20/'EDT Y TAREAS'!M20,0),IF(AND(244&gt;='EDT Y TAREAS'!AK25,244&lt;'EDT Y TAREAS'!AL25),'EDT Y TAREAS'!AI25/'EDT Y TAREAS'!M25,0),IF(AND(244&gt;='EDT Y TAREAS'!AK33,244&lt;'EDT Y TAREAS'!AL33),'EDT Y TAREAS'!AI33/'EDT Y TAREAS'!M33,0),IF(AND(244&gt;='EDT Y TAREAS'!AK34,244&lt;'EDT Y TAREAS'!AL34),'EDT Y TAREAS'!AI34/'EDT Y TAREAS'!M34,0),IF(AND(244&gt;='EDT Y TAREAS'!AK36,244&lt;'EDT Y TAREAS'!AL36),'EDT Y TAREAS'!AI36/'EDT Y TAREAS'!M36,0),IF(AND(244&gt;='EDT Y TAREAS'!AK39,244&lt;'EDT Y TAREAS'!AL39),'EDT Y TAREAS'!AI39/'EDT Y TAREAS'!M39,0),IF(AND(244&gt;='EDT Y TAREAS'!AK40,244&lt;'EDT Y TAREAS'!AL40),'EDT Y TAREAS'!AI40/'EDT Y TAREAS'!M40,0),IF(AND(244&gt;='EDT Y TAREAS'!AK42,244&lt;'EDT Y TAREAS'!AL42),'EDT Y TAREAS'!AI42/'EDT Y TAREAS'!M42,0),IF(AND(244&gt;='EDT Y TAREAS'!AK43,244&lt;'EDT Y TAREAS'!AL43),'EDT Y TAREAS'!AI43/'EDT Y TAREAS'!M43,0),IF(AND(244&gt;='EDT Y TAREAS'!AK44,244&lt;'EDT Y TAREAS'!AL44),'EDT Y TAREAS'!AI44/'EDT Y TAREAS'!M44,0),IF(AND(244&gt;='EDT Y TAREAS'!AK45,244&lt;'EDT Y TAREAS'!AL45),'EDT Y TAREAS'!AI45/'EDT Y TAREAS'!M45,0),IF(AND(244&gt;='EDT Y TAREAS'!AK46,244&lt;'EDT Y TAREAS'!AL46),'EDT Y TAREAS'!AI46/'EDT Y TAREAS'!M46,0),IF(AND(244&gt;='EDT Y TAREAS'!AK48,244&lt;'EDT Y TAREAS'!AL48),'EDT Y TAREAS'!AI48/'EDT Y TAREAS'!M48,0),IF(AND(244&gt;='EDT Y TAREAS'!AK50,244&lt;'EDT Y TAREAS'!AL50),'EDT Y TAREAS'!AI50/'EDT Y TAREAS'!M50,0),IF(AND(244&gt;='EDT Y TAREAS'!AK52,244&lt;'EDT Y TAREAS'!AL52),'EDT Y TAREAS'!AI52/'EDT Y TAREAS'!M52,0))</x:f>
        <x:v>0</x:v>
      </x:c>
      <x:c r="H284" s="35" t="n">
        <x:f>SUM(IF(AND(244&gt;='EDT Y TAREAS'!AK11,244&lt;'EDT Y TAREAS'!AL11),'EDT Y TAREAS'!AJ11/'EDT Y TAREAS'!M11,0),IF(AND(244&gt;='EDT Y TAREAS'!AK24,244&lt;'EDT Y TAREAS'!AL24),'EDT Y TAREAS'!AJ24/'EDT Y TAREAS'!M24,0),IF(AND(244&gt;='EDT Y TAREAS'!AK27,244&lt;'EDT Y TAREAS'!AL27),'EDT Y TAREAS'!AJ27/'EDT Y TAREAS'!M27,0),IF(AND(244&gt;='EDT Y TAREAS'!AK28,244&lt;'EDT Y TAREAS'!AL28),'EDT Y TAREAS'!AJ28/'EDT Y TAREAS'!M28,0),IF(AND(244&gt;='EDT Y TAREAS'!AK33,244&lt;'EDT Y TAREAS'!AL33),'EDT Y TAREAS'!AJ33/'EDT Y TAREAS'!M33,0),IF(AND(244&gt;='EDT Y TAREAS'!AK35,244&lt;'EDT Y TAREAS'!AL35),'EDT Y TAREAS'!AJ35/'EDT Y TAREAS'!M35,0),IF(AND(244&gt;='EDT Y TAREAS'!AK36,244&lt;'EDT Y TAREAS'!AL36),'EDT Y TAREAS'!AJ36/'EDT Y TAREAS'!M36,0),IF(AND(244&gt;='EDT Y TAREAS'!AK37,244&lt;'EDT Y TAREAS'!AL37),'EDT Y TAREAS'!AJ37/'EDT Y TAREAS'!M37,0),IF(AND(244&gt;='EDT Y TAREAS'!AK40,244&lt;'EDT Y TAREAS'!AL40),'EDT Y TAREAS'!AJ40/'EDT Y TAREAS'!M40,0),IF(AND(244&gt;='EDT Y TAREAS'!AK42,244&lt;'EDT Y TAREAS'!AL42),'EDT Y TAREAS'!AJ42/'EDT Y TAREAS'!M42,0),IF(AND(244&gt;='EDT Y TAREAS'!AK49,244&lt;'EDT Y TAREAS'!AL49),'EDT Y TAREAS'!AJ49/'EDT Y TAREAS'!M49,0),IF(AND(244&gt;='EDT Y TAREAS'!AK50,244&lt;'EDT Y TAREAS'!AL50),'EDT Y TAREAS'!AJ50/'EDT Y TAREAS'!M50,0),IF(AND(244&gt;='EDT Y TAREAS'!AK51,244&lt;'EDT Y TAREAS'!AL51),'EDT Y TAREAS'!AJ51/'EDT Y TAREAS'!M51,0),IF(AND(244&gt;='EDT Y TAREAS'!AK52,244&lt;'EDT Y TAREAS'!AL52),'EDT Y TAREAS'!AJ52/'EDT Y TAREAS'!M52,0))</x:f>
        <x:v>0</x:v>
      </x:c>
      <x:c r="I284" s="10" t="n">
        <x:f>WORKDAY('RESUMEN'!$D$3-1,A284,'RESUMEN'!$J$6:$J$25)</x:f>
        <x:v>46668</x:v>
      </x:c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  <x:c r="AA284" s="3"/>
      <x:c r="AB284" s="3"/>
      <x:c r="AC284" s="3"/>
      <x:c r="AD284" s="3"/>
      <x:c r="AE284" s="3"/>
      <x:c r="AF284" s="3"/>
      <x:c r="AG284" s="3"/>
      <x:c r="AH284" s="3"/>
      <x:c r="AI284" s="3"/>
      <x:c r="AJ284" s="3"/>
      <x:c r="AK284" s="3"/>
      <x:c r="AL284" s="3"/>
      <x:c r="AM284" s="3"/>
      <x:c r="AN284" s="3"/>
      <x:c r="AO284" s="3"/>
    </x:row>
    <x:row r="285" ht="24" customHeight="1">
      <x:c r="A285" s="3" t="n">
        <x:v>246</x:v>
      </x:c>
      <x:c r="B285" s="35" t="n">
        <x:f>SUM(IF(AND(245&gt;='EDT Y TAREAS'!AK6,245&lt;'EDT Y TAREAS'!AL6),'EDT Y TAREAS'!AD6/'EDT Y TAREAS'!M6,0),IF(AND(245&gt;='EDT Y TAREAS'!AK7,245&lt;'EDT Y TAREAS'!AL7),'EDT Y TAREAS'!AD7/'EDT Y TAREAS'!M7,0),IF(AND(245&gt;='EDT Y TAREAS'!AK8,245&lt;'EDT Y TAREAS'!AL8),'EDT Y TAREAS'!AD8/'EDT Y TAREAS'!M8,0),IF(AND(245&gt;='EDT Y TAREAS'!AK9,245&lt;'EDT Y TAREAS'!AL9),'EDT Y TAREAS'!AD9/'EDT Y TAREAS'!M9,0),IF(AND(245&gt;='EDT Y TAREAS'!AK10,245&lt;'EDT Y TAREAS'!AL10),'EDT Y TAREAS'!AD10/'EDT Y TAREAS'!M10,0),IF(AND(245&gt;='EDT Y TAREAS'!AK11,245&lt;'EDT Y TAREAS'!AL11),'EDT Y TAREAS'!AD11/'EDT Y TAREAS'!M11,0),IF(AND(245&gt;='EDT Y TAREAS'!AK12,245&lt;'EDT Y TAREAS'!AL12),'EDT Y TAREAS'!AD12/'EDT Y TAREAS'!M12,0),IF(AND(245&gt;='EDT Y TAREAS'!AK13,245&lt;'EDT Y TAREAS'!AL13),'EDT Y TAREAS'!AD13/'EDT Y TAREAS'!M13,0),IF(AND(245&gt;='EDT Y TAREAS'!AK14,245&lt;'EDT Y TAREAS'!AL14),'EDT Y TAREAS'!AD14/'EDT Y TAREAS'!M14,0),IF(AND(245&gt;='EDT Y TAREAS'!AK15,245&lt;'EDT Y TAREAS'!AL15),'EDT Y TAREAS'!AD15/'EDT Y TAREAS'!M15,0),IF(AND(245&gt;='EDT Y TAREAS'!AK16,245&lt;'EDT Y TAREAS'!AL16),'EDT Y TAREAS'!AD16/'EDT Y TAREAS'!M16,0),IF(AND(245&gt;='EDT Y TAREAS'!AK17,245&lt;'EDT Y TAREAS'!AL17),'EDT Y TAREAS'!AD17/'EDT Y TAREAS'!M17,0),IF(AND(245&gt;='EDT Y TAREAS'!AK18,245&lt;'EDT Y TAREAS'!AL18),'EDT Y TAREAS'!AD18/'EDT Y TAREAS'!M18,0),IF(AND(245&gt;='EDT Y TAREAS'!AK19,245&lt;'EDT Y TAREAS'!AL19),'EDT Y TAREAS'!AD19/'EDT Y TAREAS'!M19,0),IF(AND(245&gt;='EDT Y TAREAS'!AK20,245&lt;'EDT Y TAREAS'!AL20),'EDT Y TAREAS'!AD20/'EDT Y TAREAS'!M20,0),IF(AND(245&gt;='EDT Y TAREAS'!AK21,245&lt;'EDT Y TAREAS'!AL21),'EDT Y TAREAS'!AD21/'EDT Y TAREAS'!M21,0),IF(AND(245&gt;='EDT Y TAREAS'!AK22,245&lt;'EDT Y TAREAS'!AL22),'EDT Y TAREAS'!AD22/'EDT Y TAREAS'!M22,0),IF(AND(245&gt;='EDT Y TAREAS'!AK23,245&lt;'EDT Y TAREAS'!AL23),'EDT Y TAREAS'!AD23/'EDT Y TAREAS'!M23,0),IF(AND(245&gt;='EDT Y TAREAS'!AK26,245&lt;'EDT Y TAREAS'!AL26),'EDT Y TAREAS'!AD26/'EDT Y TAREAS'!M26,0),IF(AND(245&gt;='EDT Y TAREAS'!AK28,245&lt;'EDT Y TAREAS'!AL28),'EDT Y TAREAS'!AD28/'EDT Y TAREAS'!M28,0),IF(AND(245&gt;='EDT Y TAREAS'!AK30,245&lt;'EDT Y TAREAS'!AL30),'EDT Y TAREAS'!AD30/'EDT Y TAREAS'!M30,0),IF(AND(245&gt;='EDT Y TAREAS'!AK32,245&lt;'EDT Y TAREAS'!AL32),'EDT Y TAREAS'!AD32/'EDT Y TAREAS'!M32,0),IF(AND(245&gt;='EDT Y TAREAS'!AK34,245&lt;'EDT Y TAREAS'!AL34),'EDT Y TAREAS'!AD34/'EDT Y TAREAS'!M34,0),IF(AND(245&gt;='EDT Y TAREAS'!AK38,245&lt;'EDT Y TAREAS'!AL38),'EDT Y TAREAS'!AD38/'EDT Y TAREAS'!M38,0),IF(AND(245&gt;='EDT Y TAREAS'!AK39,245&lt;'EDT Y TAREAS'!AL39),'EDT Y TAREAS'!AD39/'EDT Y TAREAS'!M39,0),IF(AND(245&gt;='EDT Y TAREAS'!AK43,245&lt;'EDT Y TAREAS'!AL43),'EDT Y TAREAS'!AD43/'EDT Y TAREAS'!M43,0),IF(AND(245&gt;='EDT Y TAREAS'!AK44,245&lt;'EDT Y TAREAS'!AL44),'EDT Y TAREAS'!AD44/'EDT Y TAREAS'!M44,0),IF(AND(245&gt;='EDT Y TAREAS'!AK45,245&lt;'EDT Y TAREAS'!AL45),'EDT Y TAREAS'!AD45/'EDT Y TAREAS'!M45,0),IF(AND(245&gt;='EDT Y TAREAS'!AK46,245&lt;'EDT Y TAREAS'!AL46),'EDT Y TAREAS'!AD46/'EDT Y TAREAS'!M46,0),IF(AND(245&gt;='EDT Y TAREAS'!AK47,245&lt;'EDT Y TAREAS'!AL47),'EDT Y TAREAS'!AD47/'EDT Y TAREAS'!M47,0),IF(AND(245&gt;='EDT Y TAREAS'!AK49,245&lt;'EDT Y TAREAS'!AL49),'EDT Y TAREAS'!AD49/'EDT Y TAREAS'!M49,0),IF(AND(245&gt;='EDT Y TAREAS'!AK50,245&lt;'EDT Y TAREAS'!AL50),'EDT Y TAREAS'!AD50/'EDT Y TAREAS'!M50,0),IF(AND(245&gt;='EDT Y TAREAS'!AK51,245&lt;'EDT Y TAREAS'!AL51),'EDT Y TAREAS'!AD51/'EDT Y TAREAS'!M51,0),IF(AND(245&gt;='EDT Y TAREAS'!AK52,245&lt;'EDT Y TAREAS'!AL52),'EDT Y TAREAS'!AD52/'EDT Y TAREAS'!M52,0))</x:f>
        <x:v>0</x:v>
      </x:c>
      <x:c r="C285" s="35" t="n">
        <x:f>SUM(IF(AND(245&gt;='EDT Y TAREAS'!AK6,245&lt;'EDT Y TAREAS'!AL6),'EDT Y TAREAS'!AE6/'EDT Y TAREAS'!M6,0),IF(AND(245&gt;='EDT Y TAREAS'!AK8,245&lt;'EDT Y TAREAS'!AL8),'EDT Y TAREAS'!AE8/'EDT Y TAREAS'!M8,0),IF(AND(245&gt;='EDT Y TAREAS'!AK9,245&lt;'EDT Y TAREAS'!AL9),'EDT Y TAREAS'!AE9/'EDT Y TAREAS'!M9,0),IF(AND(245&gt;='EDT Y TAREAS'!AK10,245&lt;'EDT Y TAREAS'!AL10),'EDT Y TAREAS'!AE10/'EDT Y TAREAS'!M10,0),IF(AND(245&gt;='EDT Y TAREAS'!AK12,245&lt;'EDT Y TAREAS'!AL12),'EDT Y TAREAS'!AE12/'EDT Y TAREAS'!M12,0),IF(AND(245&gt;='EDT Y TAREAS'!AK16,245&lt;'EDT Y TAREAS'!AL16),'EDT Y TAREAS'!AE16/'EDT Y TAREAS'!M16,0),IF(AND(245&gt;='EDT Y TAREAS'!AK21,245&lt;'EDT Y TAREAS'!AL21),'EDT Y TAREAS'!AE21/'EDT Y TAREAS'!M21,0),IF(AND(245&gt;='EDT Y TAREAS'!AK23,245&lt;'EDT Y TAREAS'!AL23),'EDT Y TAREAS'!AE23/'EDT Y TAREAS'!M23,0),IF(AND(245&gt;='EDT Y TAREAS'!AK37,245&lt;'EDT Y TAREAS'!AL37),'EDT Y TAREAS'!AE37/'EDT Y TAREAS'!M37,0),IF(AND(245&gt;='EDT Y TAREAS'!AK38,245&lt;'EDT Y TAREAS'!AL38),'EDT Y TAREAS'!AE38/'EDT Y TAREAS'!M38,0),IF(AND(245&gt;='EDT Y TAREAS'!AK41,245&lt;'EDT Y TAREAS'!AL41),'EDT Y TAREAS'!AE41/'EDT Y TAREAS'!M41,0),IF(AND(245&gt;='EDT Y TAREAS'!AK43,245&lt;'EDT Y TAREAS'!AL43),'EDT Y TAREAS'!AE43/'EDT Y TAREAS'!M43,0),IF(AND(245&gt;='EDT Y TAREAS'!AK44,245&lt;'EDT Y TAREAS'!AL44),'EDT Y TAREAS'!AE44/'EDT Y TAREAS'!M44,0),IF(AND(245&gt;='EDT Y TAREAS'!AK46,245&lt;'EDT Y TAREAS'!AL46),'EDT Y TAREAS'!AE46/'EDT Y TAREAS'!M46,0),IF(AND(245&gt;='EDT Y TAREAS'!AK47,245&lt;'EDT Y TAREAS'!AL47),'EDT Y TAREAS'!AE47/'EDT Y TAREAS'!M47,0),IF(AND(245&gt;='EDT Y TAREAS'!AK51,245&lt;'EDT Y TAREAS'!AL51),'EDT Y TAREAS'!AE51/'EDT Y TAREAS'!M51,0),IF(AND(245&gt;='EDT Y TAREAS'!AK52,245&lt;'EDT Y TAREAS'!AL52),'EDT Y TAREAS'!AE52/'EDT Y TAREAS'!M52,0))</x:f>
        <x:v>0</x:v>
      </x:c>
      <x:c r="D285" s="35" t="n">
        <x:f>SUM(IF(AND(245&gt;='EDT Y TAREAS'!AK11,245&lt;'EDT Y TAREAS'!AL11),'EDT Y TAREAS'!AF11/'EDT Y TAREAS'!M11,0),IF(AND(245&gt;='EDT Y TAREAS'!AK24,245&lt;'EDT Y TAREAS'!AL24),'EDT Y TAREAS'!AF24/'EDT Y TAREAS'!M24,0),IF(AND(245&gt;='EDT Y TAREAS'!AK25,245&lt;'EDT Y TAREAS'!AL25),'EDT Y TAREAS'!AF25/'EDT Y TAREAS'!M25,0),IF(AND(245&gt;='EDT Y TAREAS'!AK26,245&lt;'EDT Y TAREAS'!AL26),'EDT Y TAREAS'!AF26/'EDT Y TAREAS'!M26,0),IF(AND(245&gt;='EDT Y TAREAS'!AK27,245&lt;'EDT Y TAREAS'!AL27),'EDT Y TAREAS'!AF27/'EDT Y TAREAS'!M27,0),IF(AND(245&gt;='EDT Y TAREAS'!AK28,245&lt;'EDT Y TAREAS'!AL28),'EDT Y TAREAS'!AF28/'EDT Y TAREAS'!M28,0),IF(AND(245&gt;='EDT Y TAREAS'!AK31,245&lt;'EDT Y TAREAS'!AL31),'EDT Y TAREAS'!AF31/'EDT Y TAREAS'!M31,0),IF(AND(245&gt;='EDT Y TAREAS'!AK33,245&lt;'EDT Y TAREAS'!AL33),'EDT Y TAREAS'!AF33/'EDT Y TAREAS'!M33,0),IF(AND(245&gt;='EDT Y TAREAS'!AK34,245&lt;'EDT Y TAREAS'!AL34),'EDT Y TAREAS'!AF34/'EDT Y TAREAS'!M34,0),IF(AND(245&gt;='EDT Y TAREAS'!AK35,245&lt;'EDT Y TAREAS'!AL35),'EDT Y TAREAS'!AF35/'EDT Y TAREAS'!M35,0),IF(AND(245&gt;='EDT Y TAREAS'!AK37,245&lt;'EDT Y TAREAS'!AL37),'EDT Y TAREAS'!AF37/'EDT Y TAREAS'!M37,0),IF(AND(245&gt;='EDT Y TAREAS'!AK39,245&lt;'EDT Y TAREAS'!AL39),'EDT Y TAREAS'!AF39/'EDT Y TAREAS'!M39,0),IF(AND(245&gt;='EDT Y TAREAS'!AK40,245&lt;'EDT Y TAREAS'!AL40),'EDT Y TAREAS'!AF40/'EDT Y TAREAS'!M40,0),IF(AND(245&gt;='EDT Y TAREAS'!AK42,245&lt;'EDT Y TAREAS'!AL42),'EDT Y TAREAS'!AF42/'EDT Y TAREAS'!M42,0),IF(AND(245&gt;='EDT Y TAREAS'!AK45,245&lt;'EDT Y TAREAS'!AL45),'EDT Y TAREAS'!AF45/'EDT Y TAREAS'!M45,0),IF(AND(245&gt;='EDT Y TAREAS'!AK49,245&lt;'EDT Y TAREAS'!AL49),'EDT Y TAREAS'!AF49/'EDT Y TAREAS'!M49,0),IF(AND(245&gt;='EDT Y TAREAS'!AK52,245&lt;'EDT Y TAREAS'!AL52),'EDT Y TAREAS'!AF52/'EDT Y TAREAS'!M52,0))</x:f>
        <x:v>0</x:v>
      </x:c>
      <x:c r="E285" s="35" t="n">
        <x:f>SUM(IF(AND(245&gt;='EDT Y TAREAS'!AK29,245&lt;'EDT Y TAREAS'!AL29),'EDT Y TAREAS'!AG29/'EDT Y TAREAS'!M29,0),IF(AND(245&gt;='EDT Y TAREAS'!AK30,245&lt;'EDT Y TAREAS'!AL30),'EDT Y TAREAS'!AG30/'EDT Y TAREAS'!M30,0),IF(AND(245&gt;='EDT Y TAREAS'!AK31,245&lt;'EDT Y TAREAS'!AL31),'EDT Y TAREAS'!AG31/'EDT Y TAREAS'!M31,0),IF(AND(245&gt;='EDT Y TAREAS'!AK32,245&lt;'EDT Y TAREAS'!AL32),'EDT Y TAREAS'!AG32/'EDT Y TAREAS'!M32,0),IF(AND(245&gt;='EDT Y TAREAS'!AK41,245&lt;'EDT Y TAREAS'!AL41),'EDT Y TAREAS'!AG41/'EDT Y TAREAS'!M41,0),IF(AND(245&gt;='EDT Y TAREAS'!AK45,245&lt;'EDT Y TAREAS'!AL45),'EDT Y TAREAS'!AG45/'EDT Y TAREAS'!M45,0),IF(AND(245&gt;='EDT Y TAREAS'!AK48,245&lt;'EDT Y TAREAS'!AL48),'EDT Y TAREAS'!AG48/'EDT Y TAREAS'!M48,0))</x:f>
        <x:v>0</x:v>
      </x:c>
      <x:c r="F285" s="35" t="n">
        <x:f>SUM(IF(AND(245&gt;='EDT Y TAREAS'!AK10,245&lt;'EDT Y TAREAS'!AL10),'EDT Y TAREAS'!AH10/'EDT Y TAREAS'!M10,0),IF(AND(245&gt;='EDT Y TAREAS'!AK12,245&lt;'EDT Y TAREAS'!AL12),'EDT Y TAREAS'!AH12/'EDT Y TAREAS'!M12,0),IF(AND(245&gt;='EDT Y TAREAS'!AK22,245&lt;'EDT Y TAREAS'!AL22),'EDT Y TAREAS'!AH22/'EDT Y TAREAS'!M22,0),IF(AND(245&gt;='EDT Y TAREAS'!AK23,245&lt;'EDT Y TAREAS'!AL23),'EDT Y TAREAS'!AH23/'EDT Y TAREAS'!M23,0),IF(AND(245&gt;='EDT Y TAREAS'!AK29,245&lt;'EDT Y TAREAS'!AL29),'EDT Y TAREAS'!AH29/'EDT Y TAREAS'!M29,0),IF(AND(245&gt;='EDT Y TAREAS'!AK30,245&lt;'EDT Y TAREAS'!AL30),'EDT Y TAREAS'!AH30/'EDT Y TAREAS'!M30,0),IF(AND(245&gt;='EDT Y TAREAS'!AK32,245&lt;'EDT Y TAREAS'!AL32),'EDT Y TAREAS'!AH32/'EDT Y TAREAS'!M32,0),IF(AND(245&gt;='EDT Y TAREAS'!AK41,245&lt;'EDT Y TAREAS'!AL41),'EDT Y TAREAS'!AH41/'EDT Y TAREAS'!M41,0),IF(AND(245&gt;='EDT Y TAREAS'!AK44,245&lt;'EDT Y TAREAS'!AL44),'EDT Y TAREAS'!AH44/'EDT Y TAREAS'!M44,0),IF(AND(245&gt;='EDT Y TAREAS'!AK46,245&lt;'EDT Y TAREAS'!AL46),'EDT Y TAREAS'!AH46/'EDT Y TAREAS'!M46,0),IF(AND(245&gt;='EDT Y TAREAS'!AK48,245&lt;'EDT Y TAREAS'!AL48),'EDT Y TAREAS'!AH48/'EDT Y TAREAS'!M48,0))</x:f>
        <x:v>0</x:v>
      </x:c>
      <x:c r="G285" s="35" t="n">
        <x:f>SUM(IF(AND(245&gt;='EDT Y TAREAS'!AK20,245&lt;'EDT Y TAREAS'!AL20),'EDT Y TAREAS'!AI20/'EDT Y TAREAS'!M20,0),IF(AND(245&gt;='EDT Y TAREAS'!AK25,245&lt;'EDT Y TAREAS'!AL25),'EDT Y TAREAS'!AI25/'EDT Y TAREAS'!M25,0),IF(AND(245&gt;='EDT Y TAREAS'!AK33,245&lt;'EDT Y TAREAS'!AL33),'EDT Y TAREAS'!AI33/'EDT Y TAREAS'!M33,0),IF(AND(245&gt;='EDT Y TAREAS'!AK34,245&lt;'EDT Y TAREAS'!AL34),'EDT Y TAREAS'!AI34/'EDT Y TAREAS'!M34,0),IF(AND(245&gt;='EDT Y TAREAS'!AK36,245&lt;'EDT Y TAREAS'!AL36),'EDT Y TAREAS'!AI36/'EDT Y TAREAS'!M36,0),IF(AND(245&gt;='EDT Y TAREAS'!AK39,245&lt;'EDT Y TAREAS'!AL39),'EDT Y TAREAS'!AI39/'EDT Y TAREAS'!M39,0),IF(AND(245&gt;='EDT Y TAREAS'!AK40,245&lt;'EDT Y TAREAS'!AL40),'EDT Y TAREAS'!AI40/'EDT Y TAREAS'!M40,0),IF(AND(245&gt;='EDT Y TAREAS'!AK42,245&lt;'EDT Y TAREAS'!AL42),'EDT Y TAREAS'!AI42/'EDT Y TAREAS'!M42,0),IF(AND(245&gt;='EDT Y TAREAS'!AK43,245&lt;'EDT Y TAREAS'!AL43),'EDT Y TAREAS'!AI43/'EDT Y TAREAS'!M43,0),IF(AND(245&gt;='EDT Y TAREAS'!AK44,245&lt;'EDT Y TAREAS'!AL44),'EDT Y TAREAS'!AI44/'EDT Y TAREAS'!M44,0),IF(AND(245&gt;='EDT Y TAREAS'!AK45,245&lt;'EDT Y TAREAS'!AL45),'EDT Y TAREAS'!AI45/'EDT Y TAREAS'!M45,0),IF(AND(245&gt;='EDT Y TAREAS'!AK46,245&lt;'EDT Y TAREAS'!AL46),'EDT Y TAREAS'!AI46/'EDT Y TAREAS'!M46,0),IF(AND(245&gt;='EDT Y TAREAS'!AK48,245&lt;'EDT Y TAREAS'!AL48),'EDT Y TAREAS'!AI48/'EDT Y TAREAS'!M48,0),IF(AND(245&gt;='EDT Y TAREAS'!AK50,245&lt;'EDT Y TAREAS'!AL50),'EDT Y TAREAS'!AI50/'EDT Y TAREAS'!M50,0),IF(AND(245&gt;='EDT Y TAREAS'!AK52,245&lt;'EDT Y TAREAS'!AL52),'EDT Y TAREAS'!AI52/'EDT Y TAREAS'!M52,0))</x:f>
        <x:v>0</x:v>
      </x:c>
      <x:c r="H285" s="35" t="n">
        <x:f>SUM(IF(AND(245&gt;='EDT Y TAREAS'!AK11,245&lt;'EDT Y TAREAS'!AL11),'EDT Y TAREAS'!AJ11/'EDT Y TAREAS'!M11,0),IF(AND(245&gt;='EDT Y TAREAS'!AK24,245&lt;'EDT Y TAREAS'!AL24),'EDT Y TAREAS'!AJ24/'EDT Y TAREAS'!M24,0),IF(AND(245&gt;='EDT Y TAREAS'!AK27,245&lt;'EDT Y TAREAS'!AL27),'EDT Y TAREAS'!AJ27/'EDT Y TAREAS'!M27,0),IF(AND(245&gt;='EDT Y TAREAS'!AK28,245&lt;'EDT Y TAREAS'!AL28),'EDT Y TAREAS'!AJ28/'EDT Y TAREAS'!M28,0),IF(AND(245&gt;='EDT Y TAREAS'!AK33,245&lt;'EDT Y TAREAS'!AL33),'EDT Y TAREAS'!AJ33/'EDT Y TAREAS'!M33,0),IF(AND(245&gt;='EDT Y TAREAS'!AK35,245&lt;'EDT Y TAREAS'!AL35),'EDT Y TAREAS'!AJ35/'EDT Y TAREAS'!M35,0),IF(AND(245&gt;='EDT Y TAREAS'!AK36,245&lt;'EDT Y TAREAS'!AL36),'EDT Y TAREAS'!AJ36/'EDT Y TAREAS'!M36,0),IF(AND(245&gt;='EDT Y TAREAS'!AK37,245&lt;'EDT Y TAREAS'!AL37),'EDT Y TAREAS'!AJ37/'EDT Y TAREAS'!M37,0),IF(AND(245&gt;='EDT Y TAREAS'!AK40,245&lt;'EDT Y TAREAS'!AL40),'EDT Y TAREAS'!AJ40/'EDT Y TAREAS'!M40,0),IF(AND(245&gt;='EDT Y TAREAS'!AK42,245&lt;'EDT Y TAREAS'!AL42),'EDT Y TAREAS'!AJ42/'EDT Y TAREAS'!M42,0),IF(AND(245&gt;='EDT Y TAREAS'!AK49,245&lt;'EDT Y TAREAS'!AL49),'EDT Y TAREAS'!AJ49/'EDT Y TAREAS'!M49,0),IF(AND(245&gt;='EDT Y TAREAS'!AK50,245&lt;'EDT Y TAREAS'!AL50),'EDT Y TAREAS'!AJ50/'EDT Y TAREAS'!M50,0),IF(AND(245&gt;='EDT Y TAREAS'!AK51,245&lt;'EDT Y TAREAS'!AL51),'EDT Y TAREAS'!AJ51/'EDT Y TAREAS'!M51,0),IF(AND(245&gt;='EDT Y TAREAS'!AK52,245&lt;'EDT Y TAREAS'!AL52),'EDT Y TAREAS'!AJ52/'EDT Y TAREAS'!M52,0))</x:f>
        <x:v>0</x:v>
      </x:c>
      <x:c r="I285" s="10" t="n">
        <x:f>WORKDAY('RESUMEN'!$D$3-1,A285,'RESUMEN'!$J$6:$J$25)</x:f>
        <x:v>46671</x:v>
      </x:c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  <x:c r="AA285" s="3"/>
      <x:c r="AB285" s="3"/>
      <x:c r="AC285" s="3"/>
      <x:c r="AD285" s="3"/>
      <x:c r="AE285" s="3"/>
      <x:c r="AF285" s="3"/>
      <x:c r="AG285" s="3"/>
      <x:c r="AH285" s="3"/>
      <x:c r="AI285" s="3"/>
      <x:c r="AJ285" s="3"/>
      <x:c r="AK285" s="3"/>
      <x:c r="AL285" s="3"/>
      <x:c r="AM285" s="3"/>
      <x:c r="AN285" s="3"/>
      <x:c r="AO285" s="3"/>
    </x:row>
    <x:row r="286" ht="24" customHeight="1">
      <x:c r="A286" s="3" t="n">
        <x:v>247</x:v>
      </x:c>
      <x:c r="B286" s="35" t="n">
        <x:f>SUM(IF(AND(246&gt;='EDT Y TAREAS'!AK6,246&lt;'EDT Y TAREAS'!AL6),'EDT Y TAREAS'!AD6/'EDT Y TAREAS'!M6,0),IF(AND(246&gt;='EDT Y TAREAS'!AK7,246&lt;'EDT Y TAREAS'!AL7),'EDT Y TAREAS'!AD7/'EDT Y TAREAS'!M7,0),IF(AND(246&gt;='EDT Y TAREAS'!AK8,246&lt;'EDT Y TAREAS'!AL8),'EDT Y TAREAS'!AD8/'EDT Y TAREAS'!M8,0),IF(AND(246&gt;='EDT Y TAREAS'!AK9,246&lt;'EDT Y TAREAS'!AL9),'EDT Y TAREAS'!AD9/'EDT Y TAREAS'!M9,0),IF(AND(246&gt;='EDT Y TAREAS'!AK10,246&lt;'EDT Y TAREAS'!AL10),'EDT Y TAREAS'!AD10/'EDT Y TAREAS'!M10,0),IF(AND(246&gt;='EDT Y TAREAS'!AK11,246&lt;'EDT Y TAREAS'!AL11),'EDT Y TAREAS'!AD11/'EDT Y TAREAS'!M11,0),IF(AND(246&gt;='EDT Y TAREAS'!AK12,246&lt;'EDT Y TAREAS'!AL12),'EDT Y TAREAS'!AD12/'EDT Y TAREAS'!M12,0),IF(AND(246&gt;='EDT Y TAREAS'!AK13,246&lt;'EDT Y TAREAS'!AL13),'EDT Y TAREAS'!AD13/'EDT Y TAREAS'!M13,0),IF(AND(246&gt;='EDT Y TAREAS'!AK14,246&lt;'EDT Y TAREAS'!AL14),'EDT Y TAREAS'!AD14/'EDT Y TAREAS'!M14,0),IF(AND(246&gt;='EDT Y TAREAS'!AK15,246&lt;'EDT Y TAREAS'!AL15),'EDT Y TAREAS'!AD15/'EDT Y TAREAS'!M15,0),IF(AND(246&gt;='EDT Y TAREAS'!AK16,246&lt;'EDT Y TAREAS'!AL16),'EDT Y TAREAS'!AD16/'EDT Y TAREAS'!M16,0),IF(AND(246&gt;='EDT Y TAREAS'!AK17,246&lt;'EDT Y TAREAS'!AL17),'EDT Y TAREAS'!AD17/'EDT Y TAREAS'!M17,0),IF(AND(246&gt;='EDT Y TAREAS'!AK18,246&lt;'EDT Y TAREAS'!AL18),'EDT Y TAREAS'!AD18/'EDT Y TAREAS'!M18,0),IF(AND(246&gt;='EDT Y TAREAS'!AK19,246&lt;'EDT Y TAREAS'!AL19),'EDT Y TAREAS'!AD19/'EDT Y TAREAS'!M19,0),IF(AND(246&gt;='EDT Y TAREAS'!AK20,246&lt;'EDT Y TAREAS'!AL20),'EDT Y TAREAS'!AD20/'EDT Y TAREAS'!M20,0),IF(AND(246&gt;='EDT Y TAREAS'!AK21,246&lt;'EDT Y TAREAS'!AL21),'EDT Y TAREAS'!AD21/'EDT Y TAREAS'!M21,0),IF(AND(246&gt;='EDT Y TAREAS'!AK22,246&lt;'EDT Y TAREAS'!AL22),'EDT Y TAREAS'!AD22/'EDT Y TAREAS'!M22,0),IF(AND(246&gt;='EDT Y TAREAS'!AK23,246&lt;'EDT Y TAREAS'!AL23),'EDT Y TAREAS'!AD23/'EDT Y TAREAS'!M23,0),IF(AND(246&gt;='EDT Y TAREAS'!AK26,246&lt;'EDT Y TAREAS'!AL26),'EDT Y TAREAS'!AD26/'EDT Y TAREAS'!M26,0),IF(AND(246&gt;='EDT Y TAREAS'!AK28,246&lt;'EDT Y TAREAS'!AL28),'EDT Y TAREAS'!AD28/'EDT Y TAREAS'!M28,0),IF(AND(246&gt;='EDT Y TAREAS'!AK30,246&lt;'EDT Y TAREAS'!AL30),'EDT Y TAREAS'!AD30/'EDT Y TAREAS'!M30,0),IF(AND(246&gt;='EDT Y TAREAS'!AK32,246&lt;'EDT Y TAREAS'!AL32),'EDT Y TAREAS'!AD32/'EDT Y TAREAS'!M32,0),IF(AND(246&gt;='EDT Y TAREAS'!AK34,246&lt;'EDT Y TAREAS'!AL34),'EDT Y TAREAS'!AD34/'EDT Y TAREAS'!M34,0),IF(AND(246&gt;='EDT Y TAREAS'!AK38,246&lt;'EDT Y TAREAS'!AL38),'EDT Y TAREAS'!AD38/'EDT Y TAREAS'!M38,0),IF(AND(246&gt;='EDT Y TAREAS'!AK39,246&lt;'EDT Y TAREAS'!AL39),'EDT Y TAREAS'!AD39/'EDT Y TAREAS'!M39,0),IF(AND(246&gt;='EDT Y TAREAS'!AK43,246&lt;'EDT Y TAREAS'!AL43),'EDT Y TAREAS'!AD43/'EDT Y TAREAS'!M43,0),IF(AND(246&gt;='EDT Y TAREAS'!AK44,246&lt;'EDT Y TAREAS'!AL44),'EDT Y TAREAS'!AD44/'EDT Y TAREAS'!M44,0),IF(AND(246&gt;='EDT Y TAREAS'!AK45,246&lt;'EDT Y TAREAS'!AL45),'EDT Y TAREAS'!AD45/'EDT Y TAREAS'!M45,0),IF(AND(246&gt;='EDT Y TAREAS'!AK46,246&lt;'EDT Y TAREAS'!AL46),'EDT Y TAREAS'!AD46/'EDT Y TAREAS'!M46,0),IF(AND(246&gt;='EDT Y TAREAS'!AK47,246&lt;'EDT Y TAREAS'!AL47),'EDT Y TAREAS'!AD47/'EDT Y TAREAS'!M47,0),IF(AND(246&gt;='EDT Y TAREAS'!AK49,246&lt;'EDT Y TAREAS'!AL49),'EDT Y TAREAS'!AD49/'EDT Y TAREAS'!M49,0),IF(AND(246&gt;='EDT Y TAREAS'!AK50,246&lt;'EDT Y TAREAS'!AL50),'EDT Y TAREAS'!AD50/'EDT Y TAREAS'!M50,0),IF(AND(246&gt;='EDT Y TAREAS'!AK51,246&lt;'EDT Y TAREAS'!AL51),'EDT Y TAREAS'!AD51/'EDT Y TAREAS'!M51,0),IF(AND(246&gt;='EDT Y TAREAS'!AK52,246&lt;'EDT Y TAREAS'!AL52),'EDT Y TAREAS'!AD52/'EDT Y TAREAS'!M52,0))</x:f>
        <x:v>0</x:v>
      </x:c>
      <x:c r="C286" s="35" t="n">
        <x:f>SUM(IF(AND(246&gt;='EDT Y TAREAS'!AK6,246&lt;'EDT Y TAREAS'!AL6),'EDT Y TAREAS'!AE6/'EDT Y TAREAS'!M6,0),IF(AND(246&gt;='EDT Y TAREAS'!AK8,246&lt;'EDT Y TAREAS'!AL8),'EDT Y TAREAS'!AE8/'EDT Y TAREAS'!M8,0),IF(AND(246&gt;='EDT Y TAREAS'!AK9,246&lt;'EDT Y TAREAS'!AL9),'EDT Y TAREAS'!AE9/'EDT Y TAREAS'!M9,0),IF(AND(246&gt;='EDT Y TAREAS'!AK10,246&lt;'EDT Y TAREAS'!AL10),'EDT Y TAREAS'!AE10/'EDT Y TAREAS'!M10,0),IF(AND(246&gt;='EDT Y TAREAS'!AK12,246&lt;'EDT Y TAREAS'!AL12),'EDT Y TAREAS'!AE12/'EDT Y TAREAS'!M12,0),IF(AND(246&gt;='EDT Y TAREAS'!AK16,246&lt;'EDT Y TAREAS'!AL16),'EDT Y TAREAS'!AE16/'EDT Y TAREAS'!M16,0),IF(AND(246&gt;='EDT Y TAREAS'!AK21,246&lt;'EDT Y TAREAS'!AL21),'EDT Y TAREAS'!AE21/'EDT Y TAREAS'!M21,0),IF(AND(246&gt;='EDT Y TAREAS'!AK23,246&lt;'EDT Y TAREAS'!AL23),'EDT Y TAREAS'!AE23/'EDT Y TAREAS'!M23,0),IF(AND(246&gt;='EDT Y TAREAS'!AK37,246&lt;'EDT Y TAREAS'!AL37),'EDT Y TAREAS'!AE37/'EDT Y TAREAS'!M37,0),IF(AND(246&gt;='EDT Y TAREAS'!AK38,246&lt;'EDT Y TAREAS'!AL38),'EDT Y TAREAS'!AE38/'EDT Y TAREAS'!M38,0),IF(AND(246&gt;='EDT Y TAREAS'!AK41,246&lt;'EDT Y TAREAS'!AL41),'EDT Y TAREAS'!AE41/'EDT Y TAREAS'!M41,0),IF(AND(246&gt;='EDT Y TAREAS'!AK43,246&lt;'EDT Y TAREAS'!AL43),'EDT Y TAREAS'!AE43/'EDT Y TAREAS'!M43,0),IF(AND(246&gt;='EDT Y TAREAS'!AK44,246&lt;'EDT Y TAREAS'!AL44),'EDT Y TAREAS'!AE44/'EDT Y TAREAS'!M44,0),IF(AND(246&gt;='EDT Y TAREAS'!AK46,246&lt;'EDT Y TAREAS'!AL46),'EDT Y TAREAS'!AE46/'EDT Y TAREAS'!M46,0),IF(AND(246&gt;='EDT Y TAREAS'!AK47,246&lt;'EDT Y TAREAS'!AL47),'EDT Y TAREAS'!AE47/'EDT Y TAREAS'!M47,0),IF(AND(246&gt;='EDT Y TAREAS'!AK51,246&lt;'EDT Y TAREAS'!AL51),'EDT Y TAREAS'!AE51/'EDT Y TAREAS'!M51,0),IF(AND(246&gt;='EDT Y TAREAS'!AK52,246&lt;'EDT Y TAREAS'!AL52),'EDT Y TAREAS'!AE52/'EDT Y TAREAS'!M52,0))</x:f>
        <x:v>0</x:v>
      </x:c>
      <x:c r="D286" s="35" t="n">
        <x:f>SUM(IF(AND(246&gt;='EDT Y TAREAS'!AK11,246&lt;'EDT Y TAREAS'!AL11),'EDT Y TAREAS'!AF11/'EDT Y TAREAS'!M11,0),IF(AND(246&gt;='EDT Y TAREAS'!AK24,246&lt;'EDT Y TAREAS'!AL24),'EDT Y TAREAS'!AF24/'EDT Y TAREAS'!M24,0),IF(AND(246&gt;='EDT Y TAREAS'!AK25,246&lt;'EDT Y TAREAS'!AL25),'EDT Y TAREAS'!AF25/'EDT Y TAREAS'!M25,0),IF(AND(246&gt;='EDT Y TAREAS'!AK26,246&lt;'EDT Y TAREAS'!AL26),'EDT Y TAREAS'!AF26/'EDT Y TAREAS'!M26,0),IF(AND(246&gt;='EDT Y TAREAS'!AK27,246&lt;'EDT Y TAREAS'!AL27),'EDT Y TAREAS'!AF27/'EDT Y TAREAS'!M27,0),IF(AND(246&gt;='EDT Y TAREAS'!AK28,246&lt;'EDT Y TAREAS'!AL28),'EDT Y TAREAS'!AF28/'EDT Y TAREAS'!M28,0),IF(AND(246&gt;='EDT Y TAREAS'!AK31,246&lt;'EDT Y TAREAS'!AL31),'EDT Y TAREAS'!AF31/'EDT Y TAREAS'!M31,0),IF(AND(246&gt;='EDT Y TAREAS'!AK33,246&lt;'EDT Y TAREAS'!AL33),'EDT Y TAREAS'!AF33/'EDT Y TAREAS'!M33,0),IF(AND(246&gt;='EDT Y TAREAS'!AK34,246&lt;'EDT Y TAREAS'!AL34),'EDT Y TAREAS'!AF34/'EDT Y TAREAS'!M34,0),IF(AND(246&gt;='EDT Y TAREAS'!AK35,246&lt;'EDT Y TAREAS'!AL35),'EDT Y TAREAS'!AF35/'EDT Y TAREAS'!M35,0),IF(AND(246&gt;='EDT Y TAREAS'!AK37,246&lt;'EDT Y TAREAS'!AL37),'EDT Y TAREAS'!AF37/'EDT Y TAREAS'!M37,0),IF(AND(246&gt;='EDT Y TAREAS'!AK39,246&lt;'EDT Y TAREAS'!AL39),'EDT Y TAREAS'!AF39/'EDT Y TAREAS'!M39,0),IF(AND(246&gt;='EDT Y TAREAS'!AK40,246&lt;'EDT Y TAREAS'!AL40),'EDT Y TAREAS'!AF40/'EDT Y TAREAS'!M40,0),IF(AND(246&gt;='EDT Y TAREAS'!AK42,246&lt;'EDT Y TAREAS'!AL42),'EDT Y TAREAS'!AF42/'EDT Y TAREAS'!M42,0),IF(AND(246&gt;='EDT Y TAREAS'!AK45,246&lt;'EDT Y TAREAS'!AL45),'EDT Y TAREAS'!AF45/'EDT Y TAREAS'!M45,0),IF(AND(246&gt;='EDT Y TAREAS'!AK49,246&lt;'EDT Y TAREAS'!AL49),'EDT Y TAREAS'!AF49/'EDT Y TAREAS'!M49,0),IF(AND(246&gt;='EDT Y TAREAS'!AK52,246&lt;'EDT Y TAREAS'!AL52),'EDT Y TAREAS'!AF52/'EDT Y TAREAS'!M52,0))</x:f>
        <x:v>0</x:v>
      </x:c>
      <x:c r="E286" s="35" t="n">
        <x:f>SUM(IF(AND(246&gt;='EDT Y TAREAS'!AK29,246&lt;'EDT Y TAREAS'!AL29),'EDT Y TAREAS'!AG29/'EDT Y TAREAS'!M29,0),IF(AND(246&gt;='EDT Y TAREAS'!AK30,246&lt;'EDT Y TAREAS'!AL30),'EDT Y TAREAS'!AG30/'EDT Y TAREAS'!M30,0),IF(AND(246&gt;='EDT Y TAREAS'!AK31,246&lt;'EDT Y TAREAS'!AL31),'EDT Y TAREAS'!AG31/'EDT Y TAREAS'!M31,0),IF(AND(246&gt;='EDT Y TAREAS'!AK32,246&lt;'EDT Y TAREAS'!AL32),'EDT Y TAREAS'!AG32/'EDT Y TAREAS'!M32,0),IF(AND(246&gt;='EDT Y TAREAS'!AK41,246&lt;'EDT Y TAREAS'!AL41),'EDT Y TAREAS'!AG41/'EDT Y TAREAS'!M41,0),IF(AND(246&gt;='EDT Y TAREAS'!AK45,246&lt;'EDT Y TAREAS'!AL45),'EDT Y TAREAS'!AG45/'EDT Y TAREAS'!M45,0),IF(AND(246&gt;='EDT Y TAREAS'!AK48,246&lt;'EDT Y TAREAS'!AL48),'EDT Y TAREAS'!AG48/'EDT Y TAREAS'!M48,0))</x:f>
        <x:v>0</x:v>
      </x:c>
      <x:c r="F286" s="35" t="n">
        <x:f>SUM(IF(AND(246&gt;='EDT Y TAREAS'!AK10,246&lt;'EDT Y TAREAS'!AL10),'EDT Y TAREAS'!AH10/'EDT Y TAREAS'!M10,0),IF(AND(246&gt;='EDT Y TAREAS'!AK12,246&lt;'EDT Y TAREAS'!AL12),'EDT Y TAREAS'!AH12/'EDT Y TAREAS'!M12,0),IF(AND(246&gt;='EDT Y TAREAS'!AK22,246&lt;'EDT Y TAREAS'!AL22),'EDT Y TAREAS'!AH22/'EDT Y TAREAS'!M22,0),IF(AND(246&gt;='EDT Y TAREAS'!AK23,246&lt;'EDT Y TAREAS'!AL23),'EDT Y TAREAS'!AH23/'EDT Y TAREAS'!M23,0),IF(AND(246&gt;='EDT Y TAREAS'!AK29,246&lt;'EDT Y TAREAS'!AL29),'EDT Y TAREAS'!AH29/'EDT Y TAREAS'!M29,0),IF(AND(246&gt;='EDT Y TAREAS'!AK30,246&lt;'EDT Y TAREAS'!AL30),'EDT Y TAREAS'!AH30/'EDT Y TAREAS'!M30,0),IF(AND(246&gt;='EDT Y TAREAS'!AK32,246&lt;'EDT Y TAREAS'!AL32),'EDT Y TAREAS'!AH32/'EDT Y TAREAS'!M32,0),IF(AND(246&gt;='EDT Y TAREAS'!AK41,246&lt;'EDT Y TAREAS'!AL41),'EDT Y TAREAS'!AH41/'EDT Y TAREAS'!M41,0),IF(AND(246&gt;='EDT Y TAREAS'!AK44,246&lt;'EDT Y TAREAS'!AL44),'EDT Y TAREAS'!AH44/'EDT Y TAREAS'!M44,0),IF(AND(246&gt;='EDT Y TAREAS'!AK46,246&lt;'EDT Y TAREAS'!AL46),'EDT Y TAREAS'!AH46/'EDT Y TAREAS'!M46,0),IF(AND(246&gt;='EDT Y TAREAS'!AK48,246&lt;'EDT Y TAREAS'!AL48),'EDT Y TAREAS'!AH48/'EDT Y TAREAS'!M48,0))</x:f>
        <x:v>0</x:v>
      </x:c>
      <x:c r="G286" s="35" t="n">
        <x:f>SUM(IF(AND(246&gt;='EDT Y TAREAS'!AK20,246&lt;'EDT Y TAREAS'!AL20),'EDT Y TAREAS'!AI20/'EDT Y TAREAS'!M20,0),IF(AND(246&gt;='EDT Y TAREAS'!AK25,246&lt;'EDT Y TAREAS'!AL25),'EDT Y TAREAS'!AI25/'EDT Y TAREAS'!M25,0),IF(AND(246&gt;='EDT Y TAREAS'!AK33,246&lt;'EDT Y TAREAS'!AL33),'EDT Y TAREAS'!AI33/'EDT Y TAREAS'!M33,0),IF(AND(246&gt;='EDT Y TAREAS'!AK34,246&lt;'EDT Y TAREAS'!AL34),'EDT Y TAREAS'!AI34/'EDT Y TAREAS'!M34,0),IF(AND(246&gt;='EDT Y TAREAS'!AK36,246&lt;'EDT Y TAREAS'!AL36),'EDT Y TAREAS'!AI36/'EDT Y TAREAS'!M36,0),IF(AND(246&gt;='EDT Y TAREAS'!AK39,246&lt;'EDT Y TAREAS'!AL39),'EDT Y TAREAS'!AI39/'EDT Y TAREAS'!M39,0),IF(AND(246&gt;='EDT Y TAREAS'!AK40,246&lt;'EDT Y TAREAS'!AL40),'EDT Y TAREAS'!AI40/'EDT Y TAREAS'!M40,0),IF(AND(246&gt;='EDT Y TAREAS'!AK42,246&lt;'EDT Y TAREAS'!AL42),'EDT Y TAREAS'!AI42/'EDT Y TAREAS'!M42,0),IF(AND(246&gt;='EDT Y TAREAS'!AK43,246&lt;'EDT Y TAREAS'!AL43),'EDT Y TAREAS'!AI43/'EDT Y TAREAS'!M43,0),IF(AND(246&gt;='EDT Y TAREAS'!AK44,246&lt;'EDT Y TAREAS'!AL44),'EDT Y TAREAS'!AI44/'EDT Y TAREAS'!M44,0),IF(AND(246&gt;='EDT Y TAREAS'!AK45,246&lt;'EDT Y TAREAS'!AL45),'EDT Y TAREAS'!AI45/'EDT Y TAREAS'!M45,0),IF(AND(246&gt;='EDT Y TAREAS'!AK46,246&lt;'EDT Y TAREAS'!AL46),'EDT Y TAREAS'!AI46/'EDT Y TAREAS'!M46,0),IF(AND(246&gt;='EDT Y TAREAS'!AK48,246&lt;'EDT Y TAREAS'!AL48),'EDT Y TAREAS'!AI48/'EDT Y TAREAS'!M48,0),IF(AND(246&gt;='EDT Y TAREAS'!AK50,246&lt;'EDT Y TAREAS'!AL50),'EDT Y TAREAS'!AI50/'EDT Y TAREAS'!M50,0),IF(AND(246&gt;='EDT Y TAREAS'!AK52,246&lt;'EDT Y TAREAS'!AL52),'EDT Y TAREAS'!AI52/'EDT Y TAREAS'!M52,0))</x:f>
        <x:v>0</x:v>
      </x:c>
      <x:c r="H286" s="35" t="n">
        <x:f>SUM(IF(AND(246&gt;='EDT Y TAREAS'!AK11,246&lt;'EDT Y TAREAS'!AL11),'EDT Y TAREAS'!AJ11/'EDT Y TAREAS'!M11,0),IF(AND(246&gt;='EDT Y TAREAS'!AK24,246&lt;'EDT Y TAREAS'!AL24),'EDT Y TAREAS'!AJ24/'EDT Y TAREAS'!M24,0),IF(AND(246&gt;='EDT Y TAREAS'!AK27,246&lt;'EDT Y TAREAS'!AL27),'EDT Y TAREAS'!AJ27/'EDT Y TAREAS'!M27,0),IF(AND(246&gt;='EDT Y TAREAS'!AK28,246&lt;'EDT Y TAREAS'!AL28),'EDT Y TAREAS'!AJ28/'EDT Y TAREAS'!M28,0),IF(AND(246&gt;='EDT Y TAREAS'!AK33,246&lt;'EDT Y TAREAS'!AL33),'EDT Y TAREAS'!AJ33/'EDT Y TAREAS'!M33,0),IF(AND(246&gt;='EDT Y TAREAS'!AK35,246&lt;'EDT Y TAREAS'!AL35),'EDT Y TAREAS'!AJ35/'EDT Y TAREAS'!M35,0),IF(AND(246&gt;='EDT Y TAREAS'!AK36,246&lt;'EDT Y TAREAS'!AL36),'EDT Y TAREAS'!AJ36/'EDT Y TAREAS'!M36,0),IF(AND(246&gt;='EDT Y TAREAS'!AK37,246&lt;'EDT Y TAREAS'!AL37),'EDT Y TAREAS'!AJ37/'EDT Y TAREAS'!M37,0),IF(AND(246&gt;='EDT Y TAREAS'!AK40,246&lt;'EDT Y TAREAS'!AL40),'EDT Y TAREAS'!AJ40/'EDT Y TAREAS'!M40,0),IF(AND(246&gt;='EDT Y TAREAS'!AK42,246&lt;'EDT Y TAREAS'!AL42),'EDT Y TAREAS'!AJ42/'EDT Y TAREAS'!M42,0),IF(AND(246&gt;='EDT Y TAREAS'!AK49,246&lt;'EDT Y TAREAS'!AL49),'EDT Y TAREAS'!AJ49/'EDT Y TAREAS'!M49,0),IF(AND(246&gt;='EDT Y TAREAS'!AK50,246&lt;'EDT Y TAREAS'!AL50),'EDT Y TAREAS'!AJ50/'EDT Y TAREAS'!M50,0),IF(AND(246&gt;='EDT Y TAREAS'!AK51,246&lt;'EDT Y TAREAS'!AL51),'EDT Y TAREAS'!AJ51/'EDT Y TAREAS'!M51,0),IF(AND(246&gt;='EDT Y TAREAS'!AK52,246&lt;'EDT Y TAREAS'!AL52),'EDT Y TAREAS'!AJ52/'EDT Y TAREAS'!M52,0))</x:f>
        <x:v>0</x:v>
      </x:c>
      <x:c r="I286" s="10" t="n">
        <x:f>WORKDAY('RESUMEN'!$D$3-1,A286,'RESUMEN'!$J$6:$J$25)</x:f>
        <x:v>46672</x:v>
      </x:c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  <x:c r="AA286" s="3"/>
      <x:c r="AB286" s="3"/>
      <x:c r="AC286" s="3"/>
      <x:c r="AD286" s="3"/>
      <x:c r="AE286" s="3"/>
      <x:c r="AF286" s="3"/>
      <x:c r="AG286" s="3"/>
      <x:c r="AH286" s="3"/>
      <x:c r="AI286" s="3"/>
      <x:c r="AJ286" s="3"/>
      <x:c r="AK286" s="3"/>
      <x:c r="AL286" s="3"/>
      <x:c r="AM286" s="3"/>
      <x:c r="AN286" s="3"/>
      <x:c r="AO286" s="3"/>
    </x:row>
    <x:row r="287" ht="24" customHeight="1">
      <x:c r="A287" s="3" t="n">
        <x:v>248</x:v>
      </x:c>
      <x:c r="B287" s="35" t="n">
        <x:f>SUM(IF(AND(247&gt;='EDT Y TAREAS'!AK6,247&lt;'EDT Y TAREAS'!AL6),'EDT Y TAREAS'!AD6/'EDT Y TAREAS'!M6,0),IF(AND(247&gt;='EDT Y TAREAS'!AK7,247&lt;'EDT Y TAREAS'!AL7),'EDT Y TAREAS'!AD7/'EDT Y TAREAS'!M7,0),IF(AND(247&gt;='EDT Y TAREAS'!AK8,247&lt;'EDT Y TAREAS'!AL8),'EDT Y TAREAS'!AD8/'EDT Y TAREAS'!M8,0),IF(AND(247&gt;='EDT Y TAREAS'!AK9,247&lt;'EDT Y TAREAS'!AL9),'EDT Y TAREAS'!AD9/'EDT Y TAREAS'!M9,0),IF(AND(247&gt;='EDT Y TAREAS'!AK10,247&lt;'EDT Y TAREAS'!AL10),'EDT Y TAREAS'!AD10/'EDT Y TAREAS'!M10,0),IF(AND(247&gt;='EDT Y TAREAS'!AK11,247&lt;'EDT Y TAREAS'!AL11),'EDT Y TAREAS'!AD11/'EDT Y TAREAS'!M11,0),IF(AND(247&gt;='EDT Y TAREAS'!AK12,247&lt;'EDT Y TAREAS'!AL12),'EDT Y TAREAS'!AD12/'EDT Y TAREAS'!M12,0),IF(AND(247&gt;='EDT Y TAREAS'!AK13,247&lt;'EDT Y TAREAS'!AL13),'EDT Y TAREAS'!AD13/'EDT Y TAREAS'!M13,0),IF(AND(247&gt;='EDT Y TAREAS'!AK14,247&lt;'EDT Y TAREAS'!AL14),'EDT Y TAREAS'!AD14/'EDT Y TAREAS'!M14,0),IF(AND(247&gt;='EDT Y TAREAS'!AK15,247&lt;'EDT Y TAREAS'!AL15),'EDT Y TAREAS'!AD15/'EDT Y TAREAS'!M15,0),IF(AND(247&gt;='EDT Y TAREAS'!AK16,247&lt;'EDT Y TAREAS'!AL16),'EDT Y TAREAS'!AD16/'EDT Y TAREAS'!M16,0),IF(AND(247&gt;='EDT Y TAREAS'!AK17,247&lt;'EDT Y TAREAS'!AL17),'EDT Y TAREAS'!AD17/'EDT Y TAREAS'!M17,0),IF(AND(247&gt;='EDT Y TAREAS'!AK18,247&lt;'EDT Y TAREAS'!AL18),'EDT Y TAREAS'!AD18/'EDT Y TAREAS'!M18,0),IF(AND(247&gt;='EDT Y TAREAS'!AK19,247&lt;'EDT Y TAREAS'!AL19),'EDT Y TAREAS'!AD19/'EDT Y TAREAS'!M19,0),IF(AND(247&gt;='EDT Y TAREAS'!AK20,247&lt;'EDT Y TAREAS'!AL20),'EDT Y TAREAS'!AD20/'EDT Y TAREAS'!M20,0),IF(AND(247&gt;='EDT Y TAREAS'!AK21,247&lt;'EDT Y TAREAS'!AL21),'EDT Y TAREAS'!AD21/'EDT Y TAREAS'!M21,0),IF(AND(247&gt;='EDT Y TAREAS'!AK22,247&lt;'EDT Y TAREAS'!AL22),'EDT Y TAREAS'!AD22/'EDT Y TAREAS'!M22,0),IF(AND(247&gt;='EDT Y TAREAS'!AK23,247&lt;'EDT Y TAREAS'!AL23),'EDT Y TAREAS'!AD23/'EDT Y TAREAS'!M23,0),IF(AND(247&gt;='EDT Y TAREAS'!AK26,247&lt;'EDT Y TAREAS'!AL26),'EDT Y TAREAS'!AD26/'EDT Y TAREAS'!M26,0),IF(AND(247&gt;='EDT Y TAREAS'!AK28,247&lt;'EDT Y TAREAS'!AL28),'EDT Y TAREAS'!AD28/'EDT Y TAREAS'!M28,0),IF(AND(247&gt;='EDT Y TAREAS'!AK30,247&lt;'EDT Y TAREAS'!AL30),'EDT Y TAREAS'!AD30/'EDT Y TAREAS'!M30,0),IF(AND(247&gt;='EDT Y TAREAS'!AK32,247&lt;'EDT Y TAREAS'!AL32),'EDT Y TAREAS'!AD32/'EDT Y TAREAS'!M32,0),IF(AND(247&gt;='EDT Y TAREAS'!AK34,247&lt;'EDT Y TAREAS'!AL34),'EDT Y TAREAS'!AD34/'EDT Y TAREAS'!M34,0),IF(AND(247&gt;='EDT Y TAREAS'!AK38,247&lt;'EDT Y TAREAS'!AL38),'EDT Y TAREAS'!AD38/'EDT Y TAREAS'!M38,0),IF(AND(247&gt;='EDT Y TAREAS'!AK39,247&lt;'EDT Y TAREAS'!AL39),'EDT Y TAREAS'!AD39/'EDT Y TAREAS'!M39,0),IF(AND(247&gt;='EDT Y TAREAS'!AK43,247&lt;'EDT Y TAREAS'!AL43),'EDT Y TAREAS'!AD43/'EDT Y TAREAS'!M43,0),IF(AND(247&gt;='EDT Y TAREAS'!AK44,247&lt;'EDT Y TAREAS'!AL44),'EDT Y TAREAS'!AD44/'EDT Y TAREAS'!M44,0),IF(AND(247&gt;='EDT Y TAREAS'!AK45,247&lt;'EDT Y TAREAS'!AL45),'EDT Y TAREAS'!AD45/'EDT Y TAREAS'!M45,0),IF(AND(247&gt;='EDT Y TAREAS'!AK46,247&lt;'EDT Y TAREAS'!AL46),'EDT Y TAREAS'!AD46/'EDT Y TAREAS'!M46,0),IF(AND(247&gt;='EDT Y TAREAS'!AK47,247&lt;'EDT Y TAREAS'!AL47),'EDT Y TAREAS'!AD47/'EDT Y TAREAS'!M47,0),IF(AND(247&gt;='EDT Y TAREAS'!AK49,247&lt;'EDT Y TAREAS'!AL49),'EDT Y TAREAS'!AD49/'EDT Y TAREAS'!M49,0),IF(AND(247&gt;='EDT Y TAREAS'!AK50,247&lt;'EDT Y TAREAS'!AL50),'EDT Y TAREAS'!AD50/'EDT Y TAREAS'!M50,0),IF(AND(247&gt;='EDT Y TAREAS'!AK51,247&lt;'EDT Y TAREAS'!AL51),'EDT Y TAREAS'!AD51/'EDT Y TAREAS'!M51,0),IF(AND(247&gt;='EDT Y TAREAS'!AK52,247&lt;'EDT Y TAREAS'!AL52),'EDT Y TAREAS'!AD52/'EDT Y TAREAS'!M52,0))</x:f>
        <x:v>0</x:v>
      </x:c>
      <x:c r="C287" s="35" t="n">
        <x:f>SUM(IF(AND(247&gt;='EDT Y TAREAS'!AK6,247&lt;'EDT Y TAREAS'!AL6),'EDT Y TAREAS'!AE6/'EDT Y TAREAS'!M6,0),IF(AND(247&gt;='EDT Y TAREAS'!AK8,247&lt;'EDT Y TAREAS'!AL8),'EDT Y TAREAS'!AE8/'EDT Y TAREAS'!M8,0),IF(AND(247&gt;='EDT Y TAREAS'!AK9,247&lt;'EDT Y TAREAS'!AL9),'EDT Y TAREAS'!AE9/'EDT Y TAREAS'!M9,0),IF(AND(247&gt;='EDT Y TAREAS'!AK10,247&lt;'EDT Y TAREAS'!AL10),'EDT Y TAREAS'!AE10/'EDT Y TAREAS'!M10,0),IF(AND(247&gt;='EDT Y TAREAS'!AK12,247&lt;'EDT Y TAREAS'!AL12),'EDT Y TAREAS'!AE12/'EDT Y TAREAS'!M12,0),IF(AND(247&gt;='EDT Y TAREAS'!AK16,247&lt;'EDT Y TAREAS'!AL16),'EDT Y TAREAS'!AE16/'EDT Y TAREAS'!M16,0),IF(AND(247&gt;='EDT Y TAREAS'!AK21,247&lt;'EDT Y TAREAS'!AL21),'EDT Y TAREAS'!AE21/'EDT Y TAREAS'!M21,0),IF(AND(247&gt;='EDT Y TAREAS'!AK23,247&lt;'EDT Y TAREAS'!AL23),'EDT Y TAREAS'!AE23/'EDT Y TAREAS'!M23,0),IF(AND(247&gt;='EDT Y TAREAS'!AK37,247&lt;'EDT Y TAREAS'!AL37),'EDT Y TAREAS'!AE37/'EDT Y TAREAS'!M37,0),IF(AND(247&gt;='EDT Y TAREAS'!AK38,247&lt;'EDT Y TAREAS'!AL38),'EDT Y TAREAS'!AE38/'EDT Y TAREAS'!M38,0),IF(AND(247&gt;='EDT Y TAREAS'!AK41,247&lt;'EDT Y TAREAS'!AL41),'EDT Y TAREAS'!AE41/'EDT Y TAREAS'!M41,0),IF(AND(247&gt;='EDT Y TAREAS'!AK43,247&lt;'EDT Y TAREAS'!AL43),'EDT Y TAREAS'!AE43/'EDT Y TAREAS'!M43,0),IF(AND(247&gt;='EDT Y TAREAS'!AK44,247&lt;'EDT Y TAREAS'!AL44),'EDT Y TAREAS'!AE44/'EDT Y TAREAS'!M44,0),IF(AND(247&gt;='EDT Y TAREAS'!AK46,247&lt;'EDT Y TAREAS'!AL46),'EDT Y TAREAS'!AE46/'EDT Y TAREAS'!M46,0),IF(AND(247&gt;='EDT Y TAREAS'!AK47,247&lt;'EDT Y TAREAS'!AL47),'EDT Y TAREAS'!AE47/'EDT Y TAREAS'!M47,0),IF(AND(247&gt;='EDT Y TAREAS'!AK51,247&lt;'EDT Y TAREAS'!AL51),'EDT Y TAREAS'!AE51/'EDT Y TAREAS'!M51,0),IF(AND(247&gt;='EDT Y TAREAS'!AK52,247&lt;'EDT Y TAREAS'!AL52),'EDT Y TAREAS'!AE52/'EDT Y TAREAS'!M52,0))</x:f>
        <x:v>0</x:v>
      </x:c>
      <x:c r="D287" s="35" t="n">
        <x:f>SUM(IF(AND(247&gt;='EDT Y TAREAS'!AK11,247&lt;'EDT Y TAREAS'!AL11),'EDT Y TAREAS'!AF11/'EDT Y TAREAS'!M11,0),IF(AND(247&gt;='EDT Y TAREAS'!AK24,247&lt;'EDT Y TAREAS'!AL24),'EDT Y TAREAS'!AF24/'EDT Y TAREAS'!M24,0),IF(AND(247&gt;='EDT Y TAREAS'!AK25,247&lt;'EDT Y TAREAS'!AL25),'EDT Y TAREAS'!AF25/'EDT Y TAREAS'!M25,0),IF(AND(247&gt;='EDT Y TAREAS'!AK26,247&lt;'EDT Y TAREAS'!AL26),'EDT Y TAREAS'!AF26/'EDT Y TAREAS'!M26,0),IF(AND(247&gt;='EDT Y TAREAS'!AK27,247&lt;'EDT Y TAREAS'!AL27),'EDT Y TAREAS'!AF27/'EDT Y TAREAS'!M27,0),IF(AND(247&gt;='EDT Y TAREAS'!AK28,247&lt;'EDT Y TAREAS'!AL28),'EDT Y TAREAS'!AF28/'EDT Y TAREAS'!M28,0),IF(AND(247&gt;='EDT Y TAREAS'!AK31,247&lt;'EDT Y TAREAS'!AL31),'EDT Y TAREAS'!AF31/'EDT Y TAREAS'!M31,0),IF(AND(247&gt;='EDT Y TAREAS'!AK33,247&lt;'EDT Y TAREAS'!AL33),'EDT Y TAREAS'!AF33/'EDT Y TAREAS'!M33,0),IF(AND(247&gt;='EDT Y TAREAS'!AK34,247&lt;'EDT Y TAREAS'!AL34),'EDT Y TAREAS'!AF34/'EDT Y TAREAS'!M34,0),IF(AND(247&gt;='EDT Y TAREAS'!AK35,247&lt;'EDT Y TAREAS'!AL35),'EDT Y TAREAS'!AF35/'EDT Y TAREAS'!M35,0),IF(AND(247&gt;='EDT Y TAREAS'!AK37,247&lt;'EDT Y TAREAS'!AL37),'EDT Y TAREAS'!AF37/'EDT Y TAREAS'!M37,0),IF(AND(247&gt;='EDT Y TAREAS'!AK39,247&lt;'EDT Y TAREAS'!AL39),'EDT Y TAREAS'!AF39/'EDT Y TAREAS'!M39,0),IF(AND(247&gt;='EDT Y TAREAS'!AK40,247&lt;'EDT Y TAREAS'!AL40),'EDT Y TAREAS'!AF40/'EDT Y TAREAS'!M40,0),IF(AND(247&gt;='EDT Y TAREAS'!AK42,247&lt;'EDT Y TAREAS'!AL42),'EDT Y TAREAS'!AF42/'EDT Y TAREAS'!M42,0),IF(AND(247&gt;='EDT Y TAREAS'!AK45,247&lt;'EDT Y TAREAS'!AL45),'EDT Y TAREAS'!AF45/'EDT Y TAREAS'!M45,0),IF(AND(247&gt;='EDT Y TAREAS'!AK49,247&lt;'EDT Y TAREAS'!AL49),'EDT Y TAREAS'!AF49/'EDT Y TAREAS'!M49,0),IF(AND(247&gt;='EDT Y TAREAS'!AK52,247&lt;'EDT Y TAREAS'!AL52),'EDT Y TAREAS'!AF52/'EDT Y TAREAS'!M52,0))</x:f>
        <x:v>0</x:v>
      </x:c>
      <x:c r="E287" s="35" t="n">
        <x:f>SUM(IF(AND(247&gt;='EDT Y TAREAS'!AK29,247&lt;'EDT Y TAREAS'!AL29),'EDT Y TAREAS'!AG29/'EDT Y TAREAS'!M29,0),IF(AND(247&gt;='EDT Y TAREAS'!AK30,247&lt;'EDT Y TAREAS'!AL30),'EDT Y TAREAS'!AG30/'EDT Y TAREAS'!M30,0),IF(AND(247&gt;='EDT Y TAREAS'!AK31,247&lt;'EDT Y TAREAS'!AL31),'EDT Y TAREAS'!AG31/'EDT Y TAREAS'!M31,0),IF(AND(247&gt;='EDT Y TAREAS'!AK32,247&lt;'EDT Y TAREAS'!AL32),'EDT Y TAREAS'!AG32/'EDT Y TAREAS'!M32,0),IF(AND(247&gt;='EDT Y TAREAS'!AK41,247&lt;'EDT Y TAREAS'!AL41),'EDT Y TAREAS'!AG41/'EDT Y TAREAS'!M41,0),IF(AND(247&gt;='EDT Y TAREAS'!AK45,247&lt;'EDT Y TAREAS'!AL45),'EDT Y TAREAS'!AG45/'EDT Y TAREAS'!M45,0),IF(AND(247&gt;='EDT Y TAREAS'!AK48,247&lt;'EDT Y TAREAS'!AL48),'EDT Y TAREAS'!AG48/'EDT Y TAREAS'!M48,0))</x:f>
        <x:v>0</x:v>
      </x:c>
      <x:c r="F287" s="35" t="n">
        <x:f>SUM(IF(AND(247&gt;='EDT Y TAREAS'!AK10,247&lt;'EDT Y TAREAS'!AL10),'EDT Y TAREAS'!AH10/'EDT Y TAREAS'!M10,0),IF(AND(247&gt;='EDT Y TAREAS'!AK12,247&lt;'EDT Y TAREAS'!AL12),'EDT Y TAREAS'!AH12/'EDT Y TAREAS'!M12,0),IF(AND(247&gt;='EDT Y TAREAS'!AK22,247&lt;'EDT Y TAREAS'!AL22),'EDT Y TAREAS'!AH22/'EDT Y TAREAS'!M22,0),IF(AND(247&gt;='EDT Y TAREAS'!AK23,247&lt;'EDT Y TAREAS'!AL23),'EDT Y TAREAS'!AH23/'EDT Y TAREAS'!M23,0),IF(AND(247&gt;='EDT Y TAREAS'!AK29,247&lt;'EDT Y TAREAS'!AL29),'EDT Y TAREAS'!AH29/'EDT Y TAREAS'!M29,0),IF(AND(247&gt;='EDT Y TAREAS'!AK30,247&lt;'EDT Y TAREAS'!AL30),'EDT Y TAREAS'!AH30/'EDT Y TAREAS'!M30,0),IF(AND(247&gt;='EDT Y TAREAS'!AK32,247&lt;'EDT Y TAREAS'!AL32),'EDT Y TAREAS'!AH32/'EDT Y TAREAS'!M32,0),IF(AND(247&gt;='EDT Y TAREAS'!AK41,247&lt;'EDT Y TAREAS'!AL41),'EDT Y TAREAS'!AH41/'EDT Y TAREAS'!M41,0),IF(AND(247&gt;='EDT Y TAREAS'!AK44,247&lt;'EDT Y TAREAS'!AL44),'EDT Y TAREAS'!AH44/'EDT Y TAREAS'!M44,0),IF(AND(247&gt;='EDT Y TAREAS'!AK46,247&lt;'EDT Y TAREAS'!AL46),'EDT Y TAREAS'!AH46/'EDT Y TAREAS'!M46,0),IF(AND(247&gt;='EDT Y TAREAS'!AK48,247&lt;'EDT Y TAREAS'!AL48),'EDT Y TAREAS'!AH48/'EDT Y TAREAS'!M48,0))</x:f>
        <x:v>0</x:v>
      </x:c>
      <x:c r="G287" s="35" t="n">
        <x:f>SUM(IF(AND(247&gt;='EDT Y TAREAS'!AK20,247&lt;'EDT Y TAREAS'!AL20),'EDT Y TAREAS'!AI20/'EDT Y TAREAS'!M20,0),IF(AND(247&gt;='EDT Y TAREAS'!AK25,247&lt;'EDT Y TAREAS'!AL25),'EDT Y TAREAS'!AI25/'EDT Y TAREAS'!M25,0),IF(AND(247&gt;='EDT Y TAREAS'!AK33,247&lt;'EDT Y TAREAS'!AL33),'EDT Y TAREAS'!AI33/'EDT Y TAREAS'!M33,0),IF(AND(247&gt;='EDT Y TAREAS'!AK34,247&lt;'EDT Y TAREAS'!AL34),'EDT Y TAREAS'!AI34/'EDT Y TAREAS'!M34,0),IF(AND(247&gt;='EDT Y TAREAS'!AK36,247&lt;'EDT Y TAREAS'!AL36),'EDT Y TAREAS'!AI36/'EDT Y TAREAS'!M36,0),IF(AND(247&gt;='EDT Y TAREAS'!AK39,247&lt;'EDT Y TAREAS'!AL39),'EDT Y TAREAS'!AI39/'EDT Y TAREAS'!M39,0),IF(AND(247&gt;='EDT Y TAREAS'!AK40,247&lt;'EDT Y TAREAS'!AL40),'EDT Y TAREAS'!AI40/'EDT Y TAREAS'!M40,0),IF(AND(247&gt;='EDT Y TAREAS'!AK42,247&lt;'EDT Y TAREAS'!AL42),'EDT Y TAREAS'!AI42/'EDT Y TAREAS'!M42,0),IF(AND(247&gt;='EDT Y TAREAS'!AK43,247&lt;'EDT Y TAREAS'!AL43),'EDT Y TAREAS'!AI43/'EDT Y TAREAS'!M43,0),IF(AND(247&gt;='EDT Y TAREAS'!AK44,247&lt;'EDT Y TAREAS'!AL44),'EDT Y TAREAS'!AI44/'EDT Y TAREAS'!M44,0),IF(AND(247&gt;='EDT Y TAREAS'!AK45,247&lt;'EDT Y TAREAS'!AL45),'EDT Y TAREAS'!AI45/'EDT Y TAREAS'!M45,0),IF(AND(247&gt;='EDT Y TAREAS'!AK46,247&lt;'EDT Y TAREAS'!AL46),'EDT Y TAREAS'!AI46/'EDT Y TAREAS'!M46,0),IF(AND(247&gt;='EDT Y TAREAS'!AK48,247&lt;'EDT Y TAREAS'!AL48),'EDT Y TAREAS'!AI48/'EDT Y TAREAS'!M48,0),IF(AND(247&gt;='EDT Y TAREAS'!AK50,247&lt;'EDT Y TAREAS'!AL50),'EDT Y TAREAS'!AI50/'EDT Y TAREAS'!M50,0),IF(AND(247&gt;='EDT Y TAREAS'!AK52,247&lt;'EDT Y TAREAS'!AL52),'EDT Y TAREAS'!AI52/'EDT Y TAREAS'!M52,0))</x:f>
        <x:v>0</x:v>
      </x:c>
      <x:c r="H287" s="35" t="n">
        <x:f>SUM(IF(AND(247&gt;='EDT Y TAREAS'!AK11,247&lt;'EDT Y TAREAS'!AL11),'EDT Y TAREAS'!AJ11/'EDT Y TAREAS'!M11,0),IF(AND(247&gt;='EDT Y TAREAS'!AK24,247&lt;'EDT Y TAREAS'!AL24),'EDT Y TAREAS'!AJ24/'EDT Y TAREAS'!M24,0),IF(AND(247&gt;='EDT Y TAREAS'!AK27,247&lt;'EDT Y TAREAS'!AL27),'EDT Y TAREAS'!AJ27/'EDT Y TAREAS'!M27,0),IF(AND(247&gt;='EDT Y TAREAS'!AK28,247&lt;'EDT Y TAREAS'!AL28),'EDT Y TAREAS'!AJ28/'EDT Y TAREAS'!M28,0),IF(AND(247&gt;='EDT Y TAREAS'!AK33,247&lt;'EDT Y TAREAS'!AL33),'EDT Y TAREAS'!AJ33/'EDT Y TAREAS'!M33,0),IF(AND(247&gt;='EDT Y TAREAS'!AK35,247&lt;'EDT Y TAREAS'!AL35),'EDT Y TAREAS'!AJ35/'EDT Y TAREAS'!M35,0),IF(AND(247&gt;='EDT Y TAREAS'!AK36,247&lt;'EDT Y TAREAS'!AL36),'EDT Y TAREAS'!AJ36/'EDT Y TAREAS'!M36,0),IF(AND(247&gt;='EDT Y TAREAS'!AK37,247&lt;'EDT Y TAREAS'!AL37),'EDT Y TAREAS'!AJ37/'EDT Y TAREAS'!M37,0),IF(AND(247&gt;='EDT Y TAREAS'!AK40,247&lt;'EDT Y TAREAS'!AL40),'EDT Y TAREAS'!AJ40/'EDT Y TAREAS'!M40,0),IF(AND(247&gt;='EDT Y TAREAS'!AK42,247&lt;'EDT Y TAREAS'!AL42),'EDT Y TAREAS'!AJ42/'EDT Y TAREAS'!M42,0),IF(AND(247&gt;='EDT Y TAREAS'!AK49,247&lt;'EDT Y TAREAS'!AL49),'EDT Y TAREAS'!AJ49/'EDT Y TAREAS'!M49,0),IF(AND(247&gt;='EDT Y TAREAS'!AK50,247&lt;'EDT Y TAREAS'!AL50),'EDT Y TAREAS'!AJ50/'EDT Y TAREAS'!M50,0),IF(AND(247&gt;='EDT Y TAREAS'!AK51,247&lt;'EDT Y TAREAS'!AL51),'EDT Y TAREAS'!AJ51/'EDT Y TAREAS'!M51,0),IF(AND(247&gt;='EDT Y TAREAS'!AK52,247&lt;'EDT Y TAREAS'!AL52),'EDT Y TAREAS'!AJ52/'EDT Y TAREAS'!M52,0))</x:f>
        <x:v>0</x:v>
      </x:c>
      <x:c r="I287" s="10" t="n">
        <x:f>WORKDAY('RESUMEN'!$D$3-1,A287,'RESUMEN'!$J$6:$J$25)</x:f>
        <x:v>46673</x:v>
      </x:c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  <x:c r="AA287" s="3"/>
      <x:c r="AB287" s="3"/>
      <x:c r="AC287" s="3"/>
      <x:c r="AD287" s="3"/>
      <x:c r="AE287" s="3"/>
      <x:c r="AF287" s="3"/>
      <x:c r="AG287" s="3"/>
      <x:c r="AH287" s="3"/>
      <x:c r="AI287" s="3"/>
      <x:c r="AJ287" s="3"/>
      <x:c r="AK287" s="3"/>
      <x:c r="AL287" s="3"/>
      <x:c r="AM287" s="3"/>
      <x:c r="AN287" s="3"/>
      <x:c r="AO287" s="3"/>
    </x:row>
    <x:row r="288" ht="24" customHeight="1">
      <x:c r="A288" s="3" t="n">
        <x:v>249</x:v>
      </x:c>
      <x:c r="B288" s="35" t="n">
        <x:f>SUM(IF(AND(248&gt;='EDT Y TAREAS'!AK6,248&lt;'EDT Y TAREAS'!AL6),'EDT Y TAREAS'!AD6/'EDT Y TAREAS'!M6,0),IF(AND(248&gt;='EDT Y TAREAS'!AK7,248&lt;'EDT Y TAREAS'!AL7),'EDT Y TAREAS'!AD7/'EDT Y TAREAS'!M7,0),IF(AND(248&gt;='EDT Y TAREAS'!AK8,248&lt;'EDT Y TAREAS'!AL8),'EDT Y TAREAS'!AD8/'EDT Y TAREAS'!M8,0),IF(AND(248&gt;='EDT Y TAREAS'!AK9,248&lt;'EDT Y TAREAS'!AL9),'EDT Y TAREAS'!AD9/'EDT Y TAREAS'!M9,0),IF(AND(248&gt;='EDT Y TAREAS'!AK10,248&lt;'EDT Y TAREAS'!AL10),'EDT Y TAREAS'!AD10/'EDT Y TAREAS'!M10,0),IF(AND(248&gt;='EDT Y TAREAS'!AK11,248&lt;'EDT Y TAREAS'!AL11),'EDT Y TAREAS'!AD11/'EDT Y TAREAS'!M11,0),IF(AND(248&gt;='EDT Y TAREAS'!AK12,248&lt;'EDT Y TAREAS'!AL12),'EDT Y TAREAS'!AD12/'EDT Y TAREAS'!M12,0),IF(AND(248&gt;='EDT Y TAREAS'!AK13,248&lt;'EDT Y TAREAS'!AL13),'EDT Y TAREAS'!AD13/'EDT Y TAREAS'!M13,0),IF(AND(248&gt;='EDT Y TAREAS'!AK14,248&lt;'EDT Y TAREAS'!AL14),'EDT Y TAREAS'!AD14/'EDT Y TAREAS'!M14,0),IF(AND(248&gt;='EDT Y TAREAS'!AK15,248&lt;'EDT Y TAREAS'!AL15),'EDT Y TAREAS'!AD15/'EDT Y TAREAS'!M15,0),IF(AND(248&gt;='EDT Y TAREAS'!AK16,248&lt;'EDT Y TAREAS'!AL16),'EDT Y TAREAS'!AD16/'EDT Y TAREAS'!M16,0),IF(AND(248&gt;='EDT Y TAREAS'!AK17,248&lt;'EDT Y TAREAS'!AL17),'EDT Y TAREAS'!AD17/'EDT Y TAREAS'!M17,0),IF(AND(248&gt;='EDT Y TAREAS'!AK18,248&lt;'EDT Y TAREAS'!AL18),'EDT Y TAREAS'!AD18/'EDT Y TAREAS'!M18,0),IF(AND(248&gt;='EDT Y TAREAS'!AK19,248&lt;'EDT Y TAREAS'!AL19),'EDT Y TAREAS'!AD19/'EDT Y TAREAS'!M19,0),IF(AND(248&gt;='EDT Y TAREAS'!AK20,248&lt;'EDT Y TAREAS'!AL20),'EDT Y TAREAS'!AD20/'EDT Y TAREAS'!M20,0),IF(AND(248&gt;='EDT Y TAREAS'!AK21,248&lt;'EDT Y TAREAS'!AL21),'EDT Y TAREAS'!AD21/'EDT Y TAREAS'!M21,0),IF(AND(248&gt;='EDT Y TAREAS'!AK22,248&lt;'EDT Y TAREAS'!AL22),'EDT Y TAREAS'!AD22/'EDT Y TAREAS'!M22,0),IF(AND(248&gt;='EDT Y TAREAS'!AK23,248&lt;'EDT Y TAREAS'!AL23),'EDT Y TAREAS'!AD23/'EDT Y TAREAS'!M23,0),IF(AND(248&gt;='EDT Y TAREAS'!AK26,248&lt;'EDT Y TAREAS'!AL26),'EDT Y TAREAS'!AD26/'EDT Y TAREAS'!M26,0),IF(AND(248&gt;='EDT Y TAREAS'!AK28,248&lt;'EDT Y TAREAS'!AL28),'EDT Y TAREAS'!AD28/'EDT Y TAREAS'!M28,0),IF(AND(248&gt;='EDT Y TAREAS'!AK30,248&lt;'EDT Y TAREAS'!AL30),'EDT Y TAREAS'!AD30/'EDT Y TAREAS'!M30,0),IF(AND(248&gt;='EDT Y TAREAS'!AK32,248&lt;'EDT Y TAREAS'!AL32),'EDT Y TAREAS'!AD32/'EDT Y TAREAS'!M32,0),IF(AND(248&gt;='EDT Y TAREAS'!AK34,248&lt;'EDT Y TAREAS'!AL34),'EDT Y TAREAS'!AD34/'EDT Y TAREAS'!M34,0),IF(AND(248&gt;='EDT Y TAREAS'!AK38,248&lt;'EDT Y TAREAS'!AL38),'EDT Y TAREAS'!AD38/'EDT Y TAREAS'!M38,0),IF(AND(248&gt;='EDT Y TAREAS'!AK39,248&lt;'EDT Y TAREAS'!AL39),'EDT Y TAREAS'!AD39/'EDT Y TAREAS'!M39,0),IF(AND(248&gt;='EDT Y TAREAS'!AK43,248&lt;'EDT Y TAREAS'!AL43),'EDT Y TAREAS'!AD43/'EDT Y TAREAS'!M43,0),IF(AND(248&gt;='EDT Y TAREAS'!AK44,248&lt;'EDT Y TAREAS'!AL44),'EDT Y TAREAS'!AD44/'EDT Y TAREAS'!M44,0),IF(AND(248&gt;='EDT Y TAREAS'!AK45,248&lt;'EDT Y TAREAS'!AL45),'EDT Y TAREAS'!AD45/'EDT Y TAREAS'!M45,0),IF(AND(248&gt;='EDT Y TAREAS'!AK46,248&lt;'EDT Y TAREAS'!AL46),'EDT Y TAREAS'!AD46/'EDT Y TAREAS'!M46,0),IF(AND(248&gt;='EDT Y TAREAS'!AK47,248&lt;'EDT Y TAREAS'!AL47),'EDT Y TAREAS'!AD47/'EDT Y TAREAS'!M47,0),IF(AND(248&gt;='EDT Y TAREAS'!AK49,248&lt;'EDT Y TAREAS'!AL49),'EDT Y TAREAS'!AD49/'EDT Y TAREAS'!M49,0),IF(AND(248&gt;='EDT Y TAREAS'!AK50,248&lt;'EDT Y TAREAS'!AL50),'EDT Y TAREAS'!AD50/'EDT Y TAREAS'!M50,0),IF(AND(248&gt;='EDT Y TAREAS'!AK51,248&lt;'EDT Y TAREAS'!AL51),'EDT Y TAREAS'!AD51/'EDT Y TAREAS'!M51,0),IF(AND(248&gt;='EDT Y TAREAS'!AK52,248&lt;'EDT Y TAREAS'!AL52),'EDT Y TAREAS'!AD52/'EDT Y TAREAS'!M52,0))</x:f>
        <x:v>0</x:v>
      </x:c>
      <x:c r="C288" s="35" t="n">
        <x:f>SUM(IF(AND(248&gt;='EDT Y TAREAS'!AK6,248&lt;'EDT Y TAREAS'!AL6),'EDT Y TAREAS'!AE6/'EDT Y TAREAS'!M6,0),IF(AND(248&gt;='EDT Y TAREAS'!AK8,248&lt;'EDT Y TAREAS'!AL8),'EDT Y TAREAS'!AE8/'EDT Y TAREAS'!M8,0),IF(AND(248&gt;='EDT Y TAREAS'!AK9,248&lt;'EDT Y TAREAS'!AL9),'EDT Y TAREAS'!AE9/'EDT Y TAREAS'!M9,0),IF(AND(248&gt;='EDT Y TAREAS'!AK10,248&lt;'EDT Y TAREAS'!AL10),'EDT Y TAREAS'!AE10/'EDT Y TAREAS'!M10,0),IF(AND(248&gt;='EDT Y TAREAS'!AK12,248&lt;'EDT Y TAREAS'!AL12),'EDT Y TAREAS'!AE12/'EDT Y TAREAS'!M12,0),IF(AND(248&gt;='EDT Y TAREAS'!AK16,248&lt;'EDT Y TAREAS'!AL16),'EDT Y TAREAS'!AE16/'EDT Y TAREAS'!M16,0),IF(AND(248&gt;='EDT Y TAREAS'!AK21,248&lt;'EDT Y TAREAS'!AL21),'EDT Y TAREAS'!AE21/'EDT Y TAREAS'!M21,0),IF(AND(248&gt;='EDT Y TAREAS'!AK23,248&lt;'EDT Y TAREAS'!AL23),'EDT Y TAREAS'!AE23/'EDT Y TAREAS'!M23,0),IF(AND(248&gt;='EDT Y TAREAS'!AK37,248&lt;'EDT Y TAREAS'!AL37),'EDT Y TAREAS'!AE37/'EDT Y TAREAS'!M37,0),IF(AND(248&gt;='EDT Y TAREAS'!AK38,248&lt;'EDT Y TAREAS'!AL38),'EDT Y TAREAS'!AE38/'EDT Y TAREAS'!M38,0),IF(AND(248&gt;='EDT Y TAREAS'!AK41,248&lt;'EDT Y TAREAS'!AL41),'EDT Y TAREAS'!AE41/'EDT Y TAREAS'!M41,0),IF(AND(248&gt;='EDT Y TAREAS'!AK43,248&lt;'EDT Y TAREAS'!AL43),'EDT Y TAREAS'!AE43/'EDT Y TAREAS'!M43,0),IF(AND(248&gt;='EDT Y TAREAS'!AK44,248&lt;'EDT Y TAREAS'!AL44),'EDT Y TAREAS'!AE44/'EDT Y TAREAS'!M44,0),IF(AND(248&gt;='EDT Y TAREAS'!AK46,248&lt;'EDT Y TAREAS'!AL46),'EDT Y TAREAS'!AE46/'EDT Y TAREAS'!M46,0),IF(AND(248&gt;='EDT Y TAREAS'!AK47,248&lt;'EDT Y TAREAS'!AL47),'EDT Y TAREAS'!AE47/'EDT Y TAREAS'!M47,0),IF(AND(248&gt;='EDT Y TAREAS'!AK51,248&lt;'EDT Y TAREAS'!AL51),'EDT Y TAREAS'!AE51/'EDT Y TAREAS'!M51,0),IF(AND(248&gt;='EDT Y TAREAS'!AK52,248&lt;'EDT Y TAREAS'!AL52),'EDT Y TAREAS'!AE52/'EDT Y TAREAS'!M52,0))</x:f>
        <x:v>0</x:v>
      </x:c>
      <x:c r="D288" s="35" t="n">
        <x:f>SUM(IF(AND(248&gt;='EDT Y TAREAS'!AK11,248&lt;'EDT Y TAREAS'!AL11),'EDT Y TAREAS'!AF11/'EDT Y TAREAS'!M11,0),IF(AND(248&gt;='EDT Y TAREAS'!AK24,248&lt;'EDT Y TAREAS'!AL24),'EDT Y TAREAS'!AF24/'EDT Y TAREAS'!M24,0),IF(AND(248&gt;='EDT Y TAREAS'!AK25,248&lt;'EDT Y TAREAS'!AL25),'EDT Y TAREAS'!AF25/'EDT Y TAREAS'!M25,0),IF(AND(248&gt;='EDT Y TAREAS'!AK26,248&lt;'EDT Y TAREAS'!AL26),'EDT Y TAREAS'!AF26/'EDT Y TAREAS'!M26,0),IF(AND(248&gt;='EDT Y TAREAS'!AK27,248&lt;'EDT Y TAREAS'!AL27),'EDT Y TAREAS'!AF27/'EDT Y TAREAS'!M27,0),IF(AND(248&gt;='EDT Y TAREAS'!AK28,248&lt;'EDT Y TAREAS'!AL28),'EDT Y TAREAS'!AF28/'EDT Y TAREAS'!M28,0),IF(AND(248&gt;='EDT Y TAREAS'!AK31,248&lt;'EDT Y TAREAS'!AL31),'EDT Y TAREAS'!AF31/'EDT Y TAREAS'!M31,0),IF(AND(248&gt;='EDT Y TAREAS'!AK33,248&lt;'EDT Y TAREAS'!AL33),'EDT Y TAREAS'!AF33/'EDT Y TAREAS'!M33,0),IF(AND(248&gt;='EDT Y TAREAS'!AK34,248&lt;'EDT Y TAREAS'!AL34),'EDT Y TAREAS'!AF34/'EDT Y TAREAS'!M34,0),IF(AND(248&gt;='EDT Y TAREAS'!AK35,248&lt;'EDT Y TAREAS'!AL35),'EDT Y TAREAS'!AF35/'EDT Y TAREAS'!M35,0),IF(AND(248&gt;='EDT Y TAREAS'!AK37,248&lt;'EDT Y TAREAS'!AL37),'EDT Y TAREAS'!AF37/'EDT Y TAREAS'!M37,0),IF(AND(248&gt;='EDT Y TAREAS'!AK39,248&lt;'EDT Y TAREAS'!AL39),'EDT Y TAREAS'!AF39/'EDT Y TAREAS'!M39,0),IF(AND(248&gt;='EDT Y TAREAS'!AK40,248&lt;'EDT Y TAREAS'!AL40),'EDT Y TAREAS'!AF40/'EDT Y TAREAS'!M40,0),IF(AND(248&gt;='EDT Y TAREAS'!AK42,248&lt;'EDT Y TAREAS'!AL42),'EDT Y TAREAS'!AF42/'EDT Y TAREAS'!M42,0),IF(AND(248&gt;='EDT Y TAREAS'!AK45,248&lt;'EDT Y TAREAS'!AL45),'EDT Y TAREAS'!AF45/'EDT Y TAREAS'!M45,0),IF(AND(248&gt;='EDT Y TAREAS'!AK49,248&lt;'EDT Y TAREAS'!AL49),'EDT Y TAREAS'!AF49/'EDT Y TAREAS'!M49,0),IF(AND(248&gt;='EDT Y TAREAS'!AK52,248&lt;'EDT Y TAREAS'!AL52),'EDT Y TAREAS'!AF52/'EDT Y TAREAS'!M52,0))</x:f>
        <x:v>0</x:v>
      </x:c>
      <x:c r="E288" s="35" t="n">
        <x:f>SUM(IF(AND(248&gt;='EDT Y TAREAS'!AK29,248&lt;'EDT Y TAREAS'!AL29),'EDT Y TAREAS'!AG29/'EDT Y TAREAS'!M29,0),IF(AND(248&gt;='EDT Y TAREAS'!AK30,248&lt;'EDT Y TAREAS'!AL30),'EDT Y TAREAS'!AG30/'EDT Y TAREAS'!M30,0),IF(AND(248&gt;='EDT Y TAREAS'!AK31,248&lt;'EDT Y TAREAS'!AL31),'EDT Y TAREAS'!AG31/'EDT Y TAREAS'!M31,0),IF(AND(248&gt;='EDT Y TAREAS'!AK32,248&lt;'EDT Y TAREAS'!AL32),'EDT Y TAREAS'!AG32/'EDT Y TAREAS'!M32,0),IF(AND(248&gt;='EDT Y TAREAS'!AK41,248&lt;'EDT Y TAREAS'!AL41),'EDT Y TAREAS'!AG41/'EDT Y TAREAS'!M41,0),IF(AND(248&gt;='EDT Y TAREAS'!AK45,248&lt;'EDT Y TAREAS'!AL45),'EDT Y TAREAS'!AG45/'EDT Y TAREAS'!M45,0),IF(AND(248&gt;='EDT Y TAREAS'!AK48,248&lt;'EDT Y TAREAS'!AL48),'EDT Y TAREAS'!AG48/'EDT Y TAREAS'!M48,0))</x:f>
        <x:v>0</x:v>
      </x:c>
      <x:c r="F288" s="35" t="n">
        <x:f>SUM(IF(AND(248&gt;='EDT Y TAREAS'!AK10,248&lt;'EDT Y TAREAS'!AL10),'EDT Y TAREAS'!AH10/'EDT Y TAREAS'!M10,0),IF(AND(248&gt;='EDT Y TAREAS'!AK12,248&lt;'EDT Y TAREAS'!AL12),'EDT Y TAREAS'!AH12/'EDT Y TAREAS'!M12,0),IF(AND(248&gt;='EDT Y TAREAS'!AK22,248&lt;'EDT Y TAREAS'!AL22),'EDT Y TAREAS'!AH22/'EDT Y TAREAS'!M22,0),IF(AND(248&gt;='EDT Y TAREAS'!AK23,248&lt;'EDT Y TAREAS'!AL23),'EDT Y TAREAS'!AH23/'EDT Y TAREAS'!M23,0),IF(AND(248&gt;='EDT Y TAREAS'!AK29,248&lt;'EDT Y TAREAS'!AL29),'EDT Y TAREAS'!AH29/'EDT Y TAREAS'!M29,0),IF(AND(248&gt;='EDT Y TAREAS'!AK30,248&lt;'EDT Y TAREAS'!AL30),'EDT Y TAREAS'!AH30/'EDT Y TAREAS'!M30,0),IF(AND(248&gt;='EDT Y TAREAS'!AK32,248&lt;'EDT Y TAREAS'!AL32),'EDT Y TAREAS'!AH32/'EDT Y TAREAS'!M32,0),IF(AND(248&gt;='EDT Y TAREAS'!AK41,248&lt;'EDT Y TAREAS'!AL41),'EDT Y TAREAS'!AH41/'EDT Y TAREAS'!M41,0),IF(AND(248&gt;='EDT Y TAREAS'!AK44,248&lt;'EDT Y TAREAS'!AL44),'EDT Y TAREAS'!AH44/'EDT Y TAREAS'!M44,0),IF(AND(248&gt;='EDT Y TAREAS'!AK46,248&lt;'EDT Y TAREAS'!AL46),'EDT Y TAREAS'!AH46/'EDT Y TAREAS'!M46,0),IF(AND(248&gt;='EDT Y TAREAS'!AK48,248&lt;'EDT Y TAREAS'!AL48),'EDT Y TAREAS'!AH48/'EDT Y TAREAS'!M48,0))</x:f>
        <x:v>0</x:v>
      </x:c>
      <x:c r="G288" s="35" t="n">
        <x:f>SUM(IF(AND(248&gt;='EDT Y TAREAS'!AK20,248&lt;'EDT Y TAREAS'!AL20),'EDT Y TAREAS'!AI20/'EDT Y TAREAS'!M20,0),IF(AND(248&gt;='EDT Y TAREAS'!AK25,248&lt;'EDT Y TAREAS'!AL25),'EDT Y TAREAS'!AI25/'EDT Y TAREAS'!M25,0),IF(AND(248&gt;='EDT Y TAREAS'!AK33,248&lt;'EDT Y TAREAS'!AL33),'EDT Y TAREAS'!AI33/'EDT Y TAREAS'!M33,0),IF(AND(248&gt;='EDT Y TAREAS'!AK34,248&lt;'EDT Y TAREAS'!AL34),'EDT Y TAREAS'!AI34/'EDT Y TAREAS'!M34,0),IF(AND(248&gt;='EDT Y TAREAS'!AK36,248&lt;'EDT Y TAREAS'!AL36),'EDT Y TAREAS'!AI36/'EDT Y TAREAS'!M36,0),IF(AND(248&gt;='EDT Y TAREAS'!AK39,248&lt;'EDT Y TAREAS'!AL39),'EDT Y TAREAS'!AI39/'EDT Y TAREAS'!M39,0),IF(AND(248&gt;='EDT Y TAREAS'!AK40,248&lt;'EDT Y TAREAS'!AL40),'EDT Y TAREAS'!AI40/'EDT Y TAREAS'!M40,0),IF(AND(248&gt;='EDT Y TAREAS'!AK42,248&lt;'EDT Y TAREAS'!AL42),'EDT Y TAREAS'!AI42/'EDT Y TAREAS'!M42,0),IF(AND(248&gt;='EDT Y TAREAS'!AK43,248&lt;'EDT Y TAREAS'!AL43),'EDT Y TAREAS'!AI43/'EDT Y TAREAS'!M43,0),IF(AND(248&gt;='EDT Y TAREAS'!AK44,248&lt;'EDT Y TAREAS'!AL44),'EDT Y TAREAS'!AI44/'EDT Y TAREAS'!M44,0),IF(AND(248&gt;='EDT Y TAREAS'!AK45,248&lt;'EDT Y TAREAS'!AL45),'EDT Y TAREAS'!AI45/'EDT Y TAREAS'!M45,0),IF(AND(248&gt;='EDT Y TAREAS'!AK46,248&lt;'EDT Y TAREAS'!AL46),'EDT Y TAREAS'!AI46/'EDT Y TAREAS'!M46,0),IF(AND(248&gt;='EDT Y TAREAS'!AK48,248&lt;'EDT Y TAREAS'!AL48),'EDT Y TAREAS'!AI48/'EDT Y TAREAS'!M48,0),IF(AND(248&gt;='EDT Y TAREAS'!AK50,248&lt;'EDT Y TAREAS'!AL50),'EDT Y TAREAS'!AI50/'EDT Y TAREAS'!M50,0),IF(AND(248&gt;='EDT Y TAREAS'!AK52,248&lt;'EDT Y TAREAS'!AL52),'EDT Y TAREAS'!AI52/'EDT Y TAREAS'!M52,0))</x:f>
        <x:v>0</x:v>
      </x:c>
      <x:c r="H288" s="35" t="n">
        <x:f>SUM(IF(AND(248&gt;='EDT Y TAREAS'!AK11,248&lt;'EDT Y TAREAS'!AL11),'EDT Y TAREAS'!AJ11/'EDT Y TAREAS'!M11,0),IF(AND(248&gt;='EDT Y TAREAS'!AK24,248&lt;'EDT Y TAREAS'!AL24),'EDT Y TAREAS'!AJ24/'EDT Y TAREAS'!M24,0),IF(AND(248&gt;='EDT Y TAREAS'!AK27,248&lt;'EDT Y TAREAS'!AL27),'EDT Y TAREAS'!AJ27/'EDT Y TAREAS'!M27,0),IF(AND(248&gt;='EDT Y TAREAS'!AK28,248&lt;'EDT Y TAREAS'!AL28),'EDT Y TAREAS'!AJ28/'EDT Y TAREAS'!M28,0),IF(AND(248&gt;='EDT Y TAREAS'!AK33,248&lt;'EDT Y TAREAS'!AL33),'EDT Y TAREAS'!AJ33/'EDT Y TAREAS'!M33,0),IF(AND(248&gt;='EDT Y TAREAS'!AK35,248&lt;'EDT Y TAREAS'!AL35),'EDT Y TAREAS'!AJ35/'EDT Y TAREAS'!M35,0),IF(AND(248&gt;='EDT Y TAREAS'!AK36,248&lt;'EDT Y TAREAS'!AL36),'EDT Y TAREAS'!AJ36/'EDT Y TAREAS'!M36,0),IF(AND(248&gt;='EDT Y TAREAS'!AK37,248&lt;'EDT Y TAREAS'!AL37),'EDT Y TAREAS'!AJ37/'EDT Y TAREAS'!M37,0),IF(AND(248&gt;='EDT Y TAREAS'!AK40,248&lt;'EDT Y TAREAS'!AL40),'EDT Y TAREAS'!AJ40/'EDT Y TAREAS'!M40,0),IF(AND(248&gt;='EDT Y TAREAS'!AK42,248&lt;'EDT Y TAREAS'!AL42),'EDT Y TAREAS'!AJ42/'EDT Y TAREAS'!M42,0),IF(AND(248&gt;='EDT Y TAREAS'!AK49,248&lt;'EDT Y TAREAS'!AL49),'EDT Y TAREAS'!AJ49/'EDT Y TAREAS'!M49,0),IF(AND(248&gt;='EDT Y TAREAS'!AK50,248&lt;'EDT Y TAREAS'!AL50),'EDT Y TAREAS'!AJ50/'EDT Y TAREAS'!M50,0),IF(AND(248&gt;='EDT Y TAREAS'!AK51,248&lt;'EDT Y TAREAS'!AL51),'EDT Y TAREAS'!AJ51/'EDT Y TAREAS'!M51,0),IF(AND(248&gt;='EDT Y TAREAS'!AK52,248&lt;'EDT Y TAREAS'!AL52),'EDT Y TAREAS'!AJ52/'EDT Y TAREAS'!M52,0))</x:f>
        <x:v>0</x:v>
      </x:c>
      <x:c r="I288" s="10" t="n">
        <x:f>WORKDAY('RESUMEN'!$D$3-1,A288,'RESUMEN'!$J$6:$J$25)</x:f>
        <x:v>46674</x:v>
      </x:c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  <x:c r="AA288" s="3"/>
      <x:c r="AB288" s="3"/>
      <x:c r="AC288" s="3"/>
      <x:c r="AD288" s="3"/>
      <x:c r="AE288" s="3"/>
      <x:c r="AF288" s="3"/>
      <x:c r="AG288" s="3"/>
      <x:c r="AH288" s="3"/>
      <x:c r="AI288" s="3"/>
      <x:c r="AJ288" s="3"/>
      <x:c r="AK288" s="3"/>
      <x:c r="AL288" s="3"/>
      <x:c r="AM288" s="3"/>
      <x:c r="AN288" s="3"/>
      <x:c r="AO288" s="3"/>
    </x:row>
    <x:row r="289" ht="24" customHeight="1">
      <x:c r="A289" s="3" t="n">
        <x:v>250</x:v>
      </x:c>
      <x:c r="B289" s="35" t="n">
        <x:f>SUM(IF(AND(249&gt;='EDT Y TAREAS'!AK6,249&lt;'EDT Y TAREAS'!AL6),'EDT Y TAREAS'!AD6/'EDT Y TAREAS'!M6,0),IF(AND(249&gt;='EDT Y TAREAS'!AK7,249&lt;'EDT Y TAREAS'!AL7),'EDT Y TAREAS'!AD7/'EDT Y TAREAS'!M7,0),IF(AND(249&gt;='EDT Y TAREAS'!AK8,249&lt;'EDT Y TAREAS'!AL8),'EDT Y TAREAS'!AD8/'EDT Y TAREAS'!M8,0),IF(AND(249&gt;='EDT Y TAREAS'!AK9,249&lt;'EDT Y TAREAS'!AL9),'EDT Y TAREAS'!AD9/'EDT Y TAREAS'!M9,0),IF(AND(249&gt;='EDT Y TAREAS'!AK10,249&lt;'EDT Y TAREAS'!AL10),'EDT Y TAREAS'!AD10/'EDT Y TAREAS'!M10,0),IF(AND(249&gt;='EDT Y TAREAS'!AK11,249&lt;'EDT Y TAREAS'!AL11),'EDT Y TAREAS'!AD11/'EDT Y TAREAS'!M11,0),IF(AND(249&gt;='EDT Y TAREAS'!AK12,249&lt;'EDT Y TAREAS'!AL12),'EDT Y TAREAS'!AD12/'EDT Y TAREAS'!M12,0),IF(AND(249&gt;='EDT Y TAREAS'!AK13,249&lt;'EDT Y TAREAS'!AL13),'EDT Y TAREAS'!AD13/'EDT Y TAREAS'!M13,0),IF(AND(249&gt;='EDT Y TAREAS'!AK14,249&lt;'EDT Y TAREAS'!AL14),'EDT Y TAREAS'!AD14/'EDT Y TAREAS'!M14,0),IF(AND(249&gt;='EDT Y TAREAS'!AK15,249&lt;'EDT Y TAREAS'!AL15),'EDT Y TAREAS'!AD15/'EDT Y TAREAS'!M15,0),IF(AND(249&gt;='EDT Y TAREAS'!AK16,249&lt;'EDT Y TAREAS'!AL16),'EDT Y TAREAS'!AD16/'EDT Y TAREAS'!M16,0),IF(AND(249&gt;='EDT Y TAREAS'!AK17,249&lt;'EDT Y TAREAS'!AL17),'EDT Y TAREAS'!AD17/'EDT Y TAREAS'!M17,0),IF(AND(249&gt;='EDT Y TAREAS'!AK18,249&lt;'EDT Y TAREAS'!AL18),'EDT Y TAREAS'!AD18/'EDT Y TAREAS'!M18,0),IF(AND(249&gt;='EDT Y TAREAS'!AK19,249&lt;'EDT Y TAREAS'!AL19),'EDT Y TAREAS'!AD19/'EDT Y TAREAS'!M19,0),IF(AND(249&gt;='EDT Y TAREAS'!AK20,249&lt;'EDT Y TAREAS'!AL20),'EDT Y TAREAS'!AD20/'EDT Y TAREAS'!M20,0),IF(AND(249&gt;='EDT Y TAREAS'!AK21,249&lt;'EDT Y TAREAS'!AL21),'EDT Y TAREAS'!AD21/'EDT Y TAREAS'!M21,0),IF(AND(249&gt;='EDT Y TAREAS'!AK22,249&lt;'EDT Y TAREAS'!AL22),'EDT Y TAREAS'!AD22/'EDT Y TAREAS'!M22,0),IF(AND(249&gt;='EDT Y TAREAS'!AK23,249&lt;'EDT Y TAREAS'!AL23),'EDT Y TAREAS'!AD23/'EDT Y TAREAS'!M23,0),IF(AND(249&gt;='EDT Y TAREAS'!AK26,249&lt;'EDT Y TAREAS'!AL26),'EDT Y TAREAS'!AD26/'EDT Y TAREAS'!M26,0),IF(AND(249&gt;='EDT Y TAREAS'!AK28,249&lt;'EDT Y TAREAS'!AL28),'EDT Y TAREAS'!AD28/'EDT Y TAREAS'!M28,0),IF(AND(249&gt;='EDT Y TAREAS'!AK30,249&lt;'EDT Y TAREAS'!AL30),'EDT Y TAREAS'!AD30/'EDT Y TAREAS'!M30,0),IF(AND(249&gt;='EDT Y TAREAS'!AK32,249&lt;'EDT Y TAREAS'!AL32),'EDT Y TAREAS'!AD32/'EDT Y TAREAS'!M32,0),IF(AND(249&gt;='EDT Y TAREAS'!AK34,249&lt;'EDT Y TAREAS'!AL34),'EDT Y TAREAS'!AD34/'EDT Y TAREAS'!M34,0),IF(AND(249&gt;='EDT Y TAREAS'!AK38,249&lt;'EDT Y TAREAS'!AL38),'EDT Y TAREAS'!AD38/'EDT Y TAREAS'!M38,0),IF(AND(249&gt;='EDT Y TAREAS'!AK39,249&lt;'EDT Y TAREAS'!AL39),'EDT Y TAREAS'!AD39/'EDT Y TAREAS'!M39,0),IF(AND(249&gt;='EDT Y TAREAS'!AK43,249&lt;'EDT Y TAREAS'!AL43),'EDT Y TAREAS'!AD43/'EDT Y TAREAS'!M43,0),IF(AND(249&gt;='EDT Y TAREAS'!AK44,249&lt;'EDT Y TAREAS'!AL44),'EDT Y TAREAS'!AD44/'EDT Y TAREAS'!M44,0),IF(AND(249&gt;='EDT Y TAREAS'!AK45,249&lt;'EDT Y TAREAS'!AL45),'EDT Y TAREAS'!AD45/'EDT Y TAREAS'!M45,0),IF(AND(249&gt;='EDT Y TAREAS'!AK46,249&lt;'EDT Y TAREAS'!AL46),'EDT Y TAREAS'!AD46/'EDT Y TAREAS'!M46,0),IF(AND(249&gt;='EDT Y TAREAS'!AK47,249&lt;'EDT Y TAREAS'!AL47),'EDT Y TAREAS'!AD47/'EDT Y TAREAS'!M47,0),IF(AND(249&gt;='EDT Y TAREAS'!AK49,249&lt;'EDT Y TAREAS'!AL49),'EDT Y TAREAS'!AD49/'EDT Y TAREAS'!M49,0),IF(AND(249&gt;='EDT Y TAREAS'!AK50,249&lt;'EDT Y TAREAS'!AL50),'EDT Y TAREAS'!AD50/'EDT Y TAREAS'!M50,0),IF(AND(249&gt;='EDT Y TAREAS'!AK51,249&lt;'EDT Y TAREAS'!AL51),'EDT Y TAREAS'!AD51/'EDT Y TAREAS'!M51,0),IF(AND(249&gt;='EDT Y TAREAS'!AK52,249&lt;'EDT Y TAREAS'!AL52),'EDT Y TAREAS'!AD52/'EDT Y TAREAS'!M52,0))</x:f>
        <x:v>0</x:v>
      </x:c>
      <x:c r="C289" s="35" t="n">
        <x:f>SUM(IF(AND(249&gt;='EDT Y TAREAS'!AK6,249&lt;'EDT Y TAREAS'!AL6),'EDT Y TAREAS'!AE6/'EDT Y TAREAS'!M6,0),IF(AND(249&gt;='EDT Y TAREAS'!AK8,249&lt;'EDT Y TAREAS'!AL8),'EDT Y TAREAS'!AE8/'EDT Y TAREAS'!M8,0),IF(AND(249&gt;='EDT Y TAREAS'!AK9,249&lt;'EDT Y TAREAS'!AL9),'EDT Y TAREAS'!AE9/'EDT Y TAREAS'!M9,0),IF(AND(249&gt;='EDT Y TAREAS'!AK10,249&lt;'EDT Y TAREAS'!AL10),'EDT Y TAREAS'!AE10/'EDT Y TAREAS'!M10,0),IF(AND(249&gt;='EDT Y TAREAS'!AK12,249&lt;'EDT Y TAREAS'!AL12),'EDT Y TAREAS'!AE12/'EDT Y TAREAS'!M12,0),IF(AND(249&gt;='EDT Y TAREAS'!AK16,249&lt;'EDT Y TAREAS'!AL16),'EDT Y TAREAS'!AE16/'EDT Y TAREAS'!M16,0),IF(AND(249&gt;='EDT Y TAREAS'!AK21,249&lt;'EDT Y TAREAS'!AL21),'EDT Y TAREAS'!AE21/'EDT Y TAREAS'!M21,0),IF(AND(249&gt;='EDT Y TAREAS'!AK23,249&lt;'EDT Y TAREAS'!AL23),'EDT Y TAREAS'!AE23/'EDT Y TAREAS'!M23,0),IF(AND(249&gt;='EDT Y TAREAS'!AK37,249&lt;'EDT Y TAREAS'!AL37),'EDT Y TAREAS'!AE37/'EDT Y TAREAS'!M37,0),IF(AND(249&gt;='EDT Y TAREAS'!AK38,249&lt;'EDT Y TAREAS'!AL38),'EDT Y TAREAS'!AE38/'EDT Y TAREAS'!M38,0),IF(AND(249&gt;='EDT Y TAREAS'!AK41,249&lt;'EDT Y TAREAS'!AL41),'EDT Y TAREAS'!AE41/'EDT Y TAREAS'!M41,0),IF(AND(249&gt;='EDT Y TAREAS'!AK43,249&lt;'EDT Y TAREAS'!AL43),'EDT Y TAREAS'!AE43/'EDT Y TAREAS'!M43,0),IF(AND(249&gt;='EDT Y TAREAS'!AK44,249&lt;'EDT Y TAREAS'!AL44),'EDT Y TAREAS'!AE44/'EDT Y TAREAS'!M44,0),IF(AND(249&gt;='EDT Y TAREAS'!AK46,249&lt;'EDT Y TAREAS'!AL46),'EDT Y TAREAS'!AE46/'EDT Y TAREAS'!M46,0),IF(AND(249&gt;='EDT Y TAREAS'!AK47,249&lt;'EDT Y TAREAS'!AL47),'EDT Y TAREAS'!AE47/'EDT Y TAREAS'!M47,0),IF(AND(249&gt;='EDT Y TAREAS'!AK51,249&lt;'EDT Y TAREAS'!AL51),'EDT Y TAREAS'!AE51/'EDT Y TAREAS'!M51,0),IF(AND(249&gt;='EDT Y TAREAS'!AK52,249&lt;'EDT Y TAREAS'!AL52),'EDT Y TAREAS'!AE52/'EDT Y TAREAS'!M52,0))</x:f>
        <x:v>0</x:v>
      </x:c>
      <x:c r="D289" s="35" t="n">
        <x:f>SUM(IF(AND(249&gt;='EDT Y TAREAS'!AK11,249&lt;'EDT Y TAREAS'!AL11),'EDT Y TAREAS'!AF11/'EDT Y TAREAS'!M11,0),IF(AND(249&gt;='EDT Y TAREAS'!AK24,249&lt;'EDT Y TAREAS'!AL24),'EDT Y TAREAS'!AF24/'EDT Y TAREAS'!M24,0),IF(AND(249&gt;='EDT Y TAREAS'!AK25,249&lt;'EDT Y TAREAS'!AL25),'EDT Y TAREAS'!AF25/'EDT Y TAREAS'!M25,0),IF(AND(249&gt;='EDT Y TAREAS'!AK26,249&lt;'EDT Y TAREAS'!AL26),'EDT Y TAREAS'!AF26/'EDT Y TAREAS'!M26,0),IF(AND(249&gt;='EDT Y TAREAS'!AK27,249&lt;'EDT Y TAREAS'!AL27),'EDT Y TAREAS'!AF27/'EDT Y TAREAS'!M27,0),IF(AND(249&gt;='EDT Y TAREAS'!AK28,249&lt;'EDT Y TAREAS'!AL28),'EDT Y TAREAS'!AF28/'EDT Y TAREAS'!M28,0),IF(AND(249&gt;='EDT Y TAREAS'!AK31,249&lt;'EDT Y TAREAS'!AL31),'EDT Y TAREAS'!AF31/'EDT Y TAREAS'!M31,0),IF(AND(249&gt;='EDT Y TAREAS'!AK33,249&lt;'EDT Y TAREAS'!AL33),'EDT Y TAREAS'!AF33/'EDT Y TAREAS'!M33,0),IF(AND(249&gt;='EDT Y TAREAS'!AK34,249&lt;'EDT Y TAREAS'!AL34),'EDT Y TAREAS'!AF34/'EDT Y TAREAS'!M34,0),IF(AND(249&gt;='EDT Y TAREAS'!AK35,249&lt;'EDT Y TAREAS'!AL35),'EDT Y TAREAS'!AF35/'EDT Y TAREAS'!M35,0),IF(AND(249&gt;='EDT Y TAREAS'!AK37,249&lt;'EDT Y TAREAS'!AL37),'EDT Y TAREAS'!AF37/'EDT Y TAREAS'!M37,0),IF(AND(249&gt;='EDT Y TAREAS'!AK39,249&lt;'EDT Y TAREAS'!AL39),'EDT Y TAREAS'!AF39/'EDT Y TAREAS'!M39,0),IF(AND(249&gt;='EDT Y TAREAS'!AK40,249&lt;'EDT Y TAREAS'!AL40),'EDT Y TAREAS'!AF40/'EDT Y TAREAS'!M40,0),IF(AND(249&gt;='EDT Y TAREAS'!AK42,249&lt;'EDT Y TAREAS'!AL42),'EDT Y TAREAS'!AF42/'EDT Y TAREAS'!M42,0),IF(AND(249&gt;='EDT Y TAREAS'!AK45,249&lt;'EDT Y TAREAS'!AL45),'EDT Y TAREAS'!AF45/'EDT Y TAREAS'!M45,0),IF(AND(249&gt;='EDT Y TAREAS'!AK49,249&lt;'EDT Y TAREAS'!AL49),'EDT Y TAREAS'!AF49/'EDT Y TAREAS'!M49,0),IF(AND(249&gt;='EDT Y TAREAS'!AK52,249&lt;'EDT Y TAREAS'!AL52),'EDT Y TAREAS'!AF52/'EDT Y TAREAS'!M52,0))</x:f>
        <x:v>0</x:v>
      </x:c>
      <x:c r="E289" s="35" t="n">
        <x:f>SUM(IF(AND(249&gt;='EDT Y TAREAS'!AK29,249&lt;'EDT Y TAREAS'!AL29),'EDT Y TAREAS'!AG29/'EDT Y TAREAS'!M29,0),IF(AND(249&gt;='EDT Y TAREAS'!AK30,249&lt;'EDT Y TAREAS'!AL30),'EDT Y TAREAS'!AG30/'EDT Y TAREAS'!M30,0),IF(AND(249&gt;='EDT Y TAREAS'!AK31,249&lt;'EDT Y TAREAS'!AL31),'EDT Y TAREAS'!AG31/'EDT Y TAREAS'!M31,0),IF(AND(249&gt;='EDT Y TAREAS'!AK32,249&lt;'EDT Y TAREAS'!AL32),'EDT Y TAREAS'!AG32/'EDT Y TAREAS'!M32,0),IF(AND(249&gt;='EDT Y TAREAS'!AK41,249&lt;'EDT Y TAREAS'!AL41),'EDT Y TAREAS'!AG41/'EDT Y TAREAS'!M41,0),IF(AND(249&gt;='EDT Y TAREAS'!AK45,249&lt;'EDT Y TAREAS'!AL45),'EDT Y TAREAS'!AG45/'EDT Y TAREAS'!M45,0),IF(AND(249&gt;='EDT Y TAREAS'!AK48,249&lt;'EDT Y TAREAS'!AL48),'EDT Y TAREAS'!AG48/'EDT Y TAREAS'!M48,0))</x:f>
        <x:v>0</x:v>
      </x:c>
      <x:c r="F289" s="35" t="n">
        <x:f>SUM(IF(AND(249&gt;='EDT Y TAREAS'!AK10,249&lt;'EDT Y TAREAS'!AL10),'EDT Y TAREAS'!AH10/'EDT Y TAREAS'!M10,0),IF(AND(249&gt;='EDT Y TAREAS'!AK12,249&lt;'EDT Y TAREAS'!AL12),'EDT Y TAREAS'!AH12/'EDT Y TAREAS'!M12,0),IF(AND(249&gt;='EDT Y TAREAS'!AK22,249&lt;'EDT Y TAREAS'!AL22),'EDT Y TAREAS'!AH22/'EDT Y TAREAS'!M22,0),IF(AND(249&gt;='EDT Y TAREAS'!AK23,249&lt;'EDT Y TAREAS'!AL23),'EDT Y TAREAS'!AH23/'EDT Y TAREAS'!M23,0),IF(AND(249&gt;='EDT Y TAREAS'!AK29,249&lt;'EDT Y TAREAS'!AL29),'EDT Y TAREAS'!AH29/'EDT Y TAREAS'!M29,0),IF(AND(249&gt;='EDT Y TAREAS'!AK30,249&lt;'EDT Y TAREAS'!AL30),'EDT Y TAREAS'!AH30/'EDT Y TAREAS'!M30,0),IF(AND(249&gt;='EDT Y TAREAS'!AK32,249&lt;'EDT Y TAREAS'!AL32),'EDT Y TAREAS'!AH32/'EDT Y TAREAS'!M32,0),IF(AND(249&gt;='EDT Y TAREAS'!AK41,249&lt;'EDT Y TAREAS'!AL41),'EDT Y TAREAS'!AH41/'EDT Y TAREAS'!M41,0),IF(AND(249&gt;='EDT Y TAREAS'!AK44,249&lt;'EDT Y TAREAS'!AL44),'EDT Y TAREAS'!AH44/'EDT Y TAREAS'!M44,0),IF(AND(249&gt;='EDT Y TAREAS'!AK46,249&lt;'EDT Y TAREAS'!AL46),'EDT Y TAREAS'!AH46/'EDT Y TAREAS'!M46,0),IF(AND(249&gt;='EDT Y TAREAS'!AK48,249&lt;'EDT Y TAREAS'!AL48),'EDT Y TAREAS'!AH48/'EDT Y TAREAS'!M48,0))</x:f>
        <x:v>0</x:v>
      </x:c>
      <x:c r="G289" s="35" t="n">
        <x:f>SUM(IF(AND(249&gt;='EDT Y TAREAS'!AK20,249&lt;'EDT Y TAREAS'!AL20),'EDT Y TAREAS'!AI20/'EDT Y TAREAS'!M20,0),IF(AND(249&gt;='EDT Y TAREAS'!AK25,249&lt;'EDT Y TAREAS'!AL25),'EDT Y TAREAS'!AI25/'EDT Y TAREAS'!M25,0),IF(AND(249&gt;='EDT Y TAREAS'!AK33,249&lt;'EDT Y TAREAS'!AL33),'EDT Y TAREAS'!AI33/'EDT Y TAREAS'!M33,0),IF(AND(249&gt;='EDT Y TAREAS'!AK34,249&lt;'EDT Y TAREAS'!AL34),'EDT Y TAREAS'!AI34/'EDT Y TAREAS'!M34,0),IF(AND(249&gt;='EDT Y TAREAS'!AK36,249&lt;'EDT Y TAREAS'!AL36),'EDT Y TAREAS'!AI36/'EDT Y TAREAS'!M36,0),IF(AND(249&gt;='EDT Y TAREAS'!AK39,249&lt;'EDT Y TAREAS'!AL39),'EDT Y TAREAS'!AI39/'EDT Y TAREAS'!M39,0),IF(AND(249&gt;='EDT Y TAREAS'!AK40,249&lt;'EDT Y TAREAS'!AL40),'EDT Y TAREAS'!AI40/'EDT Y TAREAS'!M40,0),IF(AND(249&gt;='EDT Y TAREAS'!AK42,249&lt;'EDT Y TAREAS'!AL42),'EDT Y TAREAS'!AI42/'EDT Y TAREAS'!M42,0),IF(AND(249&gt;='EDT Y TAREAS'!AK43,249&lt;'EDT Y TAREAS'!AL43),'EDT Y TAREAS'!AI43/'EDT Y TAREAS'!M43,0),IF(AND(249&gt;='EDT Y TAREAS'!AK44,249&lt;'EDT Y TAREAS'!AL44),'EDT Y TAREAS'!AI44/'EDT Y TAREAS'!M44,0),IF(AND(249&gt;='EDT Y TAREAS'!AK45,249&lt;'EDT Y TAREAS'!AL45),'EDT Y TAREAS'!AI45/'EDT Y TAREAS'!M45,0),IF(AND(249&gt;='EDT Y TAREAS'!AK46,249&lt;'EDT Y TAREAS'!AL46),'EDT Y TAREAS'!AI46/'EDT Y TAREAS'!M46,0),IF(AND(249&gt;='EDT Y TAREAS'!AK48,249&lt;'EDT Y TAREAS'!AL48),'EDT Y TAREAS'!AI48/'EDT Y TAREAS'!M48,0),IF(AND(249&gt;='EDT Y TAREAS'!AK50,249&lt;'EDT Y TAREAS'!AL50),'EDT Y TAREAS'!AI50/'EDT Y TAREAS'!M50,0),IF(AND(249&gt;='EDT Y TAREAS'!AK52,249&lt;'EDT Y TAREAS'!AL52),'EDT Y TAREAS'!AI52/'EDT Y TAREAS'!M52,0))</x:f>
        <x:v>0</x:v>
      </x:c>
      <x:c r="H289" s="35" t="n">
        <x:f>SUM(IF(AND(249&gt;='EDT Y TAREAS'!AK11,249&lt;'EDT Y TAREAS'!AL11),'EDT Y TAREAS'!AJ11/'EDT Y TAREAS'!M11,0),IF(AND(249&gt;='EDT Y TAREAS'!AK24,249&lt;'EDT Y TAREAS'!AL24),'EDT Y TAREAS'!AJ24/'EDT Y TAREAS'!M24,0),IF(AND(249&gt;='EDT Y TAREAS'!AK27,249&lt;'EDT Y TAREAS'!AL27),'EDT Y TAREAS'!AJ27/'EDT Y TAREAS'!M27,0),IF(AND(249&gt;='EDT Y TAREAS'!AK28,249&lt;'EDT Y TAREAS'!AL28),'EDT Y TAREAS'!AJ28/'EDT Y TAREAS'!M28,0),IF(AND(249&gt;='EDT Y TAREAS'!AK33,249&lt;'EDT Y TAREAS'!AL33),'EDT Y TAREAS'!AJ33/'EDT Y TAREAS'!M33,0),IF(AND(249&gt;='EDT Y TAREAS'!AK35,249&lt;'EDT Y TAREAS'!AL35),'EDT Y TAREAS'!AJ35/'EDT Y TAREAS'!M35,0),IF(AND(249&gt;='EDT Y TAREAS'!AK36,249&lt;'EDT Y TAREAS'!AL36),'EDT Y TAREAS'!AJ36/'EDT Y TAREAS'!M36,0),IF(AND(249&gt;='EDT Y TAREAS'!AK37,249&lt;'EDT Y TAREAS'!AL37),'EDT Y TAREAS'!AJ37/'EDT Y TAREAS'!M37,0),IF(AND(249&gt;='EDT Y TAREAS'!AK40,249&lt;'EDT Y TAREAS'!AL40),'EDT Y TAREAS'!AJ40/'EDT Y TAREAS'!M40,0),IF(AND(249&gt;='EDT Y TAREAS'!AK42,249&lt;'EDT Y TAREAS'!AL42),'EDT Y TAREAS'!AJ42/'EDT Y TAREAS'!M42,0),IF(AND(249&gt;='EDT Y TAREAS'!AK49,249&lt;'EDT Y TAREAS'!AL49),'EDT Y TAREAS'!AJ49/'EDT Y TAREAS'!M49,0),IF(AND(249&gt;='EDT Y TAREAS'!AK50,249&lt;'EDT Y TAREAS'!AL50),'EDT Y TAREAS'!AJ50/'EDT Y TAREAS'!M50,0),IF(AND(249&gt;='EDT Y TAREAS'!AK51,249&lt;'EDT Y TAREAS'!AL51),'EDT Y TAREAS'!AJ51/'EDT Y TAREAS'!M51,0),IF(AND(249&gt;='EDT Y TAREAS'!AK52,249&lt;'EDT Y TAREAS'!AL52),'EDT Y TAREAS'!AJ52/'EDT Y TAREAS'!M52,0))</x:f>
        <x:v>0</x:v>
      </x:c>
      <x:c r="I289" s="10" t="n">
        <x:f>WORKDAY('RESUMEN'!$D$3-1,A289,'RESUMEN'!$J$6:$J$25)</x:f>
        <x:v>46675</x:v>
      </x:c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  <x:c r="AA289" s="3"/>
      <x:c r="AB289" s="3"/>
      <x:c r="AC289" s="3"/>
      <x:c r="AD289" s="3"/>
      <x:c r="AE289" s="3"/>
      <x:c r="AF289" s="3"/>
      <x:c r="AG289" s="3"/>
      <x:c r="AH289" s="3"/>
      <x:c r="AI289" s="3"/>
      <x:c r="AJ289" s="3"/>
      <x:c r="AK289" s="3"/>
      <x:c r="AL289" s="3"/>
      <x:c r="AM289" s="3"/>
      <x:c r="AN289" s="3"/>
      <x:c r="AO289" s="3"/>
    </x:row>
    <x:row r="290" ht="24" customHeight="1">
      <x:c r="A290" s="3" t="n">
        <x:v>251</x:v>
      </x:c>
      <x:c r="B290" s="35" t="n">
        <x:f>SUM(IF(AND(250&gt;='EDT Y TAREAS'!AK6,250&lt;'EDT Y TAREAS'!AL6),'EDT Y TAREAS'!AD6/'EDT Y TAREAS'!M6,0),IF(AND(250&gt;='EDT Y TAREAS'!AK7,250&lt;'EDT Y TAREAS'!AL7),'EDT Y TAREAS'!AD7/'EDT Y TAREAS'!M7,0),IF(AND(250&gt;='EDT Y TAREAS'!AK8,250&lt;'EDT Y TAREAS'!AL8),'EDT Y TAREAS'!AD8/'EDT Y TAREAS'!M8,0),IF(AND(250&gt;='EDT Y TAREAS'!AK9,250&lt;'EDT Y TAREAS'!AL9),'EDT Y TAREAS'!AD9/'EDT Y TAREAS'!M9,0),IF(AND(250&gt;='EDT Y TAREAS'!AK10,250&lt;'EDT Y TAREAS'!AL10),'EDT Y TAREAS'!AD10/'EDT Y TAREAS'!M10,0),IF(AND(250&gt;='EDT Y TAREAS'!AK11,250&lt;'EDT Y TAREAS'!AL11),'EDT Y TAREAS'!AD11/'EDT Y TAREAS'!M11,0),IF(AND(250&gt;='EDT Y TAREAS'!AK12,250&lt;'EDT Y TAREAS'!AL12),'EDT Y TAREAS'!AD12/'EDT Y TAREAS'!M12,0),IF(AND(250&gt;='EDT Y TAREAS'!AK13,250&lt;'EDT Y TAREAS'!AL13),'EDT Y TAREAS'!AD13/'EDT Y TAREAS'!M13,0),IF(AND(250&gt;='EDT Y TAREAS'!AK14,250&lt;'EDT Y TAREAS'!AL14),'EDT Y TAREAS'!AD14/'EDT Y TAREAS'!M14,0),IF(AND(250&gt;='EDT Y TAREAS'!AK15,250&lt;'EDT Y TAREAS'!AL15),'EDT Y TAREAS'!AD15/'EDT Y TAREAS'!M15,0),IF(AND(250&gt;='EDT Y TAREAS'!AK16,250&lt;'EDT Y TAREAS'!AL16),'EDT Y TAREAS'!AD16/'EDT Y TAREAS'!M16,0),IF(AND(250&gt;='EDT Y TAREAS'!AK17,250&lt;'EDT Y TAREAS'!AL17),'EDT Y TAREAS'!AD17/'EDT Y TAREAS'!M17,0),IF(AND(250&gt;='EDT Y TAREAS'!AK18,250&lt;'EDT Y TAREAS'!AL18),'EDT Y TAREAS'!AD18/'EDT Y TAREAS'!M18,0),IF(AND(250&gt;='EDT Y TAREAS'!AK19,250&lt;'EDT Y TAREAS'!AL19),'EDT Y TAREAS'!AD19/'EDT Y TAREAS'!M19,0),IF(AND(250&gt;='EDT Y TAREAS'!AK20,250&lt;'EDT Y TAREAS'!AL20),'EDT Y TAREAS'!AD20/'EDT Y TAREAS'!M20,0),IF(AND(250&gt;='EDT Y TAREAS'!AK21,250&lt;'EDT Y TAREAS'!AL21),'EDT Y TAREAS'!AD21/'EDT Y TAREAS'!M21,0),IF(AND(250&gt;='EDT Y TAREAS'!AK22,250&lt;'EDT Y TAREAS'!AL22),'EDT Y TAREAS'!AD22/'EDT Y TAREAS'!M22,0),IF(AND(250&gt;='EDT Y TAREAS'!AK23,250&lt;'EDT Y TAREAS'!AL23),'EDT Y TAREAS'!AD23/'EDT Y TAREAS'!M23,0),IF(AND(250&gt;='EDT Y TAREAS'!AK26,250&lt;'EDT Y TAREAS'!AL26),'EDT Y TAREAS'!AD26/'EDT Y TAREAS'!M26,0),IF(AND(250&gt;='EDT Y TAREAS'!AK28,250&lt;'EDT Y TAREAS'!AL28),'EDT Y TAREAS'!AD28/'EDT Y TAREAS'!M28,0),IF(AND(250&gt;='EDT Y TAREAS'!AK30,250&lt;'EDT Y TAREAS'!AL30),'EDT Y TAREAS'!AD30/'EDT Y TAREAS'!M30,0),IF(AND(250&gt;='EDT Y TAREAS'!AK32,250&lt;'EDT Y TAREAS'!AL32),'EDT Y TAREAS'!AD32/'EDT Y TAREAS'!M32,0),IF(AND(250&gt;='EDT Y TAREAS'!AK34,250&lt;'EDT Y TAREAS'!AL34),'EDT Y TAREAS'!AD34/'EDT Y TAREAS'!M34,0),IF(AND(250&gt;='EDT Y TAREAS'!AK38,250&lt;'EDT Y TAREAS'!AL38),'EDT Y TAREAS'!AD38/'EDT Y TAREAS'!M38,0),IF(AND(250&gt;='EDT Y TAREAS'!AK39,250&lt;'EDT Y TAREAS'!AL39),'EDT Y TAREAS'!AD39/'EDT Y TAREAS'!M39,0),IF(AND(250&gt;='EDT Y TAREAS'!AK43,250&lt;'EDT Y TAREAS'!AL43),'EDT Y TAREAS'!AD43/'EDT Y TAREAS'!M43,0),IF(AND(250&gt;='EDT Y TAREAS'!AK44,250&lt;'EDT Y TAREAS'!AL44),'EDT Y TAREAS'!AD44/'EDT Y TAREAS'!M44,0),IF(AND(250&gt;='EDT Y TAREAS'!AK45,250&lt;'EDT Y TAREAS'!AL45),'EDT Y TAREAS'!AD45/'EDT Y TAREAS'!M45,0),IF(AND(250&gt;='EDT Y TAREAS'!AK46,250&lt;'EDT Y TAREAS'!AL46),'EDT Y TAREAS'!AD46/'EDT Y TAREAS'!M46,0),IF(AND(250&gt;='EDT Y TAREAS'!AK47,250&lt;'EDT Y TAREAS'!AL47),'EDT Y TAREAS'!AD47/'EDT Y TAREAS'!M47,0),IF(AND(250&gt;='EDT Y TAREAS'!AK49,250&lt;'EDT Y TAREAS'!AL49),'EDT Y TAREAS'!AD49/'EDT Y TAREAS'!M49,0),IF(AND(250&gt;='EDT Y TAREAS'!AK50,250&lt;'EDT Y TAREAS'!AL50),'EDT Y TAREAS'!AD50/'EDT Y TAREAS'!M50,0),IF(AND(250&gt;='EDT Y TAREAS'!AK51,250&lt;'EDT Y TAREAS'!AL51),'EDT Y TAREAS'!AD51/'EDT Y TAREAS'!M51,0),IF(AND(250&gt;='EDT Y TAREAS'!AK52,250&lt;'EDT Y TAREAS'!AL52),'EDT Y TAREAS'!AD52/'EDT Y TAREAS'!M52,0))</x:f>
        <x:v>0</x:v>
      </x:c>
      <x:c r="C290" s="35" t="n">
        <x:f>SUM(IF(AND(250&gt;='EDT Y TAREAS'!AK6,250&lt;'EDT Y TAREAS'!AL6),'EDT Y TAREAS'!AE6/'EDT Y TAREAS'!M6,0),IF(AND(250&gt;='EDT Y TAREAS'!AK8,250&lt;'EDT Y TAREAS'!AL8),'EDT Y TAREAS'!AE8/'EDT Y TAREAS'!M8,0),IF(AND(250&gt;='EDT Y TAREAS'!AK9,250&lt;'EDT Y TAREAS'!AL9),'EDT Y TAREAS'!AE9/'EDT Y TAREAS'!M9,0),IF(AND(250&gt;='EDT Y TAREAS'!AK10,250&lt;'EDT Y TAREAS'!AL10),'EDT Y TAREAS'!AE10/'EDT Y TAREAS'!M10,0),IF(AND(250&gt;='EDT Y TAREAS'!AK12,250&lt;'EDT Y TAREAS'!AL12),'EDT Y TAREAS'!AE12/'EDT Y TAREAS'!M12,0),IF(AND(250&gt;='EDT Y TAREAS'!AK16,250&lt;'EDT Y TAREAS'!AL16),'EDT Y TAREAS'!AE16/'EDT Y TAREAS'!M16,0),IF(AND(250&gt;='EDT Y TAREAS'!AK21,250&lt;'EDT Y TAREAS'!AL21),'EDT Y TAREAS'!AE21/'EDT Y TAREAS'!M21,0),IF(AND(250&gt;='EDT Y TAREAS'!AK23,250&lt;'EDT Y TAREAS'!AL23),'EDT Y TAREAS'!AE23/'EDT Y TAREAS'!M23,0),IF(AND(250&gt;='EDT Y TAREAS'!AK37,250&lt;'EDT Y TAREAS'!AL37),'EDT Y TAREAS'!AE37/'EDT Y TAREAS'!M37,0),IF(AND(250&gt;='EDT Y TAREAS'!AK38,250&lt;'EDT Y TAREAS'!AL38),'EDT Y TAREAS'!AE38/'EDT Y TAREAS'!M38,0),IF(AND(250&gt;='EDT Y TAREAS'!AK41,250&lt;'EDT Y TAREAS'!AL41),'EDT Y TAREAS'!AE41/'EDT Y TAREAS'!M41,0),IF(AND(250&gt;='EDT Y TAREAS'!AK43,250&lt;'EDT Y TAREAS'!AL43),'EDT Y TAREAS'!AE43/'EDT Y TAREAS'!M43,0),IF(AND(250&gt;='EDT Y TAREAS'!AK44,250&lt;'EDT Y TAREAS'!AL44),'EDT Y TAREAS'!AE44/'EDT Y TAREAS'!M44,0),IF(AND(250&gt;='EDT Y TAREAS'!AK46,250&lt;'EDT Y TAREAS'!AL46),'EDT Y TAREAS'!AE46/'EDT Y TAREAS'!M46,0),IF(AND(250&gt;='EDT Y TAREAS'!AK47,250&lt;'EDT Y TAREAS'!AL47),'EDT Y TAREAS'!AE47/'EDT Y TAREAS'!M47,0),IF(AND(250&gt;='EDT Y TAREAS'!AK51,250&lt;'EDT Y TAREAS'!AL51),'EDT Y TAREAS'!AE51/'EDT Y TAREAS'!M51,0),IF(AND(250&gt;='EDT Y TAREAS'!AK52,250&lt;'EDT Y TAREAS'!AL52),'EDT Y TAREAS'!AE52/'EDT Y TAREAS'!M52,0))</x:f>
        <x:v>0</x:v>
      </x:c>
      <x:c r="D290" s="35" t="n">
        <x:f>SUM(IF(AND(250&gt;='EDT Y TAREAS'!AK11,250&lt;'EDT Y TAREAS'!AL11),'EDT Y TAREAS'!AF11/'EDT Y TAREAS'!M11,0),IF(AND(250&gt;='EDT Y TAREAS'!AK24,250&lt;'EDT Y TAREAS'!AL24),'EDT Y TAREAS'!AF24/'EDT Y TAREAS'!M24,0),IF(AND(250&gt;='EDT Y TAREAS'!AK25,250&lt;'EDT Y TAREAS'!AL25),'EDT Y TAREAS'!AF25/'EDT Y TAREAS'!M25,0),IF(AND(250&gt;='EDT Y TAREAS'!AK26,250&lt;'EDT Y TAREAS'!AL26),'EDT Y TAREAS'!AF26/'EDT Y TAREAS'!M26,0),IF(AND(250&gt;='EDT Y TAREAS'!AK27,250&lt;'EDT Y TAREAS'!AL27),'EDT Y TAREAS'!AF27/'EDT Y TAREAS'!M27,0),IF(AND(250&gt;='EDT Y TAREAS'!AK28,250&lt;'EDT Y TAREAS'!AL28),'EDT Y TAREAS'!AF28/'EDT Y TAREAS'!M28,0),IF(AND(250&gt;='EDT Y TAREAS'!AK31,250&lt;'EDT Y TAREAS'!AL31),'EDT Y TAREAS'!AF31/'EDT Y TAREAS'!M31,0),IF(AND(250&gt;='EDT Y TAREAS'!AK33,250&lt;'EDT Y TAREAS'!AL33),'EDT Y TAREAS'!AF33/'EDT Y TAREAS'!M33,0),IF(AND(250&gt;='EDT Y TAREAS'!AK34,250&lt;'EDT Y TAREAS'!AL34),'EDT Y TAREAS'!AF34/'EDT Y TAREAS'!M34,0),IF(AND(250&gt;='EDT Y TAREAS'!AK35,250&lt;'EDT Y TAREAS'!AL35),'EDT Y TAREAS'!AF35/'EDT Y TAREAS'!M35,0),IF(AND(250&gt;='EDT Y TAREAS'!AK37,250&lt;'EDT Y TAREAS'!AL37),'EDT Y TAREAS'!AF37/'EDT Y TAREAS'!M37,0),IF(AND(250&gt;='EDT Y TAREAS'!AK39,250&lt;'EDT Y TAREAS'!AL39),'EDT Y TAREAS'!AF39/'EDT Y TAREAS'!M39,0),IF(AND(250&gt;='EDT Y TAREAS'!AK40,250&lt;'EDT Y TAREAS'!AL40),'EDT Y TAREAS'!AF40/'EDT Y TAREAS'!M40,0),IF(AND(250&gt;='EDT Y TAREAS'!AK42,250&lt;'EDT Y TAREAS'!AL42),'EDT Y TAREAS'!AF42/'EDT Y TAREAS'!M42,0),IF(AND(250&gt;='EDT Y TAREAS'!AK45,250&lt;'EDT Y TAREAS'!AL45),'EDT Y TAREAS'!AF45/'EDT Y TAREAS'!M45,0),IF(AND(250&gt;='EDT Y TAREAS'!AK49,250&lt;'EDT Y TAREAS'!AL49),'EDT Y TAREAS'!AF49/'EDT Y TAREAS'!M49,0),IF(AND(250&gt;='EDT Y TAREAS'!AK52,250&lt;'EDT Y TAREAS'!AL52),'EDT Y TAREAS'!AF52/'EDT Y TAREAS'!M52,0))</x:f>
        <x:v>0</x:v>
      </x:c>
      <x:c r="E290" s="35" t="n">
        <x:f>SUM(IF(AND(250&gt;='EDT Y TAREAS'!AK29,250&lt;'EDT Y TAREAS'!AL29),'EDT Y TAREAS'!AG29/'EDT Y TAREAS'!M29,0),IF(AND(250&gt;='EDT Y TAREAS'!AK30,250&lt;'EDT Y TAREAS'!AL30),'EDT Y TAREAS'!AG30/'EDT Y TAREAS'!M30,0),IF(AND(250&gt;='EDT Y TAREAS'!AK31,250&lt;'EDT Y TAREAS'!AL31),'EDT Y TAREAS'!AG31/'EDT Y TAREAS'!M31,0),IF(AND(250&gt;='EDT Y TAREAS'!AK32,250&lt;'EDT Y TAREAS'!AL32),'EDT Y TAREAS'!AG32/'EDT Y TAREAS'!M32,0),IF(AND(250&gt;='EDT Y TAREAS'!AK41,250&lt;'EDT Y TAREAS'!AL41),'EDT Y TAREAS'!AG41/'EDT Y TAREAS'!M41,0),IF(AND(250&gt;='EDT Y TAREAS'!AK45,250&lt;'EDT Y TAREAS'!AL45),'EDT Y TAREAS'!AG45/'EDT Y TAREAS'!M45,0),IF(AND(250&gt;='EDT Y TAREAS'!AK48,250&lt;'EDT Y TAREAS'!AL48),'EDT Y TAREAS'!AG48/'EDT Y TAREAS'!M48,0))</x:f>
        <x:v>0</x:v>
      </x:c>
      <x:c r="F290" s="35" t="n">
        <x:f>SUM(IF(AND(250&gt;='EDT Y TAREAS'!AK10,250&lt;'EDT Y TAREAS'!AL10),'EDT Y TAREAS'!AH10/'EDT Y TAREAS'!M10,0),IF(AND(250&gt;='EDT Y TAREAS'!AK12,250&lt;'EDT Y TAREAS'!AL12),'EDT Y TAREAS'!AH12/'EDT Y TAREAS'!M12,0),IF(AND(250&gt;='EDT Y TAREAS'!AK22,250&lt;'EDT Y TAREAS'!AL22),'EDT Y TAREAS'!AH22/'EDT Y TAREAS'!M22,0),IF(AND(250&gt;='EDT Y TAREAS'!AK23,250&lt;'EDT Y TAREAS'!AL23),'EDT Y TAREAS'!AH23/'EDT Y TAREAS'!M23,0),IF(AND(250&gt;='EDT Y TAREAS'!AK29,250&lt;'EDT Y TAREAS'!AL29),'EDT Y TAREAS'!AH29/'EDT Y TAREAS'!M29,0),IF(AND(250&gt;='EDT Y TAREAS'!AK30,250&lt;'EDT Y TAREAS'!AL30),'EDT Y TAREAS'!AH30/'EDT Y TAREAS'!M30,0),IF(AND(250&gt;='EDT Y TAREAS'!AK32,250&lt;'EDT Y TAREAS'!AL32),'EDT Y TAREAS'!AH32/'EDT Y TAREAS'!M32,0),IF(AND(250&gt;='EDT Y TAREAS'!AK41,250&lt;'EDT Y TAREAS'!AL41),'EDT Y TAREAS'!AH41/'EDT Y TAREAS'!M41,0),IF(AND(250&gt;='EDT Y TAREAS'!AK44,250&lt;'EDT Y TAREAS'!AL44),'EDT Y TAREAS'!AH44/'EDT Y TAREAS'!M44,0),IF(AND(250&gt;='EDT Y TAREAS'!AK46,250&lt;'EDT Y TAREAS'!AL46),'EDT Y TAREAS'!AH46/'EDT Y TAREAS'!M46,0),IF(AND(250&gt;='EDT Y TAREAS'!AK48,250&lt;'EDT Y TAREAS'!AL48),'EDT Y TAREAS'!AH48/'EDT Y TAREAS'!M48,0))</x:f>
        <x:v>0</x:v>
      </x:c>
      <x:c r="G290" s="35" t="n">
        <x:f>SUM(IF(AND(250&gt;='EDT Y TAREAS'!AK20,250&lt;'EDT Y TAREAS'!AL20),'EDT Y TAREAS'!AI20/'EDT Y TAREAS'!M20,0),IF(AND(250&gt;='EDT Y TAREAS'!AK25,250&lt;'EDT Y TAREAS'!AL25),'EDT Y TAREAS'!AI25/'EDT Y TAREAS'!M25,0),IF(AND(250&gt;='EDT Y TAREAS'!AK33,250&lt;'EDT Y TAREAS'!AL33),'EDT Y TAREAS'!AI33/'EDT Y TAREAS'!M33,0),IF(AND(250&gt;='EDT Y TAREAS'!AK34,250&lt;'EDT Y TAREAS'!AL34),'EDT Y TAREAS'!AI34/'EDT Y TAREAS'!M34,0),IF(AND(250&gt;='EDT Y TAREAS'!AK36,250&lt;'EDT Y TAREAS'!AL36),'EDT Y TAREAS'!AI36/'EDT Y TAREAS'!M36,0),IF(AND(250&gt;='EDT Y TAREAS'!AK39,250&lt;'EDT Y TAREAS'!AL39),'EDT Y TAREAS'!AI39/'EDT Y TAREAS'!M39,0),IF(AND(250&gt;='EDT Y TAREAS'!AK40,250&lt;'EDT Y TAREAS'!AL40),'EDT Y TAREAS'!AI40/'EDT Y TAREAS'!M40,0),IF(AND(250&gt;='EDT Y TAREAS'!AK42,250&lt;'EDT Y TAREAS'!AL42),'EDT Y TAREAS'!AI42/'EDT Y TAREAS'!M42,0),IF(AND(250&gt;='EDT Y TAREAS'!AK43,250&lt;'EDT Y TAREAS'!AL43),'EDT Y TAREAS'!AI43/'EDT Y TAREAS'!M43,0),IF(AND(250&gt;='EDT Y TAREAS'!AK44,250&lt;'EDT Y TAREAS'!AL44),'EDT Y TAREAS'!AI44/'EDT Y TAREAS'!M44,0),IF(AND(250&gt;='EDT Y TAREAS'!AK45,250&lt;'EDT Y TAREAS'!AL45),'EDT Y TAREAS'!AI45/'EDT Y TAREAS'!M45,0),IF(AND(250&gt;='EDT Y TAREAS'!AK46,250&lt;'EDT Y TAREAS'!AL46),'EDT Y TAREAS'!AI46/'EDT Y TAREAS'!M46,0),IF(AND(250&gt;='EDT Y TAREAS'!AK48,250&lt;'EDT Y TAREAS'!AL48),'EDT Y TAREAS'!AI48/'EDT Y TAREAS'!M48,0),IF(AND(250&gt;='EDT Y TAREAS'!AK50,250&lt;'EDT Y TAREAS'!AL50),'EDT Y TAREAS'!AI50/'EDT Y TAREAS'!M50,0),IF(AND(250&gt;='EDT Y TAREAS'!AK52,250&lt;'EDT Y TAREAS'!AL52),'EDT Y TAREAS'!AI52/'EDT Y TAREAS'!M52,0))</x:f>
        <x:v>0</x:v>
      </x:c>
      <x:c r="H290" s="35" t="n">
        <x:f>SUM(IF(AND(250&gt;='EDT Y TAREAS'!AK11,250&lt;'EDT Y TAREAS'!AL11),'EDT Y TAREAS'!AJ11/'EDT Y TAREAS'!M11,0),IF(AND(250&gt;='EDT Y TAREAS'!AK24,250&lt;'EDT Y TAREAS'!AL24),'EDT Y TAREAS'!AJ24/'EDT Y TAREAS'!M24,0),IF(AND(250&gt;='EDT Y TAREAS'!AK27,250&lt;'EDT Y TAREAS'!AL27),'EDT Y TAREAS'!AJ27/'EDT Y TAREAS'!M27,0),IF(AND(250&gt;='EDT Y TAREAS'!AK28,250&lt;'EDT Y TAREAS'!AL28),'EDT Y TAREAS'!AJ28/'EDT Y TAREAS'!M28,0),IF(AND(250&gt;='EDT Y TAREAS'!AK33,250&lt;'EDT Y TAREAS'!AL33),'EDT Y TAREAS'!AJ33/'EDT Y TAREAS'!M33,0),IF(AND(250&gt;='EDT Y TAREAS'!AK35,250&lt;'EDT Y TAREAS'!AL35),'EDT Y TAREAS'!AJ35/'EDT Y TAREAS'!M35,0),IF(AND(250&gt;='EDT Y TAREAS'!AK36,250&lt;'EDT Y TAREAS'!AL36),'EDT Y TAREAS'!AJ36/'EDT Y TAREAS'!M36,0),IF(AND(250&gt;='EDT Y TAREAS'!AK37,250&lt;'EDT Y TAREAS'!AL37),'EDT Y TAREAS'!AJ37/'EDT Y TAREAS'!M37,0),IF(AND(250&gt;='EDT Y TAREAS'!AK40,250&lt;'EDT Y TAREAS'!AL40),'EDT Y TAREAS'!AJ40/'EDT Y TAREAS'!M40,0),IF(AND(250&gt;='EDT Y TAREAS'!AK42,250&lt;'EDT Y TAREAS'!AL42),'EDT Y TAREAS'!AJ42/'EDT Y TAREAS'!M42,0),IF(AND(250&gt;='EDT Y TAREAS'!AK49,250&lt;'EDT Y TAREAS'!AL49),'EDT Y TAREAS'!AJ49/'EDT Y TAREAS'!M49,0),IF(AND(250&gt;='EDT Y TAREAS'!AK50,250&lt;'EDT Y TAREAS'!AL50),'EDT Y TAREAS'!AJ50/'EDT Y TAREAS'!M50,0),IF(AND(250&gt;='EDT Y TAREAS'!AK51,250&lt;'EDT Y TAREAS'!AL51),'EDT Y TAREAS'!AJ51/'EDT Y TAREAS'!M51,0),IF(AND(250&gt;='EDT Y TAREAS'!AK52,250&lt;'EDT Y TAREAS'!AL52),'EDT Y TAREAS'!AJ52/'EDT Y TAREAS'!M52,0))</x:f>
        <x:v>0</x:v>
      </x:c>
      <x:c r="I290" s="10" t="n">
        <x:f>WORKDAY('RESUMEN'!$D$3-1,A290,'RESUMEN'!$J$6:$J$25)</x:f>
        <x:v>46678</x:v>
      </x:c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  <x:c r="AA290" s="3"/>
      <x:c r="AB290" s="3"/>
      <x:c r="AC290" s="3"/>
      <x:c r="AD290" s="3"/>
      <x:c r="AE290" s="3"/>
      <x:c r="AF290" s="3"/>
      <x:c r="AG290" s="3"/>
      <x:c r="AH290" s="3"/>
      <x:c r="AI290" s="3"/>
      <x:c r="AJ290" s="3"/>
      <x:c r="AK290" s="3"/>
      <x:c r="AL290" s="3"/>
      <x:c r="AM290" s="3"/>
      <x:c r="AN290" s="3"/>
      <x:c r="AO290" s="3"/>
    </x:row>
    <x:row r="291" ht="24" customHeight="1">
      <x:c r="A291" s="3" t="n">
        <x:v>252</x:v>
      </x:c>
      <x:c r="B291" s="35" t="n">
        <x:f>SUM(IF(AND(251&gt;='EDT Y TAREAS'!AK6,251&lt;'EDT Y TAREAS'!AL6),'EDT Y TAREAS'!AD6/'EDT Y TAREAS'!M6,0),IF(AND(251&gt;='EDT Y TAREAS'!AK7,251&lt;'EDT Y TAREAS'!AL7),'EDT Y TAREAS'!AD7/'EDT Y TAREAS'!M7,0),IF(AND(251&gt;='EDT Y TAREAS'!AK8,251&lt;'EDT Y TAREAS'!AL8),'EDT Y TAREAS'!AD8/'EDT Y TAREAS'!M8,0),IF(AND(251&gt;='EDT Y TAREAS'!AK9,251&lt;'EDT Y TAREAS'!AL9),'EDT Y TAREAS'!AD9/'EDT Y TAREAS'!M9,0),IF(AND(251&gt;='EDT Y TAREAS'!AK10,251&lt;'EDT Y TAREAS'!AL10),'EDT Y TAREAS'!AD10/'EDT Y TAREAS'!M10,0),IF(AND(251&gt;='EDT Y TAREAS'!AK11,251&lt;'EDT Y TAREAS'!AL11),'EDT Y TAREAS'!AD11/'EDT Y TAREAS'!M11,0),IF(AND(251&gt;='EDT Y TAREAS'!AK12,251&lt;'EDT Y TAREAS'!AL12),'EDT Y TAREAS'!AD12/'EDT Y TAREAS'!M12,0),IF(AND(251&gt;='EDT Y TAREAS'!AK13,251&lt;'EDT Y TAREAS'!AL13),'EDT Y TAREAS'!AD13/'EDT Y TAREAS'!M13,0),IF(AND(251&gt;='EDT Y TAREAS'!AK14,251&lt;'EDT Y TAREAS'!AL14),'EDT Y TAREAS'!AD14/'EDT Y TAREAS'!M14,0),IF(AND(251&gt;='EDT Y TAREAS'!AK15,251&lt;'EDT Y TAREAS'!AL15),'EDT Y TAREAS'!AD15/'EDT Y TAREAS'!M15,0),IF(AND(251&gt;='EDT Y TAREAS'!AK16,251&lt;'EDT Y TAREAS'!AL16),'EDT Y TAREAS'!AD16/'EDT Y TAREAS'!M16,0),IF(AND(251&gt;='EDT Y TAREAS'!AK17,251&lt;'EDT Y TAREAS'!AL17),'EDT Y TAREAS'!AD17/'EDT Y TAREAS'!M17,0),IF(AND(251&gt;='EDT Y TAREAS'!AK18,251&lt;'EDT Y TAREAS'!AL18),'EDT Y TAREAS'!AD18/'EDT Y TAREAS'!M18,0),IF(AND(251&gt;='EDT Y TAREAS'!AK19,251&lt;'EDT Y TAREAS'!AL19),'EDT Y TAREAS'!AD19/'EDT Y TAREAS'!M19,0),IF(AND(251&gt;='EDT Y TAREAS'!AK20,251&lt;'EDT Y TAREAS'!AL20),'EDT Y TAREAS'!AD20/'EDT Y TAREAS'!M20,0),IF(AND(251&gt;='EDT Y TAREAS'!AK21,251&lt;'EDT Y TAREAS'!AL21),'EDT Y TAREAS'!AD21/'EDT Y TAREAS'!M21,0),IF(AND(251&gt;='EDT Y TAREAS'!AK22,251&lt;'EDT Y TAREAS'!AL22),'EDT Y TAREAS'!AD22/'EDT Y TAREAS'!M22,0),IF(AND(251&gt;='EDT Y TAREAS'!AK23,251&lt;'EDT Y TAREAS'!AL23),'EDT Y TAREAS'!AD23/'EDT Y TAREAS'!M23,0),IF(AND(251&gt;='EDT Y TAREAS'!AK26,251&lt;'EDT Y TAREAS'!AL26),'EDT Y TAREAS'!AD26/'EDT Y TAREAS'!M26,0),IF(AND(251&gt;='EDT Y TAREAS'!AK28,251&lt;'EDT Y TAREAS'!AL28),'EDT Y TAREAS'!AD28/'EDT Y TAREAS'!M28,0),IF(AND(251&gt;='EDT Y TAREAS'!AK30,251&lt;'EDT Y TAREAS'!AL30),'EDT Y TAREAS'!AD30/'EDT Y TAREAS'!M30,0),IF(AND(251&gt;='EDT Y TAREAS'!AK32,251&lt;'EDT Y TAREAS'!AL32),'EDT Y TAREAS'!AD32/'EDT Y TAREAS'!M32,0),IF(AND(251&gt;='EDT Y TAREAS'!AK34,251&lt;'EDT Y TAREAS'!AL34),'EDT Y TAREAS'!AD34/'EDT Y TAREAS'!M34,0),IF(AND(251&gt;='EDT Y TAREAS'!AK38,251&lt;'EDT Y TAREAS'!AL38),'EDT Y TAREAS'!AD38/'EDT Y TAREAS'!M38,0),IF(AND(251&gt;='EDT Y TAREAS'!AK39,251&lt;'EDT Y TAREAS'!AL39),'EDT Y TAREAS'!AD39/'EDT Y TAREAS'!M39,0),IF(AND(251&gt;='EDT Y TAREAS'!AK43,251&lt;'EDT Y TAREAS'!AL43),'EDT Y TAREAS'!AD43/'EDT Y TAREAS'!M43,0),IF(AND(251&gt;='EDT Y TAREAS'!AK44,251&lt;'EDT Y TAREAS'!AL44),'EDT Y TAREAS'!AD44/'EDT Y TAREAS'!M44,0),IF(AND(251&gt;='EDT Y TAREAS'!AK45,251&lt;'EDT Y TAREAS'!AL45),'EDT Y TAREAS'!AD45/'EDT Y TAREAS'!M45,0),IF(AND(251&gt;='EDT Y TAREAS'!AK46,251&lt;'EDT Y TAREAS'!AL46),'EDT Y TAREAS'!AD46/'EDT Y TAREAS'!M46,0),IF(AND(251&gt;='EDT Y TAREAS'!AK47,251&lt;'EDT Y TAREAS'!AL47),'EDT Y TAREAS'!AD47/'EDT Y TAREAS'!M47,0),IF(AND(251&gt;='EDT Y TAREAS'!AK49,251&lt;'EDT Y TAREAS'!AL49),'EDT Y TAREAS'!AD49/'EDT Y TAREAS'!M49,0),IF(AND(251&gt;='EDT Y TAREAS'!AK50,251&lt;'EDT Y TAREAS'!AL50),'EDT Y TAREAS'!AD50/'EDT Y TAREAS'!M50,0),IF(AND(251&gt;='EDT Y TAREAS'!AK51,251&lt;'EDT Y TAREAS'!AL51),'EDT Y TAREAS'!AD51/'EDT Y TAREAS'!M51,0),IF(AND(251&gt;='EDT Y TAREAS'!AK52,251&lt;'EDT Y TAREAS'!AL52),'EDT Y TAREAS'!AD52/'EDT Y TAREAS'!M52,0))</x:f>
        <x:v>0</x:v>
      </x:c>
      <x:c r="C291" s="35" t="n">
        <x:f>SUM(IF(AND(251&gt;='EDT Y TAREAS'!AK6,251&lt;'EDT Y TAREAS'!AL6),'EDT Y TAREAS'!AE6/'EDT Y TAREAS'!M6,0),IF(AND(251&gt;='EDT Y TAREAS'!AK8,251&lt;'EDT Y TAREAS'!AL8),'EDT Y TAREAS'!AE8/'EDT Y TAREAS'!M8,0),IF(AND(251&gt;='EDT Y TAREAS'!AK9,251&lt;'EDT Y TAREAS'!AL9),'EDT Y TAREAS'!AE9/'EDT Y TAREAS'!M9,0),IF(AND(251&gt;='EDT Y TAREAS'!AK10,251&lt;'EDT Y TAREAS'!AL10),'EDT Y TAREAS'!AE10/'EDT Y TAREAS'!M10,0),IF(AND(251&gt;='EDT Y TAREAS'!AK12,251&lt;'EDT Y TAREAS'!AL12),'EDT Y TAREAS'!AE12/'EDT Y TAREAS'!M12,0),IF(AND(251&gt;='EDT Y TAREAS'!AK16,251&lt;'EDT Y TAREAS'!AL16),'EDT Y TAREAS'!AE16/'EDT Y TAREAS'!M16,0),IF(AND(251&gt;='EDT Y TAREAS'!AK21,251&lt;'EDT Y TAREAS'!AL21),'EDT Y TAREAS'!AE21/'EDT Y TAREAS'!M21,0),IF(AND(251&gt;='EDT Y TAREAS'!AK23,251&lt;'EDT Y TAREAS'!AL23),'EDT Y TAREAS'!AE23/'EDT Y TAREAS'!M23,0),IF(AND(251&gt;='EDT Y TAREAS'!AK37,251&lt;'EDT Y TAREAS'!AL37),'EDT Y TAREAS'!AE37/'EDT Y TAREAS'!M37,0),IF(AND(251&gt;='EDT Y TAREAS'!AK38,251&lt;'EDT Y TAREAS'!AL38),'EDT Y TAREAS'!AE38/'EDT Y TAREAS'!M38,0),IF(AND(251&gt;='EDT Y TAREAS'!AK41,251&lt;'EDT Y TAREAS'!AL41),'EDT Y TAREAS'!AE41/'EDT Y TAREAS'!M41,0),IF(AND(251&gt;='EDT Y TAREAS'!AK43,251&lt;'EDT Y TAREAS'!AL43),'EDT Y TAREAS'!AE43/'EDT Y TAREAS'!M43,0),IF(AND(251&gt;='EDT Y TAREAS'!AK44,251&lt;'EDT Y TAREAS'!AL44),'EDT Y TAREAS'!AE44/'EDT Y TAREAS'!M44,0),IF(AND(251&gt;='EDT Y TAREAS'!AK46,251&lt;'EDT Y TAREAS'!AL46),'EDT Y TAREAS'!AE46/'EDT Y TAREAS'!M46,0),IF(AND(251&gt;='EDT Y TAREAS'!AK47,251&lt;'EDT Y TAREAS'!AL47),'EDT Y TAREAS'!AE47/'EDT Y TAREAS'!M47,0),IF(AND(251&gt;='EDT Y TAREAS'!AK51,251&lt;'EDT Y TAREAS'!AL51),'EDT Y TAREAS'!AE51/'EDT Y TAREAS'!M51,0),IF(AND(251&gt;='EDT Y TAREAS'!AK52,251&lt;'EDT Y TAREAS'!AL52),'EDT Y TAREAS'!AE52/'EDT Y TAREAS'!M52,0))</x:f>
        <x:v>0</x:v>
      </x:c>
      <x:c r="D291" s="35" t="n">
        <x:f>SUM(IF(AND(251&gt;='EDT Y TAREAS'!AK11,251&lt;'EDT Y TAREAS'!AL11),'EDT Y TAREAS'!AF11/'EDT Y TAREAS'!M11,0),IF(AND(251&gt;='EDT Y TAREAS'!AK24,251&lt;'EDT Y TAREAS'!AL24),'EDT Y TAREAS'!AF24/'EDT Y TAREAS'!M24,0),IF(AND(251&gt;='EDT Y TAREAS'!AK25,251&lt;'EDT Y TAREAS'!AL25),'EDT Y TAREAS'!AF25/'EDT Y TAREAS'!M25,0),IF(AND(251&gt;='EDT Y TAREAS'!AK26,251&lt;'EDT Y TAREAS'!AL26),'EDT Y TAREAS'!AF26/'EDT Y TAREAS'!M26,0),IF(AND(251&gt;='EDT Y TAREAS'!AK27,251&lt;'EDT Y TAREAS'!AL27),'EDT Y TAREAS'!AF27/'EDT Y TAREAS'!M27,0),IF(AND(251&gt;='EDT Y TAREAS'!AK28,251&lt;'EDT Y TAREAS'!AL28),'EDT Y TAREAS'!AF28/'EDT Y TAREAS'!M28,0),IF(AND(251&gt;='EDT Y TAREAS'!AK31,251&lt;'EDT Y TAREAS'!AL31),'EDT Y TAREAS'!AF31/'EDT Y TAREAS'!M31,0),IF(AND(251&gt;='EDT Y TAREAS'!AK33,251&lt;'EDT Y TAREAS'!AL33),'EDT Y TAREAS'!AF33/'EDT Y TAREAS'!M33,0),IF(AND(251&gt;='EDT Y TAREAS'!AK34,251&lt;'EDT Y TAREAS'!AL34),'EDT Y TAREAS'!AF34/'EDT Y TAREAS'!M34,0),IF(AND(251&gt;='EDT Y TAREAS'!AK35,251&lt;'EDT Y TAREAS'!AL35),'EDT Y TAREAS'!AF35/'EDT Y TAREAS'!M35,0),IF(AND(251&gt;='EDT Y TAREAS'!AK37,251&lt;'EDT Y TAREAS'!AL37),'EDT Y TAREAS'!AF37/'EDT Y TAREAS'!M37,0),IF(AND(251&gt;='EDT Y TAREAS'!AK39,251&lt;'EDT Y TAREAS'!AL39),'EDT Y TAREAS'!AF39/'EDT Y TAREAS'!M39,0),IF(AND(251&gt;='EDT Y TAREAS'!AK40,251&lt;'EDT Y TAREAS'!AL40),'EDT Y TAREAS'!AF40/'EDT Y TAREAS'!M40,0),IF(AND(251&gt;='EDT Y TAREAS'!AK42,251&lt;'EDT Y TAREAS'!AL42),'EDT Y TAREAS'!AF42/'EDT Y TAREAS'!M42,0),IF(AND(251&gt;='EDT Y TAREAS'!AK45,251&lt;'EDT Y TAREAS'!AL45),'EDT Y TAREAS'!AF45/'EDT Y TAREAS'!M45,0),IF(AND(251&gt;='EDT Y TAREAS'!AK49,251&lt;'EDT Y TAREAS'!AL49),'EDT Y TAREAS'!AF49/'EDT Y TAREAS'!M49,0),IF(AND(251&gt;='EDT Y TAREAS'!AK52,251&lt;'EDT Y TAREAS'!AL52),'EDT Y TAREAS'!AF52/'EDT Y TAREAS'!M52,0))</x:f>
        <x:v>0</x:v>
      </x:c>
      <x:c r="E291" s="35" t="n">
        <x:f>SUM(IF(AND(251&gt;='EDT Y TAREAS'!AK29,251&lt;'EDT Y TAREAS'!AL29),'EDT Y TAREAS'!AG29/'EDT Y TAREAS'!M29,0),IF(AND(251&gt;='EDT Y TAREAS'!AK30,251&lt;'EDT Y TAREAS'!AL30),'EDT Y TAREAS'!AG30/'EDT Y TAREAS'!M30,0),IF(AND(251&gt;='EDT Y TAREAS'!AK31,251&lt;'EDT Y TAREAS'!AL31),'EDT Y TAREAS'!AG31/'EDT Y TAREAS'!M31,0),IF(AND(251&gt;='EDT Y TAREAS'!AK32,251&lt;'EDT Y TAREAS'!AL32),'EDT Y TAREAS'!AG32/'EDT Y TAREAS'!M32,0),IF(AND(251&gt;='EDT Y TAREAS'!AK41,251&lt;'EDT Y TAREAS'!AL41),'EDT Y TAREAS'!AG41/'EDT Y TAREAS'!M41,0),IF(AND(251&gt;='EDT Y TAREAS'!AK45,251&lt;'EDT Y TAREAS'!AL45),'EDT Y TAREAS'!AG45/'EDT Y TAREAS'!M45,0),IF(AND(251&gt;='EDT Y TAREAS'!AK48,251&lt;'EDT Y TAREAS'!AL48),'EDT Y TAREAS'!AG48/'EDT Y TAREAS'!M48,0))</x:f>
        <x:v>0</x:v>
      </x:c>
      <x:c r="F291" s="35" t="n">
        <x:f>SUM(IF(AND(251&gt;='EDT Y TAREAS'!AK10,251&lt;'EDT Y TAREAS'!AL10),'EDT Y TAREAS'!AH10/'EDT Y TAREAS'!M10,0),IF(AND(251&gt;='EDT Y TAREAS'!AK12,251&lt;'EDT Y TAREAS'!AL12),'EDT Y TAREAS'!AH12/'EDT Y TAREAS'!M12,0),IF(AND(251&gt;='EDT Y TAREAS'!AK22,251&lt;'EDT Y TAREAS'!AL22),'EDT Y TAREAS'!AH22/'EDT Y TAREAS'!M22,0),IF(AND(251&gt;='EDT Y TAREAS'!AK23,251&lt;'EDT Y TAREAS'!AL23),'EDT Y TAREAS'!AH23/'EDT Y TAREAS'!M23,0),IF(AND(251&gt;='EDT Y TAREAS'!AK29,251&lt;'EDT Y TAREAS'!AL29),'EDT Y TAREAS'!AH29/'EDT Y TAREAS'!M29,0),IF(AND(251&gt;='EDT Y TAREAS'!AK30,251&lt;'EDT Y TAREAS'!AL30),'EDT Y TAREAS'!AH30/'EDT Y TAREAS'!M30,0),IF(AND(251&gt;='EDT Y TAREAS'!AK32,251&lt;'EDT Y TAREAS'!AL32),'EDT Y TAREAS'!AH32/'EDT Y TAREAS'!M32,0),IF(AND(251&gt;='EDT Y TAREAS'!AK41,251&lt;'EDT Y TAREAS'!AL41),'EDT Y TAREAS'!AH41/'EDT Y TAREAS'!M41,0),IF(AND(251&gt;='EDT Y TAREAS'!AK44,251&lt;'EDT Y TAREAS'!AL44),'EDT Y TAREAS'!AH44/'EDT Y TAREAS'!M44,0),IF(AND(251&gt;='EDT Y TAREAS'!AK46,251&lt;'EDT Y TAREAS'!AL46),'EDT Y TAREAS'!AH46/'EDT Y TAREAS'!M46,0),IF(AND(251&gt;='EDT Y TAREAS'!AK48,251&lt;'EDT Y TAREAS'!AL48),'EDT Y TAREAS'!AH48/'EDT Y TAREAS'!M48,0))</x:f>
        <x:v>0</x:v>
      </x:c>
      <x:c r="G291" s="35" t="n">
        <x:f>SUM(IF(AND(251&gt;='EDT Y TAREAS'!AK20,251&lt;'EDT Y TAREAS'!AL20),'EDT Y TAREAS'!AI20/'EDT Y TAREAS'!M20,0),IF(AND(251&gt;='EDT Y TAREAS'!AK25,251&lt;'EDT Y TAREAS'!AL25),'EDT Y TAREAS'!AI25/'EDT Y TAREAS'!M25,0),IF(AND(251&gt;='EDT Y TAREAS'!AK33,251&lt;'EDT Y TAREAS'!AL33),'EDT Y TAREAS'!AI33/'EDT Y TAREAS'!M33,0),IF(AND(251&gt;='EDT Y TAREAS'!AK34,251&lt;'EDT Y TAREAS'!AL34),'EDT Y TAREAS'!AI34/'EDT Y TAREAS'!M34,0),IF(AND(251&gt;='EDT Y TAREAS'!AK36,251&lt;'EDT Y TAREAS'!AL36),'EDT Y TAREAS'!AI36/'EDT Y TAREAS'!M36,0),IF(AND(251&gt;='EDT Y TAREAS'!AK39,251&lt;'EDT Y TAREAS'!AL39),'EDT Y TAREAS'!AI39/'EDT Y TAREAS'!M39,0),IF(AND(251&gt;='EDT Y TAREAS'!AK40,251&lt;'EDT Y TAREAS'!AL40),'EDT Y TAREAS'!AI40/'EDT Y TAREAS'!M40,0),IF(AND(251&gt;='EDT Y TAREAS'!AK42,251&lt;'EDT Y TAREAS'!AL42),'EDT Y TAREAS'!AI42/'EDT Y TAREAS'!M42,0),IF(AND(251&gt;='EDT Y TAREAS'!AK43,251&lt;'EDT Y TAREAS'!AL43),'EDT Y TAREAS'!AI43/'EDT Y TAREAS'!M43,0),IF(AND(251&gt;='EDT Y TAREAS'!AK44,251&lt;'EDT Y TAREAS'!AL44),'EDT Y TAREAS'!AI44/'EDT Y TAREAS'!M44,0),IF(AND(251&gt;='EDT Y TAREAS'!AK45,251&lt;'EDT Y TAREAS'!AL45),'EDT Y TAREAS'!AI45/'EDT Y TAREAS'!M45,0),IF(AND(251&gt;='EDT Y TAREAS'!AK46,251&lt;'EDT Y TAREAS'!AL46),'EDT Y TAREAS'!AI46/'EDT Y TAREAS'!M46,0),IF(AND(251&gt;='EDT Y TAREAS'!AK48,251&lt;'EDT Y TAREAS'!AL48),'EDT Y TAREAS'!AI48/'EDT Y TAREAS'!M48,0),IF(AND(251&gt;='EDT Y TAREAS'!AK50,251&lt;'EDT Y TAREAS'!AL50),'EDT Y TAREAS'!AI50/'EDT Y TAREAS'!M50,0),IF(AND(251&gt;='EDT Y TAREAS'!AK52,251&lt;'EDT Y TAREAS'!AL52),'EDT Y TAREAS'!AI52/'EDT Y TAREAS'!M52,0))</x:f>
        <x:v>0</x:v>
      </x:c>
      <x:c r="H291" s="35" t="n">
        <x:f>SUM(IF(AND(251&gt;='EDT Y TAREAS'!AK11,251&lt;'EDT Y TAREAS'!AL11),'EDT Y TAREAS'!AJ11/'EDT Y TAREAS'!M11,0),IF(AND(251&gt;='EDT Y TAREAS'!AK24,251&lt;'EDT Y TAREAS'!AL24),'EDT Y TAREAS'!AJ24/'EDT Y TAREAS'!M24,0),IF(AND(251&gt;='EDT Y TAREAS'!AK27,251&lt;'EDT Y TAREAS'!AL27),'EDT Y TAREAS'!AJ27/'EDT Y TAREAS'!M27,0),IF(AND(251&gt;='EDT Y TAREAS'!AK28,251&lt;'EDT Y TAREAS'!AL28),'EDT Y TAREAS'!AJ28/'EDT Y TAREAS'!M28,0),IF(AND(251&gt;='EDT Y TAREAS'!AK33,251&lt;'EDT Y TAREAS'!AL33),'EDT Y TAREAS'!AJ33/'EDT Y TAREAS'!M33,0),IF(AND(251&gt;='EDT Y TAREAS'!AK35,251&lt;'EDT Y TAREAS'!AL35),'EDT Y TAREAS'!AJ35/'EDT Y TAREAS'!M35,0),IF(AND(251&gt;='EDT Y TAREAS'!AK36,251&lt;'EDT Y TAREAS'!AL36),'EDT Y TAREAS'!AJ36/'EDT Y TAREAS'!M36,0),IF(AND(251&gt;='EDT Y TAREAS'!AK37,251&lt;'EDT Y TAREAS'!AL37),'EDT Y TAREAS'!AJ37/'EDT Y TAREAS'!M37,0),IF(AND(251&gt;='EDT Y TAREAS'!AK40,251&lt;'EDT Y TAREAS'!AL40),'EDT Y TAREAS'!AJ40/'EDT Y TAREAS'!M40,0),IF(AND(251&gt;='EDT Y TAREAS'!AK42,251&lt;'EDT Y TAREAS'!AL42),'EDT Y TAREAS'!AJ42/'EDT Y TAREAS'!M42,0),IF(AND(251&gt;='EDT Y TAREAS'!AK49,251&lt;'EDT Y TAREAS'!AL49),'EDT Y TAREAS'!AJ49/'EDT Y TAREAS'!M49,0),IF(AND(251&gt;='EDT Y TAREAS'!AK50,251&lt;'EDT Y TAREAS'!AL50),'EDT Y TAREAS'!AJ50/'EDT Y TAREAS'!M50,0),IF(AND(251&gt;='EDT Y TAREAS'!AK51,251&lt;'EDT Y TAREAS'!AL51),'EDT Y TAREAS'!AJ51/'EDT Y TAREAS'!M51,0),IF(AND(251&gt;='EDT Y TAREAS'!AK52,251&lt;'EDT Y TAREAS'!AL52),'EDT Y TAREAS'!AJ52/'EDT Y TAREAS'!M52,0))</x:f>
        <x:v>0</x:v>
      </x:c>
      <x:c r="I291" s="10" t="n">
        <x:f>WORKDAY('RESUMEN'!$D$3-1,A291,'RESUMEN'!$J$6:$J$25)</x:f>
        <x:v>46679</x:v>
      </x:c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  <x:c r="AA291" s="3"/>
      <x:c r="AB291" s="3"/>
      <x:c r="AC291" s="3"/>
      <x:c r="AD291" s="3"/>
      <x:c r="AE291" s="3"/>
      <x:c r="AF291" s="3"/>
      <x:c r="AG291" s="3"/>
      <x:c r="AH291" s="3"/>
      <x:c r="AI291" s="3"/>
      <x:c r="AJ291" s="3"/>
      <x:c r="AK291" s="3"/>
      <x:c r="AL291" s="3"/>
      <x:c r="AM291" s="3"/>
      <x:c r="AN291" s="3"/>
      <x:c r="AO291" s="3"/>
    </x:row>
    <x:row r="292" ht="24" customHeight="1">
      <x:c r="A292" s="3" t="n">
        <x:v>253</x:v>
      </x:c>
      <x:c r="B292" s="35" t="n">
        <x:f>SUM(IF(AND(252&gt;='EDT Y TAREAS'!AK6,252&lt;'EDT Y TAREAS'!AL6),'EDT Y TAREAS'!AD6/'EDT Y TAREAS'!M6,0),IF(AND(252&gt;='EDT Y TAREAS'!AK7,252&lt;'EDT Y TAREAS'!AL7),'EDT Y TAREAS'!AD7/'EDT Y TAREAS'!M7,0),IF(AND(252&gt;='EDT Y TAREAS'!AK8,252&lt;'EDT Y TAREAS'!AL8),'EDT Y TAREAS'!AD8/'EDT Y TAREAS'!M8,0),IF(AND(252&gt;='EDT Y TAREAS'!AK9,252&lt;'EDT Y TAREAS'!AL9),'EDT Y TAREAS'!AD9/'EDT Y TAREAS'!M9,0),IF(AND(252&gt;='EDT Y TAREAS'!AK10,252&lt;'EDT Y TAREAS'!AL10),'EDT Y TAREAS'!AD10/'EDT Y TAREAS'!M10,0),IF(AND(252&gt;='EDT Y TAREAS'!AK11,252&lt;'EDT Y TAREAS'!AL11),'EDT Y TAREAS'!AD11/'EDT Y TAREAS'!M11,0),IF(AND(252&gt;='EDT Y TAREAS'!AK12,252&lt;'EDT Y TAREAS'!AL12),'EDT Y TAREAS'!AD12/'EDT Y TAREAS'!M12,0),IF(AND(252&gt;='EDT Y TAREAS'!AK13,252&lt;'EDT Y TAREAS'!AL13),'EDT Y TAREAS'!AD13/'EDT Y TAREAS'!M13,0),IF(AND(252&gt;='EDT Y TAREAS'!AK14,252&lt;'EDT Y TAREAS'!AL14),'EDT Y TAREAS'!AD14/'EDT Y TAREAS'!M14,0),IF(AND(252&gt;='EDT Y TAREAS'!AK15,252&lt;'EDT Y TAREAS'!AL15),'EDT Y TAREAS'!AD15/'EDT Y TAREAS'!M15,0),IF(AND(252&gt;='EDT Y TAREAS'!AK16,252&lt;'EDT Y TAREAS'!AL16),'EDT Y TAREAS'!AD16/'EDT Y TAREAS'!M16,0),IF(AND(252&gt;='EDT Y TAREAS'!AK17,252&lt;'EDT Y TAREAS'!AL17),'EDT Y TAREAS'!AD17/'EDT Y TAREAS'!M17,0),IF(AND(252&gt;='EDT Y TAREAS'!AK18,252&lt;'EDT Y TAREAS'!AL18),'EDT Y TAREAS'!AD18/'EDT Y TAREAS'!M18,0),IF(AND(252&gt;='EDT Y TAREAS'!AK19,252&lt;'EDT Y TAREAS'!AL19),'EDT Y TAREAS'!AD19/'EDT Y TAREAS'!M19,0),IF(AND(252&gt;='EDT Y TAREAS'!AK20,252&lt;'EDT Y TAREAS'!AL20),'EDT Y TAREAS'!AD20/'EDT Y TAREAS'!M20,0),IF(AND(252&gt;='EDT Y TAREAS'!AK21,252&lt;'EDT Y TAREAS'!AL21),'EDT Y TAREAS'!AD21/'EDT Y TAREAS'!M21,0),IF(AND(252&gt;='EDT Y TAREAS'!AK22,252&lt;'EDT Y TAREAS'!AL22),'EDT Y TAREAS'!AD22/'EDT Y TAREAS'!M22,0),IF(AND(252&gt;='EDT Y TAREAS'!AK23,252&lt;'EDT Y TAREAS'!AL23),'EDT Y TAREAS'!AD23/'EDT Y TAREAS'!M23,0),IF(AND(252&gt;='EDT Y TAREAS'!AK26,252&lt;'EDT Y TAREAS'!AL26),'EDT Y TAREAS'!AD26/'EDT Y TAREAS'!M26,0),IF(AND(252&gt;='EDT Y TAREAS'!AK28,252&lt;'EDT Y TAREAS'!AL28),'EDT Y TAREAS'!AD28/'EDT Y TAREAS'!M28,0),IF(AND(252&gt;='EDT Y TAREAS'!AK30,252&lt;'EDT Y TAREAS'!AL30),'EDT Y TAREAS'!AD30/'EDT Y TAREAS'!M30,0),IF(AND(252&gt;='EDT Y TAREAS'!AK32,252&lt;'EDT Y TAREAS'!AL32),'EDT Y TAREAS'!AD32/'EDT Y TAREAS'!M32,0),IF(AND(252&gt;='EDT Y TAREAS'!AK34,252&lt;'EDT Y TAREAS'!AL34),'EDT Y TAREAS'!AD34/'EDT Y TAREAS'!M34,0),IF(AND(252&gt;='EDT Y TAREAS'!AK38,252&lt;'EDT Y TAREAS'!AL38),'EDT Y TAREAS'!AD38/'EDT Y TAREAS'!M38,0),IF(AND(252&gt;='EDT Y TAREAS'!AK39,252&lt;'EDT Y TAREAS'!AL39),'EDT Y TAREAS'!AD39/'EDT Y TAREAS'!M39,0),IF(AND(252&gt;='EDT Y TAREAS'!AK43,252&lt;'EDT Y TAREAS'!AL43),'EDT Y TAREAS'!AD43/'EDT Y TAREAS'!M43,0),IF(AND(252&gt;='EDT Y TAREAS'!AK44,252&lt;'EDT Y TAREAS'!AL44),'EDT Y TAREAS'!AD44/'EDT Y TAREAS'!M44,0),IF(AND(252&gt;='EDT Y TAREAS'!AK45,252&lt;'EDT Y TAREAS'!AL45),'EDT Y TAREAS'!AD45/'EDT Y TAREAS'!M45,0),IF(AND(252&gt;='EDT Y TAREAS'!AK46,252&lt;'EDT Y TAREAS'!AL46),'EDT Y TAREAS'!AD46/'EDT Y TAREAS'!M46,0),IF(AND(252&gt;='EDT Y TAREAS'!AK47,252&lt;'EDT Y TAREAS'!AL47),'EDT Y TAREAS'!AD47/'EDT Y TAREAS'!M47,0),IF(AND(252&gt;='EDT Y TAREAS'!AK49,252&lt;'EDT Y TAREAS'!AL49),'EDT Y TAREAS'!AD49/'EDT Y TAREAS'!M49,0),IF(AND(252&gt;='EDT Y TAREAS'!AK50,252&lt;'EDT Y TAREAS'!AL50),'EDT Y TAREAS'!AD50/'EDT Y TAREAS'!M50,0),IF(AND(252&gt;='EDT Y TAREAS'!AK51,252&lt;'EDT Y TAREAS'!AL51),'EDT Y TAREAS'!AD51/'EDT Y TAREAS'!M51,0),IF(AND(252&gt;='EDT Y TAREAS'!AK52,252&lt;'EDT Y TAREAS'!AL52),'EDT Y TAREAS'!AD52/'EDT Y TAREAS'!M52,0))</x:f>
        <x:v>0</x:v>
      </x:c>
      <x:c r="C292" s="35" t="n">
        <x:f>SUM(IF(AND(252&gt;='EDT Y TAREAS'!AK6,252&lt;'EDT Y TAREAS'!AL6),'EDT Y TAREAS'!AE6/'EDT Y TAREAS'!M6,0),IF(AND(252&gt;='EDT Y TAREAS'!AK8,252&lt;'EDT Y TAREAS'!AL8),'EDT Y TAREAS'!AE8/'EDT Y TAREAS'!M8,0),IF(AND(252&gt;='EDT Y TAREAS'!AK9,252&lt;'EDT Y TAREAS'!AL9),'EDT Y TAREAS'!AE9/'EDT Y TAREAS'!M9,0),IF(AND(252&gt;='EDT Y TAREAS'!AK10,252&lt;'EDT Y TAREAS'!AL10),'EDT Y TAREAS'!AE10/'EDT Y TAREAS'!M10,0),IF(AND(252&gt;='EDT Y TAREAS'!AK12,252&lt;'EDT Y TAREAS'!AL12),'EDT Y TAREAS'!AE12/'EDT Y TAREAS'!M12,0),IF(AND(252&gt;='EDT Y TAREAS'!AK16,252&lt;'EDT Y TAREAS'!AL16),'EDT Y TAREAS'!AE16/'EDT Y TAREAS'!M16,0),IF(AND(252&gt;='EDT Y TAREAS'!AK21,252&lt;'EDT Y TAREAS'!AL21),'EDT Y TAREAS'!AE21/'EDT Y TAREAS'!M21,0),IF(AND(252&gt;='EDT Y TAREAS'!AK23,252&lt;'EDT Y TAREAS'!AL23),'EDT Y TAREAS'!AE23/'EDT Y TAREAS'!M23,0),IF(AND(252&gt;='EDT Y TAREAS'!AK37,252&lt;'EDT Y TAREAS'!AL37),'EDT Y TAREAS'!AE37/'EDT Y TAREAS'!M37,0),IF(AND(252&gt;='EDT Y TAREAS'!AK38,252&lt;'EDT Y TAREAS'!AL38),'EDT Y TAREAS'!AE38/'EDT Y TAREAS'!M38,0),IF(AND(252&gt;='EDT Y TAREAS'!AK41,252&lt;'EDT Y TAREAS'!AL41),'EDT Y TAREAS'!AE41/'EDT Y TAREAS'!M41,0),IF(AND(252&gt;='EDT Y TAREAS'!AK43,252&lt;'EDT Y TAREAS'!AL43),'EDT Y TAREAS'!AE43/'EDT Y TAREAS'!M43,0),IF(AND(252&gt;='EDT Y TAREAS'!AK44,252&lt;'EDT Y TAREAS'!AL44),'EDT Y TAREAS'!AE44/'EDT Y TAREAS'!M44,0),IF(AND(252&gt;='EDT Y TAREAS'!AK46,252&lt;'EDT Y TAREAS'!AL46),'EDT Y TAREAS'!AE46/'EDT Y TAREAS'!M46,0),IF(AND(252&gt;='EDT Y TAREAS'!AK47,252&lt;'EDT Y TAREAS'!AL47),'EDT Y TAREAS'!AE47/'EDT Y TAREAS'!M47,0),IF(AND(252&gt;='EDT Y TAREAS'!AK51,252&lt;'EDT Y TAREAS'!AL51),'EDT Y TAREAS'!AE51/'EDT Y TAREAS'!M51,0),IF(AND(252&gt;='EDT Y TAREAS'!AK52,252&lt;'EDT Y TAREAS'!AL52),'EDT Y TAREAS'!AE52/'EDT Y TAREAS'!M52,0))</x:f>
        <x:v>0</x:v>
      </x:c>
      <x:c r="D292" s="35" t="n">
        <x:f>SUM(IF(AND(252&gt;='EDT Y TAREAS'!AK11,252&lt;'EDT Y TAREAS'!AL11),'EDT Y TAREAS'!AF11/'EDT Y TAREAS'!M11,0),IF(AND(252&gt;='EDT Y TAREAS'!AK24,252&lt;'EDT Y TAREAS'!AL24),'EDT Y TAREAS'!AF24/'EDT Y TAREAS'!M24,0),IF(AND(252&gt;='EDT Y TAREAS'!AK25,252&lt;'EDT Y TAREAS'!AL25),'EDT Y TAREAS'!AF25/'EDT Y TAREAS'!M25,0),IF(AND(252&gt;='EDT Y TAREAS'!AK26,252&lt;'EDT Y TAREAS'!AL26),'EDT Y TAREAS'!AF26/'EDT Y TAREAS'!M26,0),IF(AND(252&gt;='EDT Y TAREAS'!AK27,252&lt;'EDT Y TAREAS'!AL27),'EDT Y TAREAS'!AF27/'EDT Y TAREAS'!M27,0),IF(AND(252&gt;='EDT Y TAREAS'!AK28,252&lt;'EDT Y TAREAS'!AL28),'EDT Y TAREAS'!AF28/'EDT Y TAREAS'!M28,0),IF(AND(252&gt;='EDT Y TAREAS'!AK31,252&lt;'EDT Y TAREAS'!AL31),'EDT Y TAREAS'!AF31/'EDT Y TAREAS'!M31,0),IF(AND(252&gt;='EDT Y TAREAS'!AK33,252&lt;'EDT Y TAREAS'!AL33),'EDT Y TAREAS'!AF33/'EDT Y TAREAS'!M33,0),IF(AND(252&gt;='EDT Y TAREAS'!AK34,252&lt;'EDT Y TAREAS'!AL34),'EDT Y TAREAS'!AF34/'EDT Y TAREAS'!M34,0),IF(AND(252&gt;='EDT Y TAREAS'!AK35,252&lt;'EDT Y TAREAS'!AL35),'EDT Y TAREAS'!AF35/'EDT Y TAREAS'!M35,0),IF(AND(252&gt;='EDT Y TAREAS'!AK37,252&lt;'EDT Y TAREAS'!AL37),'EDT Y TAREAS'!AF37/'EDT Y TAREAS'!M37,0),IF(AND(252&gt;='EDT Y TAREAS'!AK39,252&lt;'EDT Y TAREAS'!AL39),'EDT Y TAREAS'!AF39/'EDT Y TAREAS'!M39,0),IF(AND(252&gt;='EDT Y TAREAS'!AK40,252&lt;'EDT Y TAREAS'!AL40),'EDT Y TAREAS'!AF40/'EDT Y TAREAS'!M40,0),IF(AND(252&gt;='EDT Y TAREAS'!AK42,252&lt;'EDT Y TAREAS'!AL42),'EDT Y TAREAS'!AF42/'EDT Y TAREAS'!M42,0),IF(AND(252&gt;='EDT Y TAREAS'!AK45,252&lt;'EDT Y TAREAS'!AL45),'EDT Y TAREAS'!AF45/'EDT Y TAREAS'!M45,0),IF(AND(252&gt;='EDT Y TAREAS'!AK49,252&lt;'EDT Y TAREAS'!AL49),'EDT Y TAREAS'!AF49/'EDT Y TAREAS'!M49,0),IF(AND(252&gt;='EDT Y TAREAS'!AK52,252&lt;'EDT Y TAREAS'!AL52),'EDT Y TAREAS'!AF52/'EDT Y TAREAS'!M52,0))</x:f>
        <x:v>0</x:v>
      </x:c>
      <x:c r="E292" s="35" t="n">
        <x:f>SUM(IF(AND(252&gt;='EDT Y TAREAS'!AK29,252&lt;'EDT Y TAREAS'!AL29),'EDT Y TAREAS'!AG29/'EDT Y TAREAS'!M29,0),IF(AND(252&gt;='EDT Y TAREAS'!AK30,252&lt;'EDT Y TAREAS'!AL30),'EDT Y TAREAS'!AG30/'EDT Y TAREAS'!M30,0),IF(AND(252&gt;='EDT Y TAREAS'!AK31,252&lt;'EDT Y TAREAS'!AL31),'EDT Y TAREAS'!AG31/'EDT Y TAREAS'!M31,0),IF(AND(252&gt;='EDT Y TAREAS'!AK32,252&lt;'EDT Y TAREAS'!AL32),'EDT Y TAREAS'!AG32/'EDT Y TAREAS'!M32,0),IF(AND(252&gt;='EDT Y TAREAS'!AK41,252&lt;'EDT Y TAREAS'!AL41),'EDT Y TAREAS'!AG41/'EDT Y TAREAS'!M41,0),IF(AND(252&gt;='EDT Y TAREAS'!AK45,252&lt;'EDT Y TAREAS'!AL45),'EDT Y TAREAS'!AG45/'EDT Y TAREAS'!M45,0),IF(AND(252&gt;='EDT Y TAREAS'!AK48,252&lt;'EDT Y TAREAS'!AL48),'EDT Y TAREAS'!AG48/'EDT Y TAREAS'!M48,0))</x:f>
        <x:v>0</x:v>
      </x:c>
      <x:c r="F292" s="35" t="n">
        <x:f>SUM(IF(AND(252&gt;='EDT Y TAREAS'!AK10,252&lt;'EDT Y TAREAS'!AL10),'EDT Y TAREAS'!AH10/'EDT Y TAREAS'!M10,0),IF(AND(252&gt;='EDT Y TAREAS'!AK12,252&lt;'EDT Y TAREAS'!AL12),'EDT Y TAREAS'!AH12/'EDT Y TAREAS'!M12,0),IF(AND(252&gt;='EDT Y TAREAS'!AK22,252&lt;'EDT Y TAREAS'!AL22),'EDT Y TAREAS'!AH22/'EDT Y TAREAS'!M22,0),IF(AND(252&gt;='EDT Y TAREAS'!AK23,252&lt;'EDT Y TAREAS'!AL23),'EDT Y TAREAS'!AH23/'EDT Y TAREAS'!M23,0),IF(AND(252&gt;='EDT Y TAREAS'!AK29,252&lt;'EDT Y TAREAS'!AL29),'EDT Y TAREAS'!AH29/'EDT Y TAREAS'!M29,0),IF(AND(252&gt;='EDT Y TAREAS'!AK30,252&lt;'EDT Y TAREAS'!AL30),'EDT Y TAREAS'!AH30/'EDT Y TAREAS'!M30,0),IF(AND(252&gt;='EDT Y TAREAS'!AK32,252&lt;'EDT Y TAREAS'!AL32),'EDT Y TAREAS'!AH32/'EDT Y TAREAS'!M32,0),IF(AND(252&gt;='EDT Y TAREAS'!AK41,252&lt;'EDT Y TAREAS'!AL41),'EDT Y TAREAS'!AH41/'EDT Y TAREAS'!M41,0),IF(AND(252&gt;='EDT Y TAREAS'!AK44,252&lt;'EDT Y TAREAS'!AL44),'EDT Y TAREAS'!AH44/'EDT Y TAREAS'!M44,0),IF(AND(252&gt;='EDT Y TAREAS'!AK46,252&lt;'EDT Y TAREAS'!AL46),'EDT Y TAREAS'!AH46/'EDT Y TAREAS'!M46,0),IF(AND(252&gt;='EDT Y TAREAS'!AK48,252&lt;'EDT Y TAREAS'!AL48),'EDT Y TAREAS'!AH48/'EDT Y TAREAS'!M48,0))</x:f>
        <x:v>0</x:v>
      </x:c>
      <x:c r="G292" s="35" t="n">
        <x:f>SUM(IF(AND(252&gt;='EDT Y TAREAS'!AK20,252&lt;'EDT Y TAREAS'!AL20),'EDT Y TAREAS'!AI20/'EDT Y TAREAS'!M20,0),IF(AND(252&gt;='EDT Y TAREAS'!AK25,252&lt;'EDT Y TAREAS'!AL25),'EDT Y TAREAS'!AI25/'EDT Y TAREAS'!M25,0),IF(AND(252&gt;='EDT Y TAREAS'!AK33,252&lt;'EDT Y TAREAS'!AL33),'EDT Y TAREAS'!AI33/'EDT Y TAREAS'!M33,0),IF(AND(252&gt;='EDT Y TAREAS'!AK34,252&lt;'EDT Y TAREAS'!AL34),'EDT Y TAREAS'!AI34/'EDT Y TAREAS'!M34,0),IF(AND(252&gt;='EDT Y TAREAS'!AK36,252&lt;'EDT Y TAREAS'!AL36),'EDT Y TAREAS'!AI36/'EDT Y TAREAS'!M36,0),IF(AND(252&gt;='EDT Y TAREAS'!AK39,252&lt;'EDT Y TAREAS'!AL39),'EDT Y TAREAS'!AI39/'EDT Y TAREAS'!M39,0),IF(AND(252&gt;='EDT Y TAREAS'!AK40,252&lt;'EDT Y TAREAS'!AL40),'EDT Y TAREAS'!AI40/'EDT Y TAREAS'!M40,0),IF(AND(252&gt;='EDT Y TAREAS'!AK42,252&lt;'EDT Y TAREAS'!AL42),'EDT Y TAREAS'!AI42/'EDT Y TAREAS'!M42,0),IF(AND(252&gt;='EDT Y TAREAS'!AK43,252&lt;'EDT Y TAREAS'!AL43),'EDT Y TAREAS'!AI43/'EDT Y TAREAS'!M43,0),IF(AND(252&gt;='EDT Y TAREAS'!AK44,252&lt;'EDT Y TAREAS'!AL44),'EDT Y TAREAS'!AI44/'EDT Y TAREAS'!M44,0),IF(AND(252&gt;='EDT Y TAREAS'!AK45,252&lt;'EDT Y TAREAS'!AL45),'EDT Y TAREAS'!AI45/'EDT Y TAREAS'!M45,0),IF(AND(252&gt;='EDT Y TAREAS'!AK46,252&lt;'EDT Y TAREAS'!AL46),'EDT Y TAREAS'!AI46/'EDT Y TAREAS'!M46,0),IF(AND(252&gt;='EDT Y TAREAS'!AK48,252&lt;'EDT Y TAREAS'!AL48),'EDT Y TAREAS'!AI48/'EDT Y TAREAS'!M48,0),IF(AND(252&gt;='EDT Y TAREAS'!AK50,252&lt;'EDT Y TAREAS'!AL50),'EDT Y TAREAS'!AI50/'EDT Y TAREAS'!M50,0),IF(AND(252&gt;='EDT Y TAREAS'!AK52,252&lt;'EDT Y TAREAS'!AL52),'EDT Y TAREAS'!AI52/'EDT Y TAREAS'!M52,0))</x:f>
        <x:v>0</x:v>
      </x:c>
      <x:c r="H292" s="35" t="n">
        <x:f>SUM(IF(AND(252&gt;='EDT Y TAREAS'!AK11,252&lt;'EDT Y TAREAS'!AL11),'EDT Y TAREAS'!AJ11/'EDT Y TAREAS'!M11,0),IF(AND(252&gt;='EDT Y TAREAS'!AK24,252&lt;'EDT Y TAREAS'!AL24),'EDT Y TAREAS'!AJ24/'EDT Y TAREAS'!M24,0),IF(AND(252&gt;='EDT Y TAREAS'!AK27,252&lt;'EDT Y TAREAS'!AL27),'EDT Y TAREAS'!AJ27/'EDT Y TAREAS'!M27,0),IF(AND(252&gt;='EDT Y TAREAS'!AK28,252&lt;'EDT Y TAREAS'!AL28),'EDT Y TAREAS'!AJ28/'EDT Y TAREAS'!M28,0),IF(AND(252&gt;='EDT Y TAREAS'!AK33,252&lt;'EDT Y TAREAS'!AL33),'EDT Y TAREAS'!AJ33/'EDT Y TAREAS'!M33,0),IF(AND(252&gt;='EDT Y TAREAS'!AK35,252&lt;'EDT Y TAREAS'!AL35),'EDT Y TAREAS'!AJ35/'EDT Y TAREAS'!M35,0),IF(AND(252&gt;='EDT Y TAREAS'!AK36,252&lt;'EDT Y TAREAS'!AL36),'EDT Y TAREAS'!AJ36/'EDT Y TAREAS'!M36,0),IF(AND(252&gt;='EDT Y TAREAS'!AK37,252&lt;'EDT Y TAREAS'!AL37),'EDT Y TAREAS'!AJ37/'EDT Y TAREAS'!M37,0),IF(AND(252&gt;='EDT Y TAREAS'!AK40,252&lt;'EDT Y TAREAS'!AL40),'EDT Y TAREAS'!AJ40/'EDT Y TAREAS'!M40,0),IF(AND(252&gt;='EDT Y TAREAS'!AK42,252&lt;'EDT Y TAREAS'!AL42),'EDT Y TAREAS'!AJ42/'EDT Y TAREAS'!M42,0),IF(AND(252&gt;='EDT Y TAREAS'!AK49,252&lt;'EDT Y TAREAS'!AL49),'EDT Y TAREAS'!AJ49/'EDT Y TAREAS'!M49,0),IF(AND(252&gt;='EDT Y TAREAS'!AK50,252&lt;'EDT Y TAREAS'!AL50),'EDT Y TAREAS'!AJ50/'EDT Y TAREAS'!M50,0),IF(AND(252&gt;='EDT Y TAREAS'!AK51,252&lt;'EDT Y TAREAS'!AL51),'EDT Y TAREAS'!AJ51/'EDT Y TAREAS'!M51,0),IF(AND(252&gt;='EDT Y TAREAS'!AK52,252&lt;'EDT Y TAREAS'!AL52),'EDT Y TAREAS'!AJ52/'EDT Y TAREAS'!M52,0))</x:f>
        <x:v>0</x:v>
      </x:c>
      <x:c r="I292" s="10" t="n">
        <x:f>WORKDAY('RESUMEN'!$D$3-1,A292,'RESUMEN'!$J$6:$J$25)</x:f>
        <x:v>46680</x:v>
      </x:c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  <x:c r="AA292" s="3"/>
      <x:c r="AB292" s="3"/>
      <x:c r="AC292" s="3"/>
      <x:c r="AD292" s="3"/>
      <x:c r="AE292" s="3"/>
      <x:c r="AF292" s="3"/>
      <x:c r="AG292" s="3"/>
      <x:c r="AH292" s="3"/>
      <x:c r="AI292" s="3"/>
      <x:c r="AJ292" s="3"/>
      <x:c r="AK292" s="3"/>
      <x:c r="AL292" s="3"/>
      <x:c r="AM292" s="3"/>
      <x:c r="AN292" s="3"/>
      <x:c r="AO292" s="3"/>
    </x:row>
    <x:row r="293" ht="24" customHeight="1">
      <x:c r="A293" s="3" t="n">
        <x:v>254</x:v>
      </x:c>
      <x:c r="B293" s="35" t="n">
        <x:f>SUM(IF(AND(253&gt;='EDT Y TAREAS'!AK6,253&lt;'EDT Y TAREAS'!AL6),'EDT Y TAREAS'!AD6/'EDT Y TAREAS'!M6,0),IF(AND(253&gt;='EDT Y TAREAS'!AK7,253&lt;'EDT Y TAREAS'!AL7),'EDT Y TAREAS'!AD7/'EDT Y TAREAS'!M7,0),IF(AND(253&gt;='EDT Y TAREAS'!AK8,253&lt;'EDT Y TAREAS'!AL8),'EDT Y TAREAS'!AD8/'EDT Y TAREAS'!M8,0),IF(AND(253&gt;='EDT Y TAREAS'!AK9,253&lt;'EDT Y TAREAS'!AL9),'EDT Y TAREAS'!AD9/'EDT Y TAREAS'!M9,0),IF(AND(253&gt;='EDT Y TAREAS'!AK10,253&lt;'EDT Y TAREAS'!AL10),'EDT Y TAREAS'!AD10/'EDT Y TAREAS'!M10,0),IF(AND(253&gt;='EDT Y TAREAS'!AK11,253&lt;'EDT Y TAREAS'!AL11),'EDT Y TAREAS'!AD11/'EDT Y TAREAS'!M11,0),IF(AND(253&gt;='EDT Y TAREAS'!AK12,253&lt;'EDT Y TAREAS'!AL12),'EDT Y TAREAS'!AD12/'EDT Y TAREAS'!M12,0),IF(AND(253&gt;='EDT Y TAREAS'!AK13,253&lt;'EDT Y TAREAS'!AL13),'EDT Y TAREAS'!AD13/'EDT Y TAREAS'!M13,0),IF(AND(253&gt;='EDT Y TAREAS'!AK14,253&lt;'EDT Y TAREAS'!AL14),'EDT Y TAREAS'!AD14/'EDT Y TAREAS'!M14,0),IF(AND(253&gt;='EDT Y TAREAS'!AK15,253&lt;'EDT Y TAREAS'!AL15),'EDT Y TAREAS'!AD15/'EDT Y TAREAS'!M15,0),IF(AND(253&gt;='EDT Y TAREAS'!AK16,253&lt;'EDT Y TAREAS'!AL16),'EDT Y TAREAS'!AD16/'EDT Y TAREAS'!M16,0),IF(AND(253&gt;='EDT Y TAREAS'!AK17,253&lt;'EDT Y TAREAS'!AL17),'EDT Y TAREAS'!AD17/'EDT Y TAREAS'!M17,0),IF(AND(253&gt;='EDT Y TAREAS'!AK18,253&lt;'EDT Y TAREAS'!AL18),'EDT Y TAREAS'!AD18/'EDT Y TAREAS'!M18,0),IF(AND(253&gt;='EDT Y TAREAS'!AK19,253&lt;'EDT Y TAREAS'!AL19),'EDT Y TAREAS'!AD19/'EDT Y TAREAS'!M19,0),IF(AND(253&gt;='EDT Y TAREAS'!AK20,253&lt;'EDT Y TAREAS'!AL20),'EDT Y TAREAS'!AD20/'EDT Y TAREAS'!M20,0),IF(AND(253&gt;='EDT Y TAREAS'!AK21,253&lt;'EDT Y TAREAS'!AL21),'EDT Y TAREAS'!AD21/'EDT Y TAREAS'!M21,0),IF(AND(253&gt;='EDT Y TAREAS'!AK22,253&lt;'EDT Y TAREAS'!AL22),'EDT Y TAREAS'!AD22/'EDT Y TAREAS'!M22,0),IF(AND(253&gt;='EDT Y TAREAS'!AK23,253&lt;'EDT Y TAREAS'!AL23),'EDT Y TAREAS'!AD23/'EDT Y TAREAS'!M23,0),IF(AND(253&gt;='EDT Y TAREAS'!AK26,253&lt;'EDT Y TAREAS'!AL26),'EDT Y TAREAS'!AD26/'EDT Y TAREAS'!M26,0),IF(AND(253&gt;='EDT Y TAREAS'!AK28,253&lt;'EDT Y TAREAS'!AL28),'EDT Y TAREAS'!AD28/'EDT Y TAREAS'!M28,0),IF(AND(253&gt;='EDT Y TAREAS'!AK30,253&lt;'EDT Y TAREAS'!AL30),'EDT Y TAREAS'!AD30/'EDT Y TAREAS'!M30,0),IF(AND(253&gt;='EDT Y TAREAS'!AK32,253&lt;'EDT Y TAREAS'!AL32),'EDT Y TAREAS'!AD32/'EDT Y TAREAS'!M32,0),IF(AND(253&gt;='EDT Y TAREAS'!AK34,253&lt;'EDT Y TAREAS'!AL34),'EDT Y TAREAS'!AD34/'EDT Y TAREAS'!M34,0),IF(AND(253&gt;='EDT Y TAREAS'!AK38,253&lt;'EDT Y TAREAS'!AL38),'EDT Y TAREAS'!AD38/'EDT Y TAREAS'!M38,0),IF(AND(253&gt;='EDT Y TAREAS'!AK39,253&lt;'EDT Y TAREAS'!AL39),'EDT Y TAREAS'!AD39/'EDT Y TAREAS'!M39,0),IF(AND(253&gt;='EDT Y TAREAS'!AK43,253&lt;'EDT Y TAREAS'!AL43),'EDT Y TAREAS'!AD43/'EDT Y TAREAS'!M43,0),IF(AND(253&gt;='EDT Y TAREAS'!AK44,253&lt;'EDT Y TAREAS'!AL44),'EDT Y TAREAS'!AD44/'EDT Y TAREAS'!M44,0),IF(AND(253&gt;='EDT Y TAREAS'!AK45,253&lt;'EDT Y TAREAS'!AL45),'EDT Y TAREAS'!AD45/'EDT Y TAREAS'!M45,0),IF(AND(253&gt;='EDT Y TAREAS'!AK46,253&lt;'EDT Y TAREAS'!AL46),'EDT Y TAREAS'!AD46/'EDT Y TAREAS'!M46,0),IF(AND(253&gt;='EDT Y TAREAS'!AK47,253&lt;'EDT Y TAREAS'!AL47),'EDT Y TAREAS'!AD47/'EDT Y TAREAS'!M47,0),IF(AND(253&gt;='EDT Y TAREAS'!AK49,253&lt;'EDT Y TAREAS'!AL49),'EDT Y TAREAS'!AD49/'EDT Y TAREAS'!M49,0),IF(AND(253&gt;='EDT Y TAREAS'!AK50,253&lt;'EDT Y TAREAS'!AL50),'EDT Y TAREAS'!AD50/'EDT Y TAREAS'!M50,0),IF(AND(253&gt;='EDT Y TAREAS'!AK51,253&lt;'EDT Y TAREAS'!AL51),'EDT Y TAREAS'!AD51/'EDT Y TAREAS'!M51,0),IF(AND(253&gt;='EDT Y TAREAS'!AK52,253&lt;'EDT Y TAREAS'!AL52),'EDT Y TAREAS'!AD52/'EDT Y TAREAS'!M52,0))</x:f>
        <x:v>0</x:v>
      </x:c>
      <x:c r="C293" s="35" t="n">
        <x:f>SUM(IF(AND(253&gt;='EDT Y TAREAS'!AK6,253&lt;'EDT Y TAREAS'!AL6),'EDT Y TAREAS'!AE6/'EDT Y TAREAS'!M6,0),IF(AND(253&gt;='EDT Y TAREAS'!AK8,253&lt;'EDT Y TAREAS'!AL8),'EDT Y TAREAS'!AE8/'EDT Y TAREAS'!M8,0),IF(AND(253&gt;='EDT Y TAREAS'!AK9,253&lt;'EDT Y TAREAS'!AL9),'EDT Y TAREAS'!AE9/'EDT Y TAREAS'!M9,0),IF(AND(253&gt;='EDT Y TAREAS'!AK10,253&lt;'EDT Y TAREAS'!AL10),'EDT Y TAREAS'!AE10/'EDT Y TAREAS'!M10,0),IF(AND(253&gt;='EDT Y TAREAS'!AK12,253&lt;'EDT Y TAREAS'!AL12),'EDT Y TAREAS'!AE12/'EDT Y TAREAS'!M12,0),IF(AND(253&gt;='EDT Y TAREAS'!AK16,253&lt;'EDT Y TAREAS'!AL16),'EDT Y TAREAS'!AE16/'EDT Y TAREAS'!M16,0),IF(AND(253&gt;='EDT Y TAREAS'!AK21,253&lt;'EDT Y TAREAS'!AL21),'EDT Y TAREAS'!AE21/'EDT Y TAREAS'!M21,0),IF(AND(253&gt;='EDT Y TAREAS'!AK23,253&lt;'EDT Y TAREAS'!AL23),'EDT Y TAREAS'!AE23/'EDT Y TAREAS'!M23,0),IF(AND(253&gt;='EDT Y TAREAS'!AK37,253&lt;'EDT Y TAREAS'!AL37),'EDT Y TAREAS'!AE37/'EDT Y TAREAS'!M37,0),IF(AND(253&gt;='EDT Y TAREAS'!AK38,253&lt;'EDT Y TAREAS'!AL38),'EDT Y TAREAS'!AE38/'EDT Y TAREAS'!M38,0),IF(AND(253&gt;='EDT Y TAREAS'!AK41,253&lt;'EDT Y TAREAS'!AL41),'EDT Y TAREAS'!AE41/'EDT Y TAREAS'!M41,0),IF(AND(253&gt;='EDT Y TAREAS'!AK43,253&lt;'EDT Y TAREAS'!AL43),'EDT Y TAREAS'!AE43/'EDT Y TAREAS'!M43,0),IF(AND(253&gt;='EDT Y TAREAS'!AK44,253&lt;'EDT Y TAREAS'!AL44),'EDT Y TAREAS'!AE44/'EDT Y TAREAS'!M44,0),IF(AND(253&gt;='EDT Y TAREAS'!AK46,253&lt;'EDT Y TAREAS'!AL46),'EDT Y TAREAS'!AE46/'EDT Y TAREAS'!M46,0),IF(AND(253&gt;='EDT Y TAREAS'!AK47,253&lt;'EDT Y TAREAS'!AL47),'EDT Y TAREAS'!AE47/'EDT Y TAREAS'!M47,0),IF(AND(253&gt;='EDT Y TAREAS'!AK51,253&lt;'EDT Y TAREAS'!AL51),'EDT Y TAREAS'!AE51/'EDT Y TAREAS'!M51,0),IF(AND(253&gt;='EDT Y TAREAS'!AK52,253&lt;'EDT Y TAREAS'!AL52),'EDT Y TAREAS'!AE52/'EDT Y TAREAS'!M52,0))</x:f>
        <x:v>0</x:v>
      </x:c>
      <x:c r="D293" s="35" t="n">
        <x:f>SUM(IF(AND(253&gt;='EDT Y TAREAS'!AK11,253&lt;'EDT Y TAREAS'!AL11),'EDT Y TAREAS'!AF11/'EDT Y TAREAS'!M11,0),IF(AND(253&gt;='EDT Y TAREAS'!AK24,253&lt;'EDT Y TAREAS'!AL24),'EDT Y TAREAS'!AF24/'EDT Y TAREAS'!M24,0),IF(AND(253&gt;='EDT Y TAREAS'!AK25,253&lt;'EDT Y TAREAS'!AL25),'EDT Y TAREAS'!AF25/'EDT Y TAREAS'!M25,0),IF(AND(253&gt;='EDT Y TAREAS'!AK26,253&lt;'EDT Y TAREAS'!AL26),'EDT Y TAREAS'!AF26/'EDT Y TAREAS'!M26,0),IF(AND(253&gt;='EDT Y TAREAS'!AK27,253&lt;'EDT Y TAREAS'!AL27),'EDT Y TAREAS'!AF27/'EDT Y TAREAS'!M27,0),IF(AND(253&gt;='EDT Y TAREAS'!AK28,253&lt;'EDT Y TAREAS'!AL28),'EDT Y TAREAS'!AF28/'EDT Y TAREAS'!M28,0),IF(AND(253&gt;='EDT Y TAREAS'!AK31,253&lt;'EDT Y TAREAS'!AL31),'EDT Y TAREAS'!AF31/'EDT Y TAREAS'!M31,0),IF(AND(253&gt;='EDT Y TAREAS'!AK33,253&lt;'EDT Y TAREAS'!AL33),'EDT Y TAREAS'!AF33/'EDT Y TAREAS'!M33,0),IF(AND(253&gt;='EDT Y TAREAS'!AK34,253&lt;'EDT Y TAREAS'!AL34),'EDT Y TAREAS'!AF34/'EDT Y TAREAS'!M34,0),IF(AND(253&gt;='EDT Y TAREAS'!AK35,253&lt;'EDT Y TAREAS'!AL35),'EDT Y TAREAS'!AF35/'EDT Y TAREAS'!M35,0),IF(AND(253&gt;='EDT Y TAREAS'!AK37,253&lt;'EDT Y TAREAS'!AL37),'EDT Y TAREAS'!AF37/'EDT Y TAREAS'!M37,0),IF(AND(253&gt;='EDT Y TAREAS'!AK39,253&lt;'EDT Y TAREAS'!AL39),'EDT Y TAREAS'!AF39/'EDT Y TAREAS'!M39,0),IF(AND(253&gt;='EDT Y TAREAS'!AK40,253&lt;'EDT Y TAREAS'!AL40),'EDT Y TAREAS'!AF40/'EDT Y TAREAS'!M40,0),IF(AND(253&gt;='EDT Y TAREAS'!AK42,253&lt;'EDT Y TAREAS'!AL42),'EDT Y TAREAS'!AF42/'EDT Y TAREAS'!M42,0),IF(AND(253&gt;='EDT Y TAREAS'!AK45,253&lt;'EDT Y TAREAS'!AL45),'EDT Y TAREAS'!AF45/'EDT Y TAREAS'!M45,0),IF(AND(253&gt;='EDT Y TAREAS'!AK49,253&lt;'EDT Y TAREAS'!AL49),'EDT Y TAREAS'!AF49/'EDT Y TAREAS'!M49,0),IF(AND(253&gt;='EDT Y TAREAS'!AK52,253&lt;'EDT Y TAREAS'!AL52),'EDT Y TAREAS'!AF52/'EDT Y TAREAS'!M52,0))</x:f>
        <x:v>0</x:v>
      </x:c>
      <x:c r="E293" s="35" t="n">
        <x:f>SUM(IF(AND(253&gt;='EDT Y TAREAS'!AK29,253&lt;'EDT Y TAREAS'!AL29),'EDT Y TAREAS'!AG29/'EDT Y TAREAS'!M29,0),IF(AND(253&gt;='EDT Y TAREAS'!AK30,253&lt;'EDT Y TAREAS'!AL30),'EDT Y TAREAS'!AG30/'EDT Y TAREAS'!M30,0),IF(AND(253&gt;='EDT Y TAREAS'!AK31,253&lt;'EDT Y TAREAS'!AL31),'EDT Y TAREAS'!AG31/'EDT Y TAREAS'!M31,0),IF(AND(253&gt;='EDT Y TAREAS'!AK32,253&lt;'EDT Y TAREAS'!AL32),'EDT Y TAREAS'!AG32/'EDT Y TAREAS'!M32,0),IF(AND(253&gt;='EDT Y TAREAS'!AK41,253&lt;'EDT Y TAREAS'!AL41),'EDT Y TAREAS'!AG41/'EDT Y TAREAS'!M41,0),IF(AND(253&gt;='EDT Y TAREAS'!AK45,253&lt;'EDT Y TAREAS'!AL45),'EDT Y TAREAS'!AG45/'EDT Y TAREAS'!M45,0),IF(AND(253&gt;='EDT Y TAREAS'!AK48,253&lt;'EDT Y TAREAS'!AL48),'EDT Y TAREAS'!AG48/'EDT Y TAREAS'!M48,0))</x:f>
        <x:v>0</x:v>
      </x:c>
      <x:c r="F293" s="35" t="n">
        <x:f>SUM(IF(AND(253&gt;='EDT Y TAREAS'!AK10,253&lt;'EDT Y TAREAS'!AL10),'EDT Y TAREAS'!AH10/'EDT Y TAREAS'!M10,0),IF(AND(253&gt;='EDT Y TAREAS'!AK12,253&lt;'EDT Y TAREAS'!AL12),'EDT Y TAREAS'!AH12/'EDT Y TAREAS'!M12,0),IF(AND(253&gt;='EDT Y TAREAS'!AK22,253&lt;'EDT Y TAREAS'!AL22),'EDT Y TAREAS'!AH22/'EDT Y TAREAS'!M22,0),IF(AND(253&gt;='EDT Y TAREAS'!AK23,253&lt;'EDT Y TAREAS'!AL23),'EDT Y TAREAS'!AH23/'EDT Y TAREAS'!M23,0),IF(AND(253&gt;='EDT Y TAREAS'!AK29,253&lt;'EDT Y TAREAS'!AL29),'EDT Y TAREAS'!AH29/'EDT Y TAREAS'!M29,0),IF(AND(253&gt;='EDT Y TAREAS'!AK30,253&lt;'EDT Y TAREAS'!AL30),'EDT Y TAREAS'!AH30/'EDT Y TAREAS'!M30,0),IF(AND(253&gt;='EDT Y TAREAS'!AK32,253&lt;'EDT Y TAREAS'!AL32),'EDT Y TAREAS'!AH32/'EDT Y TAREAS'!M32,0),IF(AND(253&gt;='EDT Y TAREAS'!AK41,253&lt;'EDT Y TAREAS'!AL41),'EDT Y TAREAS'!AH41/'EDT Y TAREAS'!M41,0),IF(AND(253&gt;='EDT Y TAREAS'!AK44,253&lt;'EDT Y TAREAS'!AL44),'EDT Y TAREAS'!AH44/'EDT Y TAREAS'!M44,0),IF(AND(253&gt;='EDT Y TAREAS'!AK46,253&lt;'EDT Y TAREAS'!AL46),'EDT Y TAREAS'!AH46/'EDT Y TAREAS'!M46,0),IF(AND(253&gt;='EDT Y TAREAS'!AK48,253&lt;'EDT Y TAREAS'!AL48),'EDT Y TAREAS'!AH48/'EDT Y TAREAS'!M48,0))</x:f>
        <x:v>0</x:v>
      </x:c>
      <x:c r="G293" s="35" t="n">
        <x:f>SUM(IF(AND(253&gt;='EDT Y TAREAS'!AK20,253&lt;'EDT Y TAREAS'!AL20),'EDT Y TAREAS'!AI20/'EDT Y TAREAS'!M20,0),IF(AND(253&gt;='EDT Y TAREAS'!AK25,253&lt;'EDT Y TAREAS'!AL25),'EDT Y TAREAS'!AI25/'EDT Y TAREAS'!M25,0),IF(AND(253&gt;='EDT Y TAREAS'!AK33,253&lt;'EDT Y TAREAS'!AL33),'EDT Y TAREAS'!AI33/'EDT Y TAREAS'!M33,0),IF(AND(253&gt;='EDT Y TAREAS'!AK34,253&lt;'EDT Y TAREAS'!AL34),'EDT Y TAREAS'!AI34/'EDT Y TAREAS'!M34,0),IF(AND(253&gt;='EDT Y TAREAS'!AK36,253&lt;'EDT Y TAREAS'!AL36),'EDT Y TAREAS'!AI36/'EDT Y TAREAS'!M36,0),IF(AND(253&gt;='EDT Y TAREAS'!AK39,253&lt;'EDT Y TAREAS'!AL39),'EDT Y TAREAS'!AI39/'EDT Y TAREAS'!M39,0),IF(AND(253&gt;='EDT Y TAREAS'!AK40,253&lt;'EDT Y TAREAS'!AL40),'EDT Y TAREAS'!AI40/'EDT Y TAREAS'!M40,0),IF(AND(253&gt;='EDT Y TAREAS'!AK42,253&lt;'EDT Y TAREAS'!AL42),'EDT Y TAREAS'!AI42/'EDT Y TAREAS'!M42,0),IF(AND(253&gt;='EDT Y TAREAS'!AK43,253&lt;'EDT Y TAREAS'!AL43),'EDT Y TAREAS'!AI43/'EDT Y TAREAS'!M43,0),IF(AND(253&gt;='EDT Y TAREAS'!AK44,253&lt;'EDT Y TAREAS'!AL44),'EDT Y TAREAS'!AI44/'EDT Y TAREAS'!M44,0),IF(AND(253&gt;='EDT Y TAREAS'!AK45,253&lt;'EDT Y TAREAS'!AL45),'EDT Y TAREAS'!AI45/'EDT Y TAREAS'!M45,0),IF(AND(253&gt;='EDT Y TAREAS'!AK46,253&lt;'EDT Y TAREAS'!AL46),'EDT Y TAREAS'!AI46/'EDT Y TAREAS'!M46,0),IF(AND(253&gt;='EDT Y TAREAS'!AK48,253&lt;'EDT Y TAREAS'!AL48),'EDT Y TAREAS'!AI48/'EDT Y TAREAS'!M48,0),IF(AND(253&gt;='EDT Y TAREAS'!AK50,253&lt;'EDT Y TAREAS'!AL50),'EDT Y TAREAS'!AI50/'EDT Y TAREAS'!M50,0),IF(AND(253&gt;='EDT Y TAREAS'!AK52,253&lt;'EDT Y TAREAS'!AL52),'EDT Y TAREAS'!AI52/'EDT Y TAREAS'!M52,0))</x:f>
        <x:v>0</x:v>
      </x:c>
      <x:c r="H293" s="35" t="n">
        <x:f>SUM(IF(AND(253&gt;='EDT Y TAREAS'!AK11,253&lt;'EDT Y TAREAS'!AL11),'EDT Y TAREAS'!AJ11/'EDT Y TAREAS'!M11,0),IF(AND(253&gt;='EDT Y TAREAS'!AK24,253&lt;'EDT Y TAREAS'!AL24),'EDT Y TAREAS'!AJ24/'EDT Y TAREAS'!M24,0),IF(AND(253&gt;='EDT Y TAREAS'!AK27,253&lt;'EDT Y TAREAS'!AL27),'EDT Y TAREAS'!AJ27/'EDT Y TAREAS'!M27,0),IF(AND(253&gt;='EDT Y TAREAS'!AK28,253&lt;'EDT Y TAREAS'!AL28),'EDT Y TAREAS'!AJ28/'EDT Y TAREAS'!M28,0),IF(AND(253&gt;='EDT Y TAREAS'!AK33,253&lt;'EDT Y TAREAS'!AL33),'EDT Y TAREAS'!AJ33/'EDT Y TAREAS'!M33,0),IF(AND(253&gt;='EDT Y TAREAS'!AK35,253&lt;'EDT Y TAREAS'!AL35),'EDT Y TAREAS'!AJ35/'EDT Y TAREAS'!M35,0),IF(AND(253&gt;='EDT Y TAREAS'!AK36,253&lt;'EDT Y TAREAS'!AL36),'EDT Y TAREAS'!AJ36/'EDT Y TAREAS'!M36,0),IF(AND(253&gt;='EDT Y TAREAS'!AK37,253&lt;'EDT Y TAREAS'!AL37),'EDT Y TAREAS'!AJ37/'EDT Y TAREAS'!M37,0),IF(AND(253&gt;='EDT Y TAREAS'!AK40,253&lt;'EDT Y TAREAS'!AL40),'EDT Y TAREAS'!AJ40/'EDT Y TAREAS'!M40,0),IF(AND(253&gt;='EDT Y TAREAS'!AK42,253&lt;'EDT Y TAREAS'!AL42),'EDT Y TAREAS'!AJ42/'EDT Y TAREAS'!M42,0),IF(AND(253&gt;='EDT Y TAREAS'!AK49,253&lt;'EDT Y TAREAS'!AL49),'EDT Y TAREAS'!AJ49/'EDT Y TAREAS'!M49,0),IF(AND(253&gt;='EDT Y TAREAS'!AK50,253&lt;'EDT Y TAREAS'!AL50),'EDT Y TAREAS'!AJ50/'EDT Y TAREAS'!M50,0),IF(AND(253&gt;='EDT Y TAREAS'!AK51,253&lt;'EDT Y TAREAS'!AL51),'EDT Y TAREAS'!AJ51/'EDT Y TAREAS'!M51,0),IF(AND(253&gt;='EDT Y TAREAS'!AK52,253&lt;'EDT Y TAREAS'!AL52),'EDT Y TAREAS'!AJ52/'EDT Y TAREAS'!M52,0))</x:f>
        <x:v>0</x:v>
      </x:c>
      <x:c r="I293" s="10" t="n">
        <x:f>WORKDAY('RESUMEN'!$D$3-1,A293,'RESUMEN'!$J$6:$J$25)</x:f>
        <x:v>46681</x:v>
      </x:c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/>
      <x:c r="AG293" s="3"/>
      <x:c r="AH293" s="3"/>
      <x:c r="AI293" s="3"/>
      <x:c r="AJ293" s="3"/>
      <x:c r="AK293" s="3"/>
      <x:c r="AL293" s="3"/>
      <x:c r="AM293" s="3"/>
      <x:c r="AN293" s="3"/>
      <x:c r="AO293" s="3"/>
    </x:row>
    <x:row r="294" ht="24" customHeight="1">
      <x:c r="A294" s="3" t="n">
        <x:v>255</x:v>
      </x:c>
      <x:c r="B294" s="35" t="n">
        <x:f>SUM(IF(AND(254&gt;='EDT Y TAREAS'!AK6,254&lt;'EDT Y TAREAS'!AL6),'EDT Y TAREAS'!AD6/'EDT Y TAREAS'!M6,0),IF(AND(254&gt;='EDT Y TAREAS'!AK7,254&lt;'EDT Y TAREAS'!AL7),'EDT Y TAREAS'!AD7/'EDT Y TAREAS'!M7,0),IF(AND(254&gt;='EDT Y TAREAS'!AK8,254&lt;'EDT Y TAREAS'!AL8),'EDT Y TAREAS'!AD8/'EDT Y TAREAS'!M8,0),IF(AND(254&gt;='EDT Y TAREAS'!AK9,254&lt;'EDT Y TAREAS'!AL9),'EDT Y TAREAS'!AD9/'EDT Y TAREAS'!M9,0),IF(AND(254&gt;='EDT Y TAREAS'!AK10,254&lt;'EDT Y TAREAS'!AL10),'EDT Y TAREAS'!AD10/'EDT Y TAREAS'!M10,0),IF(AND(254&gt;='EDT Y TAREAS'!AK11,254&lt;'EDT Y TAREAS'!AL11),'EDT Y TAREAS'!AD11/'EDT Y TAREAS'!M11,0),IF(AND(254&gt;='EDT Y TAREAS'!AK12,254&lt;'EDT Y TAREAS'!AL12),'EDT Y TAREAS'!AD12/'EDT Y TAREAS'!M12,0),IF(AND(254&gt;='EDT Y TAREAS'!AK13,254&lt;'EDT Y TAREAS'!AL13),'EDT Y TAREAS'!AD13/'EDT Y TAREAS'!M13,0),IF(AND(254&gt;='EDT Y TAREAS'!AK14,254&lt;'EDT Y TAREAS'!AL14),'EDT Y TAREAS'!AD14/'EDT Y TAREAS'!M14,0),IF(AND(254&gt;='EDT Y TAREAS'!AK15,254&lt;'EDT Y TAREAS'!AL15),'EDT Y TAREAS'!AD15/'EDT Y TAREAS'!M15,0),IF(AND(254&gt;='EDT Y TAREAS'!AK16,254&lt;'EDT Y TAREAS'!AL16),'EDT Y TAREAS'!AD16/'EDT Y TAREAS'!M16,0),IF(AND(254&gt;='EDT Y TAREAS'!AK17,254&lt;'EDT Y TAREAS'!AL17),'EDT Y TAREAS'!AD17/'EDT Y TAREAS'!M17,0),IF(AND(254&gt;='EDT Y TAREAS'!AK18,254&lt;'EDT Y TAREAS'!AL18),'EDT Y TAREAS'!AD18/'EDT Y TAREAS'!M18,0),IF(AND(254&gt;='EDT Y TAREAS'!AK19,254&lt;'EDT Y TAREAS'!AL19),'EDT Y TAREAS'!AD19/'EDT Y TAREAS'!M19,0),IF(AND(254&gt;='EDT Y TAREAS'!AK20,254&lt;'EDT Y TAREAS'!AL20),'EDT Y TAREAS'!AD20/'EDT Y TAREAS'!M20,0),IF(AND(254&gt;='EDT Y TAREAS'!AK21,254&lt;'EDT Y TAREAS'!AL21),'EDT Y TAREAS'!AD21/'EDT Y TAREAS'!M21,0),IF(AND(254&gt;='EDT Y TAREAS'!AK22,254&lt;'EDT Y TAREAS'!AL22),'EDT Y TAREAS'!AD22/'EDT Y TAREAS'!M22,0),IF(AND(254&gt;='EDT Y TAREAS'!AK23,254&lt;'EDT Y TAREAS'!AL23),'EDT Y TAREAS'!AD23/'EDT Y TAREAS'!M23,0),IF(AND(254&gt;='EDT Y TAREAS'!AK26,254&lt;'EDT Y TAREAS'!AL26),'EDT Y TAREAS'!AD26/'EDT Y TAREAS'!M26,0),IF(AND(254&gt;='EDT Y TAREAS'!AK28,254&lt;'EDT Y TAREAS'!AL28),'EDT Y TAREAS'!AD28/'EDT Y TAREAS'!M28,0),IF(AND(254&gt;='EDT Y TAREAS'!AK30,254&lt;'EDT Y TAREAS'!AL30),'EDT Y TAREAS'!AD30/'EDT Y TAREAS'!M30,0),IF(AND(254&gt;='EDT Y TAREAS'!AK32,254&lt;'EDT Y TAREAS'!AL32),'EDT Y TAREAS'!AD32/'EDT Y TAREAS'!M32,0),IF(AND(254&gt;='EDT Y TAREAS'!AK34,254&lt;'EDT Y TAREAS'!AL34),'EDT Y TAREAS'!AD34/'EDT Y TAREAS'!M34,0),IF(AND(254&gt;='EDT Y TAREAS'!AK38,254&lt;'EDT Y TAREAS'!AL38),'EDT Y TAREAS'!AD38/'EDT Y TAREAS'!M38,0),IF(AND(254&gt;='EDT Y TAREAS'!AK39,254&lt;'EDT Y TAREAS'!AL39),'EDT Y TAREAS'!AD39/'EDT Y TAREAS'!M39,0),IF(AND(254&gt;='EDT Y TAREAS'!AK43,254&lt;'EDT Y TAREAS'!AL43),'EDT Y TAREAS'!AD43/'EDT Y TAREAS'!M43,0),IF(AND(254&gt;='EDT Y TAREAS'!AK44,254&lt;'EDT Y TAREAS'!AL44),'EDT Y TAREAS'!AD44/'EDT Y TAREAS'!M44,0),IF(AND(254&gt;='EDT Y TAREAS'!AK45,254&lt;'EDT Y TAREAS'!AL45),'EDT Y TAREAS'!AD45/'EDT Y TAREAS'!M45,0),IF(AND(254&gt;='EDT Y TAREAS'!AK46,254&lt;'EDT Y TAREAS'!AL46),'EDT Y TAREAS'!AD46/'EDT Y TAREAS'!M46,0),IF(AND(254&gt;='EDT Y TAREAS'!AK47,254&lt;'EDT Y TAREAS'!AL47),'EDT Y TAREAS'!AD47/'EDT Y TAREAS'!M47,0),IF(AND(254&gt;='EDT Y TAREAS'!AK49,254&lt;'EDT Y TAREAS'!AL49),'EDT Y TAREAS'!AD49/'EDT Y TAREAS'!M49,0),IF(AND(254&gt;='EDT Y TAREAS'!AK50,254&lt;'EDT Y TAREAS'!AL50),'EDT Y TAREAS'!AD50/'EDT Y TAREAS'!M50,0),IF(AND(254&gt;='EDT Y TAREAS'!AK51,254&lt;'EDT Y TAREAS'!AL51),'EDT Y TAREAS'!AD51/'EDT Y TAREAS'!M51,0),IF(AND(254&gt;='EDT Y TAREAS'!AK52,254&lt;'EDT Y TAREAS'!AL52),'EDT Y TAREAS'!AD52/'EDT Y TAREAS'!M52,0))</x:f>
        <x:v>0</x:v>
      </x:c>
      <x:c r="C294" s="35" t="n">
        <x:f>SUM(IF(AND(254&gt;='EDT Y TAREAS'!AK6,254&lt;'EDT Y TAREAS'!AL6),'EDT Y TAREAS'!AE6/'EDT Y TAREAS'!M6,0),IF(AND(254&gt;='EDT Y TAREAS'!AK8,254&lt;'EDT Y TAREAS'!AL8),'EDT Y TAREAS'!AE8/'EDT Y TAREAS'!M8,0),IF(AND(254&gt;='EDT Y TAREAS'!AK9,254&lt;'EDT Y TAREAS'!AL9),'EDT Y TAREAS'!AE9/'EDT Y TAREAS'!M9,0),IF(AND(254&gt;='EDT Y TAREAS'!AK10,254&lt;'EDT Y TAREAS'!AL10),'EDT Y TAREAS'!AE10/'EDT Y TAREAS'!M10,0),IF(AND(254&gt;='EDT Y TAREAS'!AK12,254&lt;'EDT Y TAREAS'!AL12),'EDT Y TAREAS'!AE12/'EDT Y TAREAS'!M12,0),IF(AND(254&gt;='EDT Y TAREAS'!AK16,254&lt;'EDT Y TAREAS'!AL16),'EDT Y TAREAS'!AE16/'EDT Y TAREAS'!M16,0),IF(AND(254&gt;='EDT Y TAREAS'!AK21,254&lt;'EDT Y TAREAS'!AL21),'EDT Y TAREAS'!AE21/'EDT Y TAREAS'!M21,0),IF(AND(254&gt;='EDT Y TAREAS'!AK23,254&lt;'EDT Y TAREAS'!AL23),'EDT Y TAREAS'!AE23/'EDT Y TAREAS'!M23,0),IF(AND(254&gt;='EDT Y TAREAS'!AK37,254&lt;'EDT Y TAREAS'!AL37),'EDT Y TAREAS'!AE37/'EDT Y TAREAS'!M37,0),IF(AND(254&gt;='EDT Y TAREAS'!AK38,254&lt;'EDT Y TAREAS'!AL38),'EDT Y TAREAS'!AE38/'EDT Y TAREAS'!M38,0),IF(AND(254&gt;='EDT Y TAREAS'!AK41,254&lt;'EDT Y TAREAS'!AL41),'EDT Y TAREAS'!AE41/'EDT Y TAREAS'!M41,0),IF(AND(254&gt;='EDT Y TAREAS'!AK43,254&lt;'EDT Y TAREAS'!AL43),'EDT Y TAREAS'!AE43/'EDT Y TAREAS'!M43,0),IF(AND(254&gt;='EDT Y TAREAS'!AK44,254&lt;'EDT Y TAREAS'!AL44),'EDT Y TAREAS'!AE44/'EDT Y TAREAS'!M44,0),IF(AND(254&gt;='EDT Y TAREAS'!AK46,254&lt;'EDT Y TAREAS'!AL46),'EDT Y TAREAS'!AE46/'EDT Y TAREAS'!M46,0),IF(AND(254&gt;='EDT Y TAREAS'!AK47,254&lt;'EDT Y TAREAS'!AL47),'EDT Y TAREAS'!AE47/'EDT Y TAREAS'!M47,0),IF(AND(254&gt;='EDT Y TAREAS'!AK51,254&lt;'EDT Y TAREAS'!AL51),'EDT Y TAREAS'!AE51/'EDT Y TAREAS'!M51,0),IF(AND(254&gt;='EDT Y TAREAS'!AK52,254&lt;'EDT Y TAREAS'!AL52),'EDT Y TAREAS'!AE52/'EDT Y TAREAS'!M52,0))</x:f>
        <x:v>0</x:v>
      </x:c>
      <x:c r="D294" s="35" t="n">
        <x:f>SUM(IF(AND(254&gt;='EDT Y TAREAS'!AK11,254&lt;'EDT Y TAREAS'!AL11),'EDT Y TAREAS'!AF11/'EDT Y TAREAS'!M11,0),IF(AND(254&gt;='EDT Y TAREAS'!AK24,254&lt;'EDT Y TAREAS'!AL24),'EDT Y TAREAS'!AF24/'EDT Y TAREAS'!M24,0),IF(AND(254&gt;='EDT Y TAREAS'!AK25,254&lt;'EDT Y TAREAS'!AL25),'EDT Y TAREAS'!AF25/'EDT Y TAREAS'!M25,0),IF(AND(254&gt;='EDT Y TAREAS'!AK26,254&lt;'EDT Y TAREAS'!AL26),'EDT Y TAREAS'!AF26/'EDT Y TAREAS'!M26,0),IF(AND(254&gt;='EDT Y TAREAS'!AK27,254&lt;'EDT Y TAREAS'!AL27),'EDT Y TAREAS'!AF27/'EDT Y TAREAS'!M27,0),IF(AND(254&gt;='EDT Y TAREAS'!AK28,254&lt;'EDT Y TAREAS'!AL28),'EDT Y TAREAS'!AF28/'EDT Y TAREAS'!M28,0),IF(AND(254&gt;='EDT Y TAREAS'!AK31,254&lt;'EDT Y TAREAS'!AL31),'EDT Y TAREAS'!AF31/'EDT Y TAREAS'!M31,0),IF(AND(254&gt;='EDT Y TAREAS'!AK33,254&lt;'EDT Y TAREAS'!AL33),'EDT Y TAREAS'!AF33/'EDT Y TAREAS'!M33,0),IF(AND(254&gt;='EDT Y TAREAS'!AK34,254&lt;'EDT Y TAREAS'!AL34),'EDT Y TAREAS'!AF34/'EDT Y TAREAS'!M34,0),IF(AND(254&gt;='EDT Y TAREAS'!AK35,254&lt;'EDT Y TAREAS'!AL35),'EDT Y TAREAS'!AF35/'EDT Y TAREAS'!M35,0),IF(AND(254&gt;='EDT Y TAREAS'!AK37,254&lt;'EDT Y TAREAS'!AL37),'EDT Y TAREAS'!AF37/'EDT Y TAREAS'!M37,0),IF(AND(254&gt;='EDT Y TAREAS'!AK39,254&lt;'EDT Y TAREAS'!AL39),'EDT Y TAREAS'!AF39/'EDT Y TAREAS'!M39,0),IF(AND(254&gt;='EDT Y TAREAS'!AK40,254&lt;'EDT Y TAREAS'!AL40),'EDT Y TAREAS'!AF40/'EDT Y TAREAS'!M40,0),IF(AND(254&gt;='EDT Y TAREAS'!AK42,254&lt;'EDT Y TAREAS'!AL42),'EDT Y TAREAS'!AF42/'EDT Y TAREAS'!M42,0),IF(AND(254&gt;='EDT Y TAREAS'!AK45,254&lt;'EDT Y TAREAS'!AL45),'EDT Y TAREAS'!AF45/'EDT Y TAREAS'!M45,0),IF(AND(254&gt;='EDT Y TAREAS'!AK49,254&lt;'EDT Y TAREAS'!AL49),'EDT Y TAREAS'!AF49/'EDT Y TAREAS'!M49,0),IF(AND(254&gt;='EDT Y TAREAS'!AK52,254&lt;'EDT Y TAREAS'!AL52),'EDT Y TAREAS'!AF52/'EDT Y TAREAS'!M52,0))</x:f>
        <x:v>0</x:v>
      </x:c>
      <x:c r="E294" s="35" t="n">
        <x:f>SUM(IF(AND(254&gt;='EDT Y TAREAS'!AK29,254&lt;'EDT Y TAREAS'!AL29),'EDT Y TAREAS'!AG29/'EDT Y TAREAS'!M29,0),IF(AND(254&gt;='EDT Y TAREAS'!AK30,254&lt;'EDT Y TAREAS'!AL30),'EDT Y TAREAS'!AG30/'EDT Y TAREAS'!M30,0),IF(AND(254&gt;='EDT Y TAREAS'!AK31,254&lt;'EDT Y TAREAS'!AL31),'EDT Y TAREAS'!AG31/'EDT Y TAREAS'!M31,0),IF(AND(254&gt;='EDT Y TAREAS'!AK32,254&lt;'EDT Y TAREAS'!AL32),'EDT Y TAREAS'!AG32/'EDT Y TAREAS'!M32,0),IF(AND(254&gt;='EDT Y TAREAS'!AK41,254&lt;'EDT Y TAREAS'!AL41),'EDT Y TAREAS'!AG41/'EDT Y TAREAS'!M41,0),IF(AND(254&gt;='EDT Y TAREAS'!AK45,254&lt;'EDT Y TAREAS'!AL45),'EDT Y TAREAS'!AG45/'EDT Y TAREAS'!M45,0),IF(AND(254&gt;='EDT Y TAREAS'!AK48,254&lt;'EDT Y TAREAS'!AL48),'EDT Y TAREAS'!AG48/'EDT Y TAREAS'!M48,0))</x:f>
        <x:v>0</x:v>
      </x:c>
      <x:c r="F294" s="35" t="n">
        <x:f>SUM(IF(AND(254&gt;='EDT Y TAREAS'!AK10,254&lt;'EDT Y TAREAS'!AL10),'EDT Y TAREAS'!AH10/'EDT Y TAREAS'!M10,0),IF(AND(254&gt;='EDT Y TAREAS'!AK12,254&lt;'EDT Y TAREAS'!AL12),'EDT Y TAREAS'!AH12/'EDT Y TAREAS'!M12,0),IF(AND(254&gt;='EDT Y TAREAS'!AK22,254&lt;'EDT Y TAREAS'!AL22),'EDT Y TAREAS'!AH22/'EDT Y TAREAS'!M22,0),IF(AND(254&gt;='EDT Y TAREAS'!AK23,254&lt;'EDT Y TAREAS'!AL23),'EDT Y TAREAS'!AH23/'EDT Y TAREAS'!M23,0),IF(AND(254&gt;='EDT Y TAREAS'!AK29,254&lt;'EDT Y TAREAS'!AL29),'EDT Y TAREAS'!AH29/'EDT Y TAREAS'!M29,0),IF(AND(254&gt;='EDT Y TAREAS'!AK30,254&lt;'EDT Y TAREAS'!AL30),'EDT Y TAREAS'!AH30/'EDT Y TAREAS'!M30,0),IF(AND(254&gt;='EDT Y TAREAS'!AK32,254&lt;'EDT Y TAREAS'!AL32),'EDT Y TAREAS'!AH32/'EDT Y TAREAS'!M32,0),IF(AND(254&gt;='EDT Y TAREAS'!AK41,254&lt;'EDT Y TAREAS'!AL41),'EDT Y TAREAS'!AH41/'EDT Y TAREAS'!M41,0),IF(AND(254&gt;='EDT Y TAREAS'!AK44,254&lt;'EDT Y TAREAS'!AL44),'EDT Y TAREAS'!AH44/'EDT Y TAREAS'!M44,0),IF(AND(254&gt;='EDT Y TAREAS'!AK46,254&lt;'EDT Y TAREAS'!AL46),'EDT Y TAREAS'!AH46/'EDT Y TAREAS'!M46,0),IF(AND(254&gt;='EDT Y TAREAS'!AK48,254&lt;'EDT Y TAREAS'!AL48),'EDT Y TAREAS'!AH48/'EDT Y TAREAS'!M48,0))</x:f>
        <x:v>0</x:v>
      </x:c>
      <x:c r="G294" s="35" t="n">
        <x:f>SUM(IF(AND(254&gt;='EDT Y TAREAS'!AK20,254&lt;'EDT Y TAREAS'!AL20),'EDT Y TAREAS'!AI20/'EDT Y TAREAS'!M20,0),IF(AND(254&gt;='EDT Y TAREAS'!AK25,254&lt;'EDT Y TAREAS'!AL25),'EDT Y TAREAS'!AI25/'EDT Y TAREAS'!M25,0),IF(AND(254&gt;='EDT Y TAREAS'!AK33,254&lt;'EDT Y TAREAS'!AL33),'EDT Y TAREAS'!AI33/'EDT Y TAREAS'!M33,0),IF(AND(254&gt;='EDT Y TAREAS'!AK34,254&lt;'EDT Y TAREAS'!AL34),'EDT Y TAREAS'!AI34/'EDT Y TAREAS'!M34,0),IF(AND(254&gt;='EDT Y TAREAS'!AK36,254&lt;'EDT Y TAREAS'!AL36),'EDT Y TAREAS'!AI36/'EDT Y TAREAS'!M36,0),IF(AND(254&gt;='EDT Y TAREAS'!AK39,254&lt;'EDT Y TAREAS'!AL39),'EDT Y TAREAS'!AI39/'EDT Y TAREAS'!M39,0),IF(AND(254&gt;='EDT Y TAREAS'!AK40,254&lt;'EDT Y TAREAS'!AL40),'EDT Y TAREAS'!AI40/'EDT Y TAREAS'!M40,0),IF(AND(254&gt;='EDT Y TAREAS'!AK42,254&lt;'EDT Y TAREAS'!AL42),'EDT Y TAREAS'!AI42/'EDT Y TAREAS'!M42,0),IF(AND(254&gt;='EDT Y TAREAS'!AK43,254&lt;'EDT Y TAREAS'!AL43),'EDT Y TAREAS'!AI43/'EDT Y TAREAS'!M43,0),IF(AND(254&gt;='EDT Y TAREAS'!AK44,254&lt;'EDT Y TAREAS'!AL44),'EDT Y TAREAS'!AI44/'EDT Y TAREAS'!M44,0),IF(AND(254&gt;='EDT Y TAREAS'!AK45,254&lt;'EDT Y TAREAS'!AL45),'EDT Y TAREAS'!AI45/'EDT Y TAREAS'!M45,0),IF(AND(254&gt;='EDT Y TAREAS'!AK46,254&lt;'EDT Y TAREAS'!AL46),'EDT Y TAREAS'!AI46/'EDT Y TAREAS'!M46,0),IF(AND(254&gt;='EDT Y TAREAS'!AK48,254&lt;'EDT Y TAREAS'!AL48),'EDT Y TAREAS'!AI48/'EDT Y TAREAS'!M48,0),IF(AND(254&gt;='EDT Y TAREAS'!AK50,254&lt;'EDT Y TAREAS'!AL50),'EDT Y TAREAS'!AI50/'EDT Y TAREAS'!M50,0),IF(AND(254&gt;='EDT Y TAREAS'!AK52,254&lt;'EDT Y TAREAS'!AL52),'EDT Y TAREAS'!AI52/'EDT Y TAREAS'!M52,0))</x:f>
        <x:v>0</x:v>
      </x:c>
      <x:c r="H294" s="35" t="n">
        <x:f>SUM(IF(AND(254&gt;='EDT Y TAREAS'!AK11,254&lt;'EDT Y TAREAS'!AL11),'EDT Y TAREAS'!AJ11/'EDT Y TAREAS'!M11,0),IF(AND(254&gt;='EDT Y TAREAS'!AK24,254&lt;'EDT Y TAREAS'!AL24),'EDT Y TAREAS'!AJ24/'EDT Y TAREAS'!M24,0),IF(AND(254&gt;='EDT Y TAREAS'!AK27,254&lt;'EDT Y TAREAS'!AL27),'EDT Y TAREAS'!AJ27/'EDT Y TAREAS'!M27,0),IF(AND(254&gt;='EDT Y TAREAS'!AK28,254&lt;'EDT Y TAREAS'!AL28),'EDT Y TAREAS'!AJ28/'EDT Y TAREAS'!M28,0),IF(AND(254&gt;='EDT Y TAREAS'!AK33,254&lt;'EDT Y TAREAS'!AL33),'EDT Y TAREAS'!AJ33/'EDT Y TAREAS'!M33,0),IF(AND(254&gt;='EDT Y TAREAS'!AK35,254&lt;'EDT Y TAREAS'!AL35),'EDT Y TAREAS'!AJ35/'EDT Y TAREAS'!M35,0),IF(AND(254&gt;='EDT Y TAREAS'!AK36,254&lt;'EDT Y TAREAS'!AL36),'EDT Y TAREAS'!AJ36/'EDT Y TAREAS'!M36,0),IF(AND(254&gt;='EDT Y TAREAS'!AK37,254&lt;'EDT Y TAREAS'!AL37),'EDT Y TAREAS'!AJ37/'EDT Y TAREAS'!M37,0),IF(AND(254&gt;='EDT Y TAREAS'!AK40,254&lt;'EDT Y TAREAS'!AL40),'EDT Y TAREAS'!AJ40/'EDT Y TAREAS'!M40,0),IF(AND(254&gt;='EDT Y TAREAS'!AK42,254&lt;'EDT Y TAREAS'!AL42),'EDT Y TAREAS'!AJ42/'EDT Y TAREAS'!M42,0),IF(AND(254&gt;='EDT Y TAREAS'!AK49,254&lt;'EDT Y TAREAS'!AL49),'EDT Y TAREAS'!AJ49/'EDT Y TAREAS'!M49,0),IF(AND(254&gt;='EDT Y TAREAS'!AK50,254&lt;'EDT Y TAREAS'!AL50),'EDT Y TAREAS'!AJ50/'EDT Y TAREAS'!M50,0),IF(AND(254&gt;='EDT Y TAREAS'!AK51,254&lt;'EDT Y TAREAS'!AL51),'EDT Y TAREAS'!AJ51/'EDT Y TAREAS'!M51,0),IF(AND(254&gt;='EDT Y TAREAS'!AK52,254&lt;'EDT Y TAREAS'!AL52),'EDT Y TAREAS'!AJ52/'EDT Y TAREAS'!M52,0))</x:f>
        <x:v>0</x:v>
      </x:c>
      <x:c r="I294" s="10" t="n">
        <x:f>WORKDAY('RESUMEN'!$D$3-1,A294,'RESUMEN'!$J$6:$J$25)</x:f>
        <x:v>46682</x:v>
      </x:c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/>
      <x:c r="AG294" s="3"/>
      <x:c r="AH294" s="3"/>
      <x:c r="AI294" s="3"/>
      <x:c r="AJ294" s="3"/>
      <x:c r="AK294" s="3"/>
      <x:c r="AL294" s="3"/>
      <x:c r="AM294" s="3"/>
      <x:c r="AN294" s="3"/>
      <x:c r="AO294" s="3"/>
    </x:row>
    <x:row r="295" ht="24" customHeight="1">
      <x:c r="A295" s="3" t="n">
        <x:v>256</x:v>
      </x:c>
      <x:c r="B295" s="35" t="n">
        <x:f>SUM(IF(AND(255&gt;='EDT Y TAREAS'!AK6,255&lt;'EDT Y TAREAS'!AL6),'EDT Y TAREAS'!AD6/'EDT Y TAREAS'!M6,0),IF(AND(255&gt;='EDT Y TAREAS'!AK7,255&lt;'EDT Y TAREAS'!AL7),'EDT Y TAREAS'!AD7/'EDT Y TAREAS'!M7,0),IF(AND(255&gt;='EDT Y TAREAS'!AK8,255&lt;'EDT Y TAREAS'!AL8),'EDT Y TAREAS'!AD8/'EDT Y TAREAS'!M8,0),IF(AND(255&gt;='EDT Y TAREAS'!AK9,255&lt;'EDT Y TAREAS'!AL9),'EDT Y TAREAS'!AD9/'EDT Y TAREAS'!M9,0),IF(AND(255&gt;='EDT Y TAREAS'!AK10,255&lt;'EDT Y TAREAS'!AL10),'EDT Y TAREAS'!AD10/'EDT Y TAREAS'!M10,0),IF(AND(255&gt;='EDT Y TAREAS'!AK11,255&lt;'EDT Y TAREAS'!AL11),'EDT Y TAREAS'!AD11/'EDT Y TAREAS'!M11,0),IF(AND(255&gt;='EDT Y TAREAS'!AK12,255&lt;'EDT Y TAREAS'!AL12),'EDT Y TAREAS'!AD12/'EDT Y TAREAS'!M12,0),IF(AND(255&gt;='EDT Y TAREAS'!AK13,255&lt;'EDT Y TAREAS'!AL13),'EDT Y TAREAS'!AD13/'EDT Y TAREAS'!M13,0),IF(AND(255&gt;='EDT Y TAREAS'!AK14,255&lt;'EDT Y TAREAS'!AL14),'EDT Y TAREAS'!AD14/'EDT Y TAREAS'!M14,0),IF(AND(255&gt;='EDT Y TAREAS'!AK15,255&lt;'EDT Y TAREAS'!AL15),'EDT Y TAREAS'!AD15/'EDT Y TAREAS'!M15,0),IF(AND(255&gt;='EDT Y TAREAS'!AK16,255&lt;'EDT Y TAREAS'!AL16),'EDT Y TAREAS'!AD16/'EDT Y TAREAS'!M16,0),IF(AND(255&gt;='EDT Y TAREAS'!AK17,255&lt;'EDT Y TAREAS'!AL17),'EDT Y TAREAS'!AD17/'EDT Y TAREAS'!M17,0),IF(AND(255&gt;='EDT Y TAREAS'!AK18,255&lt;'EDT Y TAREAS'!AL18),'EDT Y TAREAS'!AD18/'EDT Y TAREAS'!M18,0),IF(AND(255&gt;='EDT Y TAREAS'!AK19,255&lt;'EDT Y TAREAS'!AL19),'EDT Y TAREAS'!AD19/'EDT Y TAREAS'!M19,0),IF(AND(255&gt;='EDT Y TAREAS'!AK20,255&lt;'EDT Y TAREAS'!AL20),'EDT Y TAREAS'!AD20/'EDT Y TAREAS'!M20,0),IF(AND(255&gt;='EDT Y TAREAS'!AK21,255&lt;'EDT Y TAREAS'!AL21),'EDT Y TAREAS'!AD21/'EDT Y TAREAS'!M21,0),IF(AND(255&gt;='EDT Y TAREAS'!AK22,255&lt;'EDT Y TAREAS'!AL22),'EDT Y TAREAS'!AD22/'EDT Y TAREAS'!M22,0),IF(AND(255&gt;='EDT Y TAREAS'!AK23,255&lt;'EDT Y TAREAS'!AL23),'EDT Y TAREAS'!AD23/'EDT Y TAREAS'!M23,0),IF(AND(255&gt;='EDT Y TAREAS'!AK26,255&lt;'EDT Y TAREAS'!AL26),'EDT Y TAREAS'!AD26/'EDT Y TAREAS'!M26,0),IF(AND(255&gt;='EDT Y TAREAS'!AK28,255&lt;'EDT Y TAREAS'!AL28),'EDT Y TAREAS'!AD28/'EDT Y TAREAS'!M28,0),IF(AND(255&gt;='EDT Y TAREAS'!AK30,255&lt;'EDT Y TAREAS'!AL30),'EDT Y TAREAS'!AD30/'EDT Y TAREAS'!M30,0),IF(AND(255&gt;='EDT Y TAREAS'!AK32,255&lt;'EDT Y TAREAS'!AL32),'EDT Y TAREAS'!AD32/'EDT Y TAREAS'!M32,0),IF(AND(255&gt;='EDT Y TAREAS'!AK34,255&lt;'EDT Y TAREAS'!AL34),'EDT Y TAREAS'!AD34/'EDT Y TAREAS'!M34,0),IF(AND(255&gt;='EDT Y TAREAS'!AK38,255&lt;'EDT Y TAREAS'!AL38),'EDT Y TAREAS'!AD38/'EDT Y TAREAS'!M38,0),IF(AND(255&gt;='EDT Y TAREAS'!AK39,255&lt;'EDT Y TAREAS'!AL39),'EDT Y TAREAS'!AD39/'EDT Y TAREAS'!M39,0),IF(AND(255&gt;='EDT Y TAREAS'!AK43,255&lt;'EDT Y TAREAS'!AL43),'EDT Y TAREAS'!AD43/'EDT Y TAREAS'!M43,0),IF(AND(255&gt;='EDT Y TAREAS'!AK44,255&lt;'EDT Y TAREAS'!AL44),'EDT Y TAREAS'!AD44/'EDT Y TAREAS'!M44,0),IF(AND(255&gt;='EDT Y TAREAS'!AK45,255&lt;'EDT Y TAREAS'!AL45),'EDT Y TAREAS'!AD45/'EDT Y TAREAS'!M45,0),IF(AND(255&gt;='EDT Y TAREAS'!AK46,255&lt;'EDT Y TAREAS'!AL46),'EDT Y TAREAS'!AD46/'EDT Y TAREAS'!M46,0),IF(AND(255&gt;='EDT Y TAREAS'!AK47,255&lt;'EDT Y TAREAS'!AL47),'EDT Y TAREAS'!AD47/'EDT Y TAREAS'!M47,0),IF(AND(255&gt;='EDT Y TAREAS'!AK49,255&lt;'EDT Y TAREAS'!AL49),'EDT Y TAREAS'!AD49/'EDT Y TAREAS'!M49,0),IF(AND(255&gt;='EDT Y TAREAS'!AK50,255&lt;'EDT Y TAREAS'!AL50),'EDT Y TAREAS'!AD50/'EDT Y TAREAS'!M50,0),IF(AND(255&gt;='EDT Y TAREAS'!AK51,255&lt;'EDT Y TAREAS'!AL51),'EDT Y TAREAS'!AD51/'EDT Y TAREAS'!M51,0),IF(AND(255&gt;='EDT Y TAREAS'!AK52,255&lt;'EDT Y TAREAS'!AL52),'EDT Y TAREAS'!AD52/'EDT Y TAREAS'!M52,0))</x:f>
        <x:v>0</x:v>
      </x:c>
      <x:c r="C295" s="35" t="n">
        <x:f>SUM(IF(AND(255&gt;='EDT Y TAREAS'!AK6,255&lt;'EDT Y TAREAS'!AL6),'EDT Y TAREAS'!AE6/'EDT Y TAREAS'!M6,0),IF(AND(255&gt;='EDT Y TAREAS'!AK8,255&lt;'EDT Y TAREAS'!AL8),'EDT Y TAREAS'!AE8/'EDT Y TAREAS'!M8,0),IF(AND(255&gt;='EDT Y TAREAS'!AK9,255&lt;'EDT Y TAREAS'!AL9),'EDT Y TAREAS'!AE9/'EDT Y TAREAS'!M9,0),IF(AND(255&gt;='EDT Y TAREAS'!AK10,255&lt;'EDT Y TAREAS'!AL10),'EDT Y TAREAS'!AE10/'EDT Y TAREAS'!M10,0),IF(AND(255&gt;='EDT Y TAREAS'!AK12,255&lt;'EDT Y TAREAS'!AL12),'EDT Y TAREAS'!AE12/'EDT Y TAREAS'!M12,0),IF(AND(255&gt;='EDT Y TAREAS'!AK16,255&lt;'EDT Y TAREAS'!AL16),'EDT Y TAREAS'!AE16/'EDT Y TAREAS'!M16,0),IF(AND(255&gt;='EDT Y TAREAS'!AK21,255&lt;'EDT Y TAREAS'!AL21),'EDT Y TAREAS'!AE21/'EDT Y TAREAS'!M21,0),IF(AND(255&gt;='EDT Y TAREAS'!AK23,255&lt;'EDT Y TAREAS'!AL23),'EDT Y TAREAS'!AE23/'EDT Y TAREAS'!M23,0),IF(AND(255&gt;='EDT Y TAREAS'!AK37,255&lt;'EDT Y TAREAS'!AL37),'EDT Y TAREAS'!AE37/'EDT Y TAREAS'!M37,0),IF(AND(255&gt;='EDT Y TAREAS'!AK38,255&lt;'EDT Y TAREAS'!AL38),'EDT Y TAREAS'!AE38/'EDT Y TAREAS'!M38,0),IF(AND(255&gt;='EDT Y TAREAS'!AK41,255&lt;'EDT Y TAREAS'!AL41),'EDT Y TAREAS'!AE41/'EDT Y TAREAS'!M41,0),IF(AND(255&gt;='EDT Y TAREAS'!AK43,255&lt;'EDT Y TAREAS'!AL43),'EDT Y TAREAS'!AE43/'EDT Y TAREAS'!M43,0),IF(AND(255&gt;='EDT Y TAREAS'!AK44,255&lt;'EDT Y TAREAS'!AL44),'EDT Y TAREAS'!AE44/'EDT Y TAREAS'!M44,0),IF(AND(255&gt;='EDT Y TAREAS'!AK46,255&lt;'EDT Y TAREAS'!AL46),'EDT Y TAREAS'!AE46/'EDT Y TAREAS'!M46,0),IF(AND(255&gt;='EDT Y TAREAS'!AK47,255&lt;'EDT Y TAREAS'!AL47),'EDT Y TAREAS'!AE47/'EDT Y TAREAS'!M47,0),IF(AND(255&gt;='EDT Y TAREAS'!AK51,255&lt;'EDT Y TAREAS'!AL51),'EDT Y TAREAS'!AE51/'EDT Y TAREAS'!M51,0),IF(AND(255&gt;='EDT Y TAREAS'!AK52,255&lt;'EDT Y TAREAS'!AL52),'EDT Y TAREAS'!AE52/'EDT Y TAREAS'!M52,0))</x:f>
        <x:v>0</x:v>
      </x:c>
      <x:c r="D295" s="35" t="n">
        <x:f>SUM(IF(AND(255&gt;='EDT Y TAREAS'!AK11,255&lt;'EDT Y TAREAS'!AL11),'EDT Y TAREAS'!AF11/'EDT Y TAREAS'!M11,0),IF(AND(255&gt;='EDT Y TAREAS'!AK24,255&lt;'EDT Y TAREAS'!AL24),'EDT Y TAREAS'!AF24/'EDT Y TAREAS'!M24,0),IF(AND(255&gt;='EDT Y TAREAS'!AK25,255&lt;'EDT Y TAREAS'!AL25),'EDT Y TAREAS'!AF25/'EDT Y TAREAS'!M25,0),IF(AND(255&gt;='EDT Y TAREAS'!AK26,255&lt;'EDT Y TAREAS'!AL26),'EDT Y TAREAS'!AF26/'EDT Y TAREAS'!M26,0),IF(AND(255&gt;='EDT Y TAREAS'!AK27,255&lt;'EDT Y TAREAS'!AL27),'EDT Y TAREAS'!AF27/'EDT Y TAREAS'!M27,0),IF(AND(255&gt;='EDT Y TAREAS'!AK28,255&lt;'EDT Y TAREAS'!AL28),'EDT Y TAREAS'!AF28/'EDT Y TAREAS'!M28,0),IF(AND(255&gt;='EDT Y TAREAS'!AK31,255&lt;'EDT Y TAREAS'!AL31),'EDT Y TAREAS'!AF31/'EDT Y TAREAS'!M31,0),IF(AND(255&gt;='EDT Y TAREAS'!AK33,255&lt;'EDT Y TAREAS'!AL33),'EDT Y TAREAS'!AF33/'EDT Y TAREAS'!M33,0),IF(AND(255&gt;='EDT Y TAREAS'!AK34,255&lt;'EDT Y TAREAS'!AL34),'EDT Y TAREAS'!AF34/'EDT Y TAREAS'!M34,0),IF(AND(255&gt;='EDT Y TAREAS'!AK35,255&lt;'EDT Y TAREAS'!AL35),'EDT Y TAREAS'!AF35/'EDT Y TAREAS'!M35,0),IF(AND(255&gt;='EDT Y TAREAS'!AK37,255&lt;'EDT Y TAREAS'!AL37),'EDT Y TAREAS'!AF37/'EDT Y TAREAS'!M37,0),IF(AND(255&gt;='EDT Y TAREAS'!AK39,255&lt;'EDT Y TAREAS'!AL39),'EDT Y TAREAS'!AF39/'EDT Y TAREAS'!M39,0),IF(AND(255&gt;='EDT Y TAREAS'!AK40,255&lt;'EDT Y TAREAS'!AL40),'EDT Y TAREAS'!AF40/'EDT Y TAREAS'!M40,0),IF(AND(255&gt;='EDT Y TAREAS'!AK42,255&lt;'EDT Y TAREAS'!AL42),'EDT Y TAREAS'!AF42/'EDT Y TAREAS'!M42,0),IF(AND(255&gt;='EDT Y TAREAS'!AK45,255&lt;'EDT Y TAREAS'!AL45),'EDT Y TAREAS'!AF45/'EDT Y TAREAS'!M45,0),IF(AND(255&gt;='EDT Y TAREAS'!AK49,255&lt;'EDT Y TAREAS'!AL49),'EDT Y TAREAS'!AF49/'EDT Y TAREAS'!M49,0),IF(AND(255&gt;='EDT Y TAREAS'!AK52,255&lt;'EDT Y TAREAS'!AL52),'EDT Y TAREAS'!AF52/'EDT Y TAREAS'!M52,0))</x:f>
        <x:v>0</x:v>
      </x:c>
      <x:c r="E295" s="35" t="n">
        <x:f>SUM(IF(AND(255&gt;='EDT Y TAREAS'!AK29,255&lt;'EDT Y TAREAS'!AL29),'EDT Y TAREAS'!AG29/'EDT Y TAREAS'!M29,0),IF(AND(255&gt;='EDT Y TAREAS'!AK30,255&lt;'EDT Y TAREAS'!AL30),'EDT Y TAREAS'!AG30/'EDT Y TAREAS'!M30,0),IF(AND(255&gt;='EDT Y TAREAS'!AK31,255&lt;'EDT Y TAREAS'!AL31),'EDT Y TAREAS'!AG31/'EDT Y TAREAS'!M31,0),IF(AND(255&gt;='EDT Y TAREAS'!AK32,255&lt;'EDT Y TAREAS'!AL32),'EDT Y TAREAS'!AG32/'EDT Y TAREAS'!M32,0),IF(AND(255&gt;='EDT Y TAREAS'!AK41,255&lt;'EDT Y TAREAS'!AL41),'EDT Y TAREAS'!AG41/'EDT Y TAREAS'!M41,0),IF(AND(255&gt;='EDT Y TAREAS'!AK45,255&lt;'EDT Y TAREAS'!AL45),'EDT Y TAREAS'!AG45/'EDT Y TAREAS'!M45,0),IF(AND(255&gt;='EDT Y TAREAS'!AK48,255&lt;'EDT Y TAREAS'!AL48),'EDT Y TAREAS'!AG48/'EDT Y TAREAS'!M48,0))</x:f>
        <x:v>0</x:v>
      </x:c>
      <x:c r="F295" s="35" t="n">
        <x:f>SUM(IF(AND(255&gt;='EDT Y TAREAS'!AK10,255&lt;'EDT Y TAREAS'!AL10),'EDT Y TAREAS'!AH10/'EDT Y TAREAS'!M10,0),IF(AND(255&gt;='EDT Y TAREAS'!AK12,255&lt;'EDT Y TAREAS'!AL12),'EDT Y TAREAS'!AH12/'EDT Y TAREAS'!M12,0),IF(AND(255&gt;='EDT Y TAREAS'!AK22,255&lt;'EDT Y TAREAS'!AL22),'EDT Y TAREAS'!AH22/'EDT Y TAREAS'!M22,0),IF(AND(255&gt;='EDT Y TAREAS'!AK23,255&lt;'EDT Y TAREAS'!AL23),'EDT Y TAREAS'!AH23/'EDT Y TAREAS'!M23,0),IF(AND(255&gt;='EDT Y TAREAS'!AK29,255&lt;'EDT Y TAREAS'!AL29),'EDT Y TAREAS'!AH29/'EDT Y TAREAS'!M29,0),IF(AND(255&gt;='EDT Y TAREAS'!AK30,255&lt;'EDT Y TAREAS'!AL30),'EDT Y TAREAS'!AH30/'EDT Y TAREAS'!M30,0),IF(AND(255&gt;='EDT Y TAREAS'!AK32,255&lt;'EDT Y TAREAS'!AL32),'EDT Y TAREAS'!AH32/'EDT Y TAREAS'!M32,0),IF(AND(255&gt;='EDT Y TAREAS'!AK41,255&lt;'EDT Y TAREAS'!AL41),'EDT Y TAREAS'!AH41/'EDT Y TAREAS'!M41,0),IF(AND(255&gt;='EDT Y TAREAS'!AK44,255&lt;'EDT Y TAREAS'!AL44),'EDT Y TAREAS'!AH44/'EDT Y TAREAS'!M44,0),IF(AND(255&gt;='EDT Y TAREAS'!AK46,255&lt;'EDT Y TAREAS'!AL46),'EDT Y TAREAS'!AH46/'EDT Y TAREAS'!M46,0),IF(AND(255&gt;='EDT Y TAREAS'!AK48,255&lt;'EDT Y TAREAS'!AL48),'EDT Y TAREAS'!AH48/'EDT Y TAREAS'!M48,0))</x:f>
        <x:v>0</x:v>
      </x:c>
      <x:c r="G295" s="35" t="n">
        <x:f>SUM(IF(AND(255&gt;='EDT Y TAREAS'!AK20,255&lt;'EDT Y TAREAS'!AL20),'EDT Y TAREAS'!AI20/'EDT Y TAREAS'!M20,0),IF(AND(255&gt;='EDT Y TAREAS'!AK25,255&lt;'EDT Y TAREAS'!AL25),'EDT Y TAREAS'!AI25/'EDT Y TAREAS'!M25,0),IF(AND(255&gt;='EDT Y TAREAS'!AK33,255&lt;'EDT Y TAREAS'!AL33),'EDT Y TAREAS'!AI33/'EDT Y TAREAS'!M33,0),IF(AND(255&gt;='EDT Y TAREAS'!AK34,255&lt;'EDT Y TAREAS'!AL34),'EDT Y TAREAS'!AI34/'EDT Y TAREAS'!M34,0),IF(AND(255&gt;='EDT Y TAREAS'!AK36,255&lt;'EDT Y TAREAS'!AL36),'EDT Y TAREAS'!AI36/'EDT Y TAREAS'!M36,0),IF(AND(255&gt;='EDT Y TAREAS'!AK39,255&lt;'EDT Y TAREAS'!AL39),'EDT Y TAREAS'!AI39/'EDT Y TAREAS'!M39,0),IF(AND(255&gt;='EDT Y TAREAS'!AK40,255&lt;'EDT Y TAREAS'!AL40),'EDT Y TAREAS'!AI40/'EDT Y TAREAS'!M40,0),IF(AND(255&gt;='EDT Y TAREAS'!AK42,255&lt;'EDT Y TAREAS'!AL42),'EDT Y TAREAS'!AI42/'EDT Y TAREAS'!M42,0),IF(AND(255&gt;='EDT Y TAREAS'!AK43,255&lt;'EDT Y TAREAS'!AL43),'EDT Y TAREAS'!AI43/'EDT Y TAREAS'!M43,0),IF(AND(255&gt;='EDT Y TAREAS'!AK44,255&lt;'EDT Y TAREAS'!AL44),'EDT Y TAREAS'!AI44/'EDT Y TAREAS'!M44,0),IF(AND(255&gt;='EDT Y TAREAS'!AK45,255&lt;'EDT Y TAREAS'!AL45),'EDT Y TAREAS'!AI45/'EDT Y TAREAS'!M45,0),IF(AND(255&gt;='EDT Y TAREAS'!AK46,255&lt;'EDT Y TAREAS'!AL46),'EDT Y TAREAS'!AI46/'EDT Y TAREAS'!M46,0),IF(AND(255&gt;='EDT Y TAREAS'!AK48,255&lt;'EDT Y TAREAS'!AL48),'EDT Y TAREAS'!AI48/'EDT Y TAREAS'!M48,0),IF(AND(255&gt;='EDT Y TAREAS'!AK50,255&lt;'EDT Y TAREAS'!AL50),'EDT Y TAREAS'!AI50/'EDT Y TAREAS'!M50,0),IF(AND(255&gt;='EDT Y TAREAS'!AK52,255&lt;'EDT Y TAREAS'!AL52),'EDT Y TAREAS'!AI52/'EDT Y TAREAS'!M52,0))</x:f>
        <x:v>0</x:v>
      </x:c>
      <x:c r="H295" s="35" t="n">
        <x:f>SUM(IF(AND(255&gt;='EDT Y TAREAS'!AK11,255&lt;'EDT Y TAREAS'!AL11),'EDT Y TAREAS'!AJ11/'EDT Y TAREAS'!M11,0),IF(AND(255&gt;='EDT Y TAREAS'!AK24,255&lt;'EDT Y TAREAS'!AL24),'EDT Y TAREAS'!AJ24/'EDT Y TAREAS'!M24,0),IF(AND(255&gt;='EDT Y TAREAS'!AK27,255&lt;'EDT Y TAREAS'!AL27),'EDT Y TAREAS'!AJ27/'EDT Y TAREAS'!M27,0),IF(AND(255&gt;='EDT Y TAREAS'!AK28,255&lt;'EDT Y TAREAS'!AL28),'EDT Y TAREAS'!AJ28/'EDT Y TAREAS'!M28,0),IF(AND(255&gt;='EDT Y TAREAS'!AK33,255&lt;'EDT Y TAREAS'!AL33),'EDT Y TAREAS'!AJ33/'EDT Y TAREAS'!M33,0),IF(AND(255&gt;='EDT Y TAREAS'!AK35,255&lt;'EDT Y TAREAS'!AL35),'EDT Y TAREAS'!AJ35/'EDT Y TAREAS'!M35,0),IF(AND(255&gt;='EDT Y TAREAS'!AK36,255&lt;'EDT Y TAREAS'!AL36),'EDT Y TAREAS'!AJ36/'EDT Y TAREAS'!M36,0),IF(AND(255&gt;='EDT Y TAREAS'!AK37,255&lt;'EDT Y TAREAS'!AL37),'EDT Y TAREAS'!AJ37/'EDT Y TAREAS'!M37,0),IF(AND(255&gt;='EDT Y TAREAS'!AK40,255&lt;'EDT Y TAREAS'!AL40),'EDT Y TAREAS'!AJ40/'EDT Y TAREAS'!M40,0),IF(AND(255&gt;='EDT Y TAREAS'!AK42,255&lt;'EDT Y TAREAS'!AL42),'EDT Y TAREAS'!AJ42/'EDT Y TAREAS'!M42,0),IF(AND(255&gt;='EDT Y TAREAS'!AK49,255&lt;'EDT Y TAREAS'!AL49),'EDT Y TAREAS'!AJ49/'EDT Y TAREAS'!M49,0),IF(AND(255&gt;='EDT Y TAREAS'!AK50,255&lt;'EDT Y TAREAS'!AL50),'EDT Y TAREAS'!AJ50/'EDT Y TAREAS'!M50,0),IF(AND(255&gt;='EDT Y TAREAS'!AK51,255&lt;'EDT Y TAREAS'!AL51),'EDT Y TAREAS'!AJ51/'EDT Y TAREAS'!M51,0),IF(AND(255&gt;='EDT Y TAREAS'!AK52,255&lt;'EDT Y TAREAS'!AL52),'EDT Y TAREAS'!AJ52/'EDT Y TAREAS'!M52,0))</x:f>
        <x:v>0</x:v>
      </x:c>
      <x:c r="I295" s="10" t="n">
        <x:f>WORKDAY('RESUMEN'!$D$3-1,A295,'RESUMEN'!$J$6:$J$25)</x:f>
        <x:v>46685</x:v>
      </x:c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  <x:c r="AA295" s="3"/>
      <x:c r="AB295" s="3"/>
      <x:c r="AC295" s="3"/>
      <x:c r="AD295" s="3"/>
      <x:c r="AE295" s="3"/>
      <x:c r="AF295" s="3"/>
      <x:c r="AG295" s="3"/>
      <x:c r="AH295" s="3"/>
      <x:c r="AI295" s="3"/>
      <x:c r="AJ295" s="3"/>
      <x:c r="AK295" s="3"/>
      <x:c r="AL295" s="3"/>
      <x:c r="AM295" s="3"/>
      <x:c r="AN295" s="3"/>
      <x:c r="AO295" s="3"/>
    </x:row>
    <x:row r="296" ht="24" customHeight="1">
      <x:c r="A296" s="3" t="n">
        <x:v>257</x:v>
      </x:c>
      <x:c r="B296" s="35" t="n">
        <x:f>SUM(IF(AND(256&gt;='EDT Y TAREAS'!AK6,256&lt;'EDT Y TAREAS'!AL6),'EDT Y TAREAS'!AD6/'EDT Y TAREAS'!M6,0),IF(AND(256&gt;='EDT Y TAREAS'!AK7,256&lt;'EDT Y TAREAS'!AL7),'EDT Y TAREAS'!AD7/'EDT Y TAREAS'!M7,0),IF(AND(256&gt;='EDT Y TAREAS'!AK8,256&lt;'EDT Y TAREAS'!AL8),'EDT Y TAREAS'!AD8/'EDT Y TAREAS'!M8,0),IF(AND(256&gt;='EDT Y TAREAS'!AK9,256&lt;'EDT Y TAREAS'!AL9),'EDT Y TAREAS'!AD9/'EDT Y TAREAS'!M9,0),IF(AND(256&gt;='EDT Y TAREAS'!AK10,256&lt;'EDT Y TAREAS'!AL10),'EDT Y TAREAS'!AD10/'EDT Y TAREAS'!M10,0),IF(AND(256&gt;='EDT Y TAREAS'!AK11,256&lt;'EDT Y TAREAS'!AL11),'EDT Y TAREAS'!AD11/'EDT Y TAREAS'!M11,0),IF(AND(256&gt;='EDT Y TAREAS'!AK12,256&lt;'EDT Y TAREAS'!AL12),'EDT Y TAREAS'!AD12/'EDT Y TAREAS'!M12,0),IF(AND(256&gt;='EDT Y TAREAS'!AK13,256&lt;'EDT Y TAREAS'!AL13),'EDT Y TAREAS'!AD13/'EDT Y TAREAS'!M13,0),IF(AND(256&gt;='EDT Y TAREAS'!AK14,256&lt;'EDT Y TAREAS'!AL14),'EDT Y TAREAS'!AD14/'EDT Y TAREAS'!M14,0),IF(AND(256&gt;='EDT Y TAREAS'!AK15,256&lt;'EDT Y TAREAS'!AL15),'EDT Y TAREAS'!AD15/'EDT Y TAREAS'!M15,0),IF(AND(256&gt;='EDT Y TAREAS'!AK16,256&lt;'EDT Y TAREAS'!AL16),'EDT Y TAREAS'!AD16/'EDT Y TAREAS'!M16,0),IF(AND(256&gt;='EDT Y TAREAS'!AK17,256&lt;'EDT Y TAREAS'!AL17),'EDT Y TAREAS'!AD17/'EDT Y TAREAS'!M17,0),IF(AND(256&gt;='EDT Y TAREAS'!AK18,256&lt;'EDT Y TAREAS'!AL18),'EDT Y TAREAS'!AD18/'EDT Y TAREAS'!M18,0),IF(AND(256&gt;='EDT Y TAREAS'!AK19,256&lt;'EDT Y TAREAS'!AL19),'EDT Y TAREAS'!AD19/'EDT Y TAREAS'!M19,0),IF(AND(256&gt;='EDT Y TAREAS'!AK20,256&lt;'EDT Y TAREAS'!AL20),'EDT Y TAREAS'!AD20/'EDT Y TAREAS'!M20,0),IF(AND(256&gt;='EDT Y TAREAS'!AK21,256&lt;'EDT Y TAREAS'!AL21),'EDT Y TAREAS'!AD21/'EDT Y TAREAS'!M21,0),IF(AND(256&gt;='EDT Y TAREAS'!AK22,256&lt;'EDT Y TAREAS'!AL22),'EDT Y TAREAS'!AD22/'EDT Y TAREAS'!M22,0),IF(AND(256&gt;='EDT Y TAREAS'!AK23,256&lt;'EDT Y TAREAS'!AL23),'EDT Y TAREAS'!AD23/'EDT Y TAREAS'!M23,0),IF(AND(256&gt;='EDT Y TAREAS'!AK26,256&lt;'EDT Y TAREAS'!AL26),'EDT Y TAREAS'!AD26/'EDT Y TAREAS'!M26,0),IF(AND(256&gt;='EDT Y TAREAS'!AK28,256&lt;'EDT Y TAREAS'!AL28),'EDT Y TAREAS'!AD28/'EDT Y TAREAS'!M28,0),IF(AND(256&gt;='EDT Y TAREAS'!AK30,256&lt;'EDT Y TAREAS'!AL30),'EDT Y TAREAS'!AD30/'EDT Y TAREAS'!M30,0),IF(AND(256&gt;='EDT Y TAREAS'!AK32,256&lt;'EDT Y TAREAS'!AL32),'EDT Y TAREAS'!AD32/'EDT Y TAREAS'!M32,0),IF(AND(256&gt;='EDT Y TAREAS'!AK34,256&lt;'EDT Y TAREAS'!AL34),'EDT Y TAREAS'!AD34/'EDT Y TAREAS'!M34,0),IF(AND(256&gt;='EDT Y TAREAS'!AK38,256&lt;'EDT Y TAREAS'!AL38),'EDT Y TAREAS'!AD38/'EDT Y TAREAS'!M38,0),IF(AND(256&gt;='EDT Y TAREAS'!AK39,256&lt;'EDT Y TAREAS'!AL39),'EDT Y TAREAS'!AD39/'EDT Y TAREAS'!M39,0),IF(AND(256&gt;='EDT Y TAREAS'!AK43,256&lt;'EDT Y TAREAS'!AL43),'EDT Y TAREAS'!AD43/'EDT Y TAREAS'!M43,0),IF(AND(256&gt;='EDT Y TAREAS'!AK44,256&lt;'EDT Y TAREAS'!AL44),'EDT Y TAREAS'!AD44/'EDT Y TAREAS'!M44,0),IF(AND(256&gt;='EDT Y TAREAS'!AK45,256&lt;'EDT Y TAREAS'!AL45),'EDT Y TAREAS'!AD45/'EDT Y TAREAS'!M45,0),IF(AND(256&gt;='EDT Y TAREAS'!AK46,256&lt;'EDT Y TAREAS'!AL46),'EDT Y TAREAS'!AD46/'EDT Y TAREAS'!M46,0),IF(AND(256&gt;='EDT Y TAREAS'!AK47,256&lt;'EDT Y TAREAS'!AL47),'EDT Y TAREAS'!AD47/'EDT Y TAREAS'!M47,0),IF(AND(256&gt;='EDT Y TAREAS'!AK49,256&lt;'EDT Y TAREAS'!AL49),'EDT Y TAREAS'!AD49/'EDT Y TAREAS'!M49,0),IF(AND(256&gt;='EDT Y TAREAS'!AK50,256&lt;'EDT Y TAREAS'!AL50),'EDT Y TAREAS'!AD50/'EDT Y TAREAS'!M50,0),IF(AND(256&gt;='EDT Y TAREAS'!AK51,256&lt;'EDT Y TAREAS'!AL51),'EDT Y TAREAS'!AD51/'EDT Y TAREAS'!M51,0),IF(AND(256&gt;='EDT Y TAREAS'!AK52,256&lt;'EDT Y TAREAS'!AL52),'EDT Y TAREAS'!AD52/'EDT Y TAREAS'!M52,0))</x:f>
        <x:v>0</x:v>
      </x:c>
      <x:c r="C296" s="35" t="n">
        <x:f>SUM(IF(AND(256&gt;='EDT Y TAREAS'!AK6,256&lt;'EDT Y TAREAS'!AL6),'EDT Y TAREAS'!AE6/'EDT Y TAREAS'!M6,0),IF(AND(256&gt;='EDT Y TAREAS'!AK8,256&lt;'EDT Y TAREAS'!AL8),'EDT Y TAREAS'!AE8/'EDT Y TAREAS'!M8,0),IF(AND(256&gt;='EDT Y TAREAS'!AK9,256&lt;'EDT Y TAREAS'!AL9),'EDT Y TAREAS'!AE9/'EDT Y TAREAS'!M9,0),IF(AND(256&gt;='EDT Y TAREAS'!AK10,256&lt;'EDT Y TAREAS'!AL10),'EDT Y TAREAS'!AE10/'EDT Y TAREAS'!M10,0),IF(AND(256&gt;='EDT Y TAREAS'!AK12,256&lt;'EDT Y TAREAS'!AL12),'EDT Y TAREAS'!AE12/'EDT Y TAREAS'!M12,0),IF(AND(256&gt;='EDT Y TAREAS'!AK16,256&lt;'EDT Y TAREAS'!AL16),'EDT Y TAREAS'!AE16/'EDT Y TAREAS'!M16,0),IF(AND(256&gt;='EDT Y TAREAS'!AK21,256&lt;'EDT Y TAREAS'!AL21),'EDT Y TAREAS'!AE21/'EDT Y TAREAS'!M21,0),IF(AND(256&gt;='EDT Y TAREAS'!AK23,256&lt;'EDT Y TAREAS'!AL23),'EDT Y TAREAS'!AE23/'EDT Y TAREAS'!M23,0),IF(AND(256&gt;='EDT Y TAREAS'!AK37,256&lt;'EDT Y TAREAS'!AL37),'EDT Y TAREAS'!AE37/'EDT Y TAREAS'!M37,0),IF(AND(256&gt;='EDT Y TAREAS'!AK38,256&lt;'EDT Y TAREAS'!AL38),'EDT Y TAREAS'!AE38/'EDT Y TAREAS'!M38,0),IF(AND(256&gt;='EDT Y TAREAS'!AK41,256&lt;'EDT Y TAREAS'!AL41),'EDT Y TAREAS'!AE41/'EDT Y TAREAS'!M41,0),IF(AND(256&gt;='EDT Y TAREAS'!AK43,256&lt;'EDT Y TAREAS'!AL43),'EDT Y TAREAS'!AE43/'EDT Y TAREAS'!M43,0),IF(AND(256&gt;='EDT Y TAREAS'!AK44,256&lt;'EDT Y TAREAS'!AL44),'EDT Y TAREAS'!AE44/'EDT Y TAREAS'!M44,0),IF(AND(256&gt;='EDT Y TAREAS'!AK46,256&lt;'EDT Y TAREAS'!AL46),'EDT Y TAREAS'!AE46/'EDT Y TAREAS'!M46,0),IF(AND(256&gt;='EDT Y TAREAS'!AK47,256&lt;'EDT Y TAREAS'!AL47),'EDT Y TAREAS'!AE47/'EDT Y TAREAS'!M47,0),IF(AND(256&gt;='EDT Y TAREAS'!AK51,256&lt;'EDT Y TAREAS'!AL51),'EDT Y TAREAS'!AE51/'EDT Y TAREAS'!M51,0),IF(AND(256&gt;='EDT Y TAREAS'!AK52,256&lt;'EDT Y TAREAS'!AL52),'EDT Y TAREAS'!AE52/'EDT Y TAREAS'!M52,0))</x:f>
        <x:v>0</x:v>
      </x:c>
      <x:c r="D296" s="35" t="n">
        <x:f>SUM(IF(AND(256&gt;='EDT Y TAREAS'!AK11,256&lt;'EDT Y TAREAS'!AL11),'EDT Y TAREAS'!AF11/'EDT Y TAREAS'!M11,0),IF(AND(256&gt;='EDT Y TAREAS'!AK24,256&lt;'EDT Y TAREAS'!AL24),'EDT Y TAREAS'!AF24/'EDT Y TAREAS'!M24,0),IF(AND(256&gt;='EDT Y TAREAS'!AK25,256&lt;'EDT Y TAREAS'!AL25),'EDT Y TAREAS'!AF25/'EDT Y TAREAS'!M25,0),IF(AND(256&gt;='EDT Y TAREAS'!AK26,256&lt;'EDT Y TAREAS'!AL26),'EDT Y TAREAS'!AF26/'EDT Y TAREAS'!M26,0),IF(AND(256&gt;='EDT Y TAREAS'!AK27,256&lt;'EDT Y TAREAS'!AL27),'EDT Y TAREAS'!AF27/'EDT Y TAREAS'!M27,0),IF(AND(256&gt;='EDT Y TAREAS'!AK28,256&lt;'EDT Y TAREAS'!AL28),'EDT Y TAREAS'!AF28/'EDT Y TAREAS'!M28,0),IF(AND(256&gt;='EDT Y TAREAS'!AK31,256&lt;'EDT Y TAREAS'!AL31),'EDT Y TAREAS'!AF31/'EDT Y TAREAS'!M31,0),IF(AND(256&gt;='EDT Y TAREAS'!AK33,256&lt;'EDT Y TAREAS'!AL33),'EDT Y TAREAS'!AF33/'EDT Y TAREAS'!M33,0),IF(AND(256&gt;='EDT Y TAREAS'!AK34,256&lt;'EDT Y TAREAS'!AL34),'EDT Y TAREAS'!AF34/'EDT Y TAREAS'!M34,0),IF(AND(256&gt;='EDT Y TAREAS'!AK35,256&lt;'EDT Y TAREAS'!AL35),'EDT Y TAREAS'!AF35/'EDT Y TAREAS'!M35,0),IF(AND(256&gt;='EDT Y TAREAS'!AK37,256&lt;'EDT Y TAREAS'!AL37),'EDT Y TAREAS'!AF37/'EDT Y TAREAS'!M37,0),IF(AND(256&gt;='EDT Y TAREAS'!AK39,256&lt;'EDT Y TAREAS'!AL39),'EDT Y TAREAS'!AF39/'EDT Y TAREAS'!M39,0),IF(AND(256&gt;='EDT Y TAREAS'!AK40,256&lt;'EDT Y TAREAS'!AL40),'EDT Y TAREAS'!AF40/'EDT Y TAREAS'!M40,0),IF(AND(256&gt;='EDT Y TAREAS'!AK42,256&lt;'EDT Y TAREAS'!AL42),'EDT Y TAREAS'!AF42/'EDT Y TAREAS'!M42,0),IF(AND(256&gt;='EDT Y TAREAS'!AK45,256&lt;'EDT Y TAREAS'!AL45),'EDT Y TAREAS'!AF45/'EDT Y TAREAS'!M45,0),IF(AND(256&gt;='EDT Y TAREAS'!AK49,256&lt;'EDT Y TAREAS'!AL49),'EDT Y TAREAS'!AF49/'EDT Y TAREAS'!M49,0),IF(AND(256&gt;='EDT Y TAREAS'!AK52,256&lt;'EDT Y TAREAS'!AL52),'EDT Y TAREAS'!AF52/'EDT Y TAREAS'!M52,0))</x:f>
        <x:v>0</x:v>
      </x:c>
      <x:c r="E296" s="35" t="n">
        <x:f>SUM(IF(AND(256&gt;='EDT Y TAREAS'!AK29,256&lt;'EDT Y TAREAS'!AL29),'EDT Y TAREAS'!AG29/'EDT Y TAREAS'!M29,0),IF(AND(256&gt;='EDT Y TAREAS'!AK30,256&lt;'EDT Y TAREAS'!AL30),'EDT Y TAREAS'!AG30/'EDT Y TAREAS'!M30,0),IF(AND(256&gt;='EDT Y TAREAS'!AK31,256&lt;'EDT Y TAREAS'!AL31),'EDT Y TAREAS'!AG31/'EDT Y TAREAS'!M31,0),IF(AND(256&gt;='EDT Y TAREAS'!AK32,256&lt;'EDT Y TAREAS'!AL32),'EDT Y TAREAS'!AG32/'EDT Y TAREAS'!M32,0),IF(AND(256&gt;='EDT Y TAREAS'!AK41,256&lt;'EDT Y TAREAS'!AL41),'EDT Y TAREAS'!AG41/'EDT Y TAREAS'!M41,0),IF(AND(256&gt;='EDT Y TAREAS'!AK45,256&lt;'EDT Y TAREAS'!AL45),'EDT Y TAREAS'!AG45/'EDT Y TAREAS'!M45,0),IF(AND(256&gt;='EDT Y TAREAS'!AK48,256&lt;'EDT Y TAREAS'!AL48),'EDT Y TAREAS'!AG48/'EDT Y TAREAS'!M48,0))</x:f>
        <x:v>0</x:v>
      </x:c>
      <x:c r="F296" s="35" t="n">
        <x:f>SUM(IF(AND(256&gt;='EDT Y TAREAS'!AK10,256&lt;'EDT Y TAREAS'!AL10),'EDT Y TAREAS'!AH10/'EDT Y TAREAS'!M10,0),IF(AND(256&gt;='EDT Y TAREAS'!AK12,256&lt;'EDT Y TAREAS'!AL12),'EDT Y TAREAS'!AH12/'EDT Y TAREAS'!M12,0),IF(AND(256&gt;='EDT Y TAREAS'!AK22,256&lt;'EDT Y TAREAS'!AL22),'EDT Y TAREAS'!AH22/'EDT Y TAREAS'!M22,0),IF(AND(256&gt;='EDT Y TAREAS'!AK23,256&lt;'EDT Y TAREAS'!AL23),'EDT Y TAREAS'!AH23/'EDT Y TAREAS'!M23,0),IF(AND(256&gt;='EDT Y TAREAS'!AK29,256&lt;'EDT Y TAREAS'!AL29),'EDT Y TAREAS'!AH29/'EDT Y TAREAS'!M29,0),IF(AND(256&gt;='EDT Y TAREAS'!AK30,256&lt;'EDT Y TAREAS'!AL30),'EDT Y TAREAS'!AH30/'EDT Y TAREAS'!M30,0),IF(AND(256&gt;='EDT Y TAREAS'!AK32,256&lt;'EDT Y TAREAS'!AL32),'EDT Y TAREAS'!AH32/'EDT Y TAREAS'!M32,0),IF(AND(256&gt;='EDT Y TAREAS'!AK41,256&lt;'EDT Y TAREAS'!AL41),'EDT Y TAREAS'!AH41/'EDT Y TAREAS'!M41,0),IF(AND(256&gt;='EDT Y TAREAS'!AK44,256&lt;'EDT Y TAREAS'!AL44),'EDT Y TAREAS'!AH44/'EDT Y TAREAS'!M44,0),IF(AND(256&gt;='EDT Y TAREAS'!AK46,256&lt;'EDT Y TAREAS'!AL46),'EDT Y TAREAS'!AH46/'EDT Y TAREAS'!M46,0),IF(AND(256&gt;='EDT Y TAREAS'!AK48,256&lt;'EDT Y TAREAS'!AL48),'EDT Y TAREAS'!AH48/'EDT Y TAREAS'!M48,0))</x:f>
        <x:v>0</x:v>
      </x:c>
      <x:c r="G296" s="35" t="n">
        <x:f>SUM(IF(AND(256&gt;='EDT Y TAREAS'!AK20,256&lt;'EDT Y TAREAS'!AL20),'EDT Y TAREAS'!AI20/'EDT Y TAREAS'!M20,0),IF(AND(256&gt;='EDT Y TAREAS'!AK25,256&lt;'EDT Y TAREAS'!AL25),'EDT Y TAREAS'!AI25/'EDT Y TAREAS'!M25,0),IF(AND(256&gt;='EDT Y TAREAS'!AK33,256&lt;'EDT Y TAREAS'!AL33),'EDT Y TAREAS'!AI33/'EDT Y TAREAS'!M33,0),IF(AND(256&gt;='EDT Y TAREAS'!AK34,256&lt;'EDT Y TAREAS'!AL34),'EDT Y TAREAS'!AI34/'EDT Y TAREAS'!M34,0),IF(AND(256&gt;='EDT Y TAREAS'!AK36,256&lt;'EDT Y TAREAS'!AL36),'EDT Y TAREAS'!AI36/'EDT Y TAREAS'!M36,0),IF(AND(256&gt;='EDT Y TAREAS'!AK39,256&lt;'EDT Y TAREAS'!AL39),'EDT Y TAREAS'!AI39/'EDT Y TAREAS'!M39,0),IF(AND(256&gt;='EDT Y TAREAS'!AK40,256&lt;'EDT Y TAREAS'!AL40),'EDT Y TAREAS'!AI40/'EDT Y TAREAS'!M40,0),IF(AND(256&gt;='EDT Y TAREAS'!AK42,256&lt;'EDT Y TAREAS'!AL42),'EDT Y TAREAS'!AI42/'EDT Y TAREAS'!M42,0),IF(AND(256&gt;='EDT Y TAREAS'!AK43,256&lt;'EDT Y TAREAS'!AL43),'EDT Y TAREAS'!AI43/'EDT Y TAREAS'!M43,0),IF(AND(256&gt;='EDT Y TAREAS'!AK44,256&lt;'EDT Y TAREAS'!AL44),'EDT Y TAREAS'!AI44/'EDT Y TAREAS'!M44,0),IF(AND(256&gt;='EDT Y TAREAS'!AK45,256&lt;'EDT Y TAREAS'!AL45),'EDT Y TAREAS'!AI45/'EDT Y TAREAS'!M45,0),IF(AND(256&gt;='EDT Y TAREAS'!AK46,256&lt;'EDT Y TAREAS'!AL46),'EDT Y TAREAS'!AI46/'EDT Y TAREAS'!M46,0),IF(AND(256&gt;='EDT Y TAREAS'!AK48,256&lt;'EDT Y TAREAS'!AL48),'EDT Y TAREAS'!AI48/'EDT Y TAREAS'!M48,0),IF(AND(256&gt;='EDT Y TAREAS'!AK50,256&lt;'EDT Y TAREAS'!AL50),'EDT Y TAREAS'!AI50/'EDT Y TAREAS'!M50,0),IF(AND(256&gt;='EDT Y TAREAS'!AK52,256&lt;'EDT Y TAREAS'!AL52),'EDT Y TAREAS'!AI52/'EDT Y TAREAS'!M52,0))</x:f>
        <x:v>0</x:v>
      </x:c>
      <x:c r="H296" s="35" t="n">
        <x:f>SUM(IF(AND(256&gt;='EDT Y TAREAS'!AK11,256&lt;'EDT Y TAREAS'!AL11),'EDT Y TAREAS'!AJ11/'EDT Y TAREAS'!M11,0),IF(AND(256&gt;='EDT Y TAREAS'!AK24,256&lt;'EDT Y TAREAS'!AL24),'EDT Y TAREAS'!AJ24/'EDT Y TAREAS'!M24,0),IF(AND(256&gt;='EDT Y TAREAS'!AK27,256&lt;'EDT Y TAREAS'!AL27),'EDT Y TAREAS'!AJ27/'EDT Y TAREAS'!M27,0),IF(AND(256&gt;='EDT Y TAREAS'!AK28,256&lt;'EDT Y TAREAS'!AL28),'EDT Y TAREAS'!AJ28/'EDT Y TAREAS'!M28,0),IF(AND(256&gt;='EDT Y TAREAS'!AK33,256&lt;'EDT Y TAREAS'!AL33),'EDT Y TAREAS'!AJ33/'EDT Y TAREAS'!M33,0),IF(AND(256&gt;='EDT Y TAREAS'!AK35,256&lt;'EDT Y TAREAS'!AL35),'EDT Y TAREAS'!AJ35/'EDT Y TAREAS'!M35,0),IF(AND(256&gt;='EDT Y TAREAS'!AK36,256&lt;'EDT Y TAREAS'!AL36),'EDT Y TAREAS'!AJ36/'EDT Y TAREAS'!M36,0),IF(AND(256&gt;='EDT Y TAREAS'!AK37,256&lt;'EDT Y TAREAS'!AL37),'EDT Y TAREAS'!AJ37/'EDT Y TAREAS'!M37,0),IF(AND(256&gt;='EDT Y TAREAS'!AK40,256&lt;'EDT Y TAREAS'!AL40),'EDT Y TAREAS'!AJ40/'EDT Y TAREAS'!M40,0),IF(AND(256&gt;='EDT Y TAREAS'!AK42,256&lt;'EDT Y TAREAS'!AL42),'EDT Y TAREAS'!AJ42/'EDT Y TAREAS'!M42,0),IF(AND(256&gt;='EDT Y TAREAS'!AK49,256&lt;'EDT Y TAREAS'!AL49),'EDT Y TAREAS'!AJ49/'EDT Y TAREAS'!M49,0),IF(AND(256&gt;='EDT Y TAREAS'!AK50,256&lt;'EDT Y TAREAS'!AL50),'EDT Y TAREAS'!AJ50/'EDT Y TAREAS'!M50,0),IF(AND(256&gt;='EDT Y TAREAS'!AK51,256&lt;'EDT Y TAREAS'!AL51),'EDT Y TAREAS'!AJ51/'EDT Y TAREAS'!M51,0),IF(AND(256&gt;='EDT Y TAREAS'!AK52,256&lt;'EDT Y TAREAS'!AL52),'EDT Y TAREAS'!AJ52/'EDT Y TAREAS'!M52,0))</x:f>
        <x:v>0</x:v>
      </x:c>
      <x:c r="I296" s="10" t="n">
        <x:f>WORKDAY('RESUMEN'!$D$3-1,A296,'RESUMEN'!$J$6:$J$25)</x:f>
        <x:v>46686</x:v>
      </x:c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  <x:c r="AA296" s="3"/>
      <x:c r="AB296" s="3"/>
      <x:c r="AC296" s="3"/>
      <x:c r="AD296" s="3"/>
      <x:c r="AE296" s="3"/>
      <x:c r="AF296" s="3"/>
      <x:c r="AG296" s="3"/>
      <x:c r="AH296" s="3"/>
      <x:c r="AI296" s="3"/>
      <x:c r="AJ296" s="3"/>
      <x:c r="AK296" s="3"/>
      <x:c r="AL296" s="3"/>
      <x:c r="AM296" s="3"/>
      <x:c r="AN296" s="3"/>
      <x:c r="AO296" s="3"/>
    </x:row>
    <x:row r="297" ht="24" customHeight="1">
      <x:c r="A297" s="3" t="n">
        <x:v>258</x:v>
      </x:c>
      <x:c r="B297" s="35" t="n">
        <x:f>SUM(IF(AND(257&gt;='EDT Y TAREAS'!AK6,257&lt;'EDT Y TAREAS'!AL6),'EDT Y TAREAS'!AD6/'EDT Y TAREAS'!M6,0),IF(AND(257&gt;='EDT Y TAREAS'!AK7,257&lt;'EDT Y TAREAS'!AL7),'EDT Y TAREAS'!AD7/'EDT Y TAREAS'!M7,0),IF(AND(257&gt;='EDT Y TAREAS'!AK8,257&lt;'EDT Y TAREAS'!AL8),'EDT Y TAREAS'!AD8/'EDT Y TAREAS'!M8,0),IF(AND(257&gt;='EDT Y TAREAS'!AK9,257&lt;'EDT Y TAREAS'!AL9),'EDT Y TAREAS'!AD9/'EDT Y TAREAS'!M9,0),IF(AND(257&gt;='EDT Y TAREAS'!AK10,257&lt;'EDT Y TAREAS'!AL10),'EDT Y TAREAS'!AD10/'EDT Y TAREAS'!M10,0),IF(AND(257&gt;='EDT Y TAREAS'!AK11,257&lt;'EDT Y TAREAS'!AL11),'EDT Y TAREAS'!AD11/'EDT Y TAREAS'!M11,0),IF(AND(257&gt;='EDT Y TAREAS'!AK12,257&lt;'EDT Y TAREAS'!AL12),'EDT Y TAREAS'!AD12/'EDT Y TAREAS'!M12,0),IF(AND(257&gt;='EDT Y TAREAS'!AK13,257&lt;'EDT Y TAREAS'!AL13),'EDT Y TAREAS'!AD13/'EDT Y TAREAS'!M13,0),IF(AND(257&gt;='EDT Y TAREAS'!AK14,257&lt;'EDT Y TAREAS'!AL14),'EDT Y TAREAS'!AD14/'EDT Y TAREAS'!M14,0),IF(AND(257&gt;='EDT Y TAREAS'!AK15,257&lt;'EDT Y TAREAS'!AL15),'EDT Y TAREAS'!AD15/'EDT Y TAREAS'!M15,0),IF(AND(257&gt;='EDT Y TAREAS'!AK16,257&lt;'EDT Y TAREAS'!AL16),'EDT Y TAREAS'!AD16/'EDT Y TAREAS'!M16,0),IF(AND(257&gt;='EDT Y TAREAS'!AK17,257&lt;'EDT Y TAREAS'!AL17),'EDT Y TAREAS'!AD17/'EDT Y TAREAS'!M17,0),IF(AND(257&gt;='EDT Y TAREAS'!AK18,257&lt;'EDT Y TAREAS'!AL18),'EDT Y TAREAS'!AD18/'EDT Y TAREAS'!M18,0),IF(AND(257&gt;='EDT Y TAREAS'!AK19,257&lt;'EDT Y TAREAS'!AL19),'EDT Y TAREAS'!AD19/'EDT Y TAREAS'!M19,0),IF(AND(257&gt;='EDT Y TAREAS'!AK20,257&lt;'EDT Y TAREAS'!AL20),'EDT Y TAREAS'!AD20/'EDT Y TAREAS'!M20,0),IF(AND(257&gt;='EDT Y TAREAS'!AK21,257&lt;'EDT Y TAREAS'!AL21),'EDT Y TAREAS'!AD21/'EDT Y TAREAS'!M21,0),IF(AND(257&gt;='EDT Y TAREAS'!AK22,257&lt;'EDT Y TAREAS'!AL22),'EDT Y TAREAS'!AD22/'EDT Y TAREAS'!M22,0),IF(AND(257&gt;='EDT Y TAREAS'!AK23,257&lt;'EDT Y TAREAS'!AL23),'EDT Y TAREAS'!AD23/'EDT Y TAREAS'!M23,0),IF(AND(257&gt;='EDT Y TAREAS'!AK26,257&lt;'EDT Y TAREAS'!AL26),'EDT Y TAREAS'!AD26/'EDT Y TAREAS'!M26,0),IF(AND(257&gt;='EDT Y TAREAS'!AK28,257&lt;'EDT Y TAREAS'!AL28),'EDT Y TAREAS'!AD28/'EDT Y TAREAS'!M28,0),IF(AND(257&gt;='EDT Y TAREAS'!AK30,257&lt;'EDT Y TAREAS'!AL30),'EDT Y TAREAS'!AD30/'EDT Y TAREAS'!M30,0),IF(AND(257&gt;='EDT Y TAREAS'!AK32,257&lt;'EDT Y TAREAS'!AL32),'EDT Y TAREAS'!AD32/'EDT Y TAREAS'!M32,0),IF(AND(257&gt;='EDT Y TAREAS'!AK34,257&lt;'EDT Y TAREAS'!AL34),'EDT Y TAREAS'!AD34/'EDT Y TAREAS'!M34,0),IF(AND(257&gt;='EDT Y TAREAS'!AK38,257&lt;'EDT Y TAREAS'!AL38),'EDT Y TAREAS'!AD38/'EDT Y TAREAS'!M38,0),IF(AND(257&gt;='EDT Y TAREAS'!AK39,257&lt;'EDT Y TAREAS'!AL39),'EDT Y TAREAS'!AD39/'EDT Y TAREAS'!M39,0),IF(AND(257&gt;='EDT Y TAREAS'!AK43,257&lt;'EDT Y TAREAS'!AL43),'EDT Y TAREAS'!AD43/'EDT Y TAREAS'!M43,0),IF(AND(257&gt;='EDT Y TAREAS'!AK44,257&lt;'EDT Y TAREAS'!AL44),'EDT Y TAREAS'!AD44/'EDT Y TAREAS'!M44,0),IF(AND(257&gt;='EDT Y TAREAS'!AK45,257&lt;'EDT Y TAREAS'!AL45),'EDT Y TAREAS'!AD45/'EDT Y TAREAS'!M45,0),IF(AND(257&gt;='EDT Y TAREAS'!AK46,257&lt;'EDT Y TAREAS'!AL46),'EDT Y TAREAS'!AD46/'EDT Y TAREAS'!M46,0),IF(AND(257&gt;='EDT Y TAREAS'!AK47,257&lt;'EDT Y TAREAS'!AL47),'EDT Y TAREAS'!AD47/'EDT Y TAREAS'!M47,0),IF(AND(257&gt;='EDT Y TAREAS'!AK49,257&lt;'EDT Y TAREAS'!AL49),'EDT Y TAREAS'!AD49/'EDT Y TAREAS'!M49,0),IF(AND(257&gt;='EDT Y TAREAS'!AK50,257&lt;'EDT Y TAREAS'!AL50),'EDT Y TAREAS'!AD50/'EDT Y TAREAS'!M50,0),IF(AND(257&gt;='EDT Y TAREAS'!AK51,257&lt;'EDT Y TAREAS'!AL51),'EDT Y TAREAS'!AD51/'EDT Y TAREAS'!M51,0),IF(AND(257&gt;='EDT Y TAREAS'!AK52,257&lt;'EDT Y TAREAS'!AL52),'EDT Y TAREAS'!AD52/'EDT Y TAREAS'!M52,0))</x:f>
        <x:v>0</x:v>
      </x:c>
      <x:c r="C297" s="35" t="n">
        <x:f>SUM(IF(AND(257&gt;='EDT Y TAREAS'!AK6,257&lt;'EDT Y TAREAS'!AL6),'EDT Y TAREAS'!AE6/'EDT Y TAREAS'!M6,0),IF(AND(257&gt;='EDT Y TAREAS'!AK8,257&lt;'EDT Y TAREAS'!AL8),'EDT Y TAREAS'!AE8/'EDT Y TAREAS'!M8,0),IF(AND(257&gt;='EDT Y TAREAS'!AK9,257&lt;'EDT Y TAREAS'!AL9),'EDT Y TAREAS'!AE9/'EDT Y TAREAS'!M9,0),IF(AND(257&gt;='EDT Y TAREAS'!AK10,257&lt;'EDT Y TAREAS'!AL10),'EDT Y TAREAS'!AE10/'EDT Y TAREAS'!M10,0),IF(AND(257&gt;='EDT Y TAREAS'!AK12,257&lt;'EDT Y TAREAS'!AL12),'EDT Y TAREAS'!AE12/'EDT Y TAREAS'!M12,0),IF(AND(257&gt;='EDT Y TAREAS'!AK16,257&lt;'EDT Y TAREAS'!AL16),'EDT Y TAREAS'!AE16/'EDT Y TAREAS'!M16,0),IF(AND(257&gt;='EDT Y TAREAS'!AK21,257&lt;'EDT Y TAREAS'!AL21),'EDT Y TAREAS'!AE21/'EDT Y TAREAS'!M21,0),IF(AND(257&gt;='EDT Y TAREAS'!AK23,257&lt;'EDT Y TAREAS'!AL23),'EDT Y TAREAS'!AE23/'EDT Y TAREAS'!M23,0),IF(AND(257&gt;='EDT Y TAREAS'!AK37,257&lt;'EDT Y TAREAS'!AL37),'EDT Y TAREAS'!AE37/'EDT Y TAREAS'!M37,0),IF(AND(257&gt;='EDT Y TAREAS'!AK38,257&lt;'EDT Y TAREAS'!AL38),'EDT Y TAREAS'!AE38/'EDT Y TAREAS'!M38,0),IF(AND(257&gt;='EDT Y TAREAS'!AK41,257&lt;'EDT Y TAREAS'!AL41),'EDT Y TAREAS'!AE41/'EDT Y TAREAS'!M41,0),IF(AND(257&gt;='EDT Y TAREAS'!AK43,257&lt;'EDT Y TAREAS'!AL43),'EDT Y TAREAS'!AE43/'EDT Y TAREAS'!M43,0),IF(AND(257&gt;='EDT Y TAREAS'!AK44,257&lt;'EDT Y TAREAS'!AL44),'EDT Y TAREAS'!AE44/'EDT Y TAREAS'!M44,0),IF(AND(257&gt;='EDT Y TAREAS'!AK46,257&lt;'EDT Y TAREAS'!AL46),'EDT Y TAREAS'!AE46/'EDT Y TAREAS'!M46,0),IF(AND(257&gt;='EDT Y TAREAS'!AK47,257&lt;'EDT Y TAREAS'!AL47),'EDT Y TAREAS'!AE47/'EDT Y TAREAS'!M47,0),IF(AND(257&gt;='EDT Y TAREAS'!AK51,257&lt;'EDT Y TAREAS'!AL51),'EDT Y TAREAS'!AE51/'EDT Y TAREAS'!M51,0),IF(AND(257&gt;='EDT Y TAREAS'!AK52,257&lt;'EDT Y TAREAS'!AL52),'EDT Y TAREAS'!AE52/'EDT Y TAREAS'!M52,0))</x:f>
        <x:v>0</x:v>
      </x:c>
      <x:c r="D297" s="35" t="n">
        <x:f>SUM(IF(AND(257&gt;='EDT Y TAREAS'!AK11,257&lt;'EDT Y TAREAS'!AL11),'EDT Y TAREAS'!AF11/'EDT Y TAREAS'!M11,0),IF(AND(257&gt;='EDT Y TAREAS'!AK24,257&lt;'EDT Y TAREAS'!AL24),'EDT Y TAREAS'!AF24/'EDT Y TAREAS'!M24,0),IF(AND(257&gt;='EDT Y TAREAS'!AK25,257&lt;'EDT Y TAREAS'!AL25),'EDT Y TAREAS'!AF25/'EDT Y TAREAS'!M25,0),IF(AND(257&gt;='EDT Y TAREAS'!AK26,257&lt;'EDT Y TAREAS'!AL26),'EDT Y TAREAS'!AF26/'EDT Y TAREAS'!M26,0),IF(AND(257&gt;='EDT Y TAREAS'!AK27,257&lt;'EDT Y TAREAS'!AL27),'EDT Y TAREAS'!AF27/'EDT Y TAREAS'!M27,0),IF(AND(257&gt;='EDT Y TAREAS'!AK28,257&lt;'EDT Y TAREAS'!AL28),'EDT Y TAREAS'!AF28/'EDT Y TAREAS'!M28,0),IF(AND(257&gt;='EDT Y TAREAS'!AK31,257&lt;'EDT Y TAREAS'!AL31),'EDT Y TAREAS'!AF31/'EDT Y TAREAS'!M31,0),IF(AND(257&gt;='EDT Y TAREAS'!AK33,257&lt;'EDT Y TAREAS'!AL33),'EDT Y TAREAS'!AF33/'EDT Y TAREAS'!M33,0),IF(AND(257&gt;='EDT Y TAREAS'!AK34,257&lt;'EDT Y TAREAS'!AL34),'EDT Y TAREAS'!AF34/'EDT Y TAREAS'!M34,0),IF(AND(257&gt;='EDT Y TAREAS'!AK35,257&lt;'EDT Y TAREAS'!AL35),'EDT Y TAREAS'!AF35/'EDT Y TAREAS'!M35,0),IF(AND(257&gt;='EDT Y TAREAS'!AK37,257&lt;'EDT Y TAREAS'!AL37),'EDT Y TAREAS'!AF37/'EDT Y TAREAS'!M37,0),IF(AND(257&gt;='EDT Y TAREAS'!AK39,257&lt;'EDT Y TAREAS'!AL39),'EDT Y TAREAS'!AF39/'EDT Y TAREAS'!M39,0),IF(AND(257&gt;='EDT Y TAREAS'!AK40,257&lt;'EDT Y TAREAS'!AL40),'EDT Y TAREAS'!AF40/'EDT Y TAREAS'!M40,0),IF(AND(257&gt;='EDT Y TAREAS'!AK42,257&lt;'EDT Y TAREAS'!AL42),'EDT Y TAREAS'!AF42/'EDT Y TAREAS'!M42,0),IF(AND(257&gt;='EDT Y TAREAS'!AK45,257&lt;'EDT Y TAREAS'!AL45),'EDT Y TAREAS'!AF45/'EDT Y TAREAS'!M45,0),IF(AND(257&gt;='EDT Y TAREAS'!AK49,257&lt;'EDT Y TAREAS'!AL49),'EDT Y TAREAS'!AF49/'EDT Y TAREAS'!M49,0),IF(AND(257&gt;='EDT Y TAREAS'!AK52,257&lt;'EDT Y TAREAS'!AL52),'EDT Y TAREAS'!AF52/'EDT Y TAREAS'!M52,0))</x:f>
        <x:v>0</x:v>
      </x:c>
      <x:c r="E297" s="35" t="n">
        <x:f>SUM(IF(AND(257&gt;='EDT Y TAREAS'!AK29,257&lt;'EDT Y TAREAS'!AL29),'EDT Y TAREAS'!AG29/'EDT Y TAREAS'!M29,0),IF(AND(257&gt;='EDT Y TAREAS'!AK30,257&lt;'EDT Y TAREAS'!AL30),'EDT Y TAREAS'!AG30/'EDT Y TAREAS'!M30,0),IF(AND(257&gt;='EDT Y TAREAS'!AK31,257&lt;'EDT Y TAREAS'!AL31),'EDT Y TAREAS'!AG31/'EDT Y TAREAS'!M31,0),IF(AND(257&gt;='EDT Y TAREAS'!AK32,257&lt;'EDT Y TAREAS'!AL32),'EDT Y TAREAS'!AG32/'EDT Y TAREAS'!M32,0),IF(AND(257&gt;='EDT Y TAREAS'!AK41,257&lt;'EDT Y TAREAS'!AL41),'EDT Y TAREAS'!AG41/'EDT Y TAREAS'!M41,0),IF(AND(257&gt;='EDT Y TAREAS'!AK45,257&lt;'EDT Y TAREAS'!AL45),'EDT Y TAREAS'!AG45/'EDT Y TAREAS'!M45,0),IF(AND(257&gt;='EDT Y TAREAS'!AK48,257&lt;'EDT Y TAREAS'!AL48),'EDT Y TAREAS'!AG48/'EDT Y TAREAS'!M48,0))</x:f>
        <x:v>0</x:v>
      </x:c>
      <x:c r="F297" s="35" t="n">
        <x:f>SUM(IF(AND(257&gt;='EDT Y TAREAS'!AK10,257&lt;'EDT Y TAREAS'!AL10),'EDT Y TAREAS'!AH10/'EDT Y TAREAS'!M10,0),IF(AND(257&gt;='EDT Y TAREAS'!AK12,257&lt;'EDT Y TAREAS'!AL12),'EDT Y TAREAS'!AH12/'EDT Y TAREAS'!M12,0),IF(AND(257&gt;='EDT Y TAREAS'!AK22,257&lt;'EDT Y TAREAS'!AL22),'EDT Y TAREAS'!AH22/'EDT Y TAREAS'!M22,0),IF(AND(257&gt;='EDT Y TAREAS'!AK23,257&lt;'EDT Y TAREAS'!AL23),'EDT Y TAREAS'!AH23/'EDT Y TAREAS'!M23,0),IF(AND(257&gt;='EDT Y TAREAS'!AK29,257&lt;'EDT Y TAREAS'!AL29),'EDT Y TAREAS'!AH29/'EDT Y TAREAS'!M29,0),IF(AND(257&gt;='EDT Y TAREAS'!AK30,257&lt;'EDT Y TAREAS'!AL30),'EDT Y TAREAS'!AH30/'EDT Y TAREAS'!M30,0),IF(AND(257&gt;='EDT Y TAREAS'!AK32,257&lt;'EDT Y TAREAS'!AL32),'EDT Y TAREAS'!AH32/'EDT Y TAREAS'!M32,0),IF(AND(257&gt;='EDT Y TAREAS'!AK41,257&lt;'EDT Y TAREAS'!AL41),'EDT Y TAREAS'!AH41/'EDT Y TAREAS'!M41,0),IF(AND(257&gt;='EDT Y TAREAS'!AK44,257&lt;'EDT Y TAREAS'!AL44),'EDT Y TAREAS'!AH44/'EDT Y TAREAS'!M44,0),IF(AND(257&gt;='EDT Y TAREAS'!AK46,257&lt;'EDT Y TAREAS'!AL46),'EDT Y TAREAS'!AH46/'EDT Y TAREAS'!M46,0),IF(AND(257&gt;='EDT Y TAREAS'!AK48,257&lt;'EDT Y TAREAS'!AL48),'EDT Y TAREAS'!AH48/'EDT Y TAREAS'!M48,0))</x:f>
        <x:v>0</x:v>
      </x:c>
      <x:c r="G297" s="35" t="n">
        <x:f>SUM(IF(AND(257&gt;='EDT Y TAREAS'!AK20,257&lt;'EDT Y TAREAS'!AL20),'EDT Y TAREAS'!AI20/'EDT Y TAREAS'!M20,0),IF(AND(257&gt;='EDT Y TAREAS'!AK25,257&lt;'EDT Y TAREAS'!AL25),'EDT Y TAREAS'!AI25/'EDT Y TAREAS'!M25,0),IF(AND(257&gt;='EDT Y TAREAS'!AK33,257&lt;'EDT Y TAREAS'!AL33),'EDT Y TAREAS'!AI33/'EDT Y TAREAS'!M33,0),IF(AND(257&gt;='EDT Y TAREAS'!AK34,257&lt;'EDT Y TAREAS'!AL34),'EDT Y TAREAS'!AI34/'EDT Y TAREAS'!M34,0),IF(AND(257&gt;='EDT Y TAREAS'!AK36,257&lt;'EDT Y TAREAS'!AL36),'EDT Y TAREAS'!AI36/'EDT Y TAREAS'!M36,0),IF(AND(257&gt;='EDT Y TAREAS'!AK39,257&lt;'EDT Y TAREAS'!AL39),'EDT Y TAREAS'!AI39/'EDT Y TAREAS'!M39,0),IF(AND(257&gt;='EDT Y TAREAS'!AK40,257&lt;'EDT Y TAREAS'!AL40),'EDT Y TAREAS'!AI40/'EDT Y TAREAS'!M40,0),IF(AND(257&gt;='EDT Y TAREAS'!AK42,257&lt;'EDT Y TAREAS'!AL42),'EDT Y TAREAS'!AI42/'EDT Y TAREAS'!M42,0),IF(AND(257&gt;='EDT Y TAREAS'!AK43,257&lt;'EDT Y TAREAS'!AL43),'EDT Y TAREAS'!AI43/'EDT Y TAREAS'!M43,0),IF(AND(257&gt;='EDT Y TAREAS'!AK44,257&lt;'EDT Y TAREAS'!AL44),'EDT Y TAREAS'!AI44/'EDT Y TAREAS'!M44,0),IF(AND(257&gt;='EDT Y TAREAS'!AK45,257&lt;'EDT Y TAREAS'!AL45),'EDT Y TAREAS'!AI45/'EDT Y TAREAS'!M45,0),IF(AND(257&gt;='EDT Y TAREAS'!AK46,257&lt;'EDT Y TAREAS'!AL46),'EDT Y TAREAS'!AI46/'EDT Y TAREAS'!M46,0),IF(AND(257&gt;='EDT Y TAREAS'!AK48,257&lt;'EDT Y TAREAS'!AL48),'EDT Y TAREAS'!AI48/'EDT Y TAREAS'!M48,0),IF(AND(257&gt;='EDT Y TAREAS'!AK50,257&lt;'EDT Y TAREAS'!AL50),'EDT Y TAREAS'!AI50/'EDT Y TAREAS'!M50,0),IF(AND(257&gt;='EDT Y TAREAS'!AK52,257&lt;'EDT Y TAREAS'!AL52),'EDT Y TAREAS'!AI52/'EDT Y TAREAS'!M52,0))</x:f>
        <x:v>0</x:v>
      </x:c>
      <x:c r="H297" s="35" t="n">
        <x:f>SUM(IF(AND(257&gt;='EDT Y TAREAS'!AK11,257&lt;'EDT Y TAREAS'!AL11),'EDT Y TAREAS'!AJ11/'EDT Y TAREAS'!M11,0),IF(AND(257&gt;='EDT Y TAREAS'!AK24,257&lt;'EDT Y TAREAS'!AL24),'EDT Y TAREAS'!AJ24/'EDT Y TAREAS'!M24,0),IF(AND(257&gt;='EDT Y TAREAS'!AK27,257&lt;'EDT Y TAREAS'!AL27),'EDT Y TAREAS'!AJ27/'EDT Y TAREAS'!M27,0),IF(AND(257&gt;='EDT Y TAREAS'!AK28,257&lt;'EDT Y TAREAS'!AL28),'EDT Y TAREAS'!AJ28/'EDT Y TAREAS'!M28,0),IF(AND(257&gt;='EDT Y TAREAS'!AK33,257&lt;'EDT Y TAREAS'!AL33),'EDT Y TAREAS'!AJ33/'EDT Y TAREAS'!M33,0),IF(AND(257&gt;='EDT Y TAREAS'!AK35,257&lt;'EDT Y TAREAS'!AL35),'EDT Y TAREAS'!AJ35/'EDT Y TAREAS'!M35,0),IF(AND(257&gt;='EDT Y TAREAS'!AK36,257&lt;'EDT Y TAREAS'!AL36),'EDT Y TAREAS'!AJ36/'EDT Y TAREAS'!M36,0),IF(AND(257&gt;='EDT Y TAREAS'!AK37,257&lt;'EDT Y TAREAS'!AL37),'EDT Y TAREAS'!AJ37/'EDT Y TAREAS'!M37,0),IF(AND(257&gt;='EDT Y TAREAS'!AK40,257&lt;'EDT Y TAREAS'!AL40),'EDT Y TAREAS'!AJ40/'EDT Y TAREAS'!M40,0),IF(AND(257&gt;='EDT Y TAREAS'!AK42,257&lt;'EDT Y TAREAS'!AL42),'EDT Y TAREAS'!AJ42/'EDT Y TAREAS'!M42,0),IF(AND(257&gt;='EDT Y TAREAS'!AK49,257&lt;'EDT Y TAREAS'!AL49),'EDT Y TAREAS'!AJ49/'EDT Y TAREAS'!M49,0),IF(AND(257&gt;='EDT Y TAREAS'!AK50,257&lt;'EDT Y TAREAS'!AL50),'EDT Y TAREAS'!AJ50/'EDT Y TAREAS'!M50,0),IF(AND(257&gt;='EDT Y TAREAS'!AK51,257&lt;'EDT Y TAREAS'!AL51),'EDT Y TAREAS'!AJ51/'EDT Y TAREAS'!M51,0),IF(AND(257&gt;='EDT Y TAREAS'!AK52,257&lt;'EDT Y TAREAS'!AL52),'EDT Y TAREAS'!AJ52/'EDT Y TAREAS'!M52,0))</x:f>
        <x:v>0</x:v>
      </x:c>
      <x:c r="I297" s="10" t="n">
        <x:f>WORKDAY('RESUMEN'!$D$3-1,A297,'RESUMEN'!$J$6:$J$25)</x:f>
        <x:v>46687</x:v>
      </x:c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  <x:c r="AA297" s="3"/>
      <x:c r="AB297" s="3"/>
      <x:c r="AC297" s="3"/>
      <x:c r="AD297" s="3"/>
      <x:c r="AE297" s="3"/>
      <x:c r="AF297" s="3"/>
      <x:c r="AG297" s="3"/>
      <x:c r="AH297" s="3"/>
      <x:c r="AI297" s="3"/>
      <x:c r="AJ297" s="3"/>
      <x:c r="AK297" s="3"/>
      <x:c r="AL297" s="3"/>
      <x:c r="AM297" s="3"/>
      <x:c r="AN297" s="3"/>
      <x:c r="AO297" s="3"/>
    </x:row>
    <x:row r="298" ht="24" customHeight="1">
      <x:c r="A298" s="3" t="n">
        <x:v>259</x:v>
      </x:c>
      <x:c r="B298" s="35" t="n">
        <x:f>SUM(IF(AND(258&gt;='EDT Y TAREAS'!AK6,258&lt;'EDT Y TAREAS'!AL6),'EDT Y TAREAS'!AD6/'EDT Y TAREAS'!M6,0),IF(AND(258&gt;='EDT Y TAREAS'!AK7,258&lt;'EDT Y TAREAS'!AL7),'EDT Y TAREAS'!AD7/'EDT Y TAREAS'!M7,0),IF(AND(258&gt;='EDT Y TAREAS'!AK8,258&lt;'EDT Y TAREAS'!AL8),'EDT Y TAREAS'!AD8/'EDT Y TAREAS'!M8,0),IF(AND(258&gt;='EDT Y TAREAS'!AK9,258&lt;'EDT Y TAREAS'!AL9),'EDT Y TAREAS'!AD9/'EDT Y TAREAS'!M9,0),IF(AND(258&gt;='EDT Y TAREAS'!AK10,258&lt;'EDT Y TAREAS'!AL10),'EDT Y TAREAS'!AD10/'EDT Y TAREAS'!M10,0),IF(AND(258&gt;='EDT Y TAREAS'!AK11,258&lt;'EDT Y TAREAS'!AL11),'EDT Y TAREAS'!AD11/'EDT Y TAREAS'!M11,0),IF(AND(258&gt;='EDT Y TAREAS'!AK12,258&lt;'EDT Y TAREAS'!AL12),'EDT Y TAREAS'!AD12/'EDT Y TAREAS'!M12,0),IF(AND(258&gt;='EDT Y TAREAS'!AK13,258&lt;'EDT Y TAREAS'!AL13),'EDT Y TAREAS'!AD13/'EDT Y TAREAS'!M13,0),IF(AND(258&gt;='EDT Y TAREAS'!AK14,258&lt;'EDT Y TAREAS'!AL14),'EDT Y TAREAS'!AD14/'EDT Y TAREAS'!M14,0),IF(AND(258&gt;='EDT Y TAREAS'!AK15,258&lt;'EDT Y TAREAS'!AL15),'EDT Y TAREAS'!AD15/'EDT Y TAREAS'!M15,0),IF(AND(258&gt;='EDT Y TAREAS'!AK16,258&lt;'EDT Y TAREAS'!AL16),'EDT Y TAREAS'!AD16/'EDT Y TAREAS'!M16,0),IF(AND(258&gt;='EDT Y TAREAS'!AK17,258&lt;'EDT Y TAREAS'!AL17),'EDT Y TAREAS'!AD17/'EDT Y TAREAS'!M17,0),IF(AND(258&gt;='EDT Y TAREAS'!AK18,258&lt;'EDT Y TAREAS'!AL18),'EDT Y TAREAS'!AD18/'EDT Y TAREAS'!M18,0),IF(AND(258&gt;='EDT Y TAREAS'!AK19,258&lt;'EDT Y TAREAS'!AL19),'EDT Y TAREAS'!AD19/'EDT Y TAREAS'!M19,0),IF(AND(258&gt;='EDT Y TAREAS'!AK20,258&lt;'EDT Y TAREAS'!AL20),'EDT Y TAREAS'!AD20/'EDT Y TAREAS'!M20,0),IF(AND(258&gt;='EDT Y TAREAS'!AK21,258&lt;'EDT Y TAREAS'!AL21),'EDT Y TAREAS'!AD21/'EDT Y TAREAS'!M21,0),IF(AND(258&gt;='EDT Y TAREAS'!AK22,258&lt;'EDT Y TAREAS'!AL22),'EDT Y TAREAS'!AD22/'EDT Y TAREAS'!M22,0),IF(AND(258&gt;='EDT Y TAREAS'!AK23,258&lt;'EDT Y TAREAS'!AL23),'EDT Y TAREAS'!AD23/'EDT Y TAREAS'!M23,0),IF(AND(258&gt;='EDT Y TAREAS'!AK26,258&lt;'EDT Y TAREAS'!AL26),'EDT Y TAREAS'!AD26/'EDT Y TAREAS'!M26,0),IF(AND(258&gt;='EDT Y TAREAS'!AK28,258&lt;'EDT Y TAREAS'!AL28),'EDT Y TAREAS'!AD28/'EDT Y TAREAS'!M28,0),IF(AND(258&gt;='EDT Y TAREAS'!AK30,258&lt;'EDT Y TAREAS'!AL30),'EDT Y TAREAS'!AD30/'EDT Y TAREAS'!M30,0),IF(AND(258&gt;='EDT Y TAREAS'!AK32,258&lt;'EDT Y TAREAS'!AL32),'EDT Y TAREAS'!AD32/'EDT Y TAREAS'!M32,0),IF(AND(258&gt;='EDT Y TAREAS'!AK34,258&lt;'EDT Y TAREAS'!AL34),'EDT Y TAREAS'!AD34/'EDT Y TAREAS'!M34,0),IF(AND(258&gt;='EDT Y TAREAS'!AK38,258&lt;'EDT Y TAREAS'!AL38),'EDT Y TAREAS'!AD38/'EDT Y TAREAS'!M38,0),IF(AND(258&gt;='EDT Y TAREAS'!AK39,258&lt;'EDT Y TAREAS'!AL39),'EDT Y TAREAS'!AD39/'EDT Y TAREAS'!M39,0),IF(AND(258&gt;='EDT Y TAREAS'!AK43,258&lt;'EDT Y TAREAS'!AL43),'EDT Y TAREAS'!AD43/'EDT Y TAREAS'!M43,0),IF(AND(258&gt;='EDT Y TAREAS'!AK44,258&lt;'EDT Y TAREAS'!AL44),'EDT Y TAREAS'!AD44/'EDT Y TAREAS'!M44,0),IF(AND(258&gt;='EDT Y TAREAS'!AK45,258&lt;'EDT Y TAREAS'!AL45),'EDT Y TAREAS'!AD45/'EDT Y TAREAS'!M45,0),IF(AND(258&gt;='EDT Y TAREAS'!AK46,258&lt;'EDT Y TAREAS'!AL46),'EDT Y TAREAS'!AD46/'EDT Y TAREAS'!M46,0),IF(AND(258&gt;='EDT Y TAREAS'!AK47,258&lt;'EDT Y TAREAS'!AL47),'EDT Y TAREAS'!AD47/'EDT Y TAREAS'!M47,0),IF(AND(258&gt;='EDT Y TAREAS'!AK49,258&lt;'EDT Y TAREAS'!AL49),'EDT Y TAREAS'!AD49/'EDT Y TAREAS'!M49,0),IF(AND(258&gt;='EDT Y TAREAS'!AK50,258&lt;'EDT Y TAREAS'!AL50),'EDT Y TAREAS'!AD50/'EDT Y TAREAS'!M50,0),IF(AND(258&gt;='EDT Y TAREAS'!AK51,258&lt;'EDT Y TAREAS'!AL51),'EDT Y TAREAS'!AD51/'EDT Y TAREAS'!M51,0),IF(AND(258&gt;='EDT Y TAREAS'!AK52,258&lt;'EDT Y TAREAS'!AL52),'EDT Y TAREAS'!AD52/'EDT Y TAREAS'!M52,0))</x:f>
        <x:v>0</x:v>
      </x:c>
      <x:c r="C298" s="35" t="n">
        <x:f>SUM(IF(AND(258&gt;='EDT Y TAREAS'!AK6,258&lt;'EDT Y TAREAS'!AL6),'EDT Y TAREAS'!AE6/'EDT Y TAREAS'!M6,0),IF(AND(258&gt;='EDT Y TAREAS'!AK8,258&lt;'EDT Y TAREAS'!AL8),'EDT Y TAREAS'!AE8/'EDT Y TAREAS'!M8,0),IF(AND(258&gt;='EDT Y TAREAS'!AK9,258&lt;'EDT Y TAREAS'!AL9),'EDT Y TAREAS'!AE9/'EDT Y TAREAS'!M9,0),IF(AND(258&gt;='EDT Y TAREAS'!AK10,258&lt;'EDT Y TAREAS'!AL10),'EDT Y TAREAS'!AE10/'EDT Y TAREAS'!M10,0),IF(AND(258&gt;='EDT Y TAREAS'!AK12,258&lt;'EDT Y TAREAS'!AL12),'EDT Y TAREAS'!AE12/'EDT Y TAREAS'!M12,0),IF(AND(258&gt;='EDT Y TAREAS'!AK16,258&lt;'EDT Y TAREAS'!AL16),'EDT Y TAREAS'!AE16/'EDT Y TAREAS'!M16,0),IF(AND(258&gt;='EDT Y TAREAS'!AK21,258&lt;'EDT Y TAREAS'!AL21),'EDT Y TAREAS'!AE21/'EDT Y TAREAS'!M21,0),IF(AND(258&gt;='EDT Y TAREAS'!AK23,258&lt;'EDT Y TAREAS'!AL23),'EDT Y TAREAS'!AE23/'EDT Y TAREAS'!M23,0),IF(AND(258&gt;='EDT Y TAREAS'!AK37,258&lt;'EDT Y TAREAS'!AL37),'EDT Y TAREAS'!AE37/'EDT Y TAREAS'!M37,0),IF(AND(258&gt;='EDT Y TAREAS'!AK38,258&lt;'EDT Y TAREAS'!AL38),'EDT Y TAREAS'!AE38/'EDT Y TAREAS'!M38,0),IF(AND(258&gt;='EDT Y TAREAS'!AK41,258&lt;'EDT Y TAREAS'!AL41),'EDT Y TAREAS'!AE41/'EDT Y TAREAS'!M41,0),IF(AND(258&gt;='EDT Y TAREAS'!AK43,258&lt;'EDT Y TAREAS'!AL43),'EDT Y TAREAS'!AE43/'EDT Y TAREAS'!M43,0),IF(AND(258&gt;='EDT Y TAREAS'!AK44,258&lt;'EDT Y TAREAS'!AL44),'EDT Y TAREAS'!AE44/'EDT Y TAREAS'!M44,0),IF(AND(258&gt;='EDT Y TAREAS'!AK46,258&lt;'EDT Y TAREAS'!AL46),'EDT Y TAREAS'!AE46/'EDT Y TAREAS'!M46,0),IF(AND(258&gt;='EDT Y TAREAS'!AK47,258&lt;'EDT Y TAREAS'!AL47),'EDT Y TAREAS'!AE47/'EDT Y TAREAS'!M47,0),IF(AND(258&gt;='EDT Y TAREAS'!AK51,258&lt;'EDT Y TAREAS'!AL51),'EDT Y TAREAS'!AE51/'EDT Y TAREAS'!M51,0),IF(AND(258&gt;='EDT Y TAREAS'!AK52,258&lt;'EDT Y TAREAS'!AL52),'EDT Y TAREAS'!AE52/'EDT Y TAREAS'!M52,0))</x:f>
        <x:v>0</x:v>
      </x:c>
      <x:c r="D298" s="35" t="n">
        <x:f>SUM(IF(AND(258&gt;='EDT Y TAREAS'!AK11,258&lt;'EDT Y TAREAS'!AL11),'EDT Y TAREAS'!AF11/'EDT Y TAREAS'!M11,0),IF(AND(258&gt;='EDT Y TAREAS'!AK24,258&lt;'EDT Y TAREAS'!AL24),'EDT Y TAREAS'!AF24/'EDT Y TAREAS'!M24,0),IF(AND(258&gt;='EDT Y TAREAS'!AK25,258&lt;'EDT Y TAREAS'!AL25),'EDT Y TAREAS'!AF25/'EDT Y TAREAS'!M25,0),IF(AND(258&gt;='EDT Y TAREAS'!AK26,258&lt;'EDT Y TAREAS'!AL26),'EDT Y TAREAS'!AF26/'EDT Y TAREAS'!M26,0),IF(AND(258&gt;='EDT Y TAREAS'!AK27,258&lt;'EDT Y TAREAS'!AL27),'EDT Y TAREAS'!AF27/'EDT Y TAREAS'!M27,0),IF(AND(258&gt;='EDT Y TAREAS'!AK28,258&lt;'EDT Y TAREAS'!AL28),'EDT Y TAREAS'!AF28/'EDT Y TAREAS'!M28,0),IF(AND(258&gt;='EDT Y TAREAS'!AK31,258&lt;'EDT Y TAREAS'!AL31),'EDT Y TAREAS'!AF31/'EDT Y TAREAS'!M31,0),IF(AND(258&gt;='EDT Y TAREAS'!AK33,258&lt;'EDT Y TAREAS'!AL33),'EDT Y TAREAS'!AF33/'EDT Y TAREAS'!M33,0),IF(AND(258&gt;='EDT Y TAREAS'!AK34,258&lt;'EDT Y TAREAS'!AL34),'EDT Y TAREAS'!AF34/'EDT Y TAREAS'!M34,0),IF(AND(258&gt;='EDT Y TAREAS'!AK35,258&lt;'EDT Y TAREAS'!AL35),'EDT Y TAREAS'!AF35/'EDT Y TAREAS'!M35,0),IF(AND(258&gt;='EDT Y TAREAS'!AK37,258&lt;'EDT Y TAREAS'!AL37),'EDT Y TAREAS'!AF37/'EDT Y TAREAS'!M37,0),IF(AND(258&gt;='EDT Y TAREAS'!AK39,258&lt;'EDT Y TAREAS'!AL39),'EDT Y TAREAS'!AF39/'EDT Y TAREAS'!M39,0),IF(AND(258&gt;='EDT Y TAREAS'!AK40,258&lt;'EDT Y TAREAS'!AL40),'EDT Y TAREAS'!AF40/'EDT Y TAREAS'!M40,0),IF(AND(258&gt;='EDT Y TAREAS'!AK42,258&lt;'EDT Y TAREAS'!AL42),'EDT Y TAREAS'!AF42/'EDT Y TAREAS'!M42,0),IF(AND(258&gt;='EDT Y TAREAS'!AK45,258&lt;'EDT Y TAREAS'!AL45),'EDT Y TAREAS'!AF45/'EDT Y TAREAS'!M45,0),IF(AND(258&gt;='EDT Y TAREAS'!AK49,258&lt;'EDT Y TAREAS'!AL49),'EDT Y TAREAS'!AF49/'EDT Y TAREAS'!M49,0),IF(AND(258&gt;='EDT Y TAREAS'!AK52,258&lt;'EDT Y TAREAS'!AL52),'EDT Y TAREAS'!AF52/'EDT Y TAREAS'!M52,0))</x:f>
        <x:v>0</x:v>
      </x:c>
      <x:c r="E298" s="35" t="n">
        <x:f>SUM(IF(AND(258&gt;='EDT Y TAREAS'!AK29,258&lt;'EDT Y TAREAS'!AL29),'EDT Y TAREAS'!AG29/'EDT Y TAREAS'!M29,0),IF(AND(258&gt;='EDT Y TAREAS'!AK30,258&lt;'EDT Y TAREAS'!AL30),'EDT Y TAREAS'!AG30/'EDT Y TAREAS'!M30,0),IF(AND(258&gt;='EDT Y TAREAS'!AK31,258&lt;'EDT Y TAREAS'!AL31),'EDT Y TAREAS'!AG31/'EDT Y TAREAS'!M31,0),IF(AND(258&gt;='EDT Y TAREAS'!AK32,258&lt;'EDT Y TAREAS'!AL32),'EDT Y TAREAS'!AG32/'EDT Y TAREAS'!M32,0),IF(AND(258&gt;='EDT Y TAREAS'!AK41,258&lt;'EDT Y TAREAS'!AL41),'EDT Y TAREAS'!AG41/'EDT Y TAREAS'!M41,0),IF(AND(258&gt;='EDT Y TAREAS'!AK45,258&lt;'EDT Y TAREAS'!AL45),'EDT Y TAREAS'!AG45/'EDT Y TAREAS'!M45,0),IF(AND(258&gt;='EDT Y TAREAS'!AK48,258&lt;'EDT Y TAREAS'!AL48),'EDT Y TAREAS'!AG48/'EDT Y TAREAS'!M48,0))</x:f>
        <x:v>0</x:v>
      </x:c>
      <x:c r="F298" s="35" t="n">
        <x:f>SUM(IF(AND(258&gt;='EDT Y TAREAS'!AK10,258&lt;'EDT Y TAREAS'!AL10),'EDT Y TAREAS'!AH10/'EDT Y TAREAS'!M10,0),IF(AND(258&gt;='EDT Y TAREAS'!AK12,258&lt;'EDT Y TAREAS'!AL12),'EDT Y TAREAS'!AH12/'EDT Y TAREAS'!M12,0),IF(AND(258&gt;='EDT Y TAREAS'!AK22,258&lt;'EDT Y TAREAS'!AL22),'EDT Y TAREAS'!AH22/'EDT Y TAREAS'!M22,0),IF(AND(258&gt;='EDT Y TAREAS'!AK23,258&lt;'EDT Y TAREAS'!AL23),'EDT Y TAREAS'!AH23/'EDT Y TAREAS'!M23,0),IF(AND(258&gt;='EDT Y TAREAS'!AK29,258&lt;'EDT Y TAREAS'!AL29),'EDT Y TAREAS'!AH29/'EDT Y TAREAS'!M29,0),IF(AND(258&gt;='EDT Y TAREAS'!AK30,258&lt;'EDT Y TAREAS'!AL30),'EDT Y TAREAS'!AH30/'EDT Y TAREAS'!M30,0),IF(AND(258&gt;='EDT Y TAREAS'!AK32,258&lt;'EDT Y TAREAS'!AL32),'EDT Y TAREAS'!AH32/'EDT Y TAREAS'!M32,0),IF(AND(258&gt;='EDT Y TAREAS'!AK41,258&lt;'EDT Y TAREAS'!AL41),'EDT Y TAREAS'!AH41/'EDT Y TAREAS'!M41,0),IF(AND(258&gt;='EDT Y TAREAS'!AK44,258&lt;'EDT Y TAREAS'!AL44),'EDT Y TAREAS'!AH44/'EDT Y TAREAS'!M44,0),IF(AND(258&gt;='EDT Y TAREAS'!AK46,258&lt;'EDT Y TAREAS'!AL46),'EDT Y TAREAS'!AH46/'EDT Y TAREAS'!M46,0),IF(AND(258&gt;='EDT Y TAREAS'!AK48,258&lt;'EDT Y TAREAS'!AL48),'EDT Y TAREAS'!AH48/'EDT Y TAREAS'!M48,0))</x:f>
        <x:v>0</x:v>
      </x:c>
      <x:c r="G298" s="35" t="n">
        <x:f>SUM(IF(AND(258&gt;='EDT Y TAREAS'!AK20,258&lt;'EDT Y TAREAS'!AL20),'EDT Y TAREAS'!AI20/'EDT Y TAREAS'!M20,0),IF(AND(258&gt;='EDT Y TAREAS'!AK25,258&lt;'EDT Y TAREAS'!AL25),'EDT Y TAREAS'!AI25/'EDT Y TAREAS'!M25,0),IF(AND(258&gt;='EDT Y TAREAS'!AK33,258&lt;'EDT Y TAREAS'!AL33),'EDT Y TAREAS'!AI33/'EDT Y TAREAS'!M33,0),IF(AND(258&gt;='EDT Y TAREAS'!AK34,258&lt;'EDT Y TAREAS'!AL34),'EDT Y TAREAS'!AI34/'EDT Y TAREAS'!M34,0),IF(AND(258&gt;='EDT Y TAREAS'!AK36,258&lt;'EDT Y TAREAS'!AL36),'EDT Y TAREAS'!AI36/'EDT Y TAREAS'!M36,0),IF(AND(258&gt;='EDT Y TAREAS'!AK39,258&lt;'EDT Y TAREAS'!AL39),'EDT Y TAREAS'!AI39/'EDT Y TAREAS'!M39,0),IF(AND(258&gt;='EDT Y TAREAS'!AK40,258&lt;'EDT Y TAREAS'!AL40),'EDT Y TAREAS'!AI40/'EDT Y TAREAS'!M40,0),IF(AND(258&gt;='EDT Y TAREAS'!AK42,258&lt;'EDT Y TAREAS'!AL42),'EDT Y TAREAS'!AI42/'EDT Y TAREAS'!M42,0),IF(AND(258&gt;='EDT Y TAREAS'!AK43,258&lt;'EDT Y TAREAS'!AL43),'EDT Y TAREAS'!AI43/'EDT Y TAREAS'!M43,0),IF(AND(258&gt;='EDT Y TAREAS'!AK44,258&lt;'EDT Y TAREAS'!AL44),'EDT Y TAREAS'!AI44/'EDT Y TAREAS'!M44,0),IF(AND(258&gt;='EDT Y TAREAS'!AK45,258&lt;'EDT Y TAREAS'!AL45),'EDT Y TAREAS'!AI45/'EDT Y TAREAS'!M45,0),IF(AND(258&gt;='EDT Y TAREAS'!AK46,258&lt;'EDT Y TAREAS'!AL46),'EDT Y TAREAS'!AI46/'EDT Y TAREAS'!M46,0),IF(AND(258&gt;='EDT Y TAREAS'!AK48,258&lt;'EDT Y TAREAS'!AL48),'EDT Y TAREAS'!AI48/'EDT Y TAREAS'!M48,0),IF(AND(258&gt;='EDT Y TAREAS'!AK50,258&lt;'EDT Y TAREAS'!AL50),'EDT Y TAREAS'!AI50/'EDT Y TAREAS'!M50,0),IF(AND(258&gt;='EDT Y TAREAS'!AK52,258&lt;'EDT Y TAREAS'!AL52),'EDT Y TAREAS'!AI52/'EDT Y TAREAS'!M52,0))</x:f>
        <x:v>0</x:v>
      </x:c>
      <x:c r="H298" s="35" t="n">
        <x:f>SUM(IF(AND(258&gt;='EDT Y TAREAS'!AK11,258&lt;'EDT Y TAREAS'!AL11),'EDT Y TAREAS'!AJ11/'EDT Y TAREAS'!M11,0),IF(AND(258&gt;='EDT Y TAREAS'!AK24,258&lt;'EDT Y TAREAS'!AL24),'EDT Y TAREAS'!AJ24/'EDT Y TAREAS'!M24,0),IF(AND(258&gt;='EDT Y TAREAS'!AK27,258&lt;'EDT Y TAREAS'!AL27),'EDT Y TAREAS'!AJ27/'EDT Y TAREAS'!M27,0),IF(AND(258&gt;='EDT Y TAREAS'!AK28,258&lt;'EDT Y TAREAS'!AL28),'EDT Y TAREAS'!AJ28/'EDT Y TAREAS'!M28,0),IF(AND(258&gt;='EDT Y TAREAS'!AK33,258&lt;'EDT Y TAREAS'!AL33),'EDT Y TAREAS'!AJ33/'EDT Y TAREAS'!M33,0),IF(AND(258&gt;='EDT Y TAREAS'!AK35,258&lt;'EDT Y TAREAS'!AL35),'EDT Y TAREAS'!AJ35/'EDT Y TAREAS'!M35,0),IF(AND(258&gt;='EDT Y TAREAS'!AK36,258&lt;'EDT Y TAREAS'!AL36),'EDT Y TAREAS'!AJ36/'EDT Y TAREAS'!M36,0),IF(AND(258&gt;='EDT Y TAREAS'!AK37,258&lt;'EDT Y TAREAS'!AL37),'EDT Y TAREAS'!AJ37/'EDT Y TAREAS'!M37,0),IF(AND(258&gt;='EDT Y TAREAS'!AK40,258&lt;'EDT Y TAREAS'!AL40),'EDT Y TAREAS'!AJ40/'EDT Y TAREAS'!M40,0),IF(AND(258&gt;='EDT Y TAREAS'!AK42,258&lt;'EDT Y TAREAS'!AL42),'EDT Y TAREAS'!AJ42/'EDT Y TAREAS'!M42,0),IF(AND(258&gt;='EDT Y TAREAS'!AK49,258&lt;'EDT Y TAREAS'!AL49),'EDT Y TAREAS'!AJ49/'EDT Y TAREAS'!M49,0),IF(AND(258&gt;='EDT Y TAREAS'!AK50,258&lt;'EDT Y TAREAS'!AL50),'EDT Y TAREAS'!AJ50/'EDT Y TAREAS'!M50,0),IF(AND(258&gt;='EDT Y TAREAS'!AK51,258&lt;'EDT Y TAREAS'!AL51),'EDT Y TAREAS'!AJ51/'EDT Y TAREAS'!M51,0),IF(AND(258&gt;='EDT Y TAREAS'!AK52,258&lt;'EDT Y TAREAS'!AL52),'EDT Y TAREAS'!AJ52/'EDT Y TAREAS'!M52,0))</x:f>
        <x:v>0</x:v>
      </x:c>
      <x:c r="I298" s="10" t="n">
        <x:f>WORKDAY('RESUMEN'!$D$3-1,A298,'RESUMEN'!$J$6:$J$25)</x:f>
        <x:v>46688</x:v>
      </x:c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  <x:c r="AA298" s="3"/>
      <x:c r="AB298" s="3"/>
      <x:c r="AC298" s="3"/>
      <x:c r="AD298" s="3"/>
      <x:c r="AE298" s="3"/>
      <x:c r="AF298" s="3"/>
      <x:c r="AG298" s="3"/>
      <x:c r="AH298" s="3"/>
      <x:c r="AI298" s="3"/>
      <x:c r="AJ298" s="3"/>
      <x:c r="AK298" s="3"/>
      <x:c r="AL298" s="3"/>
      <x:c r="AM298" s="3"/>
      <x:c r="AN298" s="3"/>
      <x:c r="AO298" s="3"/>
    </x:row>
    <x:row r="299" ht="24" customHeight="1">
      <x:c r="A299" s="3" t="n">
        <x:v>260</x:v>
      </x:c>
      <x:c r="B299" s="35" t="n">
        <x:f>SUM(IF(AND(259&gt;='EDT Y TAREAS'!AK6,259&lt;'EDT Y TAREAS'!AL6),'EDT Y TAREAS'!AD6/'EDT Y TAREAS'!M6,0),IF(AND(259&gt;='EDT Y TAREAS'!AK7,259&lt;'EDT Y TAREAS'!AL7),'EDT Y TAREAS'!AD7/'EDT Y TAREAS'!M7,0),IF(AND(259&gt;='EDT Y TAREAS'!AK8,259&lt;'EDT Y TAREAS'!AL8),'EDT Y TAREAS'!AD8/'EDT Y TAREAS'!M8,0),IF(AND(259&gt;='EDT Y TAREAS'!AK9,259&lt;'EDT Y TAREAS'!AL9),'EDT Y TAREAS'!AD9/'EDT Y TAREAS'!M9,0),IF(AND(259&gt;='EDT Y TAREAS'!AK10,259&lt;'EDT Y TAREAS'!AL10),'EDT Y TAREAS'!AD10/'EDT Y TAREAS'!M10,0),IF(AND(259&gt;='EDT Y TAREAS'!AK11,259&lt;'EDT Y TAREAS'!AL11),'EDT Y TAREAS'!AD11/'EDT Y TAREAS'!M11,0),IF(AND(259&gt;='EDT Y TAREAS'!AK12,259&lt;'EDT Y TAREAS'!AL12),'EDT Y TAREAS'!AD12/'EDT Y TAREAS'!M12,0),IF(AND(259&gt;='EDT Y TAREAS'!AK13,259&lt;'EDT Y TAREAS'!AL13),'EDT Y TAREAS'!AD13/'EDT Y TAREAS'!M13,0),IF(AND(259&gt;='EDT Y TAREAS'!AK14,259&lt;'EDT Y TAREAS'!AL14),'EDT Y TAREAS'!AD14/'EDT Y TAREAS'!M14,0),IF(AND(259&gt;='EDT Y TAREAS'!AK15,259&lt;'EDT Y TAREAS'!AL15),'EDT Y TAREAS'!AD15/'EDT Y TAREAS'!M15,0),IF(AND(259&gt;='EDT Y TAREAS'!AK16,259&lt;'EDT Y TAREAS'!AL16),'EDT Y TAREAS'!AD16/'EDT Y TAREAS'!M16,0),IF(AND(259&gt;='EDT Y TAREAS'!AK17,259&lt;'EDT Y TAREAS'!AL17),'EDT Y TAREAS'!AD17/'EDT Y TAREAS'!M17,0),IF(AND(259&gt;='EDT Y TAREAS'!AK18,259&lt;'EDT Y TAREAS'!AL18),'EDT Y TAREAS'!AD18/'EDT Y TAREAS'!M18,0),IF(AND(259&gt;='EDT Y TAREAS'!AK19,259&lt;'EDT Y TAREAS'!AL19),'EDT Y TAREAS'!AD19/'EDT Y TAREAS'!M19,0),IF(AND(259&gt;='EDT Y TAREAS'!AK20,259&lt;'EDT Y TAREAS'!AL20),'EDT Y TAREAS'!AD20/'EDT Y TAREAS'!M20,0),IF(AND(259&gt;='EDT Y TAREAS'!AK21,259&lt;'EDT Y TAREAS'!AL21),'EDT Y TAREAS'!AD21/'EDT Y TAREAS'!M21,0),IF(AND(259&gt;='EDT Y TAREAS'!AK22,259&lt;'EDT Y TAREAS'!AL22),'EDT Y TAREAS'!AD22/'EDT Y TAREAS'!M22,0),IF(AND(259&gt;='EDT Y TAREAS'!AK23,259&lt;'EDT Y TAREAS'!AL23),'EDT Y TAREAS'!AD23/'EDT Y TAREAS'!M23,0),IF(AND(259&gt;='EDT Y TAREAS'!AK26,259&lt;'EDT Y TAREAS'!AL26),'EDT Y TAREAS'!AD26/'EDT Y TAREAS'!M26,0),IF(AND(259&gt;='EDT Y TAREAS'!AK28,259&lt;'EDT Y TAREAS'!AL28),'EDT Y TAREAS'!AD28/'EDT Y TAREAS'!M28,0),IF(AND(259&gt;='EDT Y TAREAS'!AK30,259&lt;'EDT Y TAREAS'!AL30),'EDT Y TAREAS'!AD30/'EDT Y TAREAS'!M30,0),IF(AND(259&gt;='EDT Y TAREAS'!AK32,259&lt;'EDT Y TAREAS'!AL32),'EDT Y TAREAS'!AD32/'EDT Y TAREAS'!M32,0),IF(AND(259&gt;='EDT Y TAREAS'!AK34,259&lt;'EDT Y TAREAS'!AL34),'EDT Y TAREAS'!AD34/'EDT Y TAREAS'!M34,0),IF(AND(259&gt;='EDT Y TAREAS'!AK38,259&lt;'EDT Y TAREAS'!AL38),'EDT Y TAREAS'!AD38/'EDT Y TAREAS'!M38,0),IF(AND(259&gt;='EDT Y TAREAS'!AK39,259&lt;'EDT Y TAREAS'!AL39),'EDT Y TAREAS'!AD39/'EDT Y TAREAS'!M39,0),IF(AND(259&gt;='EDT Y TAREAS'!AK43,259&lt;'EDT Y TAREAS'!AL43),'EDT Y TAREAS'!AD43/'EDT Y TAREAS'!M43,0),IF(AND(259&gt;='EDT Y TAREAS'!AK44,259&lt;'EDT Y TAREAS'!AL44),'EDT Y TAREAS'!AD44/'EDT Y TAREAS'!M44,0),IF(AND(259&gt;='EDT Y TAREAS'!AK45,259&lt;'EDT Y TAREAS'!AL45),'EDT Y TAREAS'!AD45/'EDT Y TAREAS'!M45,0),IF(AND(259&gt;='EDT Y TAREAS'!AK46,259&lt;'EDT Y TAREAS'!AL46),'EDT Y TAREAS'!AD46/'EDT Y TAREAS'!M46,0),IF(AND(259&gt;='EDT Y TAREAS'!AK47,259&lt;'EDT Y TAREAS'!AL47),'EDT Y TAREAS'!AD47/'EDT Y TAREAS'!M47,0),IF(AND(259&gt;='EDT Y TAREAS'!AK49,259&lt;'EDT Y TAREAS'!AL49),'EDT Y TAREAS'!AD49/'EDT Y TAREAS'!M49,0),IF(AND(259&gt;='EDT Y TAREAS'!AK50,259&lt;'EDT Y TAREAS'!AL50),'EDT Y TAREAS'!AD50/'EDT Y TAREAS'!M50,0),IF(AND(259&gt;='EDT Y TAREAS'!AK51,259&lt;'EDT Y TAREAS'!AL51),'EDT Y TAREAS'!AD51/'EDT Y TAREAS'!M51,0),IF(AND(259&gt;='EDT Y TAREAS'!AK52,259&lt;'EDT Y TAREAS'!AL52),'EDT Y TAREAS'!AD52/'EDT Y TAREAS'!M52,0))</x:f>
        <x:v>0</x:v>
      </x:c>
      <x:c r="C299" s="35" t="n">
        <x:f>SUM(IF(AND(259&gt;='EDT Y TAREAS'!AK6,259&lt;'EDT Y TAREAS'!AL6),'EDT Y TAREAS'!AE6/'EDT Y TAREAS'!M6,0),IF(AND(259&gt;='EDT Y TAREAS'!AK8,259&lt;'EDT Y TAREAS'!AL8),'EDT Y TAREAS'!AE8/'EDT Y TAREAS'!M8,0),IF(AND(259&gt;='EDT Y TAREAS'!AK9,259&lt;'EDT Y TAREAS'!AL9),'EDT Y TAREAS'!AE9/'EDT Y TAREAS'!M9,0),IF(AND(259&gt;='EDT Y TAREAS'!AK10,259&lt;'EDT Y TAREAS'!AL10),'EDT Y TAREAS'!AE10/'EDT Y TAREAS'!M10,0),IF(AND(259&gt;='EDT Y TAREAS'!AK12,259&lt;'EDT Y TAREAS'!AL12),'EDT Y TAREAS'!AE12/'EDT Y TAREAS'!M12,0),IF(AND(259&gt;='EDT Y TAREAS'!AK16,259&lt;'EDT Y TAREAS'!AL16),'EDT Y TAREAS'!AE16/'EDT Y TAREAS'!M16,0),IF(AND(259&gt;='EDT Y TAREAS'!AK21,259&lt;'EDT Y TAREAS'!AL21),'EDT Y TAREAS'!AE21/'EDT Y TAREAS'!M21,0),IF(AND(259&gt;='EDT Y TAREAS'!AK23,259&lt;'EDT Y TAREAS'!AL23),'EDT Y TAREAS'!AE23/'EDT Y TAREAS'!M23,0),IF(AND(259&gt;='EDT Y TAREAS'!AK37,259&lt;'EDT Y TAREAS'!AL37),'EDT Y TAREAS'!AE37/'EDT Y TAREAS'!M37,0),IF(AND(259&gt;='EDT Y TAREAS'!AK38,259&lt;'EDT Y TAREAS'!AL38),'EDT Y TAREAS'!AE38/'EDT Y TAREAS'!M38,0),IF(AND(259&gt;='EDT Y TAREAS'!AK41,259&lt;'EDT Y TAREAS'!AL41),'EDT Y TAREAS'!AE41/'EDT Y TAREAS'!M41,0),IF(AND(259&gt;='EDT Y TAREAS'!AK43,259&lt;'EDT Y TAREAS'!AL43),'EDT Y TAREAS'!AE43/'EDT Y TAREAS'!M43,0),IF(AND(259&gt;='EDT Y TAREAS'!AK44,259&lt;'EDT Y TAREAS'!AL44),'EDT Y TAREAS'!AE44/'EDT Y TAREAS'!M44,0),IF(AND(259&gt;='EDT Y TAREAS'!AK46,259&lt;'EDT Y TAREAS'!AL46),'EDT Y TAREAS'!AE46/'EDT Y TAREAS'!M46,0),IF(AND(259&gt;='EDT Y TAREAS'!AK47,259&lt;'EDT Y TAREAS'!AL47),'EDT Y TAREAS'!AE47/'EDT Y TAREAS'!M47,0),IF(AND(259&gt;='EDT Y TAREAS'!AK51,259&lt;'EDT Y TAREAS'!AL51),'EDT Y TAREAS'!AE51/'EDT Y TAREAS'!M51,0),IF(AND(259&gt;='EDT Y TAREAS'!AK52,259&lt;'EDT Y TAREAS'!AL52),'EDT Y TAREAS'!AE52/'EDT Y TAREAS'!M52,0))</x:f>
        <x:v>0</x:v>
      </x:c>
      <x:c r="D299" s="35" t="n">
        <x:f>SUM(IF(AND(259&gt;='EDT Y TAREAS'!AK11,259&lt;'EDT Y TAREAS'!AL11),'EDT Y TAREAS'!AF11/'EDT Y TAREAS'!M11,0),IF(AND(259&gt;='EDT Y TAREAS'!AK24,259&lt;'EDT Y TAREAS'!AL24),'EDT Y TAREAS'!AF24/'EDT Y TAREAS'!M24,0),IF(AND(259&gt;='EDT Y TAREAS'!AK25,259&lt;'EDT Y TAREAS'!AL25),'EDT Y TAREAS'!AF25/'EDT Y TAREAS'!M25,0),IF(AND(259&gt;='EDT Y TAREAS'!AK26,259&lt;'EDT Y TAREAS'!AL26),'EDT Y TAREAS'!AF26/'EDT Y TAREAS'!M26,0),IF(AND(259&gt;='EDT Y TAREAS'!AK27,259&lt;'EDT Y TAREAS'!AL27),'EDT Y TAREAS'!AF27/'EDT Y TAREAS'!M27,0),IF(AND(259&gt;='EDT Y TAREAS'!AK28,259&lt;'EDT Y TAREAS'!AL28),'EDT Y TAREAS'!AF28/'EDT Y TAREAS'!M28,0),IF(AND(259&gt;='EDT Y TAREAS'!AK31,259&lt;'EDT Y TAREAS'!AL31),'EDT Y TAREAS'!AF31/'EDT Y TAREAS'!M31,0),IF(AND(259&gt;='EDT Y TAREAS'!AK33,259&lt;'EDT Y TAREAS'!AL33),'EDT Y TAREAS'!AF33/'EDT Y TAREAS'!M33,0),IF(AND(259&gt;='EDT Y TAREAS'!AK34,259&lt;'EDT Y TAREAS'!AL34),'EDT Y TAREAS'!AF34/'EDT Y TAREAS'!M34,0),IF(AND(259&gt;='EDT Y TAREAS'!AK35,259&lt;'EDT Y TAREAS'!AL35),'EDT Y TAREAS'!AF35/'EDT Y TAREAS'!M35,0),IF(AND(259&gt;='EDT Y TAREAS'!AK37,259&lt;'EDT Y TAREAS'!AL37),'EDT Y TAREAS'!AF37/'EDT Y TAREAS'!M37,0),IF(AND(259&gt;='EDT Y TAREAS'!AK39,259&lt;'EDT Y TAREAS'!AL39),'EDT Y TAREAS'!AF39/'EDT Y TAREAS'!M39,0),IF(AND(259&gt;='EDT Y TAREAS'!AK40,259&lt;'EDT Y TAREAS'!AL40),'EDT Y TAREAS'!AF40/'EDT Y TAREAS'!M40,0),IF(AND(259&gt;='EDT Y TAREAS'!AK42,259&lt;'EDT Y TAREAS'!AL42),'EDT Y TAREAS'!AF42/'EDT Y TAREAS'!M42,0),IF(AND(259&gt;='EDT Y TAREAS'!AK45,259&lt;'EDT Y TAREAS'!AL45),'EDT Y TAREAS'!AF45/'EDT Y TAREAS'!M45,0),IF(AND(259&gt;='EDT Y TAREAS'!AK49,259&lt;'EDT Y TAREAS'!AL49),'EDT Y TAREAS'!AF49/'EDT Y TAREAS'!M49,0),IF(AND(259&gt;='EDT Y TAREAS'!AK52,259&lt;'EDT Y TAREAS'!AL52),'EDT Y TAREAS'!AF52/'EDT Y TAREAS'!M52,0))</x:f>
        <x:v>0</x:v>
      </x:c>
      <x:c r="E299" s="35" t="n">
        <x:f>SUM(IF(AND(259&gt;='EDT Y TAREAS'!AK29,259&lt;'EDT Y TAREAS'!AL29),'EDT Y TAREAS'!AG29/'EDT Y TAREAS'!M29,0),IF(AND(259&gt;='EDT Y TAREAS'!AK30,259&lt;'EDT Y TAREAS'!AL30),'EDT Y TAREAS'!AG30/'EDT Y TAREAS'!M30,0),IF(AND(259&gt;='EDT Y TAREAS'!AK31,259&lt;'EDT Y TAREAS'!AL31),'EDT Y TAREAS'!AG31/'EDT Y TAREAS'!M31,0),IF(AND(259&gt;='EDT Y TAREAS'!AK32,259&lt;'EDT Y TAREAS'!AL32),'EDT Y TAREAS'!AG32/'EDT Y TAREAS'!M32,0),IF(AND(259&gt;='EDT Y TAREAS'!AK41,259&lt;'EDT Y TAREAS'!AL41),'EDT Y TAREAS'!AG41/'EDT Y TAREAS'!M41,0),IF(AND(259&gt;='EDT Y TAREAS'!AK45,259&lt;'EDT Y TAREAS'!AL45),'EDT Y TAREAS'!AG45/'EDT Y TAREAS'!M45,0),IF(AND(259&gt;='EDT Y TAREAS'!AK48,259&lt;'EDT Y TAREAS'!AL48),'EDT Y TAREAS'!AG48/'EDT Y TAREAS'!M48,0))</x:f>
        <x:v>0</x:v>
      </x:c>
      <x:c r="F299" s="35" t="n">
        <x:f>SUM(IF(AND(259&gt;='EDT Y TAREAS'!AK10,259&lt;'EDT Y TAREAS'!AL10),'EDT Y TAREAS'!AH10/'EDT Y TAREAS'!M10,0),IF(AND(259&gt;='EDT Y TAREAS'!AK12,259&lt;'EDT Y TAREAS'!AL12),'EDT Y TAREAS'!AH12/'EDT Y TAREAS'!M12,0),IF(AND(259&gt;='EDT Y TAREAS'!AK22,259&lt;'EDT Y TAREAS'!AL22),'EDT Y TAREAS'!AH22/'EDT Y TAREAS'!M22,0),IF(AND(259&gt;='EDT Y TAREAS'!AK23,259&lt;'EDT Y TAREAS'!AL23),'EDT Y TAREAS'!AH23/'EDT Y TAREAS'!M23,0),IF(AND(259&gt;='EDT Y TAREAS'!AK29,259&lt;'EDT Y TAREAS'!AL29),'EDT Y TAREAS'!AH29/'EDT Y TAREAS'!M29,0),IF(AND(259&gt;='EDT Y TAREAS'!AK30,259&lt;'EDT Y TAREAS'!AL30),'EDT Y TAREAS'!AH30/'EDT Y TAREAS'!M30,0),IF(AND(259&gt;='EDT Y TAREAS'!AK32,259&lt;'EDT Y TAREAS'!AL32),'EDT Y TAREAS'!AH32/'EDT Y TAREAS'!M32,0),IF(AND(259&gt;='EDT Y TAREAS'!AK41,259&lt;'EDT Y TAREAS'!AL41),'EDT Y TAREAS'!AH41/'EDT Y TAREAS'!M41,0),IF(AND(259&gt;='EDT Y TAREAS'!AK44,259&lt;'EDT Y TAREAS'!AL44),'EDT Y TAREAS'!AH44/'EDT Y TAREAS'!M44,0),IF(AND(259&gt;='EDT Y TAREAS'!AK46,259&lt;'EDT Y TAREAS'!AL46),'EDT Y TAREAS'!AH46/'EDT Y TAREAS'!M46,0),IF(AND(259&gt;='EDT Y TAREAS'!AK48,259&lt;'EDT Y TAREAS'!AL48),'EDT Y TAREAS'!AH48/'EDT Y TAREAS'!M48,0))</x:f>
        <x:v>0</x:v>
      </x:c>
      <x:c r="G299" s="35" t="n">
        <x:f>SUM(IF(AND(259&gt;='EDT Y TAREAS'!AK20,259&lt;'EDT Y TAREAS'!AL20),'EDT Y TAREAS'!AI20/'EDT Y TAREAS'!M20,0),IF(AND(259&gt;='EDT Y TAREAS'!AK25,259&lt;'EDT Y TAREAS'!AL25),'EDT Y TAREAS'!AI25/'EDT Y TAREAS'!M25,0),IF(AND(259&gt;='EDT Y TAREAS'!AK33,259&lt;'EDT Y TAREAS'!AL33),'EDT Y TAREAS'!AI33/'EDT Y TAREAS'!M33,0),IF(AND(259&gt;='EDT Y TAREAS'!AK34,259&lt;'EDT Y TAREAS'!AL34),'EDT Y TAREAS'!AI34/'EDT Y TAREAS'!M34,0),IF(AND(259&gt;='EDT Y TAREAS'!AK36,259&lt;'EDT Y TAREAS'!AL36),'EDT Y TAREAS'!AI36/'EDT Y TAREAS'!M36,0),IF(AND(259&gt;='EDT Y TAREAS'!AK39,259&lt;'EDT Y TAREAS'!AL39),'EDT Y TAREAS'!AI39/'EDT Y TAREAS'!M39,0),IF(AND(259&gt;='EDT Y TAREAS'!AK40,259&lt;'EDT Y TAREAS'!AL40),'EDT Y TAREAS'!AI40/'EDT Y TAREAS'!M40,0),IF(AND(259&gt;='EDT Y TAREAS'!AK42,259&lt;'EDT Y TAREAS'!AL42),'EDT Y TAREAS'!AI42/'EDT Y TAREAS'!M42,0),IF(AND(259&gt;='EDT Y TAREAS'!AK43,259&lt;'EDT Y TAREAS'!AL43),'EDT Y TAREAS'!AI43/'EDT Y TAREAS'!M43,0),IF(AND(259&gt;='EDT Y TAREAS'!AK44,259&lt;'EDT Y TAREAS'!AL44),'EDT Y TAREAS'!AI44/'EDT Y TAREAS'!M44,0),IF(AND(259&gt;='EDT Y TAREAS'!AK45,259&lt;'EDT Y TAREAS'!AL45),'EDT Y TAREAS'!AI45/'EDT Y TAREAS'!M45,0),IF(AND(259&gt;='EDT Y TAREAS'!AK46,259&lt;'EDT Y TAREAS'!AL46),'EDT Y TAREAS'!AI46/'EDT Y TAREAS'!M46,0),IF(AND(259&gt;='EDT Y TAREAS'!AK48,259&lt;'EDT Y TAREAS'!AL48),'EDT Y TAREAS'!AI48/'EDT Y TAREAS'!M48,0),IF(AND(259&gt;='EDT Y TAREAS'!AK50,259&lt;'EDT Y TAREAS'!AL50),'EDT Y TAREAS'!AI50/'EDT Y TAREAS'!M50,0),IF(AND(259&gt;='EDT Y TAREAS'!AK52,259&lt;'EDT Y TAREAS'!AL52),'EDT Y TAREAS'!AI52/'EDT Y TAREAS'!M52,0))</x:f>
        <x:v>0</x:v>
      </x:c>
      <x:c r="H299" s="35" t="n">
        <x:f>SUM(IF(AND(259&gt;='EDT Y TAREAS'!AK11,259&lt;'EDT Y TAREAS'!AL11),'EDT Y TAREAS'!AJ11/'EDT Y TAREAS'!M11,0),IF(AND(259&gt;='EDT Y TAREAS'!AK24,259&lt;'EDT Y TAREAS'!AL24),'EDT Y TAREAS'!AJ24/'EDT Y TAREAS'!M24,0),IF(AND(259&gt;='EDT Y TAREAS'!AK27,259&lt;'EDT Y TAREAS'!AL27),'EDT Y TAREAS'!AJ27/'EDT Y TAREAS'!M27,0),IF(AND(259&gt;='EDT Y TAREAS'!AK28,259&lt;'EDT Y TAREAS'!AL28),'EDT Y TAREAS'!AJ28/'EDT Y TAREAS'!M28,0),IF(AND(259&gt;='EDT Y TAREAS'!AK33,259&lt;'EDT Y TAREAS'!AL33),'EDT Y TAREAS'!AJ33/'EDT Y TAREAS'!M33,0),IF(AND(259&gt;='EDT Y TAREAS'!AK35,259&lt;'EDT Y TAREAS'!AL35),'EDT Y TAREAS'!AJ35/'EDT Y TAREAS'!M35,0),IF(AND(259&gt;='EDT Y TAREAS'!AK36,259&lt;'EDT Y TAREAS'!AL36),'EDT Y TAREAS'!AJ36/'EDT Y TAREAS'!M36,0),IF(AND(259&gt;='EDT Y TAREAS'!AK37,259&lt;'EDT Y TAREAS'!AL37),'EDT Y TAREAS'!AJ37/'EDT Y TAREAS'!M37,0),IF(AND(259&gt;='EDT Y TAREAS'!AK40,259&lt;'EDT Y TAREAS'!AL40),'EDT Y TAREAS'!AJ40/'EDT Y TAREAS'!M40,0),IF(AND(259&gt;='EDT Y TAREAS'!AK42,259&lt;'EDT Y TAREAS'!AL42),'EDT Y TAREAS'!AJ42/'EDT Y TAREAS'!M42,0),IF(AND(259&gt;='EDT Y TAREAS'!AK49,259&lt;'EDT Y TAREAS'!AL49),'EDT Y TAREAS'!AJ49/'EDT Y TAREAS'!M49,0),IF(AND(259&gt;='EDT Y TAREAS'!AK50,259&lt;'EDT Y TAREAS'!AL50),'EDT Y TAREAS'!AJ50/'EDT Y TAREAS'!M50,0),IF(AND(259&gt;='EDT Y TAREAS'!AK51,259&lt;'EDT Y TAREAS'!AL51),'EDT Y TAREAS'!AJ51/'EDT Y TAREAS'!M51,0),IF(AND(259&gt;='EDT Y TAREAS'!AK52,259&lt;'EDT Y TAREAS'!AL52),'EDT Y TAREAS'!AJ52/'EDT Y TAREAS'!M52,0))</x:f>
        <x:v>0</x:v>
      </x:c>
      <x:c r="I299" s="10" t="n">
        <x:f>WORKDAY('RESUMEN'!$D$3-1,A299,'RESUMEN'!$J$6:$J$25)</x:f>
        <x:v>46689</x:v>
      </x:c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  <x:c r="AA299" s="3"/>
      <x:c r="AB299" s="3"/>
      <x:c r="AC299" s="3"/>
      <x:c r="AD299" s="3"/>
      <x:c r="AE299" s="3"/>
      <x:c r="AF299" s="3"/>
      <x:c r="AG299" s="3"/>
      <x:c r="AH299" s="3"/>
      <x:c r="AI299" s="3"/>
      <x:c r="AJ299" s="3"/>
      <x:c r="AK299" s="3"/>
      <x:c r="AL299" s="3"/>
      <x:c r="AM299" s="3"/>
      <x:c r="AN299" s="3"/>
      <x:c r="AO299" s="3"/>
    </x:row>
    <x:row r="300" ht="24" customHeight="1">
      <x:c r="A300" s="3"/>
      <x:c r="B300" s="3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  <x:c r="AA300" s="3"/>
      <x:c r="AB300" s="3"/>
      <x:c r="AC300" s="3"/>
      <x:c r="AD300" s="3"/>
      <x:c r="AE300" s="3"/>
      <x:c r="AF300" s="3"/>
      <x:c r="AG300" s="3"/>
      <x:c r="AH300" s="3"/>
      <x:c r="AI300" s="3"/>
      <x:c r="AJ300" s="3"/>
      <x:c r="AK300" s="3"/>
      <x:c r="AL300" s="3"/>
      <x:c r="AM300" s="3"/>
      <x:c r="AN300" s="3"/>
      <x:c r="AO300" s="3"/>
    </x:row>
    <x:row r="301" ht="24" customHeight="1">
      <x:c r="A301" s="3"/>
      <x:c r="B301" s="3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/>
      <x:c r="AG301" s="3"/>
      <x:c r="AH301" s="3"/>
      <x:c r="AI301" s="3"/>
      <x:c r="AJ301" s="3"/>
      <x:c r="AK301" s="3"/>
      <x:c r="AL301" s="3"/>
      <x:c r="AM301" s="3"/>
      <x:c r="AN301" s="3"/>
      <x:c r="AO301" s="3"/>
    </x:row>
    <x:row r="302" ht="24" customHeight="1">
      <x:c r="A302" s="3"/>
      <x:c r="B302" s="3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  <x:c r="AA302" s="3"/>
      <x:c r="AB302" s="3"/>
      <x:c r="AC302" s="3"/>
      <x:c r="AD302" s="3"/>
      <x:c r="AE302" s="3"/>
      <x:c r="AF302" s="3"/>
      <x:c r="AG302" s="3"/>
      <x:c r="AH302" s="3"/>
      <x:c r="AI302" s="3"/>
      <x:c r="AJ302" s="3"/>
      <x:c r="AK302" s="3"/>
      <x:c r="AL302" s="3"/>
      <x:c r="AM302" s="3"/>
      <x:c r="AN302" s="3"/>
      <x:c r="AO302" s="3"/>
    </x:row>
    <x:row r="303" ht="24" customHeight="1">
      <x:c r="A303" s="3"/>
      <x:c r="B303" s="3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  <x:c r="AA303" s="3"/>
      <x:c r="AB303" s="3"/>
      <x:c r="AC303" s="3"/>
      <x:c r="AD303" s="3"/>
      <x:c r="AE303" s="3"/>
      <x:c r="AF303" s="3"/>
      <x:c r="AG303" s="3"/>
      <x:c r="AH303" s="3"/>
      <x:c r="AI303" s="3"/>
      <x:c r="AJ303" s="3"/>
      <x:c r="AK303" s="3"/>
      <x:c r="AL303" s="3"/>
      <x:c r="AM303" s="3"/>
      <x:c r="AN303" s="3"/>
      <x:c r="AO303" s="3"/>
    </x:row>
    <x:row r="304" ht="24" customHeight="1">
      <x:c r="A304" s="3"/>
      <x:c r="B304" s="3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  <x:c r="AA304" s="3"/>
      <x:c r="AB304" s="3"/>
      <x:c r="AC304" s="3"/>
      <x:c r="AD304" s="3"/>
      <x:c r="AE304" s="3"/>
      <x:c r="AF304" s="3"/>
      <x:c r="AG304" s="3"/>
      <x:c r="AH304" s="3"/>
      <x:c r="AI304" s="3"/>
      <x:c r="AJ304" s="3"/>
      <x:c r="AK304" s="3"/>
      <x:c r="AL304" s="3"/>
      <x:c r="AM304" s="3"/>
      <x:c r="AN304" s="3"/>
      <x:c r="AO304" s="3"/>
    </x:row>
    <x:row r="305" ht="24" customHeight="1">
      <x:c r="A305" s="3"/>
      <x:c r="B305" s="3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  <x:c r="AA305" s="3"/>
      <x:c r="AB305" s="3"/>
      <x:c r="AC305" s="3"/>
      <x:c r="AD305" s="3"/>
      <x:c r="AE305" s="3"/>
      <x:c r="AF305" s="3"/>
      <x:c r="AG305" s="3"/>
      <x:c r="AH305" s="3"/>
      <x:c r="AI305" s="3"/>
      <x:c r="AJ305" s="3"/>
      <x:c r="AK305" s="3"/>
      <x:c r="AL305" s="3"/>
      <x:c r="AM305" s="3"/>
      <x:c r="AN305" s="3"/>
      <x:c r="AO305" s="3"/>
    </x:row>
  </x:sheetData>
  <x:conditionalFormatting sqref="G18:AO18">
    <x:cfRule type="expression" dxfId="3" priority="1">
      <x:formula>G18&gt;$C18</x:formula>
    </x:cfRule>
  </x:conditionalFormatting>
  <x:conditionalFormatting sqref="G19:AO19">
    <x:cfRule type="expression" dxfId="4" priority="2">
      <x:formula>G19&gt;$C19</x:formula>
    </x:cfRule>
  </x:conditionalFormatting>
  <x:conditionalFormatting sqref="G20:AO20">
    <x:cfRule type="expression" dxfId="5" priority="3">
      <x:formula>G20&gt;$C20</x:formula>
    </x:cfRule>
  </x:conditionalFormatting>
  <x:conditionalFormatting sqref="G21:AO21">
    <x:cfRule type="expression" dxfId="6" priority="4">
      <x:formula>G21&gt;$C21</x:formula>
    </x:cfRule>
  </x:conditionalFormatting>
  <x:conditionalFormatting sqref="G22:AO22">
    <x:cfRule type="expression" dxfId="7" priority="5">
      <x:formula>G22&gt;$C22</x:formula>
    </x:cfRule>
  </x:conditionalFormatting>
  <x:conditionalFormatting sqref="G23:AO23">
    <x:cfRule type="expression" dxfId="8" priority="6">
      <x:formula>G23&gt;$C23</x:formula>
    </x:cfRule>
  </x:conditionalFormatting>
  <x:conditionalFormatting sqref="G24:AO24">
    <x:cfRule type="expression" dxfId="9" priority="7">
      <x:formula>G24&gt;$C24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4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5" hidden="0" customWidth="1"/>
    <x:col min="8" max="8" width="16" hidden="0" customWidth="1"/>
    <x:col min="9" max="9" width="42" hidden="0" customWidth="1"/>
    <x:col min="10" max="10" width="35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4" customHeight="1">
      <x:c r="A1" s="6" t="str">
        <x:v>PRESUPUESTO · referencia exploratoria, no cotización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24" customHeight="1">
      <x:c r="A3" s="3" t="str">
        <x:v>CLP. Prioridad secundaria por instrucción del usuario. Impuestos/cargas se confirman al contratar. No adjudicación CORFO.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42" customHeight="1">
      <x:c r="A5" s="15" t="str">
        <x:v>Categoría</x:v>
      </x:c>
      <x:c r="B5" s="15" t="str">
        <x:v>Concepto</x:v>
      </x:c>
      <x:c r="C5" s="15" t="str">
        <x:v>Cantidad</x:v>
      </x:c>
      <x:c r="D5" s="15" t="str">
        <x:v>Costo unitario CLP</x:v>
      </x:c>
      <x:c r="E5" s="15" t="str">
        <x:v>Mes inicio</x:v>
      </x:c>
      <x:c r="F5" s="15" t="str">
        <x:v>Costo total CLP</x:v>
      </x:c>
      <x:c r="G5" s="15" t="str">
        <x:v>Justificación</x:v>
      </x:c>
      <x:c r="H5" s="15" t="str">
        <x:v>Prioridad</x:v>
      </x:c>
      <x:c r="I5" s="15" t="str">
        <x:v>Alternativa</x:v>
      </x:c>
      <x:c r="J5" s="15" t="str">
        <x:v>Elegibilidad CORFO por confirmar</x:v>
      </x:c>
      <x:c r="K5" s="15" t="str">
        <x:v>Meses distribución</x:v>
      </x:c>
      <x:c r="L5" s="15" t="str">
        <x:v>Mes 1</x:v>
      </x:c>
      <x:c r="M5" s="15" t="str">
        <x:v>Mes 2</x:v>
      </x:c>
      <x:c r="N5" s="15" t="str">
        <x:v>Mes 3</x:v>
      </x:c>
      <x:c r="O5" s="15" t="str">
        <x:v>Mes 4</x:v>
      </x:c>
      <x:c r="P5" s="15" t="str">
        <x:v>Mes 5</x:v>
      </x:c>
      <x:c r="Q5" s="15" t="str">
        <x:v>Mes 6</x:v>
      </x:c>
      <x:c r="R5" s="15" t="str">
        <x:v>Mes 7</x:v>
      </x:c>
      <x:c r="S5" s="15" t="str">
        <x:v>Mes 8</x:v>
      </x:c>
    </x:row>
    <x:row r="6" ht="60" customHeight="1">
      <x:c r="A6" s="18" t="str">
        <x:v>Personal</x:v>
      </x:c>
      <x:c r="B6" s="18" t="str">
        <x:v>Alonso · ocho meses</x:v>
      </x:c>
      <x:c r="C6" s="41" t="n">
        <x:v>8</x:v>
      </x:c>
      <x:c r="D6" s="42" t="n">
        <x:v>1400000</x:v>
      </x:c>
      <x:c r="E6" s="41" t="n">
        <x:v>1</x:v>
      </x:c>
      <x:c r="F6" s="43" t="n">
        <x:f>C6*D6</x:f>
        <x:v>11200000</x:v>
      </x:c>
      <x:c r="G6" s="18" t="str">
        <x:v>Ciencia, integración y supervisión</x:v>
      </x:c>
      <x:c r="H6" s="18" t="str">
        <x:v>P0</x:v>
      </x:c>
      <x:c r="I6" s="18" t="str">
        <x:v>Dedicación pactada; 6 meses requieren relevo</x:v>
      </x:c>
      <x:c r="J6" s="18" t="str">
        <x:v>Revisar vínculo y tope socios</x:v>
      </x:c>
      <x:c r="K6" s="41" t="n">
        <x:v>8</x:v>
      </x:c>
      <x:c r="L6" s="43" t="n">
        <x:f>IF(AND(1&gt;=E6,1&lt;E6+K6),F6/K6,0)</x:f>
        <x:v>1400000</x:v>
      </x:c>
      <x:c r="M6" s="43" t="n">
        <x:f>IF(AND(2&gt;=E6,2&lt;E6+K6),F6/K6,0)</x:f>
        <x:v>1400000</x:v>
      </x:c>
      <x:c r="N6" s="43" t="n">
        <x:f>IF(AND(3&gt;=E6,3&lt;E6+K6),F6/K6,0)</x:f>
        <x:v>1400000</x:v>
      </x:c>
      <x:c r="O6" s="43" t="n">
        <x:f>IF(AND(4&gt;=E6,4&lt;E6+K6),F6/K6,0)</x:f>
        <x:v>1400000</x:v>
      </x:c>
      <x:c r="P6" s="43" t="n">
        <x:f>IF(AND(5&gt;=E6,5&lt;E6+K6),F6/K6,0)</x:f>
        <x:v>1400000</x:v>
      </x:c>
      <x:c r="Q6" s="43" t="n">
        <x:f>IF(AND(6&gt;=E6,6&lt;E6+K6),F6/K6,0)</x:f>
        <x:v>1400000</x:v>
      </x:c>
      <x:c r="R6" s="43" t="n">
        <x:f>IF(AND(7&gt;=E6,7&lt;E6+K6),F6/K6,0)</x:f>
        <x:v>1400000</x:v>
      </x:c>
      <x:c r="S6" s="43" t="n">
        <x:f>IF(AND(8&gt;=E6,8&lt;E6+K6),F6/K6,0)</x:f>
        <x:v>1400000</x:v>
      </x:c>
    </x:row>
    <x:row r="7" ht="60" customHeight="1">
      <x:c r="A7" s="16" t="str">
        <x:v>Empresa</x:v>
      </x:c>
      <x:c r="B7" s="16" t="str">
        <x:v>Backend + arquitectura + coordinación</x:v>
      </x:c>
      <x:c r="C7" s="25" t="n">
        <x:f>'RECURSOS'!D8</x:f>
        <x:v>486</x:v>
      </x:c>
      <x:c r="D7" s="38" t="n">
        <x:f>'RECURSOS'!H8</x:f>
        <x:v>25000</x:v>
      </x:c>
      <x:c r="E7" s="25" t="n">
        <x:v>1</x:v>
      </x:c>
      <x:c r="F7" s="39" t="n">
        <x:f>C7*D7</x:f>
        <x:v>12150000</x:v>
      </x:c>
      <x:c r="G7" s="16" t="str">
        <x:v>Contrato API, datos, trabajos y revisión</x:v>
      </x:c>
      <x:c r="H7" s="16" t="str">
        <x:v>P0</x:v>
      </x:c>
      <x:c r="I7" s="16" t="str">
        <x:v>Monolito Python con UI sencilla</x:v>
      </x:c>
      <x:c r="J7" s="16" t="str">
        <x:v>Por confirmar por actividad</x:v>
      </x:c>
      <x:c r="K7" s="25" t="n">
        <x:v>8</x:v>
      </x:c>
      <x:c r="L7" s="39" t="n">
        <x:f>IF(AND(1&gt;=E7,1&lt;E7+K7),F7/K7,0)</x:f>
        <x:v>1518750</x:v>
      </x:c>
      <x:c r="M7" s="39" t="n">
        <x:f>IF(AND(2&gt;=E7,2&lt;E7+K7),F7/K7,0)</x:f>
        <x:v>1518750</x:v>
      </x:c>
      <x:c r="N7" s="39" t="n">
        <x:f>IF(AND(3&gt;=E7,3&lt;E7+K7),F7/K7,0)</x:f>
        <x:v>1518750</x:v>
      </x:c>
      <x:c r="O7" s="39" t="n">
        <x:f>IF(AND(4&gt;=E7,4&lt;E7+K7),F7/K7,0)</x:f>
        <x:v>1518750</x:v>
      </x:c>
      <x:c r="P7" s="39" t="n">
        <x:f>IF(AND(5&gt;=E7,5&lt;E7+K7),F7/K7,0)</x:f>
        <x:v>1518750</x:v>
      </x:c>
      <x:c r="Q7" s="39" t="n">
        <x:f>IF(AND(6&gt;=E7,6&lt;E7+K7),F7/K7,0)</x:f>
        <x:v>1518750</x:v>
      </x:c>
      <x:c r="R7" s="39" t="n">
        <x:f>IF(AND(7&gt;=E7,7&lt;E7+K7),F7/K7,0)</x:f>
        <x:v>1518750</x:v>
      </x:c>
      <x:c r="S7" s="39" t="n">
        <x:f>IF(AND(8&gt;=E7,8&lt;E7+K7),F7/K7,0)</x:f>
        <x:v>1518750</x:v>
      </x:c>
    </x:row>
    <x:row r="8" ht="60" customHeight="1">
      <x:c r="A8" s="18" t="str">
        <x:v>Empresa</x:v>
      </x:c>
      <x:c r="B8" s="18" t="str">
        <x:v>Frontend</x:v>
      </x:c>
      <x:c r="C8" s="41" t="n">
        <x:f>'RECURSOS'!D9</x:f>
        <x:v>284</x:v>
      </x:c>
      <x:c r="D8" s="42" t="n">
        <x:f>'RECURSOS'!H9</x:f>
        <x:v>25000</x:v>
      </x:c>
      <x:c r="E8" s="41" t="n">
        <x:v>2</x:v>
      </x:c>
      <x:c r="F8" s="43" t="n">
        <x:f>C8*D8</x:f>
        <x:v>7100000</x:v>
      </x:c>
      <x:c r="G8" s="18" t="str">
        <x:v>Recorrido de usuario y perfiles</x:v>
      </x:c>
      <x:c r="H8" s="18" t="str">
        <x:v>P0</x:v>
      </x:c>
      <x:c r="I8" s="18" t="str">
        <x:v>UI servidor; React sólo si justificado</x:v>
      </x:c>
      <x:c r="J8" s="18" t="str">
        <x:v>Por confirmar</x:v>
      </x:c>
      <x:c r="K8" s="41" t="n">
        <x:v>6</x:v>
      </x:c>
      <x:c r="L8" s="43" t="n">
        <x:f>IF(AND(1&gt;=E8,1&lt;E8+K8),F8/K8,0)</x:f>
        <x:v>0</x:v>
      </x:c>
      <x:c r="M8" s="43" t="n">
        <x:f>IF(AND(2&gt;=E8,2&lt;E8+K8),F8/K8,0)</x:f>
        <x:v>1183333.3333333333</x:v>
      </x:c>
      <x:c r="N8" s="43" t="n">
        <x:f>IF(AND(3&gt;=E8,3&lt;E8+K8),F8/K8,0)</x:f>
        <x:v>1183333.3333333333</x:v>
      </x:c>
      <x:c r="O8" s="43" t="n">
        <x:f>IF(AND(4&gt;=E8,4&lt;E8+K8),F8/K8,0)</x:f>
        <x:v>1183333.3333333333</x:v>
      </x:c>
      <x:c r="P8" s="43" t="n">
        <x:f>IF(AND(5&gt;=E8,5&lt;E8+K8),F8/K8,0)</x:f>
        <x:v>1183333.3333333333</x:v>
      </x:c>
      <x:c r="Q8" s="43" t="n">
        <x:f>IF(AND(6&gt;=E8,6&lt;E8+K8),F8/K8,0)</x:f>
        <x:v>1183333.3333333333</x:v>
      </x:c>
      <x:c r="R8" s="43" t="n">
        <x:f>IF(AND(7&gt;=E8,7&lt;E8+K8),F8/K8,0)</x:f>
        <x:v>1183333.3333333333</x:v>
      </x:c>
      <x:c r="S8" s="43" t="n">
        <x:f>IF(AND(8&gt;=E8,8&lt;E8+K8),F8/K8,0)</x:f>
        <x:v>0</x:v>
      </x:c>
    </x:row>
    <x:row r="9" ht="60" customHeight="1">
      <x:c r="A9" s="16" t="str">
        <x:v>Empresa</x:v>
      </x:c>
      <x:c r="B9" s="16" t="str">
        <x:v>UI/UX</x:v>
      </x:c>
      <x:c r="C9" s="25" t="n">
        <x:f>'RECURSOS'!D10</x:f>
        <x:v>152</x:v>
      </x:c>
      <x:c r="D9" s="38" t="n">
        <x:f>'RECURSOS'!H10</x:f>
        <x:v>25000</x:v>
      </x:c>
      <x:c r="E9" s="25" t="n">
        <x:v>1</x:v>
      </x:c>
      <x:c r="F9" s="39" t="n">
        <x:f>C9*D9</x:f>
        <x:v>3800000</x:v>
      </x:c>
      <x:c r="G9" s="16" t="str">
        <x:v>Investigación, pruebas y diseño</x:v>
      </x:c>
      <x:c r="H9" s="16" t="str">
        <x:v>P0</x:v>
      </x:c>
      <x:c r="I9" s="16" t="str">
        <x:v>Alcance acotado a recorrido principal</x:v>
      </x:c>
      <x:c r="J9" s="16" t="str">
        <x:v>Por confirmar</x:v>
      </x:c>
      <x:c r="K9" s="25" t="n">
        <x:v>8</x:v>
      </x:c>
      <x:c r="L9" s="39" t="n">
        <x:f>IF(AND(1&gt;=E9,1&lt;E9+K9),F9/K9,0)</x:f>
        <x:v>475000</x:v>
      </x:c>
      <x:c r="M9" s="39" t="n">
        <x:f>IF(AND(2&gt;=E9,2&lt;E9+K9),F9/K9,0)</x:f>
        <x:v>475000</x:v>
      </x:c>
      <x:c r="N9" s="39" t="n">
        <x:f>IF(AND(3&gt;=E9,3&lt;E9+K9),F9/K9,0)</x:f>
        <x:v>475000</x:v>
      </x:c>
      <x:c r="O9" s="39" t="n">
        <x:f>IF(AND(4&gt;=E9,4&lt;E9+K9),F9/K9,0)</x:f>
        <x:v>475000</x:v>
      </x:c>
      <x:c r="P9" s="39" t="n">
        <x:f>IF(AND(5&gt;=E9,5&lt;E9+K9),F9/K9,0)</x:f>
        <x:v>475000</x:v>
      </x:c>
      <x:c r="Q9" s="39" t="n">
        <x:f>IF(AND(6&gt;=E9,6&lt;E9+K9),F9/K9,0)</x:f>
        <x:v>475000</x:v>
      </x:c>
      <x:c r="R9" s="39" t="n">
        <x:f>IF(AND(7&gt;=E9,7&lt;E9+K9),F9/K9,0)</x:f>
        <x:v>475000</x:v>
      </x:c>
      <x:c r="S9" s="39" t="n">
        <x:f>IF(AND(8&gt;=E9,8&lt;E9+K9),F9/K9,0)</x:f>
        <x:v>475000</x:v>
      </x:c>
    </x:row>
    <x:row r="10" ht="60" customHeight="1">
      <x:c r="A10" s="18" t="str">
        <x:v>Empresa</x:v>
      </x:c>
      <x:c r="B10" s="18" t="str">
        <x:v>QA independiente</x:v>
      </x:c>
      <x:c r="C10" s="41" t="n">
        <x:f>'RECURSOS'!D11</x:f>
        <x:v>240</x:v>
      </x:c>
      <x:c r="D10" s="42" t="n">
        <x:f>'RECURSOS'!H11</x:f>
        <x:v>25000</x:v>
      </x:c>
      <x:c r="E10" s="41" t="n">
        <x:v>2</x:v>
      </x:c>
      <x:c r="F10" s="43" t="n">
        <x:f>C10*D10</x:f>
        <x:v>6000000</x:v>
      </x:c>
      <x:c r="G10" s="18" t="str">
        <x:v>Pruebas de producto y aceptación</x:v>
      </x:c>
      <x:c r="H10" s="18" t="str">
        <x:v>P0</x:v>
      </x:c>
      <x:c r="I10" s="18" t="str">
        <x:v>Automatización focal y revisión externa</x:v>
      </x:c>
      <x:c r="J10" s="18" t="str">
        <x:v>Por confirmar</x:v>
      </x:c>
      <x:c r="K10" s="41" t="n">
        <x:v>7</x:v>
      </x:c>
      <x:c r="L10" s="43" t="n">
        <x:f>IF(AND(1&gt;=E10,1&lt;E10+K10),F10/K10,0)</x:f>
        <x:v>0</x:v>
      </x:c>
      <x:c r="M10" s="43" t="n">
        <x:f>IF(AND(2&gt;=E10,2&lt;E10+K10),F10/K10,0)</x:f>
        <x:v>857142.8571428572</x:v>
      </x:c>
      <x:c r="N10" s="43" t="n">
        <x:f>IF(AND(3&gt;=E10,3&lt;E10+K10),F10/K10,0)</x:f>
        <x:v>857142.8571428572</x:v>
      </x:c>
      <x:c r="O10" s="43" t="n">
        <x:f>IF(AND(4&gt;=E10,4&lt;E10+K10),F10/K10,0)</x:f>
        <x:v>857142.8571428572</x:v>
      </x:c>
      <x:c r="P10" s="43" t="n">
        <x:f>IF(AND(5&gt;=E10,5&lt;E10+K10),F10/K10,0)</x:f>
        <x:v>857142.8571428572</x:v>
      </x:c>
      <x:c r="Q10" s="43" t="n">
        <x:f>IF(AND(6&gt;=E10,6&lt;E10+K10),F10/K10,0)</x:f>
        <x:v>857142.8571428572</x:v>
      </x:c>
      <x:c r="R10" s="43" t="n">
        <x:f>IF(AND(7&gt;=E10,7&lt;E10+K10),F10/K10,0)</x:f>
        <x:v>857142.8571428572</x:v>
      </x:c>
      <x:c r="S10" s="43" t="n">
        <x:f>IF(AND(8&gt;=E10,8&lt;E10+K10),F10/K10,0)</x:f>
        <x:v>857142.8571428572</x:v>
      </x:c>
    </x:row>
    <x:row r="11" ht="60" customHeight="1">
      <x:c r="A11" s="16" t="str">
        <x:v>Empresa</x:v>
      </x:c>
      <x:c r="B11" s="16" t="str">
        <x:v>Operación y seguridad</x:v>
      </x:c>
      <x:c r="C11" s="25" t="n">
        <x:f>'RECURSOS'!D12</x:f>
        <x:v>200</x:v>
      </x:c>
      <x:c r="D11" s="38" t="n">
        <x:f>'RECURSOS'!H12</x:f>
        <x:v>25000</x:v>
      </x:c>
      <x:c r="E11" s="25" t="n">
        <x:v>1</x:v>
      </x:c>
      <x:c r="F11" s="39" t="n">
        <x:f>C11*D11</x:f>
        <x:v>5000000</x:v>
      </x:c>
      <x:c r="G11" s="16" t="str">
        <x:v>Entornos, respaldos y entrega</x:v>
      </x:c>
      <x:c r="H11" s="16" t="str">
        <x:v>P0</x:v>
      </x:c>
      <x:c r="I11" s="16" t="str">
        <x:v>Servicios gestionados</x:v>
      </x:c>
      <x:c r="J11" s="16" t="str">
        <x:v>Por confirmar</x:v>
      </x:c>
      <x:c r="K11" s="25" t="n">
        <x:v>8</x:v>
      </x:c>
      <x:c r="L11" s="39" t="n">
        <x:f>IF(AND(1&gt;=E11,1&lt;E11+K11),F11/K11,0)</x:f>
        <x:v>625000</x:v>
      </x:c>
      <x:c r="M11" s="39" t="n">
        <x:f>IF(AND(2&gt;=E11,2&lt;E11+K11),F11/K11,0)</x:f>
        <x:v>625000</x:v>
      </x:c>
      <x:c r="N11" s="39" t="n">
        <x:f>IF(AND(3&gt;=E11,3&lt;E11+K11),F11/K11,0)</x:f>
        <x:v>625000</x:v>
      </x:c>
      <x:c r="O11" s="39" t="n">
        <x:f>IF(AND(4&gt;=E11,4&lt;E11+K11),F11/K11,0)</x:f>
        <x:v>625000</x:v>
      </x:c>
      <x:c r="P11" s="39" t="n">
        <x:f>IF(AND(5&gt;=E11,5&lt;E11+K11),F11/K11,0)</x:f>
        <x:v>625000</x:v>
      </x:c>
      <x:c r="Q11" s="39" t="n">
        <x:f>IF(AND(6&gt;=E11,6&lt;E11+K11),F11/K11,0)</x:f>
        <x:v>625000</x:v>
      </x:c>
      <x:c r="R11" s="39" t="n">
        <x:f>IF(AND(7&gt;=E11,7&lt;E11+K11),F11/K11,0)</x:f>
        <x:v>625000</x:v>
      </x:c>
      <x:c r="S11" s="39" t="n">
        <x:f>IF(AND(8&gt;=E11,8&lt;E11+K11),F11/K11,0)</x:f>
        <x:v>625000</x:v>
      </x:c>
    </x:row>
    <x:row r="12" ht="60" customHeight="1">
      <x:c r="A12" s="18" t="str">
        <x:v>Software</x:v>
      </x:c>
      <x:c r="B12" s="18" t="str">
        <x:v>Licencias de desarrollo</x:v>
      </x:c>
      <x:c r="C12" s="41" t="n">
        <x:v>8</x:v>
      </x:c>
      <x:c r="D12" s="42" t="n">
        <x:v>40000</x:v>
      </x:c>
      <x:c r="E12" s="41" t="n">
        <x:v>1</x:v>
      </x:c>
      <x:c r="F12" s="43" t="n">
        <x:f>C12*D12</x:f>
        <x:v>320000</x:v>
      </x:c>
      <x:c r="G12" s="18" t="str">
        <x:v>Una principal + segunda opcional</x:v>
      </x:c>
      <x:c r="H12" s="18" t="str">
        <x:v>P1</x:v>
      </x:c>
      <x:c r="I12" s="18" t="str">
        <x:v>Una licencia o niveles gratuitos</x:v>
      </x:c>
      <x:c r="J12" s="18" t="str">
        <x:v>Por confirmar</x:v>
      </x:c>
      <x:c r="K12" s="41" t="n">
        <x:v>8</x:v>
      </x:c>
      <x:c r="L12" s="43" t="n">
        <x:f>IF(AND(1&gt;=E12,1&lt;E12+K12),F12/K12,0)</x:f>
        <x:v>40000</x:v>
      </x:c>
      <x:c r="M12" s="43" t="n">
        <x:f>IF(AND(2&gt;=E12,2&lt;E12+K12),F12/K12,0)</x:f>
        <x:v>40000</x:v>
      </x:c>
      <x:c r="N12" s="43" t="n">
        <x:f>IF(AND(3&gt;=E12,3&lt;E12+K12),F12/K12,0)</x:f>
        <x:v>40000</x:v>
      </x:c>
      <x:c r="O12" s="43" t="n">
        <x:f>IF(AND(4&gt;=E12,4&lt;E12+K12),F12/K12,0)</x:f>
        <x:v>40000</x:v>
      </x:c>
      <x:c r="P12" s="43" t="n">
        <x:f>IF(AND(5&gt;=E12,5&lt;E12+K12),F12/K12,0)</x:f>
        <x:v>40000</x:v>
      </x:c>
      <x:c r="Q12" s="43" t="n">
        <x:f>IF(AND(6&gt;=E12,6&lt;E12+K12),F12/K12,0)</x:f>
        <x:v>40000</x:v>
      </x:c>
      <x:c r="R12" s="43" t="n">
        <x:f>IF(AND(7&gt;=E12,7&lt;E12+K12),F12/K12,0)</x:f>
        <x:v>40000</x:v>
      </x:c>
      <x:c r="S12" s="43" t="n">
        <x:f>IF(AND(8&gt;=E12,8&lt;E12+K12),F12/K12,0)</x:f>
        <x:v>40000</x:v>
      </x:c>
    </x:row>
    <x:row r="13" ht="60" customHeight="1">
      <x:c r="A13" s="16" t="str">
        <x:v>Infraestructura</x:v>
      </x:c>
      <x:c r="B13" s="16" t="str">
        <x:v>Hosting, DB, storage y observabilidad</x:v>
      </x:c>
      <x:c r="C13" s="25" t="n">
        <x:v>8</x:v>
      </x:c>
      <x:c r="D13" s="38" t="n">
        <x:v>200000</x:v>
      </x:c>
      <x:c r="E13" s="25" t="n">
        <x:v>1</x:v>
      </x:c>
      <x:c r="F13" s="39" t="n">
        <x:f>C13*D13</x:f>
        <x:v>1600000</x:v>
      </x:c>
      <x:c r="G13" s="16" t="str">
        <x:v>Staging y piloto con límites</x:v>
      </x:c>
      <x:c r="H13" s="16" t="str">
        <x:v>P0</x:v>
      </x:c>
      <x:c r="I13" s="16" t="str">
        <x:v>Escalar tras medir carga</x:v>
      </x:c>
      <x:c r="J13" s="16" t="str">
        <x:v>Por confirmar</x:v>
      </x:c>
      <x:c r="K13" s="25" t="n">
        <x:v>8</x:v>
      </x:c>
      <x:c r="L13" s="39" t="n">
        <x:f>IF(AND(1&gt;=E13,1&lt;E13+K13),F13/K13,0)</x:f>
        <x:v>200000</x:v>
      </x:c>
      <x:c r="M13" s="39" t="n">
        <x:f>IF(AND(2&gt;=E13,2&lt;E13+K13),F13/K13,0)</x:f>
        <x:v>200000</x:v>
      </x:c>
      <x:c r="N13" s="39" t="n">
        <x:f>IF(AND(3&gt;=E13,3&lt;E13+K13),F13/K13,0)</x:f>
        <x:v>200000</x:v>
      </x:c>
      <x:c r="O13" s="39" t="n">
        <x:f>IF(AND(4&gt;=E13,4&lt;E13+K13),F13/K13,0)</x:f>
        <x:v>200000</x:v>
      </x:c>
      <x:c r="P13" s="39" t="n">
        <x:f>IF(AND(5&gt;=E13,5&lt;E13+K13),F13/K13,0)</x:f>
        <x:v>200000</x:v>
      </x:c>
      <x:c r="Q13" s="39" t="n">
        <x:f>IF(AND(6&gt;=E13,6&lt;E13+K13),F13/K13,0)</x:f>
        <x:v>200000</x:v>
      </x:c>
      <x:c r="R13" s="39" t="n">
        <x:f>IF(AND(7&gt;=E13,7&lt;E13+K13),F13/K13,0)</x:f>
        <x:v>200000</x:v>
      </x:c>
      <x:c r="S13" s="39" t="n">
        <x:f>IF(AND(8&gt;=E13,8&lt;E13+K13),F13/K13,0)</x:f>
        <x:v>200000</x:v>
      </x:c>
    </x:row>
    <x:row r="14" ht="60" customHeight="1">
      <x:c r="A14" s="18" t="str">
        <x:v>Validación</x:v>
      </x:c>
      <x:c r="B14" s="18" t="str">
        <x:v>Legal y seguridad complementaria</x:v>
      </x:c>
      <x:c r="C14" s="41" t="n">
        <x:v>1</x:v>
      </x:c>
      <x:c r="D14" s="42" t="n">
        <x:v>1000000</x:v>
      </x:c>
      <x:c r="E14" s="41" t="n">
        <x:v>5</x:v>
      </x:c>
      <x:c r="F14" s="43" t="n">
        <x:f>C14*D14</x:f>
        <x:v>1000000</x:v>
      </x:c>
      <x:c r="G14" s="18" t="str">
        <x:v>Revisión externa acotada</x:v>
      </x:c>
      <x:c r="H14" s="18" t="str">
        <x:v>P0</x:v>
      </x:c>
      <x:c r="I14" s="18" t="str">
        <x:v>Encargo por entregable</x:v>
      </x:c>
      <x:c r="J14" s="18" t="str">
        <x:v>Por confirmar</x:v>
      </x:c>
      <x:c r="K14" s="41" t="n">
        <x:v>1</x:v>
      </x:c>
      <x:c r="L14" s="43" t="n">
        <x:f>IF(AND(1&gt;=E14,1&lt;E14+K14),F14/K14,0)</x:f>
        <x:v>0</x:v>
      </x:c>
      <x:c r="M14" s="43" t="n">
        <x:f>IF(AND(2&gt;=E14,2&lt;E14+K14),F14/K14,0)</x:f>
        <x:v>0</x:v>
      </x:c>
      <x:c r="N14" s="43" t="n">
        <x:f>IF(AND(3&gt;=E14,3&lt;E14+K14),F14/K14,0)</x:f>
        <x:v>0</x:v>
      </x:c>
      <x:c r="O14" s="43" t="n">
        <x:f>IF(AND(4&gt;=E14,4&lt;E14+K14),F14/K14,0)</x:f>
        <x:v>0</x:v>
      </x:c>
      <x:c r="P14" s="43" t="n">
        <x:f>IF(AND(5&gt;=E14,5&lt;E14+K14),F14/K14,0)</x:f>
        <x:v>1000000</x:v>
      </x:c>
      <x:c r="Q14" s="43" t="n">
        <x:f>IF(AND(6&gt;=E14,6&lt;E14+K14),F14/K14,0)</x:f>
        <x:v>0</x:v>
      </x:c>
      <x:c r="R14" s="43" t="n">
        <x:f>IF(AND(7&gt;=E14,7&lt;E14+K14),F14/K14,0)</x:f>
        <x:v>0</x:v>
      </x:c>
      <x:c r="S14" s="43" t="n">
        <x:f>IF(AND(8&gt;=E14,8&lt;E14+K14),F14/K14,0)</x:f>
        <x:v>0</x:v>
      </x:c>
    </x:row>
    <x:row r="15" ht="60" customHeight="1">
      <x:c r="A15" s="16" t="str">
        <x:v>Operación</x:v>
      </x:c>
      <x:c r="B15" s="16" t="str">
        <x:v>Dominio y correo</x:v>
      </x:c>
      <x:c r="C15" s="25" t="n">
        <x:v>1</x:v>
      </x:c>
      <x:c r="D15" s="38" t="n">
        <x:v>100000</x:v>
      </x:c>
      <x:c r="E15" s="25" t="n">
        <x:v>1</x:v>
      </x:c>
      <x:c r="F15" s="39" t="n">
        <x:f>C15*D15</x:f>
        <x:v>100000</x:v>
      </x:c>
      <x:c r="G15" s="16" t="str">
        <x:v>Identidad y operación comercial</x:v>
      </x:c>
      <x:c r="H15" s="16" t="str">
        <x:v>P1</x:v>
      </x:c>
      <x:c r="I15" s="16" t="str">
        <x:v>Plan básico</x:v>
      </x:c>
      <x:c r="J15" s="16" t="str">
        <x:v>Por confirmar</x:v>
      </x:c>
      <x:c r="K15" s="25" t="n">
        <x:v>1</x:v>
      </x:c>
      <x:c r="L15" s="39" t="n">
        <x:f>IF(AND(1&gt;=E15,1&lt;E15+K15),F15/K15,0)</x:f>
        <x:v>100000</x:v>
      </x:c>
      <x:c r="M15" s="39" t="n">
        <x:f>IF(AND(2&gt;=E15,2&lt;E15+K15),F15/K15,0)</x:f>
        <x:v>0</x:v>
      </x:c>
      <x:c r="N15" s="39" t="n">
        <x:f>IF(AND(3&gt;=E15,3&lt;E15+K15),F15/K15,0)</x:f>
        <x:v>0</x:v>
      </x:c>
      <x:c r="O15" s="39" t="n">
        <x:f>IF(AND(4&gt;=E15,4&lt;E15+K15),F15/K15,0)</x:f>
        <x:v>0</x:v>
      </x:c>
      <x:c r="P15" s="39" t="n">
        <x:f>IF(AND(5&gt;=E15,5&lt;E15+K15),F15/K15,0)</x:f>
        <x:v>0</x:v>
      </x:c>
      <x:c r="Q15" s="39" t="n">
        <x:f>IF(AND(6&gt;=E15,6&lt;E15+K15),F15/K15,0)</x:f>
        <x:v>0</x:v>
      </x:c>
      <x:c r="R15" s="39" t="n">
        <x:f>IF(AND(7&gt;=E15,7&lt;E15+K15),F15/K15,0)</x:f>
        <x:v>0</x:v>
      </x:c>
      <x:c r="S15" s="39" t="n">
        <x:f>IF(AND(8&gt;=E15,8&lt;E15+K15),F15/K15,0)</x:f>
        <x:v>0</x:v>
      </x:c>
    </x:row>
    <x:row r="16" ht="60" customHeight="1">
      <x:c r="A16" s="18" t="str">
        <x:v>Hardware</x:v>
      </x:c>
      <x:c r="B16" s="18" t="str">
        <x:v>Nuevo portátil / equipo SSH</x:v>
      </x:c>
      <x:c r="C16" s="41" t="n">
        <x:v>0</x:v>
      </x:c>
      <x:c r="D16" s="42" t="n">
        <x:v>1500000</x:v>
      </x:c>
      <x:c r="E16" s="41" t="n">
        <x:v>4</x:v>
      </x:c>
      <x:c r="F16" s="43" t="n">
        <x:f>C16*D16</x:f>
        <x:v>0</x:v>
      </x:c>
      <x:c r="G16" s="18" t="str">
        <x:v>No compra base; decisión por medición</x:v>
      </x:c>
      <x:c r="H16" s="18" t="str">
        <x:v>P2</x:v>
      </x:c>
      <x:c r="I16" s="18" t="str">
        <x:v>Mantener M1 y cloud puntual</x:v>
      </x:c>
      <x:c r="J16" s="18" t="str">
        <x:v>No incluir hasta justificar</x:v>
      </x:c>
      <x:c r="K16" s="41" t="n">
        <x:v>1</x:v>
      </x:c>
      <x:c r="L16" s="43" t="n">
        <x:f>IF(AND(1&gt;=E16,1&lt;E16+K16),F16/K16,0)</x:f>
        <x:v>0</x:v>
      </x:c>
      <x:c r="M16" s="43" t="n">
        <x:f>IF(AND(2&gt;=E16,2&lt;E16+K16),F16/K16,0)</x:f>
        <x:v>0</x:v>
      </x:c>
      <x:c r="N16" s="43" t="n">
        <x:f>IF(AND(3&gt;=E16,3&lt;E16+K16),F16/K16,0)</x:f>
        <x:v>0</x:v>
      </x:c>
      <x:c r="O16" s="43" t="n">
        <x:f>IF(AND(4&gt;=E16,4&lt;E16+K16),F16/K16,0)</x:f>
        <x:v>0</x:v>
      </x:c>
      <x:c r="P16" s="43" t="n">
        <x:f>IF(AND(5&gt;=E16,5&lt;E16+K16),F16/K16,0)</x:f>
        <x:v>0</x:v>
      </x:c>
      <x:c r="Q16" s="43" t="n">
        <x:f>IF(AND(6&gt;=E16,6&lt;E16+K16),F16/K16,0)</x:f>
        <x:v>0</x:v>
      </x:c>
      <x:c r="R16" s="43" t="n">
        <x:f>IF(AND(7&gt;=E16,7&lt;E16+K16),F16/K16,0)</x:f>
        <x:v>0</x:v>
      </x:c>
      <x:c r="S16" s="43" t="n">
        <x:f>IF(AND(8&gt;=E16,8&lt;E16+K16),F16/K16,0)</x:f>
        <x:v>0</x:v>
      </x:c>
    </x:row>
    <x:row r="17" ht="60" customHeight="1">
      <x:c r="A17" s="16" t="str">
        <x:v>Contingencia</x:v>
      </x:c>
      <x:c r="B17" s="16" t="str">
        <x:v>Reserva explícita 15% base</x:v>
      </x:c>
      <x:c r="C17" s="27" t="n">
        <x:v>0.15</x:v>
      </x:c>
      <x:c r="D17" s="38" t="n">
        <x:f>SUM(F6:F16)</x:f>
        <x:v>48270000</x:v>
      </x:c>
      <x:c r="E17" s="25" t="n">
        <x:v>1</x:v>
      </x:c>
      <x:c r="F17" s="39" t="n">
        <x:f>C17*D17</x:f>
        <x:v>7240500</x:v>
      </x:c>
      <x:c r="G17" s="16" t="str">
        <x:v>Incertidumbre, impuestos y retrabajo por confirmar</x:v>
      </x:c>
      <x:c r="H17" s="16" t="str">
        <x:v>P0</x:v>
      </x:c>
      <x:c r="I17" s="16" t="str">
        <x:v>Liberar por aprobación de Alejandro</x:v>
      </x:c>
      <x:c r="J17" s="16" t="str">
        <x:v>No presumir elegible</x:v>
      </x:c>
      <x:c r="K17" s="25" t="n">
        <x:v>8</x:v>
      </x:c>
      <x:c r="L17" s="39" t="n">
        <x:f>IF(AND(1&gt;=E17,1&lt;E17+K17),F17/K17,0)</x:f>
        <x:v>905062.5</x:v>
      </x:c>
      <x:c r="M17" s="39" t="n">
        <x:f>IF(AND(2&gt;=E17,2&lt;E17+K17),F17/K17,0)</x:f>
        <x:v>905062.5</x:v>
      </x:c>
      <x:c r="N17" s="39" t="n">
        <x:f>IF(AND(3&gt;=E17,3&lt;E17+K17),F17/K17,0)</x:f>
        <x:v>905062.5</x:v>
      </x:c>
      <x:c r="O17" s="39" t="n">
        <x:f>IF(AND(4&gt;=E17,4&lt;E17+K17),F17/K17,0)</x:f>
        <x:v>905062.5</x:v>
      </x:c>
      <x:c r="P17" s="39" t="n">
        <x:f>IF(AND(5&gt;=E17,5&lt;E17+K17),F17/K17,0)</x:f>
        <x:v>905062.5</x:v>
      </x:c>
      <x:c r="Q17" s="39" t="n">
        <x:f>IF(AND(6&gt;=E17,6&lt;E17+K17),F17/K17,0)</x:f>
        <x:v>905062.5</x:v>
      </x:c>
      <x:c r="R17" s="39" t="n">
        <x:f>IF(AND(7&gt;=E17,7&lt;E17+K17),F17/K17,0)</x:f>
        <x:v>905062.5</x:v>
      </x:c>
      <x:c r="S17" s="39" t="n">
        <x:f>IF(AND(8&gt;=E17,8&lt;E17+K17),F17/K17,0)</x:f>
        <x:v>905062.5</x:v>
      </x:c>
    </x:row>
    <x:row r="18" ht="24" customHeight="1">
      <x:c r="A18" s="3"/>
      <x:c r="B18" s="3"/>
      <x:c r="C18" s="3"/>
      <x:c r="D18" s="3"/>
      <x:c r="E18" s="3"/>
      <x:c r="F18" s="11"/>
      <x:c r="G18" s="3"/>
      <x:c r="H18" s="3"/>
      <x:c r="I18" s="3"/>
      <x:c r="J18" s="3"/>
      <x:c r="K18" s="3"/>
      <x:c r="L18" s="11"/>
      <x:c r="M18" s="11"/>
      <x:c r="N18" s="11"/>
      <x:c r="O18" s="11"/>
      <x:c r="P18" s="11"/>
      <x:c r="Q18" s="11"/>
      <x:c r="R18" s="11"/>
      <x:c r="S18" s="11"/>
    </x:row>
    <x:row r="19" ht="24" customHeight="1">
      <x:c r="A19" s="3" t="str">
        <x:v>Total caja con reserva</x:v>
      </x:c>
      <x:c r="B19" s="3"/>
      <x:c r="C19" s="3"/>
      <x:c r="D19" s="3"/>
      <x:c r="E19" s="3"/>
      <x:c r="F19" s="11" t="n">
        <x:f>SUM(F6:F17)</x:f>
        <x:v>55510500</x:v>
      </x:c>
      <x:c r="G19" s="3"/>
      <x:c r="H19" s="3"/>
      <x:c r="I19" s="3"/>
      <x:c r="J19" s="3"/>
      <x:c r="K19" s="3"/>
      <x:c r="L19" s="11" t="n">
        <x:f>SUM(L6:L17)</x:f>
        <x:v>5263812.5</x:v>
      </x:c>
      <x:c r="M19" s="11" t="n">
        <x:f>SUM(M6:M17)</x:f>
        <x:v>7204288.69047619</x:v>
      </x:c>
      <x:c r="N19" s="11" t="n">
        <x:f>SUM(N6:N17)</x:f>
        <x:v>7204288.69047619</x:v>
      </x:c>
      <x:c r="O19" s="11" t="n">
        <x:f>SUM(O6:O17)</x:f>
        <x:v>7204288.69047619</x:v>
      </x:c>
      <x:c r="P19" s="11" t="n">
        <x:f>SUM(P6:P17)</x:f>
        <x:v>8204288.69047619</x:v>
      </x:c>
      <x:c r="Q19" s="11" t="n">
        <x:f>SUM(Q6:Q17)</x:f>
        <x:v>7204288.69047619</x:v>
      </x:c>
      <x:c r="R19" s="11" t="n">
        <x:f>SUM(R6:R17)</x:f>
        <x:v>7204288.69047619</x:v>
      </x:c>
      <x:c r="S19" s="11" t="n">
        <x:f>SUM(S6:S17)</x:f>
        <x:v>6020955.357142857</x:v>
      </x:c>
    </x:row>
    <x:row r="20" ht="24" customHeight="1">
      <x:c r="A20" s="3"/>
      <x:c r="B20" s="3"/>
      <x:c r="C20" s="3"/>
      <x:c r="D20" s="3"/>
      <x:c r="E20" s="3"/>
      <x:c r="F20" s="11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</x:row>
    <x:row r="21" ht="24" customHeight="1">
      <x:c r="A21" s="3" t="str">
        <x:v>Alejandro: aporte económico de tiempo</x:v>
      </x:c>
      <x:c r="B21" s="3"/>
      <x:c r="C21" s="3"/>
      <x:c r="D21" s="3"/>
      <x:c r="E21" s="3"/>
      <x:c r="F21" s="11" t="n">
        <x:f>'RECURSOS'!I7</x:f>
        <x:v>2115000</x:v>
      </x:c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</x:row>
    <x:row r="22" ht="24" customHeight="1">
      <x:c r="A22" s="3" t="str">
        <x:v>Total económico (caja + tiempo director)</x:v>
      </x:c>
      <x:c r="B22" s="3"/>
      <x:c r="C22" s="3"/>
      <x:c r="D22" s="3"/>
      <x:c r="E22" s="3"/>
      <x:c r="F22" s="11" t="n">
        <x:f>F19+F21</x:f>
        <x:v>57625500</x:v>
      </x:c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</x:row>
    <x:row r="24" ht="24" customHeight="1">
      <x:c r="A24" s="3" t="str">
        <x:v>Distribución mensual lineal editable: provisión de caja, no calendario contractual de facturación.</x:v>
      </x:c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</x:row>
    <x:row r="25" ht="24" customHeight="1">
      <x:c r="A25" s="3" t="str">
        <x:v>Empresa: tarifa supuesta CLP 25.000/h; banda 18.000–35.000/h. Reemplazar por propuesta por hitos.</x:v>
      </x:c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</x:row>
    <x:row r="26" ht="24" customHeight="1">
      <x:c r="A26" s="3" t="str">
        <x:v>No se presupuesta API de IA obligatoria ni compra de computador. CORFO financiable queda sin determinar.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</x:row>
    <x:row r="27" ht="24" customHeight="1">
      <x:c r="A27" s="3" t="str">
        <x:v>Fuentes: supuestos de planificación; remuneración entregada por usuario; ver Plan Director para restricciones CORFO.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</x:row>
    <x:row r="46" ht="24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42" hidden="0" customWidth="1"/>
    <x:col min="3" max="3" width="16" hidden="0" customWidth="1"/>
    <x:col min="4" max="4" width="16" hidden="0" customWidth="1"/>
    <x:col min="5" max="5" width="65" hidden="0" customWidth="1"/>
    <x:col min="6" max="6" width="22" hidden="0" customWidth="1"/>
    <x:col min="7" max="7" width="24" hidden="0" customWidth="1"/>
    <x:col min="8" max="8" width="44" hidden="0" customWidth="1"/>
    <x:col min="9" max="9" width="16" hidden="0" customWidth="1"/>
  </x:cols>
  <x:sheetData>
    <x:row r="1" ht="24" customHeight="1">
      <x:c r="A1" s="6" t="str">
        <x:v>RIESGOS · decisiones y contingencias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3" t="str">
        <x:v>Escala 1–5: probabilidad e impacto cualitativos; puntuación = P × I. No probabilidades estadísticas.</x:v>
      </x:c>
      <x:c r="B3" s="3"/>
      <x:c r="C3" s="3"/>
      <x:c r="D3" s="3"/>
      <x:c r="E3" s="3"/>
      <x:c r="F3" s="3"/>
      <x:c r="G3" s="3"/>
      <x:c r="H3" s="3"/>
      <x:c r="I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42" customHeight="1">
      <x:c r="A5" s="15" t="str">
        <x:v>ID</x:v>
      </x:c>
      <x:c r="B5" s="15" t="str">
        <x:v>Riesgo</x:v>
      </x:c>
      <x:c r="C5" s="15" t="str">
        <x:v>Probabilidad</x:v>
      </x:c>
      <x:c r="D5" s="15" t="str">
        <x:v>Impacto</x:v>
      </x:c>
      <x:c r="E5" s="15" t="str">
        <x:v>Mitigación</x:v>
      </x:c>
      <x:c r="F5" s="15" t="str">
        <x:v>Responsable</x:v>
      </x:c>
      <x:c r="G5" s="15" t="str">
        <x:v>Actividad afectada</x:v>
      </x:c>
      <x:c r="H5" s="15" t="str">
        <x:v>Contingencia / disparador</x:v>
      </x:c>
      <x:c r="I5" s="15" t="str">
        <x:v>Puntuación</x:v>
      </x:c>
    </x:row>
    <x:row r="6" ht="70" customHeight="1">
      <x:c r="A6" s="18" t="str">
        <x:v>R01</x:v>
      </x:c>
      <x:c r="B6" s="18" t="str">
        <x:v>Método entrega cifras inconsistentes</x:v>
      </x:c>
      <x:c r="C6" s="25" t="n">
        <x:v>4</x:v>
      </x:c>
      <x:c r="D6" s="25" t="n">
        <x:v>5</x:v>
      </x:c>
      <x:c r="E6" s="18" t="str">
        <x:v>T09–T15: casos manuales, contrato de unidades, revisión científica</x:v>
      </x:c>
      <x:c r="F6" s="18" t="str">
        <x:v>Alonso</x:v>
      </x:c>
      <x:c r="G6" s="18" t="str">
        <x:v>T09,T10,T12,T15</x:v>
      </x:c>
      <x:c r="H6" s="18" t="str">
        <x:v>No publicar métricas sin conciliar</x:v>
      </x:c>
      <x:c r="I6" s="18" t="n">
        <x:f>C6*D6</x:f>
        <x:v>20</x:v>
      </x:c>
    </x:row>
    <x:row r="7" ht="70" customHeight="1">
      <x:c r="A7" s="16" t="str">
        <x:v>R02</x:v>
      </x:c>
      <x:c r="B7" s="16" t="str">
        <x:v>Fuga de datos entre organizaciones</x:v>
      </x:c>
      <x:c r="C7" s="25" t="n">
        <x:v>3</x:v>
      </x:c>
      <x:c r="D7" s="25" t="n">
        <x:v>5</x:v>
      </x:c>
      <x:c r="E7" s="16" t="str">
        <x:v>Aislamiento por objeto, render seguro, revisión independiente</x:v>
      </x:c>
      <x:c r="F7" s="16" t="str">
        <x:v>Empresa</x:v>
      </x:c>
      <x:c r="G7" s="16" t="str">
        <x:v>T20,T28,T34,T37</x:v>
      </x:c>
      <x:c r="H7" s="16" t="str">
        <x:v>Bloquea piloto real</x:v>
      </x:c>
      <x:c r="I7" s="16" t="n">
        <x:f>C7*D7</x:f>
        <x:v>15</x:v>
      </x:c>
    </x:row>
    <x:row r="8" ht="70" customHeight="1">
      <x:c r="A8" s="18" t="str">
        <x:v>R03</x:v>
      </x:c>
      <x:c r="B8" s="18" t="str">
        <x:v>Proveedor no reserva perfiles o llega tarde</x:v>
      </x:c>
      <x:c r="C8" s="25" t="n">
        <x:v>3</x:v>
      </x:c>
      <x:c r="D8" s="25" t="n">
        <x:v>4</x:v>
      </x:c>
      <x:c r="E8" s="18" t="str">
        <x:v>Contrato temprano por hitos y nombres; acceso al repo desde inicio</x:v>
      </x:c>
      <x:c r="F8" s="18" t="str">
        <x:v>Alejandro</x:v>
      </x:c>
      <x:c r="G8" s="18" t="str">
        <x:v>T03,T04</x:v>
      </x:c>
      <x:c r="H8" s="18" t="str">
        <x:v>Reducir alcance a piloto asistido</x:v>
      </x:c>
      <x:c r="I8" s="18" t="n">
        <x:f>C8*D8</x:f>
        <x:v>12</x:v>
      </x:c>
    </x:row>
    <x:row r="9" ht="70" customHeight="1">
      <x:c r="A9" s="16" t="str">
        <x:v>R04</x:v>
      </x:c>
      <x:c r="B9" s="16" t="str">
        <x:v>Alonso absorbe tareas SaaS y desplaza ciencia</x:v>
      </x:c>
      <x:c r="C9" s="25" t="n">
        <x:v>4</x:v>
      </x:c>
      <x:c r="D9" s="25" t="n">
        <x:v>4</x:v>
      </x:c>
      <x:c r="E9" s="16" t="str">
        <x:v>RACI; 2h/sem coordinación y revisiones con límites</x:v>
      </x:c>
      <x:c r="F9" s="16" t="str">
        <x:v>Alonso</x:v>
      </x:c>
      <x:c r="G9" s="16" t="str">
        <x:v>T06,T23,T44</x:v>
      </x:c>
      <x:c r="H9" s="16" t="str">
        <x:v>Escalar capacidad del proveedor</x:v>
      </x:c>
      <x:c r="I9" s="16" t="n">
        <x:f>C9*D9</x:f>
        <x:v>16</x:v>
      </x:c>
    </x:row>
    <x:row r="10" ht="70" customHeight="1">
      <x:c r="A10" s="18" t="str">
        <x:v>R05</x:v>
      </x:c>
      <x:c r="B10" s="18" t="str">
        <x:v>Usuarios no disponibles para rondas de cinco días</x:v>
      </x:c>
      <x:c r="C10" s="25" t="n">
        <x:v>3</x:v>
      </x:c>
      <x:c r="D10" s="25" t="n">
        <x:v>4</x:v>
      </x:c>
      <x:c r="E10" s="18" t="str">
        <x:v>Agendar tres organizaciones al contratar; suplentes</x:v>
      </x:c>
      <x:c r="F10" s="18" t="str">
        <x:v>Alejandro</x:v>
      </x:c>
      <x:c r="G10" s="18" t="str">
        <x:v>T39,T41</x:v>
      </x:c>
      <x:c r="H10" s="18" t="str">
        <x:v>Consumir reserva o reducir cohorte</x:v>
      </x:c>
      <x:c r="I10" s="18" t="n">
        <x:f>C10*D10</x:f>
        <x:v>12</x:v>
      </x:c>
    </x:row>
    <x:row r="11" ht="70" customHeight="1">
      <x:c r="A11" s="16" t="str">
        <x:v>R06</x:v>
      </x:c>
      <x:c r="B11" s="16" t="str">
        <x:v>Supuestos de mercado no sustentados</x:v>
      </x:c>
      <x:c r="C11" s="25" t="n">
        <x:v>4</x:v>
      </x:c>
      <x:c r="D11" s="25" t="n">
        <x:v>4</x:v>
      </x:c>
      <x:c r="E11" s="16" t="str">
        <x:v>Separar regla metodológica de benchmark; registrar fuente y fecha</x:v>
      </x:c>
      <x:c r="F11" s="16" t="str">
        <x:v>Alonso</x:v>
      </x:c>
      <x:c r="G11" s="16" t="str">
        <x:v>T11,T14</x:v>
      </x:c>
      <x:c r="H11" s="16" t="str">
        <x:v>Restringir claims comerciales</x:v>
      </x:c>
      <x:c r="I11" s="16" t="n">
        <x:f>C11*D11</x:f>
        <x:v>16</x:v>
      </x:c>
    </x:row>
    <x:row r="12" ht="70" customHeight="1">
      <x:c r="A12" s="18" t="str">
        <x:v>R07</x:v>
      </x:c>
      <x:c r="B12" s="18" t="str">
        <x:v>Plazo conservador excede ocho meses</x:v>
      </x:c>
      <x:c r="C12" s="25" t="n">
        <x:v>4</x:v>
      </x:c>
      <x:c r="D12" s="25" t="n">
        <x:v>4</x:v>
      </x:c>
      <x:c r="E12" s="18" t="str">
        <x:v>Reestimar en S6; diferir M4 y comparación avanzada</x:v>
      </x:c>
      <x:c r="F12" s="18" t="str">
        <x:v>Alejandro</x:v>
      </x:c>
      <x:c r="G12" s="18" t="str">
        <x:v>T07,T38,T46</x:v>
      </x:c>
      <x:c r="H12" s="18" t="str">
        <x:v>Priorizar MVP determinista</x:v>
      </x:c>
      <x:c r="I12" s="18" t="n">
        <x:f>C12*D12</x:f>
        <x:v>16</x:v>
      </x:c>
    </x:row>
    <x:row r="13" ht="70" customHeight="1">
      <x:c r="A13" s="16" t="str">
        <x:v>R08</x:v>
      </x:c>
      <x:c r="B13" s="16" t="str">
        <x:v>Financiamiento o elegibilidad no confirmados</x:v>
      </x:c>
      <x:c r="C13" s="25" t="n">
        <x:v>4</x:v>
      </x:c>
      <x:c r="D13" s="25" t="n">
        <x:v>4</x:v>
      </x:c>
      <x:c r="E13" s="16" t="str">
        <x:v>Validar convocatoria y caja antes de contratar</x:v>
      </x:c>
      <x:c r="F13" s="16" t="str">
        <x:v>Alejandro</x:v>
      </x:c>
      <x:c r="G13" s="16" t="str">
        <x:v>T04</x:v>
      </x:c>
      <x:c r="H13" s="16" t="str">
        <x:v>No comprometer gasto suponiendo subsidio</x:v>
      </x:c>
      <x:c r="I13" s="16" t="n">
        <x:f>C13*D13</x:f>
        <x:v>16</x:v>
      </x:c>
    </x:row>
    <x:row r="14" ht="70" customHeight="1">
      <x:c r="A14" s="18" t="str">
        <x:v>R09</x:v>
      </x:c>
      <x:c r="B14" s="18" t="str">
        <x:v>Dependencia del proveedor</x:v>
      </x:c>
      <x:c r="C14" s="25" t="n">
        <x:v>3</x:v>
      </x:c>
      <x:c r="D14" s="25" t="n">
        <x:v>4</x:v>
      </x:c>
      <x:c r="E14" s="18" t="str">
        <x:v>Cuentas propias, código, infraestructura declarativa y ensayo de salida</x:v>
      </x:c>
      <x:c r="F14" s="18" t="str">
        <x:v>Empresa</x:v>
      </x:c>
      <x:c r="G14" s="18" t="str">
        <x:v>T44</x:v>
      </x:c>
      <x:c r="H14" s="18" t="str">
        <x:v>Retener pago de entrega hasta transferencia</x:v>
      </x:c>
      <x:c r="I14" s="18" t="n">
        <x:f>C14*D14</x:f>
        <x:v>12</x:v>
      </x:c>
    </x:row>
    <x:row r="15" ht="70" customHeight="1">
      <x:c r="A15" s="16" t="str">
        <x:v>R10</x:v>
      </x:c>
      <x:c r="B15" s="16" t="str">
        <x:v>Modelo lento bajo concurrencia</x:v>
      </x:c>
      <x:c r="C15" s="25" t="n">
        <x:v>3</x:v>
      </x:c>
      <x:c r="D15" s="25" t="n">
        <x:v>4</x:v>
      </x:c>
      <x:c r="E15" s="16" t="str">
        <x:v>Límites H/S/escenarios, worker CPU y cancelación; benchmark</x:v>
      </x:c>
      <x:c r="F15" s="16" t="str">
        <x:v>Empresa</x:v>
      </x:c>
      <x:c r="G15" s="16" t="str">
        <x:v>T22,T35</x:v>
      </x:c>
      <x:c r="H15" s="16" t="str">
        <x:v>Desactivar M4 público y reducir concurrencia</x:v>
      </x:c>
      <x:c r="I15" s="16" t="n">
        <x:f>C15*D15</x:f>
        <x:v>12</x:v>
      </x:c>
    </x:row>
    <x:row r="16" ht="70" customHeight="1">
      <x:c r="A16" s="18" t="str">
        <x:v>R11</x:v>
      </x:c>
      <x:c r="B16" s="18" t="str">
        <x:v>No se obtiene primera venta</x:v>
      </x:c>
      <x:c r="C16" s="25" t="n">
        <x:v>3</x:v>
      </x:c>
      <x:c r="D16" s="25" t="n">
        <x:v>4</x:v>
      </x:c>
      <x:c r="E16" s="18" t="str">
        <x:v>Entrevistas tempranas, propuesta desde piloto; medir disposición a pagar</x:v>
      </x:c>
      <x:c r="F16" s="18" t="str">
        <x:v>Alejandro</x:v>
      </x:c>
      <x:c r="G16" s="18" t="str">
        <x:v>T33,T42</x:v>
      </x:c>
      <x:c r="H16" s="18" t="str">
        <x:v>Revisar segmento/oferta antes de ampliar</x:v>
      </x:c>
      <x:c r="I16" s="18" t="n">
        <x:f>C16*D16</x:f>
        <x:v>12</x:v>
      </x:c>
    </x:row>
    <x:row r="17" ht="70" customHeight="1">
      <x:c r="A17" s="16" t="str">
        <x:v>R12</x:v>
      </x:c>
      <x:c r="B17" s="16" t="str">
        <x:v>Tratamiento de datos sin base adecuada</x:v>
      </x:c>
      <x:c r="C17" s="25" t="n">
        <x:v>3</x:v>
      </x:c>
      <x:c r="D17" s="25" t="n">
        <x:v>5</x:v>
      </x:c>
      <x:c r="E17" s="16" t="str">
        <x:v>Inventario, minimización, autorización y revisión legal</x:v>
      </x:c>
      <x:c r="F17" s="16" t="str">
        <x:v>Alejandro</x:v>
      </x:c>
      <x:c r="G17" s="16" t="str">
        <x:v>T32,T37</x:v>
      </x:c>
      <x:c r="H17" s="16" t="str">
        <x:v>Usar sólo datos sintéticos hasta cierre</x:v>
      </x:c>
      <x:c r="I17" s="16" t="n">
        <x:f>C17*D17</x:f>
        <x:v>15</x:v>
      </x:c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  <x:c r="I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  <x:c r="I24" s="3"/>
    </x:row>
  </x:sheetData>
  <x:conditionalFormatting sqref="I6:I17">
    <x:cfRule type="cellIs" dxfId="10" priority="1" operator="greaterThanOrEqual">
      <x:formula>16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5" hidden="0" customWidth="1"/>
    <x:col min="4" max="4" width="28" hidden="0" customWidth="1"/>
    <x:col min="5" max="5" width="80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6" t="str">
        <x:v>HITOS Y CONTROL · aceptación y decisiones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3"/>
      <x:c r="B4" s="3"/>
      <x:c r="C4" s="3"/>
      <x:c r="D4" s="3"/>
      <x:c r="E4" s="3"/>
      <x:c r="F4" s="3"/>
      <x:c r="G4" s="3"/>
      <x:c r="H4" s="3"/>
    </x:row>
    <x:row r="5" ht="42" customHeight="1">
      <x:c r="A5" s="15" t="str">
        <x:v>Hito</x:v>
      </x:c>
      <x:c r="B5" s="15" t="str">
        <x:v>Fecha objetivo</x:v>
      </x:c>
      <x:c r="C5" s="15" t="str">
        <x:v>Entregable</x:v>
      </x:c>
      <x:c r="D5" s="15" t="str">
        <x:v>Responsable</x:v>
      </x:c>
      <x:c r="E5" s="15" t="str">
        <x:v>Criterio de aceptación</x:v>
      </x:c>
      <x:c r="F5" s="15" t="str">
        <x:v>Estado</x:v>
      </x:c>
      <x:c r="G5" s="15" t="str">
        <x:v>Semana</x:v>
      </x:c>
      <x:c r="H5" s="15" t="str">
        <x:v>Tarea</x:v>
      </x:c>
    </x:row>
    <x:row r="6" ht="72" customHeight="1">
      <x:c r="A6" s="18" t="str">
        <x:v>Contrato empresa</x:v>
      </x:c>
      <x:c r="B6" s="19" t="n">
        <x:f>'EDT Y TAREAS'!O9</x:f>
        <x:v>46344</x:v>
      </x:c>
      <x:c r="C6" s="18" t="str">
        <x:v>Contrato e hitos de aceptación</x:v>
      </x:c>
      <x:c r="D6" s="18" t="str">
        <x:v>Alejandro Maureira</x:v>
      </x:c>
      <x:c r="E6" s="18" t="str">
        <x:v>Perfiles nominados; QA distinto del autor; propiedad, salida y garantía acordadas</x:v>
      </x:c>
      <x:c r="F6" s="25" t="str">
        <x:v>Pendiente</x:v>
      </x:c>
      <x:c r="G6" s="18" t="n">
        <x:f>'EDT Y TAREAS'!U9</x:f>
        <x:v>3</x:v>
      </x:c>
      <x:c r="H6" s="18" t="str">
        <x:v>T04</x:v>
      </x:c>
    </x:row>
    <x:row r="7" ht="72" customHeight="1">
      <x:c r="A7" s="16" t="str">
        <x:v>Alcance y UX aprobados</x:v>
      </x:c>
      <x:c r="B7" s="17" t="n">
        <x:f>'EDT Y TAREAS'!O12</x:f>
        <x:v>46363</x:v>
      </x:c>
      <x:c r="C7" s="16" t="str">
        <x:v>Backlog contractual aprobado</x:v>
      </x:c>
      <x:c r="D7" s="16" t="str">
        <x:v>Alejandro Maureira</x:v>
      </x:c>
      <x:c r="E7" s="16" t="str">
        <x:v>Distinguir piloto asistido y SaaS; aprobar límites y objetivos medibles</x:v>
      </x:c>
      <x:c r="F7" s="25" t="str">
        <x:v>Pendiente</x:v>
      </x:c>
      <x:c r="G7" s="16" t="n">
        <x:f>'EDT Y TAREAS'!U12</x:f>
        <x:v>6</x:v>
      </x:c>
      <x:c r="H7" s="16" t="str">
        <x:v>T07</x:v>
      </x:c>
    </x:row>
    <x:row r="8" ht="72" customHeight="1">
      <x:c r="A8" s="18" t="str">
        <x:v>Motor aceptado</x:v>
      </x:c>
      <x:c r="B8" s="19" t="n">
        <x:f>'EDT Y TAREAS'!O20</x:f>
        <x:v>46419</x:v>
      </x:c>
      <x:c r="C8" s="18" t="str">
        <x:v>Versión y conjunto de casos patrón</x:v>
      </x:c>
      <x:c r="D8" s="18" t="str">
        <x:v>Alonso Peña</x:v>
      </x:c>
      <x:c r="E8" s="18" t="str">
        <x:v>3 casos patrón reproducibles; errores materiales cerrados o módulo excluido</x:v>
      </x:c>
      <x:c r="F8" s="25" t="str">
        <x:v>Pendiente</x:v>
      </x:c>
      <x:c r="G8" s="18" t="n">
        <x:f>'EDT Y TAREAS'!U20</x:f>
        <x:v>14</x:v>
      </x:c>
      <x:c r="H8" s="18" t="str">
        <x:v>T15</x:v>
      </x:c>
    </x:row>
    <x:row r="9" ht="72" customHeight="1">
      <x:c r="A9" s="16" t="str">
        <x:v>Recorrido SaaS integrado</x:v>
      </x:c>
      <x:c r="B9" s="17" t="n">
        <x:f>'EDT Y TAREAS'!O32</x:f>
        <x:v>46454</x:v>
      </x:c>
      <x:c r="C9" s="16" t="str">
        <x:v>Recorrido financiero completo</x:v>
      </x:c>
      <x:c r="D9" s="16" t="str">
        <x:v>Empresa · frontend</x:v>
      </x:c>
      <x:c r="E9" s="16" t="str">
        <x:v>Comparar 2 escenarios; distinguir resultado factible y diagnóstico; exportar</x:v>
      </x:c>
      <x:c r="F9" s="25" t="str">
        <x:v>Pendiente</x:v>
      </x:c>
      <x:c r="G9" s="16" t="n">
        <x:f>'EDT Y TAREAS'!U32</x:f>
        <x:v>19</x:v>
      </x:c>
      <x:c r="H9" s="16" t="str">
        <x:v>T27</x:v>
      </x:c>
    </x:row>
    <x:row r="10" ht="72" customHeight="1">
      <x:c r="A10" s="18" t="str">
        <x:v>Autorización piloto</x:v>
      </x:c>
      <x:c r="B10" s="19" t="n">
        <x:f>'EDT Y TAREAS'!O43</x:f>
        <x:v>46489</x:v>
      </x:c>
      <x:c r="C10" s="18" t="str">
        <x:v>Acta go/no-go</x:v>
      </x:c>
      <x:c r="D10" s="18" t="str">
        <x:v>Alejandro Maureira</x:v>
      </x:c>
      <x:c r="E10" s="18" t="str">
        <x:v>Condiciones contractuales y privacidad aceptadas; fallback a piloto asistido</x:v>
      </x:c>
      <x:c r="F10" s="25" t="str">
        <x:v>Pendiente</x:v>
      </x:c>
      <x:c r="G10" s="18" t="n">
        <x:f>'EDT Y TAREAS'!U43</x:f>
        <x:v>24</x:v>
      </x:c>
      <x:c r="H10" s="18" t="str">
        <x:v>T38</x:v>
      </x:c>
    </x:row>
    <x:row r="11" ht="72" customHeight="1">
      <x:c r="A11" s="16" t="str">
        <x:v>Piloto repetido</x:v>
      </x:c>
      <x:c r="B11" s="17" t="n">
        <x:f>'EDT Y TAREAS'!O46</x:f>
        <x:v>46517</x:v>
      </x:c>
      <x:c r="C11" s="16" t="str">
        <x:v>Resultados de segunda ronda</x:v>
      </x:c>
      <x:c r="D11" s="16" t="str">
        <x:v>Alonso Peña</x:v>
      </x:c>
      <x:c r="E11" s="16" t="str">
        <x:v>3 organizaciones terminan; registrar aceptación y objeciones de compra</x:v>
      </x:c>
      <x:c r="F11" s="25" t="str">
        <x:v>Pendiente</x:v>
      </x:c>
      <x:c r="G11" s="16" t="n">
        <x:f>'EDT Y TAREAS'!U46</x:f>
        <x:v>28</x:v>
      </x:c>
      <x:c r="H11" s="16" t="str">
        <x:v>T41</x:v>
      </x:c>
    </x:row>
    <x:row r="12" ht="72" customHeight="1">
      <x:c r="A12" s="18" t="str">
        <x:v>Primera oferta negociada</x:v>
      </x:c>
      <x:c r="B12" s="19" t="n">
        <x:f>'EDT Y TAREAS'!O47</x:f>
        <x:v>46510</x:v>
      </x:c>
      <x:c r="C12" s="18" t="str">
        <x:v>Propuesta y negociación documentada</x:v>
      </x:c>
      <x:c r="D12" s="18" t="str">
        <x:v>Alejandro Maureira</x:v>
      </x:c>
      <x:c r="E12" s="18" t="str">
        <x:v>Oferta enviada por Alejandro; objetivo 1 contrato pagado, sin garantizar decisión del cliente</x:v>
      </x:c>
      <x:c r="F12" s="25" t="str">
        <x:v>Pendiente</x:v>
      </x:c>
      <x:c r="G12" s="18" t="n">
        <x:f>'EDT Y TAREAS'!U47</x:f>
        <x:v>27</x:v>
      </x:c>
      <x:c r="H12" s="18" t="str">
        <x:v>T42</x:v>
      </x:c>
    </x:row>
    <x:row r="13" ht="72" customHeight="1">
      <x:c r="A13" s="16" t="str">
        <x:v>Transferencia</x:v>
      </x:c>
      <x:c r="B13" s="17" t="n">
        <x:f>'EDT Y TAREAS'!O49</x:f>
        <x:v>46524</x:v>
      </x:c>
      <x:c r="C13" s="16" t="str">
        <x:v>Runbooks, accesos y capacitación</x:v>
      </x:c>
      <x:c r="D13" s="16" t="str">
        <x:v>Empresa · operación</x:v>
      </x:c>
      <x:c r="E13" s="16" t="str">
        <x:v>Alonso despliega y restaura sin proveedor; cuentas corporativas, SBOM y manual</x:v>
      </x:c>
      <x:c r="F13" s="25" t="str">
        <x:v>Pendiente</x:v>
      </x:c>
      <x:c r="G13" s="16" t="n">
        <x:f>'EDT Y TAREAS'!U49</x:f>
        <x:v>29</x:v>
      </x:c>
      <x:c r="H13" s="16" t="str">
        <x:v>T44</x:v>
      </x:c>
    </x:row>
    <x:row r="14" ht="72" customHeight="1">
      <x:c r="A14" s="18" t="str">
        <x:v>Lanzamiento aprobado</x:v>
      </x:c>
      <x:c r="B14" s="19" t="n">
        <x:f>'EDT Y TAREAS'!O51</x:f>
        <x:v>46534</x:v>
      </x:c>
      <x:c r="C14" s="18" t="str">
        <x:v>Acta de entrega comercial</x:v>
      </x:c>
      <x:c r="D14" s="18" t="str">
        <x:v>Alejandro Maureira</x:v>
      </x:c>
      <x:c r="E14" s="18" t="str">
        <x:v>Alejandro acepta alcance, soporte, obligaciones y costos; registrar venta o causa de no conversión</x:v>
      </x:c>
      <x:c r="F14" s="25" t="str">
        <x:v>Pendiente</x:v>
      </x:c>
      <x:c r="G14" s="18" t="n">
        <x:f>'EDT Y TAREAS'!U51</x:f>
        <x:v>30</x:v>
      </x:c>
      <x:c r="H14" s="18" t="str">
        <x:v>T46</x:v>
      </x:c>
    </x:row>
    <x:row r="15" ht="72" customHeight="1">
      <x:c r="A15" s="16" t="str">
        <x:v>Operación acompañada</x:v>
      </x:c>
      <x:c r="B15" s="17" t="n">
        <x:f>'EDT Y TAREAS'!O52</x:f>
        <x:v>46548</x:v>
      </x:c>
      <x:c r="C15" s="16" t="str">
        <x:v>Cierre y backlog posterior</x:v>
      </x:c>
      <x:c r="D15" s="16" t="str">
        <x:v>Empresa · operación</x:v>
      </x:c>
      <x:c r="E15" s="16" t="str">
        <x:v>Dos semanas de operación revisadas; dueño por incidente y mantenimiento contratado o asumido</x:v>
      </x:c>
      <x:c r="F15" s="25" t="str">
        <x:v>Pendiente</x:v>
      </x:c>
      <x:c r="G15" s="16" t="n">
        <x:f>'EDT Y TAREAS'!U52</x:f>
        <x:v>32</x:v>
      </x:c>
      <x:c r="H15" s="16" t="str">
        <x:v>T47</x:v>
      </x:c>
    </x:row>
    <x:row r="16" ht="24" customHeight="1">
      <x:c r="A16" s="3"/>
      <x:c r="B16" s="3"/>
      <x:c r="C16" s="3"/>
      <x:c r="D16" s="3"/>
      <x:c r="E16" s="3"/>
      <x:c r="F16" s="3"/>
      <x:c r="G16" s="3"/>
      <x:c r="H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</x:row>
    <x:row r="19" ht="24" customHeight="1">
      <x:c r="A19" s="3" t="str">
        <x:v>Control semanal</x:v>
      </x:c>
      <x:c r="B19" s="3"/>
      <x:c r="C19" s="3"/>
      <x:c r="D19" s="3"/>
      <x:c r="E19" s="3"/>
      <x:c r="F19" s="3"/>
      <x:c r="G19" s="3"/>
      <x:c r="H19" s="3"/>
    </x:row>
    <x:row r="20" ht="24" customHeight="1">
      <x:c r="A20" s="3" t="str">
        <x:v>Lunes: seleccionar tareas activas por semana, confirmar capacidad y decisiones pendientes.</x:v>
      </x:c>
      <x:c r="B20" s="3"/>
      <x:c r="C20" s="3"/>
      <x:c r="D20" s="3"/>
      <x:c r="E20" s="3"/>
      <x:c r="F20" s="3"/>
      <x:c r="G20" s="3"/>
      <x:c r="H20" s="3"/>
    </x:row>
    <x:row r="21" ht="24" customHeight="1">
      <x:c r="A21" s="3" t="str">
        <x:v>Diario: actualizar estado/avance y registrar bloqueo; descomponer tarea activa en acciones de 0,5–2 días.</x:v>
      </x:c>
      <x:c r="B21" s="3"/>
      <x:c r="C21" s="3"/>
      <x:c r="D21" s="3"/>
      <x:c r="E21" s="3"/>
      <x:c r="F21" s="3"/>
      <x:c r="G21" s="3"/>
      <x:c r="H21" s="3"/>
    </x:row>
    <x:row r="22" ht="24" customHeight="1">
      <x:c r="A22" s="3" t="str">
        <x:v>Viernes: demo verificable, aceptación del responsable y actualización de riesgo/plazo.</x:v>
      </x:c>
      <x:c r="B22" s="3"/>
      <x:c r="C22" s="3"/>
      <x:c r="D22" s="3"/>
      <x:c r="E22" s="3"/>
      <x:c r="F22" s="3"/>
      <x:c r="G22" s="3"/>
      <x:c r="H22" s="3"/>
    </x:row>
    <x:row r="23" ht="24" customHeight="1">
      <x:c r="A23" s="3" t="str">
        <x:v>Cada dos semanas: Alejandro decide alcance; Alonso acepta ciencia; empresa demuestra producto y QA.</x:v>
      </x:c>
      <x:c r="B23" s="3"/>
      <x:c r="C23" s="3"/>
      <x:c r="D23" s="3"/>
      <x:c r="E23" s="3"/>
      <x:c r="F23" s="3"/>
      <x:c r="G23" s="3"/>
      <x:c r="H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</x:row>
    <x:row r="25" ht="24" customHeight="1">
      <x:c r="A25" s="3"/>
      <x:c r="B25" s="3"/>
      <x:c r="C25" s="3"/>
      <x:c r="D25" s="3"/>
      <x:c r="E25" s="3"/>
      <x:c r="F25" s="3"/>
      <x:c r="G25" s="3"/>
      <x:c r="H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</x:row>
    <x:row r="33" ht="24" customHeight="1">
      <x:c r="A33" s="3"/>
      <x:c r="B33" s="3"/>
      <x:c r="C33" s="3"/>
      <x:c r="D33" s="3"/>
      <x:c r="E33" s="3"/>
      <x:c r="F33" s="3"/>
      <x:c r="G33" s="3"/>
      <x:c r="H33" s="3"/>
    </x:row>
    <x:row r="34" ht="24" customHeight="1">
      <x:c r="A34" s="3"/>
      <x:c r="B34" s="3"/>
      <x:c r="C34" s="3"/>
      <x:c r="D34" s="3"/>
      <x:c r="E34" s="3"/>
      <x:c r="F34" s="3"/>
      <x:c r="G34" s="3"/>
      <x:c r="H34" s="3"/>
    </x:row>
    <x:row r="35" ht="24" customHeight="1">
      <x:c r="A35" s="3"/>
      <x:c r="B35" s="3"/>
      <x:c r="C35" s="3"/>
      <x:c r="D35" s="3"/>
      <x:c r="E35" s="3"/>
      <x:c r="F35" s="3"/>
      <x:c r="G35" s="3"/>
      <x:c r="H35" s="3"/>
    </x:row>
    <x:row r="36" ht="24" customHeight="1">
      <x:c r="A36" s="3"/>
      <x:c r="B36" s="3"/>
      <x:c r="C36" s="3"/>
      <x:c r="D36" s="3"/>
      <x:c r="E36" s="3"/>
      <x:c r="F36" s="3"/>
      <x:c r="G36" s="3"/>
      <x:c r="H36" s="3"/>
    </x:row>
    <x:row r="37" ht="24" customHeight="1">
      <x:c r="A37" s="3"/>
      <x:c r="B37" s="3"/>
      <x:c r="C37" s="3"/>
      <x:c r="D37" s="3"/>
      <x:c r="E37" s="3"/>
      <x:c r="F37" s="3"/>
      <x:c r="G37" s="3"/>
      <x:c r="H37" s="3"/>
    </x:row>
    <x:row r="38" ht="24" customHeight="1">
      <x:c r="A38" s="3"/>
      <x:c r="B38" s="3"/>
      <x:c r="C38" s="3"/>
      <x:c r="D38" s="3"/>
      <x:c r="E38" s="3"/>
      <x:c r="F38" s="3"/>
      <x:c r="G38" s="3"/>
      <x:c r="H38" s="3"/>
    </x:row>
    <x:row r="39" ht="24" customHeight="1">
      <x:c r="A39" s="3"/>
      <x:c r="B39" s="3"/>
      <x:c r="C39" s="3"/>
      <x:c r="D39" s="3"/>
      <x:c r="E39" s="3"/>
      <x:c r="F39" s="3"/>
      <x:c r="G39" s="3"/>
      <x:c r="H39" s="3"/>
    </x:row>
    <x:row r="40" ht="24" customHeight="1">
      <x:c r="A40" s="3"/>
      <x:c r="B40" s="3"/>
      <x:c r="C40" s="3"/>
      <x:c r="D40" s="3"/>
      <x:c r="E40" s="3"/>
      <x:c r="F40" s="3"/>
      <x:c r="G40" s="3"/>
      <x:c r="H40" s="3"/>
    </x:row>
    <x:row r="41" ht="24" customHeight="1">
      <x:c r="A41" s="3"/>
      <x:c r="B41" s="3"/>
      <x:c r="C41" s="3"/>
      <x:c r="D41" s="3"/>
      <x:c r="E41" s="3"/>
      <x:c r="F41" s="3"/>
      <x:c r="G41" s="3"/>
      <x:c r="H41" s="3"/>
    </x:row>
    <x:row r="42" ht="24" customHeight="1">
      <x:c r="A42" s="3"/>
      <x:c r="B42" s="3"/>
      <x:c r="C42" s="3"/>
      <x:c r="D42" s="3"/>
      <x:c r="E42" s="3"/>
      <x:c r="F42" s="3"/>
      <x:c r="G42" s="3"/>
      <x:c r="H42" s="3"/>
    </x:row>
    <x:row r="43" ht="24" customHeight="1">
      <x:c r="A43" s="3"/>
      <x:c r="B43" s="3"/>
      <x:c r="C43" s="3"/>
      <x:c r="D43" s="3"/>
      <x:c r="E43" s="3"/>
      <x:c r="F43" s="3"/>
      <x:c r="G43" s="3"/>
      <x:c r="H43" s="3"/>
    </x:row>
    <x:row r="44" ht="24" customHeight="1">
      <x:c r="A44" s="3"/>
      <x:c r="B44" s="3"/>
      <x:c r="C44" s="3"/>
      <x:c r="D44" s="3"/>
      <x:c r="E44" s="3"/>
      <x:c r="F44" s="3"/>
      <x:c r="G44" s="3"/>
      <x:c r="H44" s="3"/>
    </x:row>
    <x:row r="45" ht="24" customHeight="1">
      <x:c r="A45" s="3"/>
      <x:c r="B45" s="3"/>
      <x:c r="C45" s="3"/>
      <x:c r="D45" s="3"/>
      <x:c r="E45" s="3"/>
      <x:c r="F45" s="3"/>
      <x:c r="G45" s="3"/>
      <x:c r="H45" s="3"/>
    </x:row>
    <x:row r="46" ht="24" customHeight="1">
      <x:c r="A46" s="3"/>
      <x:c r="B46" s="3"/>
      <x:c r="C46" s="3"/>
      <x:c r="D46" s="3"/>
      <x:c r="E46" s="3"/>
      <x:c r="F46" s="3"/>
      <x:c r="G46" s="3"/>
      <x:c r="H46" s="3"/>
    </x:row>
    <x:row r="47" ht="24" customHeight="1">
      <x:c r="A47" s="3"/>
      <x:c r="B47" s="3"/>
      <x:c r="C47" s="3"/>
      <x:c r="D47" s="3"/>
      <x:c r="E47" s="3"/>
      <x:c r="F47" s="3"/>
      <x:c r="G47" s="3"/>
      <x:c r="H47" s="3"/>
    </x:row>
    <x:row r="48" ht="24" customHeight="1">
      <x:c r="A48" s="3"/>
      <x:c r="B48" s="3"/>
      <x:c r="C48" s="3"/>
      <x:c r="D48" s="3"/>
      <x:c r="E48" s="3"/>
      <x:c r="F48" s="3"/>
      <x:c r="G48" s="3"/>
      <x:c r="H48" s="3"/>
    </x:row>
    <x:row r="49" ht="24" customHeight="1">
      <x:c r="A49" s="3"/>
      <x:c r="B49" s="3"/>
      <x:c r="C49" s="3"/>
      <x:c r="D49" s="3"/>
      <x:c r="E49" s="3"/>
      <x:c r="F49" s="3"/>
      <x:c r="G49" s="3"/>
      <x:c r="H49" s="3"/>
    </x:row>
    <x:row r="50" ht="24" customHeight="1">
      <x:c r="A50" s="3"/>
      <x:c r="B50" s="3"/>
      <x:c r="C50" s="3"/>
      <x:c r="D50" s="3"/>
      <x:c r="E50" s="3"/>
      <x:c r="F50" s="3"/>
      <x:c r="G50" s="3"/>
      <x:c r="H50" s="3"/>
    </x:row>
    <x:row r="51" ht="24" customHeight="1">
      <x:c r="A51" s="3"/>
      <x:c r="B51" s="3"/>
      <x:c r="C51" s="3"/>
      <x:c r="D51" s="3"/>
      <x:c r="E51" s="3"/>
      <x:c r="F51" s="3"/>
      <x:c r="G51" s="3"/>
      <x:c r="H51" s="3"/>
    </x:row>
    <x:row r="52" ht="24" customHeight="1">
      <x:c r="A52" s="3"/>
      <x:c r="B52" s="3"/>
      <x:c r="C52" s="3"/>
      <x:c r="D52" s="3"/>
      <x:c r="E52" s="3"/>
      <x:c r="F52" s="3"/>
      <x:c r="G52" s="3"/>
      <x:c r="H52" s="3"/>
    </x:row>
    <x:row r="53" ht="24" customHeight="1">
      <x:c r="A53" s="3"/>
      <x:c r="B53" s="3"/>
      <x:c r="C53" s="3"/>
      <x:c r="D53" s="3"/>
      <x:c r="E53" s="3"/>
      <x:c r="F53" s="3"/>
      <x:c r="G53" s="3"/>
      <x:c r="H53" s="3"/>
    </x:row>
    <x:row r="54" ht="24" customHeight="1">
      <x:c r="A54" s="3"/>
      <x:c r="B54" s="3"/>
      <x:c r="C54" s="3"/>
      <x:c r="D54" s="3"/>
      <x:c r="E54" s="3"/>
      <x:c r="F54" s="3"/>
      <x:c r="G54" s="3"/>
      <x:c r="H54" s="3"/>
    </x:row>
    <x:row r="55" ht="24" customHeight="1">
      <x:c r="A55" s="3"/>
      <x:c r="B55" s="3"/>
      <x:c r="C55" s="3"/>
      <x:c r="D55" s="3"/>
      <x:c r="E55" s="3"/>
      <x:c r="F55" s="3"/>
      <x:c r="G55" s="3"/>
      <x:c r="H55" s="3"/>
    </x:row>
  </x:sheetData>
  <x:pageMargins left="0.7" right="0.7" top="0.75" bottom="0.75" header="0.3" footer="0.3"/>
</x:worksheet>
</file>